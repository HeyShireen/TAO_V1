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ban\Documents\À transférer\ECOTEC\Logiciels\TAO_V1\server\src\app\templates\"/>
    </mc:Choice>
  </mc:AlternateContent>
  <xr:revisionPtr revIDLastSave="0" documentId="13_ncr:1_{DFD6F31E-D865-45FD-9B88-A3BDFAD981B7}" xr6:coauthVersionLast="47" xr6:coauthVersionMax="47" xr10:uidLastSave="{00000000-0000-0000-0000-000000000000}"/>
  <bookViews>
    <workbookView xWindow="-108" yWindow="-108" windowWidth="23256" windowHeight="12456" tabRatio="599" activeTab="1" xr2:uid="{00000000-000D-0000-FFFF-FFFF00000000}"/>
  </bookViews>
  <sheets>
    <sheet name="GARDE" sheetId="6" r:id="rId1"/>
    <sheet name="ETANCHEITE" sheetId="4" r:id="rId2"/>
    <sheet name="Questions global" sheetId="9" r:id="rId3"/>
    <sheet name="Feuille de Donnée" sheetId="10" r:id="rId4"/>
    <sheet name="Questions Entreprise 1" sheetId="15" r:id="rId5"/>
    <sheet name="Questions Entreprise 2" sheetId="16" r:id="rId6"/>
    <sheet name="Questions Entreprise 3" sheetId="17" r:id="rId7"/>
    <sheet name="Questions Entreprise 4" sheetId="18" r:id="rId8"/>
    <sheet name="Questions Entreprise 5" sheetId="19" r:id="rId9"/>
    <sheet name="Questions Entreprise 6" sheetId="20" r:id="rId10"/>
  </sheets>
  <externalReferences>
    <externalReference r:id="rId11"/>
  </externalReferences>
  <definedNames>
    <definedName name="_xlnm.Print_Titles" localSheetId="1">ETANCHEITE!$21:$22</definedName>
    <definedName name="Note_sur">GARDE!$Z$4</definedName>
    <definedName name="tab_base">[1]CALCULS!$B$8:$K$17</definedName>
    <definedName name="tab_nego">[1]CALCULS!$B$36:$K$45</definedName>
    <definedName name="tab_recal">[1]CALCULS!$B$22:$L$31</definedName>
    <definedName name="_xlnm.Print_Area" localSheetId="1">ETANCHEITE!$A$2:$BK$173</definedName>
    <definedName name="_xlnm.Print_Area" localSheetId="0">GARDE!$A$1:$U$31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/>
  <c r="A66" i="20" a="1"/>
  <c r="A59" i="20" a="1"/>
  <c r="A25" i="20" a="1"/>
  <c r="A17" i="20" a="1"/>
  <c r="AT1" i="9"/>
  <c r="A19" i="20" l="1" a="1"/>
  <c r="A42" i="20" a="1"/>
  <c r="A51" i="20" a="1"/>
  <c r="A9" i="20" a="1"/>
  <c r="I72" i="20" a="1"/>
  <c r="A72" i="20" a="1"/>
  <c r="A64" i="20" a="1"/>
  <c r="A56" i="20" a="1"/>
  <c r="A48" i="20" a="1"/>
  <c r="A40" i="20" a="1"/>
  <c r="A32" i="20" a="1"/>
  <c r="A24" i="20" a="1"/>
  <c r="A16" i="20" a="1"/>
  <c r="A8" i="20" a="1"/>
  <c r="H72" i="20" a="1"/>
  <c r="I71" i="20" a="1"/>
  <c r="A71" i="20" a="1"/>
  <c r="A63" i="20" a="1"/>
  <c r="A55" i="20" a="1"/>
  <c r="A47" i="20" a="1"/>
  <c r="A39" i="20" a="1"/>
  <c r="A31" i="20" a="1"/>
  <c r="A23" i="20" a="1"/>
  <c r="A15" i="20" a="1"/>
  <c r="A7" i="20" a="1"/>
  <c r="A67" i="20" a="1"/>
  <c r="G72" i="20" a="1"/>
  <c r="H71" i="20" a="1"/>
  <c r="A70" i="20" a="1"/>
  <c r="A62" i="20" a="1"/>
  <c r="A54" i="20" a="1"/>
  <c r="A46" i="20" a="1"/>
  <c r="A38" i="20" a="1"/>
  <c r="A30" i="20" a="1"/>
  <c r="A22" i="20" a="1"/>
  <c r="A14" i="20" a="1"/>
  <c r="A6" i="20" a="1"/>
  <c r="D72" i="20" a="1"/>
  <c r="F72" i="20" a="1"/>
  <c r="A69" i="20" a="1"/>
  <c r="A61" i="20" a="1"/>
  <c r="A53" i="20" a="1"/>
  <c r="A45" i="20" a="1"/>
  <c r="A37" i="20" a="1"/>
  <c r="A29" i="20" a="1"/>
  <c r="A21" i="20" a="1"/>
  <c r="A13" i="20" a="1"/>
  <c r="A5" i="20" a="1"/>
  <c r="E72" i="20" a="1"/>
  <c r="A68" i="20" a="1"/>
  <c r="A60" i="20" a="1"/>
  <c r="A52" i="20" a="1"/>
  <c r="A44" i="20" a="1"/>
  <c r="A36" i="20" a="1"/>
  <c r="A28" i="20" a="1"/>
  <c r="A20" i="20" a="1"/>
  <c r="A12" i="20" a="1"/>
  <c r="A4" i="20" a="1"/>
  <c r="A3" i="20" a="1"/>
  <c r="A26" i="20" a="1"/>
  <c r="A49" i="20" a="1"/>
  <c r="A57" i="20" a="1"/>
  <c r="A43" i="20" a="1"/>
  <c r="A11" i="20" a="1"/>
  <c r="A18" i="20" a="1"/>
  <c r="A41" i="20" a="1"/>
  <c r="A35" i="20" a="1"/>
  <c r="A58" i="20" a="1"/>
  <c r="F1" i="20" a="1"/>
  <c r="A65" i="20" a="1"/>
  <c r="B72" i="20" a="1"/>
  <c r="A33" i="20" a="1"/>
  <c r="A34" i="20" a="1"/>
  <c r="A27" i="20" a="1"/>
  <c r="A50" i="20" a="1"/>
  <c r="C72" i="20" a="1"/>
  <c r="A10" i="20" a="1"/>
  <c r="C3" i="10" l="1"/>
  <c r="B1" i="19"/>
  <c r="B1" i="18"/>
  <c r="B1" i="17"/>
  <c r="BG165" i="4"/>
  <c r="BF165" i="4"/>
  <c r="BE165" i="4"/>
  <c r="AX165" i="4"/>
  <c r="AW165" i="4"/>
  <c r="AV165" i="4"/>
  <c r="AO165" i="4"/>
  <c r="AN165" i="4"/>
  <c r="AM165" i="4"/>
  <c r="AF165" i="4"/>
  <c r="AE165" i="4"/>
  <c r="AD165" i="4"/>
  <c r="W165" i="4"/>
  <c r="V165" i="4"/>
  <c r="U165" i="4"/>
  <c r="N165" i="4"/>
  <c r="M165" i="4"/>
  <c r="L165" i="4"/>
  <c r="H165" i="4"/>
  <c r="BG164" i="4"/>
  <c r="BF164" i="4"/>
  <c r="BE164" i="4"/>
  <c r="AX164" i="4"/>
  <c r="AW164" i="4"/>
  <c r="AV164" i="4"/>
  <c r="AO164" i="4"/>
  <c r="AN164" i="4"/>
  <c r="AM164" i="4"/>
  <c r="AF164" i="4"/>
  <c r="AE164" i="4"/>
  <c r="AD164" i="4"/>
  <c r="W164" i="4"/>
  <c r="V164" i="4"/>
  <c r="U164" i="4"/>
  <c r="N164" i="4"/>
  <c r="M164" i="4"/>
  <c r="L164" i="4"/>
  <c r="H164" i="4"/>
  <c r="BG163" i="4"/>
  <c r="BF163" i="4"/>
  <c r="BE163" i="4"/>
  <c r="AX163" i="4"/>
  <c r="AW163" i="4"/>
  <c r="AV163" i="4"/>
  <c r="AO163" i="4"/>
  <c r="AN163" i="4"/>
  <c r="AM163" i="4"/>
  <c r="AF163" i="4"/>
  <c r="AE163" i="4"/>
  <c r="AD163" i="4"/>
  <c r="W163" i="4"/>
  <c r="V163" i="4"/>
  <c r="U163" i="4"/>
  <c r="N163" i="4"/>
  <c r="M163" i="4"/>
  <c r="L163" i="4"/>
  <c r="H163" i="4"/>
  <c r="BG162" i="4"/>
  <c r="BF162" i="4"/>
  <c r="BE162" i="4"/>
  <c r="AX162" i="4"/>
  <c r="AW162" i="4"/>
  <c r="AV162" i="4"/>
  <c r="AO162" i="4"/>
  <c r="AN162" i="4"/>
  <c r="AM162" i="4"/>
  <c r="AF162" i="4"/>
  <c r="AE162" i="4"/>
  <c r="AD162" i="4"/>
  <c r="W162" i="4"/>
  <c r="V162" i="4"/>
  <c r="U162" i="4"/>
  <c r="N162" i="4"/>
  <c r="M162" i="4"/>
  <c r="L162" i="4"/>
  <c r="H162" i="4"/>
  <c r="BG161" i="4"/>
  <c r="BF161" i="4"/>
  <c r="BE161" i="4"/>
  <c r="AX161" i="4"/>
  <c r="AW161" i="4"/>
  <c r="AV161" i="4"/>
  <c r="AO161" i="4"/>
  <c r="AN161" i="4"/>
  <c r="AM161" i="4"/>
  <c r="AF161" i="4"/>
  <c r="AE161" i="4"/>
  <c r="AD161" i="4"/>
  <c r="W161" i="4"/>
  <c r="V161" i="4"/>
  <c r="U161" i="4"/>
  <c r="N161" i="4"/>
  <c r="M161" i="4"/>
  <c r="L161" i="4"/>
  <c r="H161" i="4"/>
  <c r="BG160" i="4"/>
  <c r="BF160" i="4"/>
  <c r="BE160" i="4"/>
  <c r="AX160" i="4"/>
  <c r="AW160" i="4"/>
  <c r="AV160" i="4"/>
  <c r="AO160" i="4"/>
  <c r="AN160" i="4"/>
  <c r="AM160" i="4"/>
  <c r="AF160" i="4"/>
  <c r="AE160" i="4"/>
  <c r="AD160" i="4"/>
  <c r="W160" i="4"/>
  <c r="V160" i="4"/>
  <c r="U160" i="4"/>
  <c r="N160" i="4"/>
  <c r="M160" i="4"/>
  <c r="L160" i="4"/>
  <c r="H160" i="4"/>
  <c r="BG159" i="4"/>
  <c r="BF159" i="4"/>
  <c r="BE159" i="4"/>
  <c r="AX159" i="4"/>
  <c r="AW159" i="4"/>
  <c r="AV159" i="4"/>
  <c r="AO159" i="4"/>
  <c r="AN159" i="4"/>
  <c r="AM159" i="4"/>
  <c r="AF159" i="4"/>
  <c r="AE159" i="4"/>
  <c r="AD159" i="4"/>
  <c r="W159" i="4"/>
  <c r="V159" i="4"/>
  <c r="U159" i="4"/>
  <c r="N159" i="4"/>
  <c r="M159" i="4"/>
  <c r="L159" i="4"/>
  <c r="H159" i="4"/>
  <c r="AQ159" i="4" s="1"/>
  <c r="AP159" i="4" s="1"/>
  <c r="BG158" i="4"/>
  <c r="BF158" i="4"/>
  <c r="BE158" i="4"/>
  <c r="AX158" i="4"/>
  <c r="AW158" i="4"/>
  <c r="AV158" i="4"/>
  <c r="AO158" i="4"/>
  <c r="AN158" i="4"/>
  <c r="AM158" i="4"/>
  <c r="AF158" i="4"/>
  <c r="AE158" i="4"/>
  <c r="AD158" i="4"/>
  <c r="W158" i="4"/>
  <c r="V158" i="4"/>
  <c r="U158" i="4"/>
  <c r="N158" i="4"/>
  <c r="M158" i="4"/>
  <c r="L158" i="4"/>
  <c r="H158" i="4"/>
  <c r="BG157" i="4"/>
  <c r="BF157" i="4"/>
  <c r="BE157" i="4"/>
  <c r="AX157" i="4"/>
  <c r="AW157" i="4"/>
  <c r="AV157" i="4"/>
  <c r="AO157" i="4"/>
  <c r="AN157" i="4"/>
  <c r="AM157" i="4"/>
  <c r="AF157" i="4"/>
  <c r="AE157" i="4"/>
  <c r="AD157" i="4"/>
  <c r="W157" i="4"/>
  <c r="V157" i="4"/>
  <c r="U157" i="4"/>
  <c r="N157" i="4"/>
  <c r="M157" i="4"/>
  <c r="L157" i="4"/>
  <c r="H157" i="4"/>
  <c r="Y157" i="4" s="1"/>
  <c r="X157" i="4" s="1"/>
  <c r="BG156" i="4"/>
  <c r="BF156" i="4"/>
  <c r="BE156" i="4"/>
  <c r="AX156" i="4"/>
  <c r="AW156" i="4"/>
  <c r="AV156" i="4"/>
  <c r="AO156" i="4"/>
  <c r="AN156" i="4"/>
  <c r="AM156" i="4"/>
  <c r="AF156" i="4"/>
  <c r="AE156" i="4"/>
  <c r="AD156" i="4"/>
  <c r="W156" i="4"/>
  <c r="V156" i="4"/>
  <c r="U156" i="4"/>
  <c r="N156" i="4"/>
  <c r="M156" i="4"/>
  <c r="L156" i="4"/>
  <c r="H156" i="4"/>
  <c r="BG155" i="4"/>
  <c r="BF155" i="4"/>
  <c r="BE155" i="4"/>
  <c r="AX155" i="4"/>
  <c r="AW155" i="4"/>
  <c r="AV155" i="4"/>
  <c r="AO155" i="4"/>
  <c r="AN155" i="4"/>
  <c r="AM155" i="4"/>
  <c r="AF155" i="4"/>
  <c r="AE155" i="4"/>
  <c r="AD155" i="4"/>
  <c r="W155" i="4"/>
  <c r="V155" i="4"/>
  <c r="U155" i="4"/>
  <c r="N155" i="4"/>
  <c r="M155" i="4"/>
  <c r="L155" i="4"/>
  <c r="H155" i="4"/>
  <c r="AH155" i="4" s="1"/>
  <c r="AG155" i="4" s="1"/>
  <c r="BG154" i="4"/>
  <c r="BF154" i="4"/>
  <c r="BE154" i="4"/>
  <c r="AX154" i="4"/>
  <c r="AW154" i="4"/>
  <c r="AV154" i="4"/>
  <c r="AO154" i="4"/>
  <c r="AN154" i="4"/>
  <c r="AM154" i="4"/>
  <c r="AF154" i="4"/>
  <c r="AE154" i="4"/>
  <c r="AD154" i="4"/>
  <c r="W154" i="4"/>
  <c r="V154" i="4"/>
  <c r="U154" i="4"/>
  <c r="N154" i="4"/>
  <c r="M154" i="4"/>
  <c r="L154" i="4"/>
  <c r="H154" i="4"/>
  <c r="BG153" i="4"/>
  <c r="BF153" i="4"/>
  <c r="BE153" i="4"/>
  <c r="AX153" i="4"/>
  <c r="AW153" i="4"/>
  <c r="AV153" i="4"/>
  <c r="AO153" i="4"/>
  <c r="AN153" i="4"/>
  <c r="AM153" i="4"/>
  <c r="AF153" i="4"/>
  <c r="AE153" i="4"/>
  <c r="AD153" i="4"/>
  <c r="W153" i="4"/>
  <c r="V153" i="4"/>
  <c r="U153" i="4"/>
  <c r="N153" i="4"/>
  <c r="M153" i="4"/>
  <c r="L153" i="4"/>
  <c r="H153" i="4"/>
  <c r="BG152" i="4"/>
  <c r="BF152" i="4"/>
  <c r="BE152" i="4"/>
  <c r="AX152" i="4"/>
  <c r="AW152" i="4"/>
  <c r="AV152" i="4"/>
  <c r="AO152" i="4"/>
  <c r="AN152" i="4"/>
  <c r="AM152" i="4"/>
  <c r="AF152" i="4"/>
  <c r="AE152" i="4"/>
  <c r="AD152" i="4"/>
  <c r="W152" i="4"/>
  <c r="V152" i="4"/>
  <c r="U152" i="4"/>
  <c r="N152" i="4"/>
  <c r="M152" i="4"/>
  <c r="L152" i="4"/>
  <c r="H152" i="4"/>
  <c r="BG151" i="4"/>
  <c r="BF151" i="4"/>
  <c r="BE151" i="4"/>
  <c r="AX151" i="4"/>
  <c r="AW151" i="4"/>
  <c r="AV151" i="4"/>
  <c r="AO151" i="4"/>
  <c r="AN151" i="4"/>
  <c r="AM151" i="4"/>
  <c r="AF151" i="4"/>
  <c r="AE151" i="4"/>
  <c r="AD151" i="4"/>
  <c r="W151" i="4"/>
  <c r="V151" i="4"/>
  <c r="U151" i="4"/>
  <c r="N151" i="4"/>
  <c r="M151" i="4"/>
  <c r="L151" i="4"/>
  <c r="H151" i="4"/>
  <c r="P151" i="4" s="1"/>
  <c r="O151" i="4" s="1"/>
  <c r="BG150" i="4"/>
  <c r="BF150" i="4"/>
  <c r="BE150" i="4"/>
  <c r="AX150" i="4"/>
  <c r="AW150" i="4"/>
  <c r="AV150" i="4"/>
  <c r="AO150" i="4"/>
  <c r="AN150" i="4"/>
  <c r="AM150" i="4"/>
  <c r="AF150" i="4"/>
  <c r="AE150" i="4"/>
  <c r="AD150" i="4"/>
  <c r="W150" i="4"/>
  <c r="V150" i="4"/>
  <c r="U150" i="4"/>
  <c r="N150" i="4"/>
  <c r="M150" i="4"/>
  <c r="L150" i="4"/>
  <c r="H150" i="4"/>
  <c r="BG149" i="4"/>
  <c r="BF149" i="4"/>
  <c r="BE149" i="4"/>
  <c r="AX149" i="4"/>
  <c r="AW149" i="4"/>
  <c r="AV149" i="4"/>
  <c r="AO149" i="4"/>
  <c r="AN149" i="4"/>
  <c r="AM149" i="4"/>
  <c r="AF149" i="4"/>
  <c r="AE149" i="4"/>
  <c r="AD149" i="4"/>
  <c r="W149" i="4"/>
  <c r="V149" i="4"/>
  <c r="U149" i="4"/>
  <c r="N149" i="4"/>
  <c r="M149" i="4"/>
  <c r="L149" i="4"/>
  <c r="H149" i="4"/>
  <c r="BG148" i="4"/>
  <c r="BF148" i="4"/>
  <c r="BE148" i="4"/>
  <c r="AX148" i="4"/>
  <c r="AW148" i="4"/>
  <c r="AV148" i="4"/>
  <c r="AO148" i="4"/>
  <c r="AN148" i="4"/>
  <c r="AM148" i="4"/>
  <c r="AF148" i="4"/>
  <c r="AE148" i="4"/>
  <c r="AD148" i="4"/>
  <c r="W148" i="4"/>
  <c r="V148" i="4"/>
  <c r="U148" i="4"/>
  <c r="N148" i="4"/>
  <c r="M148" i="4"/>
  <c r="L148" i="4"/>
  <c r="H148" i="4"/>
  <c r="BG147" i="4"/>
  <c r="BF147" i="4"/>
  <c r="BE147" i="4"/>
  <c r="AX147" i="4"/>
  <c r="AW147" i="4"/>
  <c r="AV147" i="4"/>
  <c r="AO147" i="4"/>
  <c r="AN147" i="4"/>
  <c r="AM147" i="4"/>
  <c r="AF147" i="4"/>
  <c r="AE147" i="4"/>
  <c r="AD147" i="4"/>
  <c r="W147" i="4"/>
  <c r="V147" i="4"/>
  <c r="U147" i="4"/>
  <c r="N147" i="4"/>
  <c r="M147" i="4"/>
  <c r="L147" i="4"/>
  <c r="H147" i="4"/>
  <c r="BG146" i="4"/>
  <c r="BF146" i="4"/>
  <c r="BE146" i="4"/>
  <c r="AX146" i="4"/>
  <c r="AW146" i="4"/>
  <c r="AV146" i="4"/>
  <c r="AO146" i="4"/>
  <c r="AN146" i="4"/>
  <c r="AM146" i="4"/>
  <c r="AF146" i="4"/>
  <c r="AE146" i="4"/>
  <c r="AD146" i="4"/>
  <c r="W146" i="4"/>
  <c r="V146" i="4"/>
  <c r="U146" i="4"/>
  <c r="N146" i="4"/>
  <c r="M146" i="4"/>
  <c r="L146" i="4"/>
  <c r="H146" i="4"/>
  <c r="P146" i="4" s="1"/>
  <c r="O146" i="4" s="1"/>
  <c r="BG145" i="4"/>
  <c r="BF145" i="4"/>
  <c r="BE145" i="4"/>
  <c r="AX145" i="4"/>
  <c r="AW145" i="4"/>
  <c r="AV145" i="4"/>
  <c r="AO145" i="4"/>
  <c r="AN145" i="4"/>
  <c r="AM145" i="4"/>
  <c r="AF145" i="4"/>
  <c r="AE145" i="4"/>
  <c r="AD145" i="4"/>
  <c r="W145" i="4"/>
  <c r="V145" i="4"/>
  <c r="U145" i="4"/>
  <c r="N145" i="4"/>
  <c r="M145" i="4"/>
  <c r="L145" i="4"/>
  <c r="H145" i="4"/>
  <c r="AH145" i="4" s="1"/>
  <c r="AG145" i="4" s="1"/>
  <c r="BG144" i="4"/>
  <c r="BF144" i="4"/>
  <c r="BE144" i="4"/>
  <c r="AX144" i="4"/>
  <c r="AW144" i="4"/>
  <c r="AV144" i="4"/>
  <c r="AO144" i="4"/>
  <c r="AN144" i="4"/>
  <c r="AM144" i="4"/>
  <c r="AF144" i="4"/>
  <c r="AE144" i="4"/>
  <c r="AD144" i="4"/>
  <c r="W144" i="4"/>
  <c r="V144" i="4"/>
  <c r="U144" i="4"/>
  <c r="N144" i="4"/>
  <c r="M144" i="4"/>
  <c r="L144" i="4"/>
  <c r="H144" i="4"/>
  <c r="BG143" i="4"/>
  <c r="BF143" i="4"/>
  <c r="BE143" i="4"/>
  <c r="AX143" i="4"/>
  <c r="AW143" i="4"/>
  <c r="AV143" i="4"/>
  <c r="AO143" i="4"/>
  <c r="AN143" i="4"/>
  <c r="AM143" i="4"/>
  <c r="AF143" i="4"/>
  <c r="AE143" i="4"/>
  <c r="AD143" i="4"/>
  <c r="W143" i="4"/>
  <c r="V143" i="4"/>
  <c r="U143" i="4"/>
  <c r="N143" i="4"/>
  <c r="M143" i="4"/>
  <c r="L143" i="4"/>
  <c r="H143" i="4"/>
  <c r="BG142" i="4"/>
  <c r="BF142" i="4"/>
  <c r="BE142" i="4"/>
  <c r="AX142" i="4"/>
  <c r="AW142" i="4"/>
  <c r="AV142" i="4"/>
  <c r="AO142" i="4"/>
  <c r="AN142" i="4"/>
  <c r="AM142" i="4"/>
  <c r="AF142" i="4"/>
  <c r="AE142" i="4"/>
  <c r="AD142" i="4"/>
  <c r="W142" i="4"/>
  <c r="V142" i="4"/>
  <c r="U142" i="4"/>
  <c r="N142" i="4"/>
  <c r="M142" i="4"/>
  <c r="L142" i="4"/>
  <c r="H142" i="4"/>
  <c r="BG141" i="4"/>
  <c r="BF141" i="4"/>
  <c r="BE141" i="4"/>
  <c r="AX141" i="4"/>
  <c r="AW141" i="4"/>
  <c r="AV141" i="4"/>
  <c r="AO141" i="4"/>
  <c r="AN141" i="4"/>
  <c r="AM141" i="4"/>
  <c r="AF141" i="4"/>
  <c r="AE141" i="4"/>
  <c r="AD141" i="4"/>
  <c r="W141" i="4"/>
  <c r="V141" i="4"/>
  <c r="U141" i="4"/>
  <c r="N141" i="4"/>
  <c r="M141" i="4"/>
  <c r="L141" i="4"/>
  <c r="H141" i="4"/>
  <c r="BG140" i="4"/>
  <c r="BF140" i="4"/>
  <c r="BE140" i="4"/>
  <c r="AX140" i="4"/>
  <c r="AW140" i="4"/>
  <c r="AV140" i="4"/>
  <c r="AO140" i="4"/>
  <c r="AN140" i="4"/>
  <c r="AM140" i="4"/>
  <c r="AF140" i="4"/>
  <c r="AE140" i="4"/>
  <c r="AD140" i="4"/>
  <c r="W140" i="4"/>
  <c r="V140" i="4"/>
  <c r="U140" i="4"/>
  <c r="N140" i="4"/>
  <c r="M140" i="4"/>
  <c r="L140" i="4"/>
  <c r="H140" i="4"/>
  <c r="BG139" i="4"/>
  <c r="BF139" i="4"/>
  <c r="BE139" i="4"/>
  <c r="AX139" i="4"/>
  <c r="AW139" i="4"/>
  <c r="AV139" i="4"/>
  <c r="AO139" i="4"/>
  <c r="AN139" i="4"/>
  <c r="AM139" i="4"/>
  <c r="AF139" i="4"/>
  <c r="AE139" i="4"/>
  <c r="AD139" i="4"/>
  <c r="W139" i="4"/>
  <c r="V139" i="4"/>
  <c r="U139" i="4"/>
  <c r="N139" i="4"/>
  <c r="M139" i="4"/>
  <c r="L139" i="4"/>
  <c r="H139" i="4"/>
  <c r="BG138" i="4"/>
  <c r="BF138" i="4"/>
  <c r="BE138" i="4"/>
  <c r="AX138" i="4"/>
  <c r="AW138" i="4"/>
  <c r="AV138" i="4"/>
  <c r="AO138" i="4"/>
  <c r="AN138" i="4"/>
  <c r="AM138" i="4"/>
  <c r="AF138" i="4"/>
  <c r="AE138" i="4"/>
  <c r="AD138" i="4"/>
  <c r="W138" i="4"/>
  <c r="V138" i="4"/>
  <c r="U138" i="4"/>
  <c r="N138" i="4"/>
  <c r="M138" i="4"/>
  <c r="L138" i="4"/>
  <c r="H138" i="4"/>
  <c r="BG137" i="4"/>
  <c r="BF137" i="4"/>
  <c r="BE137" i="4"/>
  <c r="AX137" i="4"/>
  <c r="AW137" i="4"/>
  <c r="AV137" i="4"/>
  <c r="AO137" i="4"/>
  <c r="AN137" i="4"/>
  <c r="AM137" i="4"/>
  <c r="AF137" i="4"/>
  <c r="AE137" i="4"/>
  <c r="AD137" i="4"/>
  <c r="W137" i="4"/>
  <c r="V137" i="4"/>
  <c r="U137" i="4"/>
  <c r="N137" i="4"/>
  <c r="M137" i="4"/>
  <c r="L137" i="4"/>
  <c r="H137" i="4"/>
  <c r="BG136" i="4"/>
  <c r="BF136" i="4"/>
  <c r="BE136" i="4"/>
  <c r="AX136" i="4"/>
  <c r="AW136" i="4"/>
  <c r="AV136" i="4"/>
  <c r="AO136" i="4"/>
  <c r="AN136" i="4"/>
  <c r="AM136" i="4"/>
  <c r="AF136" i="4"/>
  <c r="AE136" i="4"/>
  <c r="AD136" i="4"/>
  <c r="W136" i="4"/>
  <c r="V136" i="4"/>
  <c r="U136" i="4"/>
  <c r="N136" i="4"/>
  <c r="M136" i="4"/>
  <c r="L136" i="4"/>
  <c r="H136" i="4"/>
  <c r="BG135" i="4"/>
  <c r="BF135" i="4"/>
  <c r="BE135" i="4"/>
  <c r="AX135" i="4"/>
  <c r="AW135" i="4"/>
  <c r="AV135" i="4"/>
  <c r="AO135" i="4"/>
  <c r="AN135" i="4"/>
  <c r="AM135" i="4"/>
  <c r="AF135" i="4"/>
  <c r="AE135" i="4"/>
  <c r="AD135" i="4"/>
  <c r="W135" i="4"/>
  <c r="V135" i="4"/>
  <c r="U135" i="4"/>
  <c r="N135" i="4"/>
  <c r="M135" i="4"/>
  <c r="L135" i="4"/>
  <c r="H135" i="4"/>
  <c r="Y135" i="4" s="1"/>
  <c r="X135" i="4" s="1"/>
  <c r="BG134" i="4"/>
  <c r="BF134" i="4"/>
  <c r="BE134" i="4"/>
  <c r="AX134" i="4"/>
  <c r="AW134" i="4"/>
  <c r="AV134" i="4"/>
  <c r="AO134" i="4"/>
  <c r="AN134" i="4"/>
  <c r="AM134" i="4"/>
  <c r="AF134" i="4"/>
  <c r="AE134" i="4"/>
  <c r="AD134" i="4"/>
  <c r="W134" i="4"/>
  <c r="V134" i="4"/>
  <c r="U134" i="4"/>
  <c r="N134" i="4"/>
  <c r="M134" i="4"/>
  <c r="L134" i="4"/>
  <c r="H134" i="4"/>
  <c r="AZ134" i="4" s="1"/>
  <c r="AY134" i="4" s="1"/>
  <c r="BG133" i="4"/>
  <c r="BF133" i="4"/>
  <c r="BE133" i="4"/>
  <c r="AX133" i="4"/>
  <c r="AW133" i="4"/>
  <c r="AV133" i="4"/>
  <c r="AO133" i="4"/>
  <c r="AN133" i="4"/>
  <c r="AM133" i="4"/>
  <c r="AF133" i="4"/>
  <c r="AE133" i="4"/>
  <c r="AD133" i="4"/>
  <c r="W133" i="4"/>
  <c r="V133" i="4"/>
  <c r="U133" i="4"/>
  <c r="N133" i="4"/>
  <c r="M133" i="4"/>
  <c r="L133" i="4"/>
  <c r="H133" i="4"/>
  <c r="BG132" i="4"/>
  <c r="BF132" i="4"/>
  <c r="BE132" i="4"/>
  <c r="AX132" i="4"/>
  <c r="AW132" i="4"/>
  <c r="AV132" i="4"/>
  <c r="AO132" i="4"/>
  <c r="AN132" i="4"/>
  <c r="AM132" i="4"/>
  <c r="AF132" i="4"/>
  <c r="AE132" i="4"/>
  <c r="AD132" i="4"/>
  <c r="W132" i="4"/>
  <c r="V132" i="4"/>
  <c r="U132" i="4"/>
  <c r="N132" i="4"/>
  <c r="M132" i="4"/>
  <c r="L132" i="4"/>
  <c r="H132" i="4"/>
  <c r="BG131" i="4"/>
  <c r="BF131" i="4"/>
  <c r="BE131" i="4"/>
  <c r="AX131" i="4"/>
  <c r="AW131" i="4"/>
  <c r="AV131" i="4"/>
  <c r="AO131" i="4"/>
  <c r="AN131" i="4"/>
  <c r="AM131" i="4"/>
  <c r="AF131" i="4"/>
  <c r="AE131" i="4"/>
  <c r="AD131" i="4"/>
  <c r="W131" i="4"/>
  <c r="V131" i="4"/>
  <c r="U131" i="4"/>
  <c r="N131" i="4"/>
  <c r="M131" i="4"/>
  <c r="L131" i="4"/>
  <c r="H131" i="4"/>
  <c r="BG130" i="4"/>
  <c r="BF130" i="4"/>
  <c r="BE130" i="4"/>
  <c r="AX130" i="4"/>
  <c r="AW130" i="4"/>
  <c r="AV130" i="4"/>
  <c r="AO130" i="4"/>
  <c r="AN130" i="4"/>
  <c r="AM130" i="4"/>
  <c r="AF130" i="4"/>
  <c r="AE130" i="4"/>
  <c r="AD130" i="4"/>
  <c r="W130" i="4"/>
  <c r="V130" i="4"/>
  <c r="U130" i="4"/>
  <c r="N130" i="4"/>
  <c r="M130" i="4"/>
  <c r="L130" i="4"/>
  <c r="H130" i="4"/>
  <c r="BG129" i="4"/>
  <c r="BF129" i="4"/>
  <c r="BE129" i="4"/>
  <c r="AX129" i="4"/>
  <c r="AW129" i="4"/>
  <c r="AV129" i="4"/>
  <c r="AO129" i="4"/>
  <c r="AN129" i="4"/>
  <c r="AM129" i="4"/>
  <c r="AF129" i="4"/>
  <c r="AE129" i="4"/>
  <c r="AD129" i="4"/>
  <c r="W129" i="4"/>
  <c r="V129" i="4"/>
  <c r="U129" i="4"/>
  <c r="N129" i="4"/>
  <c r="M129" i="4"/>
  <c r="L129" i="4"/>
  <c r="H129" i="4"/>
  <c r="BG128" i="4"/>
  <c r="BF128" i="4"/>
  <c r="BE128" i="4"/>
  <c r="AX128" i="4"/>
  <c r="AW128" i="4"/>
  <c r="AV128" i="4"/>
  <c r="AO128" i="4"/>
  <c r="AN128" i="4"/>
  <c r="AM128" i="4"/>
  <c r="AF128" i="4"/>
  <c r="AE128" i="4"/>
  <c r="AD128" i="4"/>
  <c r="W128" i="4"/>
  <c r="V128" i="4"/>
  <c r="U128" i="4"/>
  <c r="N128" i="4"/>
  <c r="M128" i="4"/>
  <c r="L128" i="4"/>
  <c r="H128" i="4"/>
  <c r="BG127" i="4"/>
  <c r="BF127" i="4"/>
  <c r="BE127" i="4"/>
  <c r="AX127" i="4"/>
  <c r="AW127" i="4"/>
  <c r="AV127" i="4"/>
  <c r="AO127" i="4"/>
  <c r="AN127" i="4"/>
  <c r="AM127" i="4"/>
  <c r="AF127" i="4"/>
  <c r="AE127" i="4"/>
  <c r="AD127" i="4"/>
  <c r="W127" i="4"/>
  <c r="V127" i="4"/>
  <c r="U127" i="4"/>
  <c r="N127" i="4"/>
  <c r="M127" i="4"/>
  <c r="L127" i="4"/>
  <c r="H127" i="4"/>
  <c r="Y127" i="4" s="1"/>
  <c r="X127" i="4" s="1"/>
  <c r="BG126" i="4"/>
  <c r="BF126" i="4"/>
  <c r="BE126" i="4"/>
  <c r="AX126" i="4"/>
  <c r="AW126" i="4"/>
  <c r="AV126" i="4"/>
  <c r="AO126" i="4"/>
  <c r="AN126" i="4"/>
  <c r="AM126" i="4"/>
  <c r="AF126" i="4"/>
  <c r="AE126" i="4"/>
  <c r="AD126" i="4"/>
  <c r="W126" i="4"/>
  <c r="V126" i="4"/>
  <c r="U126" i="4"/>
  <c r="N126" i="4"/>
  <c r="M126" i="4"/>
  <c r="L126" i="4"/>
  <c r="H126" i="4"/>
  <c r="AZ126" i="4" s="1"/>
  <c r="AY126" i="4" s="1"/>
  <c r="BG125" i="4"/>
  <c r="BF125" i="4"/>
  <c r="BE125" i="4"/>
  <c r="AX125" i="4"/>
  <c r="AW125" i="4"/>
  <c r="AV125" i="4"/>
  <c r="AO125" i="4"/>
  <c r="AN125" i="4"/>
  <c r="AM125" i="4"/>
  <c r="AF125" i="4"/>
  <c r="AE125" i="4"/>
  <c r="AD125" i="4"/>
  <c r="W125" i="4"/>
  <c r="V125" i="4"/>
  <c r="U125" i="4"/>
  <c r="N125" i="4"/>
  <c r="M125" i="4"/>
  <c r="L125" i="4"/>
  <c r="H125" i="4"/>
  <c r="AZ125" i="4" s="1"/>
  <c r="AY125" i="4" s="1"/>
  <c r="BG124" i="4"/>
  <c r="BF124" i="4"/>
  <c r="BE124" i="4"/>
  <c r="AX124" i="4"/>
  <c r="AW124" i="4"/>
  <c r="AV124" i="4"/>
  <c r="AO124" i="4"/>
  <c r="AN124" i="4"/>
  <c r="AM124" i="4"/>
  <c r="AF124" i="4"/>
  <c r="AE124" i="4"/>
  <c r="AD124" i="4"/>
  <c r="W124" i="4"/>
  <c r="V124" i="4"/>
  <c r="U124" i="4"/>
  <c r="N124" i="4"/>
  <c r="M124" i="4"/>
  <c r="L124" i="4"/>
  <c r="H124" i="4"/>
  <c r="BG123" i="4"/>
  <c r="BF123" i="4"/>
  <c r="BE123" i="4"/>
  <c r="AX123" i="4"/>
  <c r="AW123" i="4"/>
  <c r="AV123" i="4"/>
  <c r="AO123" i="4"/>
  <c r="AN123" i="4"/>
  <c r="AM123" i="4"/>
  <c r="AF123" i="4"/>
  <c r="AE123" i="4"/>
  <c r="AD123" i="4"/>
  <c r="W123" i="4"/>
  <c r="V123" i="4"/>
  <c r="U123" i="4"/>
  <c r="N123" i="4"/>
  <c r="M123" i="4"/>
  <c r="L123" i="4"/>
  <c r="H123" i="4"/>
  <c r="BG122" i="4"/>
  <c r="BF122" i="4"/>
  <c r="BE122" i="4"/>
  <c r="AX122" i="4"/>
  <c r="AW122" i="4"/>
  <c r="AV122" i="4"/>
  <c r="AO122" i="4"/>
  <c r="AN122" i="4"/>
  <c r="AM122" i="4"/>
  <c r="AF122" i="4"/>
  <c r="AE122" i="4"/>
  <c r="AD122" i="4"/>
  <c r="W122" i="4"/>
  <c r="V122" i="4"/>
  <c r="U122" i="4"/>
  <c r="N122" i="4"/>
  <c r="M122" i="4"/>
  <c r="L122" i="4"/>
  <c r="H122" i="4"/>
  <c r="BI122" i="4" s="1"/>
  <c r="BH122" i="4" s="1"/>
  <c r="BG121" i="4"/>
  <c r="BF121" i="4"/>
  <c r="BE121" i="4"/>
  <c r="AX121" i="4"/>
  <c r="AW121" i="4"/>
  <c r="AV121" i="4"/>
  <c r="AO121" i="4"/>
  <c r="AN121" i="4"/>
  <c r="AM121" i="4"/>
  <c r="AF121" i="4"/>
  <c r="AE121" i="4"/>
  <c r="AD121" i="4"/>
  <c r="W121" i="4"/>
  <c r="V121" i="4"/>
  <c r="U121" i="4"/>
  <c r="N121" i="4"/>
  <c r="M121" i="4"/>
  <c r="L121" i="4"/>
  <c r="H121" i="4"/>
  <c r="AQ121" i="4" s="1"/>
  <c r="AP121" i="4" s="1"/>
  <c r="BG120" i="4"/>
  <c r="BF120" i="4"/>
  <c r="BE120" i="4"/>
  <c r="AX120" i="4"/>
  <c r="AW120" i="4"/>
  <c r="AV120" i="4"/>
  <c r="AO120" i="4"/>
  <c r="AN120" i="4"/>
  <c r="AM120" i="4"/>
  <c r="AF120" i="4"/>
  <c r="AE120" i="4"/>
  <c r="AD120" i="4"/>
  <c r="W120" i="4"/>
  <c r="V120" i="4"/>
  <c r="U120" i="4"/>
  <c r="N120" i="4"/>
  <c r="M120" i="4"/>
  <c r="L120" i="4"/>
  <c r="H120" i="4"/>
  <c r="BG119" i="4"/>
  <c r="BF119" i="4"/>
  <c r="BE119" i="4"/>
  <c r="AX119" i="4"/>
  <c r="AW119" i="4"/>
  <c r="AV119" i="4"/>
  <c r="AO119" i="4"/>
  <c r="AN119" i="4"/>
  <c r="AM119" i="4"/>
  <c r="AF119" i="4"/>
  <c r="AE119" i="4"/>
  <c r="AD119" i="4"/>
  <c r="W119" i="4"/>
  <c r="V119" i="4"/>
  <c r="U119" i="4"/>
  <c r="N119" i="4"/>
  <c r="M119" i="4"/>
  <c r="L119" i="4"/>
  <c r="H119" i="4"/>
  <c r="BG118" i="4"/>
  <c r="BF118" i="4"/>
  <c r="BE118" i="4"/>
  <c r="AX118" i="4"/>
  <c r="AW118" i="4"/>
  <c r="AV118" i="4"/>
  <c r="AO118" i="4"/>
  <c r="AN118" i="4"/>
  <c r="AM118" i="4"/>
  <c r="AF118" i="4"/>
  <c r="AE118" i="4"/>
  <c r="AD118" i="4"/>
  <c r="W118" i="4"/>
  <c r="V118" i="4"/>
  <c r="U118" i="4"/>
  <c r="N118" i="4"/>
  <c r="M118" i="4"/>
  <c r="L118" i="4"/>
  <c r="H118" i="4"/>
  <c r="BG117" i="4"/>
  <c r="BF117" i="4"/>
  <c r="BE117" i="4"/>
  <c r="AX117" i="4"/>
  <c r="AW117" i="4"/>
  <c r="AV117" i="4"/>
  <c r="AO117" i="4"/>
  <c r="AN117" i="4"/>
  <c r="AM117" i="4"/>
  <c r="AF117" i="4"/>
  <c r="AE117" i="4"/>
  <c r="AD117" i="4"/>
  <c r="W117" i="4"/>
  <c r="V117" i="4"/>
  <c r="U117" i="4"/>
  <c r="N117" i="4"/>
  <c r="M117" i="4"/>
  <c r="L117" i="4"/>
  <c r="H117" i="4"/>
  <c r="BG116" i="4"/>
  <c r="BF116" i="4"/>
  <c r="BE116" i="4"/>
  <c r="AX116" i="4"/>
  <c r="AW116" i="4"/>
  <c r="AV116" i="4"/>
  <c r="AO116" i="4"/>
  <c r="AN116" i="4"/>
  <c r="AM116" i="4"/>
  <c r="AF116" i="4"/>
  <c r="AE116" i="4"/>
  <c r="AD116" i="4"/>
  <c r="W116" i="4"/>
  <c r="V116" i="4"/>
  <c r="U116" i="4"/>
  <c r="N116" i="4"/>
  <c r="M116" i="4"/>
  <c r="L116" i="4"/>
  <c r="H116" i="4"/>
  <c r="BG115" i="4"/>
  <c r="BF115" i="4"/>
  <c r="BE115" i="4"/>
  <c r="AX115" i="4"/>
  <c r="AW115" i="4"/>
  <c r="AV115" i="4"/>
  <c r="AO115" i="4"/>
  <c r="AN115" i="4"/>
  <c r="AM115" i="4"/>
  <c r="AF115" i="4"/>
  <c r="AE115" i="4"/>
  <c r="AD115" i="4"/>
  <c r="W115" i="4"/>
  <c r="V115" i="4"/>
  <c r="U115" i="4"/>
  <c r="N115" i="4"/>
  <c r="M115" i="4"/>
  <c r="L115" i="4"/>
  <c r="H115" i="4"/>
  <c r="BI115" i="4" s="1"/>
  <c r="BH115" i="4" s="1"/>
  <c r="BG114" i="4"/>
  <c r="BF114" i="4"/>
  <c r="BE114" i="4"/>
  <c r="AX114" i="4"/>
  <c r="AW114" i="4"/>
  <c r="AV114" i="4"/>
  <c r="AO114" i="4"/>
  <c r="AN114" i="4"/>
  <c r="AM114" i="4"/>
  <c r="AF114" i="4"/>
  <c r="AE114" i="4"/>
  <c r="AD114" i="4"/>
  <c r="W114" i="4"/>
  <c r="V114" i="4"/>
  <c r="U114" i="4"/>
  <c r="N114" i="4"/>
  <c r="M114" i="4"/>
  <c r="L114" i="4"/>
  <c r="H114" i="4"/>
  <c r="BG113" i="4"/>
  <c r="BF113" i="4"/>
  <c r="BE113" i="4"/>
  <c r="AX113" i="4"/>
  <c r="AW113" i="4"/>
  <c r="AV113" i="4"/>
  <c r="AO113" i="4"/>
  <c r="AN113" i="4"/>
  <c r="AM113" i="4"/>
  <c r="AF113" i="4"/>
  <c r="AE113" i="4"/>
  <c r="AD113" i="4"/>
  <c r="W113" i="4"/>
  <c r="V113" i="4"/>
  <c r="U113" i="4"/>
  <c r="N113" i="4"/>
  <c r="M113" i="4"/>
  <c r="L113" i="4"/>
  <c r="H113" i="4"/>
  <c r="BG112" i="4"/>
  <c r="BF112" i="4"/>
  <c r="BE112" i="4"/>
  <c r="AX112" i="4"/>
  <c r="AW112" i="4"/>
  <c r="AV112" i="4"/>
  <c r="AO112" i="4"/>
  <c r="AN112" i="4"/>
  <c r="AM112" i="4"/>
  <c r="AF112" i="4"/>
  <c r="AE112" i="4"/>
  <c r="AD112" i="4"/>
  <c r="W112" i="4"/>
  <c r="V112" i="4"/>
  <c r="U112" i="4"/>
  <c r="N112" i="4"/>
  <c r="M112" i="4"/>
  <c r="L112" i="4"/>
  <c r="H112" i="4"/>
  <c r="BG111" i="4"/>
  <c r="BF111" i="4"/>
  <c r="BE111" i="4"/>
  <c r="AX111" i="4"/>
  <c r="AW111" i="4"/>
  <c r="AV111" i="4"/>
  <c r="AO111" i="4"/>
  <c r="AN111" i="4"/>
  <c r="AM111" i="4"/>
  <c r="AF111" i="4"/>
  <c r="AE111" i="4"/>
  <c r="AD111" i="4"/>
  <c r="W111" i="4"/>
  <c r="V111" i="4"/>
  <c r="U111" i="4"/>
  <c r="N111" i="4"/>
  <c r="M111" i="4"/>
  <c r="L111" i="4"/>
  <c r="H111" i="4"/>
  <c r="BG110" i="4"/>
  <c r="BF110" i="4"/>
  <c r="BE110" i="4"/>
  <c r="AX110" i="4"/>
  <c r="AW110" i="4"/>
  <c r="AV110" i="4"/>
  <c r="AO110" i="4"/>
  <c r="AN110" i="4"/>
  <c r="AM110" i="4"/>
  <c r="AF110" i="4"/>
  <c r="AE110" i="4"/>
  <c r="AD110" i="4"/>
  <c r="W110" i="4"/>
  <c r="V110" i="4"/>
  <c r="U110" i="4"/>
  <c r="N110" i="4"/>
  <c r="M110" i="4"/>
  <c r="L110" i="4"/>
  <c r="H110" i="4"/>
  <c r="BG109" i="4"/>
  <c r="BF109" i="4"/>
  <c r="BE109" i="4"/>
  <c r="AX109" i="4"/>
  <c r="AW109" i="4"/>
  <c r="AV109" i="4"/>
  <c r="AO109" i="4"/>
  <c r="AN109" i="4"/>
  <c r="AM109" i="4"/>
  <c r="AF109" i="4"/>
  <c r="AE109" i="4"/>
  <c r="AD109" i="4"/>
  <c r="W109" i="4"/>
  <c r="V109" i="4"/>
  <c r="U109" i="4"/>
  <c r="N109" i="4"/>
  <c r="M109" i="4"/>
  <c r="L109" i="4"/>
  <c r="H109" i="4"/>
  <c r="AH109" i="4" s="1"/>
  <c r="AG109" i="4" s="1"/>
  <c r="BG108" i="4"/>
  <c r="BF108" i="4"/>
  <c r="BE108" i="4"/>
  <c r="AX108" i="4"/>
  <c r="AW108" i="4"/>
  <c r="AV108" i="4"/>
  <c r="AO108" i="4"/>
  <c r="AN108" i="4"/>
  <c r="AM108" i="4"/>
  <c r="AF108" i="4"/>
  <c r="AE108" i="4"/>
  <c r="AD108" i="4"/>
  <c r="W108" i="4"/>
  <c r="V108" i="4"/>
  <c r="U108" i="4"/>
  <c r="N108" i="4"/>
  <c r="M108" i="4"/>
  <c r="L108" i="4"/>
  <c r="H108" i="4"/>
  <c r="BG107" i="4"/>
  <c r="BF107" i="4"/>
  <c r="BE107" i="4"/>
  <c r="AX107" i="4"/>
  <c r="AW107" i="4"/>
  <c r="AV107" i="4"/>
  <c r="AO107" i="4"/>
  <c r="AN107" i="4"/>
  <c r="AM107" i="4"/>
  <c r="AF107" i="4"/>
  <c r="AE107" i="4"/>
  <c r="AD107" i="4"/>
  <c r="W107" i="4"/>
  <c r="V107" i="4"/>
  <c r="U107" i="4"/>
  <c r="N107" i="4"/>
  <c r="M107" i="4"/>
  <c r="L107" i="4"/>
  <c r="H107" i="4"/>
  <c r="BG106" i="4"/>
  <c r="BF106" i="4"/>
  <c r="BE106" i="4"/>
  <c r="AX106" i="4"/>
  <c r="AW106" i="4"/>
  <c r="AV106" i="4"/>
  <c r="AO106" i="4"/>
  <c r="AN106" i="4"/>
  <c r="AM106" i="4"/>
  <c r="AF106" i="4"/>
  <c r="AE106" i="4"/>
  <c r="AD106" i="4"/>
  <c r="W106" i="4"/>
  <c r="V106" i="4"/>
  <c r="U106" i="4"/>
  <c r="N106" i="4"/>
  <c r="M106" i="4"/>
  <c r="L106" i="4"/>
  <c r="H106" i="4"/>
  <c r="BG105" i="4"/>
  <c r="BF105" i="4"/>
  <c r="BE105" i="4"/>
  <c r="AX105" i="4"/>
  <c r="AW105" i="4"/>
  <c r="AV105" i="4"/>
  <c r="AO105" i="4"/>
  <c r="AN105" i="4"/>
  <c r="AM105" i="4"/>
  <c r="AF105" i="4"/>
  <c r="AE105" i="4"/>
  <c r="AD105" i="4"/>
  <c r="W105" i="4"/>
  <c r="V105" i="4"/>
  <c r="U105" i="4"/>
  <c r="N105" i="4"/>
  <c r="M105" i="4"/>
  <c r="L105" i="4"/>
  <c r="H105" i="4"/>
  <c r="BG104" i="4"/>
  <c r="BF104" i="4"/>
  <c r="BE104" i="4"/>
  <c r="AX104" i="4"/>
  <c r="AW104" i="4"/>
  <c r="AV104" i="4"/>
  <c r="AO104" i="4"/>
  <c r="AN104" i="4"/>
  <c r="AM104" i="4"/>
  <c r="AF104" i="4"/>
  <c r="AE104" i="4"/>
  <c r="AD104" i="4"/>
  <c r="W104" i="4"/>
  <c r="V104" i="4"/>
  <c r="U104" i="4"/>
  <c r="N104" i="4"/>
  <c r="M104" i="4"/>
  <c r="L104" i="4"/>
  <c r="H104" i="4"/>
  <c r="BG103" i="4"/>
  <c r="BF103" i="4"/>
  <c r="BE103" i="4"/>
  <c r="AX103" i="4"/>
  <c r="AW103" i="4"/>
  <c r="AV103" i="4"/>
  <c r="AO103" i="4"/>
  <c r="AN103" i="4"/>
  <c r="AM103" i="4"/>
  <c r="AF103" i="4"/>
  <c r="AE103" i="4"/>
  <c r="AD103" i="4"/>
  <c r="W103" i="4"/>
  <c r="V103" i="4"/>
  <c r="U103" i="4"/>
  <c r="N103" i="4"/>
  <c r="M103" i="4"/>
  <c r="L103" i="4"/>
  <c r="H103" i="4"/>
  <c r="BG102" i="4"/>
  <c r="BF102" i="4"/>
  <c r="BE102" i="4"/>
  <c r="AX102" i="4"/>
  <c r="AW102" i="4"/>
  <c r="AV102" i="4"/>
  <c r="AO102" i="4"/>
  <c r="AN102" i="4"/>
  <c r="AM102" i="4"/>
  <c r="AF102" i="4"/>
  <c r="AE102" i="4"/>
  <c r="AD102" i="4"/>
  <c r="W102" i="4"/>
  <c r="V102" i="4"/>
  <c r="U102" i="4"/>
  <c r="N102" i="4"/>
  <c r="M102" i="4"/>
  <c r="L102" i="4"/>
  <c r="H102" i="4"/>
  <c r="BG101" i="4"/>
  <c r="BF101" i="4"/>
  <c r="BE101" i="4"/>
  <c r="AX101" i="4"/>
  <c r="AW101" i="4"/>
  <c r="AV101" i="4"/>
  <c r="AO101" i="4"/>
  <c r="AN101" i="4"/>
  <c r="AM101" i="4"/>
  <c r="AF101" i="4"/>
  <c r="AE101" i="4"/>
  <c r="AD101" i="4"/>
  <c r="W101" i="4"/>
  <c r="V101" i="4"/>
  <c r="U101" i="4"/>
  <c r="N101" i="4"/>
  <c r="M101" i="4"/>
  <c r="L101" i="4"/>
  <c r="H101" i="4"/>
  <c r="BI101" i="4" s="1"/>
  <c r="BH101" i="4" s="1"/>
  <c r="BG100" i="4"/>
  <c r="BF100" i="4"/>
  <c r="BE100" i="4"/>
  <c r="AX100" i="4"/>
  <c r="AW100" i="4"/>
  <c r="AV100" i="4"/>
  <c r="AO100" i="4"/>
  <c r="AN100" i="4"/>
  <c r="AM100" i="4"/>
  <c r="AF100" i="4"/>
  <c r="AE100" i="4"/>
  <c r="AD100" i="4"/>
  <c r="W100" i="4"/>
  <c r="V100" i="4"/>
  <c r="U100" i="4"/>
  <c r="N100" i="4"/>
  <c r="M100" i="4"/>
  <c r="L100" i="4"/>
  <c r="H100" i="4"/>
  <c r="BG99" i="4"/>
  <c r="BF99" i="4"/>
  <c r="BE99" i="4"/>
  <c r="AX99" i="4"/>
  <c r="AW99" i="4"/>
  <c r="AV99" i="4"/>
  <c r="AO99" i="4"/>
  <c r="AN99" i="4"/>
  <c r="AM99" i="4"/>
  <c r="AF99" i="4"/>
  <c r="AE99" i="4"/>
  <c r="AD99" i="4"/>
  <c r="W99" i="4"/>
  <c r="V99" i="4"/>
  <c r="U99" i="4"/>
  <c r="N99" i="4"/>
  <c r="M99" i="4"/>
  <c r="L99" i="4"/>
  <c r="H99" i="4"/>
  <c r="BG98" i="4"/>
  <c r="BF98" i="4"/>
  <c r="BE98" i="4"/>
  <c r="AX98" i="4"/>
  <c r="AW98" i="4"/>
  <c r="AV98" i="4"/>
  <c r="AO98" i="4"/>
  <c r="AN98" i="4"/>
  <c r="AM98" i="4"/>
  <c r="AF98" i="4"/>
  <c r="AE98" i="4"/>
  <c r="AD98" i="4"/>
  <c r="W98" i="4"/>
  <c r="V98" i="4"/>
  <c r="U98" i="4"/>
  <c r="N98" i="4"/>
  <c r="M98" i="4"/>
  <c r="L98" i="4"/>
  <c r="H98" i="4"/>
  <c r="BG97" i="4"/>
  <c r="BF97" i="4"/>
  <c r="BE97" i="4"/>
  <c r="AX97" i="4"/>
  <c r="AW97" i="4"/>
  <c r="AV97" i="4"/>
  <c r="AO97" i="4"/>
  <c r="AN97" i="4"/>
  <c r="AM97" i="4"/>
  <c r="AF97" i="4"/>
  <c r="AE97" i="4"/>
  <c r="AD97" i="4"/>
  <c r="W97" i="4"/>
  <c r="V97" i="4"/>
  <c r="U97" i="4"/>
  <c r="N97" i="4"/>
  <c r="M97" i="4"/>
  <c r="L97" i="4"/>
  <c r="H97" i="4"/>
  <c r="BG96" i="4"/>
  <c r="BF96" i="4"/>
  <c r="BE96" i="4"/>
  <c r="AX96" i="4"/>
  <c r="AW96" i="4"/>
  <c r="AV96" i="4"/>
  <c r="AO96" i="4"/>
  <c r="AN96" i="4"/>
  <c r="AM96" i="4"/>
  <c r="AF96" i="4"/>
  <c r="AE96" i="4"/>
  <c r="AD96" i="4"/>
  <c r="W96" i="4"/>
  <c r="V96" i="4"/>
  <c r="U96" i="4"/>
  <c r="N96" i="4"/>
  <c r="M96" i="4"/>
  <c r="L96" i="4"/>
  <c r="H96" i="4"/>
  <c r="Y96" i="4" s="1"/>
  <c r="X96" i="4" s="1"/>
  <c r="BG95" i="4"/>
  <c r="BF95" i="4"/>
  <c r="BE95" i="4"/>
  <c r="AX95" i="4"/>
  <c r="AW95" i="4"/>
  <c r="AV95" i="4"/>
  <c r="AO95" i="4"/>
  <c r="AN95" i="4"/>
  <c r="AM95" i="4"/>
  <c r="AF95" i="4"/>
  <c r="AE95" i="4"/>
  <c r="AD95" i="4"/>
  <c r="W95" i="4"/>
  <c r="V95" i="4"/>
  <c r="U95" i="4"/>
  <c r="N95" i="4"/>
  <c r="M95" i="4"/>
  <c r="L95" i="4"/>
  <c r="H95" i="4"/>
  <c r="Y95" i="4" s="1"/>
  <c r="X95" i="4" s="1"/>
  <c r="BG94" i="4"/>
  <c r="BF94" i="4"/>
  <c r="BE94" i="4"/>
  <c r="AX94" i="4"/>
  <c r="AW94" i="4"/>
  <c r="AV94" i="4"/>
  <c r="AO94" i="4"/>
  <c r="AN94" i="4"/>
  <c r="AM94" i="4"/>
  <c r="AF94" i="4"/>
  <c r="AE94" i="4"/>
  <c r="AD94" i="4"/>
  <c r="W94" i="4"/>
  <c r="V94" i="4"/>
  <c r="U94" i="4"/>
  <c r="N94" i="4"/>
  <c r="M94" i="4"/>
  <c r="L94" i="4"/>
  <c r="H94" i="4"/>
  <c r="BG93" i="4"/>
  <c r="BF93" i="4"/>
  <c r="BE93" i="4"/>
  <c r="AX93" i="4"/>
  <c r="AW93" i="4"/>
  <c r="AV93" i="4"/>
  <c r="AO93" i="4"/>
  <c r="AN93" i="4"/>
  <c r="AM93" i="4"/>
  <c r="AF93" i="4"/>
  <c r="AE93" i="4"/>
  <c r="AD93" i="4"/>
  <c r="W93" i="4"/>
  <c r="V93" i="4"/>
  <c r="U93" i="4"/>
  <c r="N93" i="4"/>
  <c r="M93" i="4"/>
  <c r="L93" i="4"/>
  <c r="H93" i="4"/>
  <c r="BG92" i="4"/>
  <c r="BF92" i="4"/>
  <c r="BE92" i="4"/>
  <c r="AX92" i="4"/>
  <c r="AW92" i="4"/>
  <c r="AV92" i="4"/>
  <c r="AO92" i="4"/>
  <c r="AN92" i="4"/>
  <c r="AM92" i="4"/>
  <c r="AF92" i="4"/>
  <c r="AE92" i="4"/>
  <c r="AD92" i="4"/>
  <c r="W92" i="4"/>
  <c r="V92" i="4"/>
  <c r="U92" i="4"/>
  <c r="N92" i="4"/>
  <c r="M92" i="4"/>
  <c r="L92" i="4"/>
  <c r="H92" i="4"/>
  <c r="BG91" i="4"/>
  <c r="BF91" i="4"/>
  <c r="BE91" i="4"/>
  <c r="AX91" i="4"/>
  <c r="AW91" i="4"/>
  <c r="AV91" i="4"/>
  <c r="AO91" i="4"/>
  <c r="AN91" i="4"/>
  <c r="AM91" i="4"/>
  <c r="AF91" i="4"/>
  <c r="AE91" i="4"/>
  <c r="AD91" i="4"/>
  <c r="W91" i="4"/>
  <c r="V91" i="4"/>
  <c r="U91" i="4"/>
  <c r="N91" i="4"/>
  <c r="M91" i="4"/>
  <c r="L91" i="4"/>
  <c r="H91" i="4"/>
  <c r="BG90" i="4"/>
  <c r="BF90" i="4"/>
  <c r="BE90" i="4"/>
  <c r="AX90" i="4"/>
  <c r="AW90" i="4"/>
  <c r="AV90" i="4"/>
  <c r="AO90" i="4"/>
  <c r="AN90" i="4"/>
  <c r="AM90" i="4"/>
  <c r="AF90" i="4"/>
  <c r="AE90" i="4"/>
  <c r="AD90" i="4"/>
  <c r="W90" i="4"/>
  <c r="V90" i="4"/>
  <c r="U90" i="4"/>
  <c r="N90" i="4"/>
  <c r="M90" i="4"/>
  <c r="L90" i="4"/>
  <c r="H90" i="4"/>
  <c r="BG89" i="4"/>
  <c r="BF89" i="4"/>
  <c r="BE89" i="4"/>
  <c r="AX89" i="4"/>
  <c r="AW89" i="4"/>
  <c r="AV89" i="4"/>
  <c r="AO89" i="4"/>
  <c r="AN89" i="4"/>
  <c r="AM89" i="4"/>
  <c r="AF89" i="4"/>
  <c r="AE89" i="4"/>
  <c r="AD89" i="4"/>
  <c r="W89" i="4"/>
  <c r="V89" i="4"/>
  <c r="U89" i="4"/>
  <c r="N89" i="4"/>
  <c r="M89" i="4"/>
  <c r="L89" i="4"/>
  <c r="H89" i="4"/>
  <c r="BG88" i="4"/>
  <c r="BF88" i="4"/>
  <c r="BE88" i="4"/>
  <c r="AX88" i="4"/>
  <c r="AW88" i="4"/>
  <c r="AV88" i="4"/>
  <c r="AO88" i="4"/>
  <c r="AN88" i="4"/>
  <c r="AM88" i="4"/>
  <c r="AF88" i="4"/>
  <c r="AE88" i="4"/>
  <c r="AD88" i="4"/>
  <c r="W88" i="4"/>
  <c r="V88" i="4"/>
  <c r="U88" i="4"/>
  <c r="N88" i="4"/>
  <c r="M88" i="4"/>
  <c r="L88" i="4"/>
  <c r="H88" i="4"/>
  <c r="BG87" i="4"/>
  <c r="BF87" i="4"/>
  <c r="BE87" i="4"/>
  <c r="AX87" i="4"/>
  <c r="AW87" i="4"/>
  <c r="AV87" i="4"/>
  <c r="AO87" i="4"/>
  <c r="AN87" i="4"/>
  <c r="AM87" i="4"/>
  <c r="AF87" i="4"/>
  <c r="AE87" i="4"/>
  <c r="AD87" i="4"/>
  <c r="W87" i="4"/>
  <c r="V87" i="4"/>
  <c r="U87" i="4"/>
  <c r="N87" i="4"/>
  <c r="M87" i="4"/>
  <c r="L87" i="4"/>
  <c r="H87" i="4"/>
  <c r="Y87" i="4" s="1"/>
  <c r="X87" i="4" s="1"/>
  <c r="BG86" i="4"/>
  <c r="BF86" i="4"/>
  <c r="BE86" i="4"/>
  <c r="AX86" i="4"/>
  <c r="AW86" i="4"/>
  <c r="AV86" i="4"/>
  <c r="AO86" i="4"/>
  <c r="AN86" i="4"/>
  <c r="AM86" i="4"/>
  <c r="AF86" i="4"/>
  <c r="AE86" i="4"/>
  <c r="AD86" i="4"/>
  <c r="W86" i="4"/>
  <c r="V86" i="4"/>
  <c r="U86" i="4"/>
  <c r="N86" i="4"/>
  <c r="M86" i="4"/>
  <c r="L86" i="4"/>
  <c r="H86" i="4"/>
  <c r="AH86" i="4" s="1"/>
  <c r="AG86" i="4" s="1"/>
  <c r="BG85" i="4"/>
  <c r="BF85" i="4"/>
  <c r="BE85" i="4"/>
  <c r="AX85" i="4"/>
  <c r="AW85" i="4"/>
  <c r="AV85" i="4"/>
  <c r="AO85" i="4"/>
  <c r="AN85" i="4"/>
  <c r="AM85" i="4"/>
  <c r="AF85" i="4"/>
  <c r="AE85" i="4"/>
  <c r="AD85" i="4"/>
  <c r="W85" i="4"/>
  <c r="V85" i="4"/>
  <c r="U85" i="4"/>
  <c r="N85" i="4"/>
  <c r="M85" i="4"/>
  <c r="L85" i="4"/>
  <c r="H85" i="4"/>
  <c r="BG84" i="4"/>
  <c r="BF84" i="4"/>
  <c r="BE84" i="4"/>
  <c r="AX84" i="4"/>
  <c r="AW84" i="4"/>
  <c r="AV84" i="4"/>
  <c r="AO84" i="4"/>
  <c r="AN84" i="4"/>
  <c r="AM84" i="4"/>
  <c r="AF84" i="4"/>
  <c r="AE84" i="4"/>
  <c r="AD84" i="4"/>
  <c r="W84" i="4"/>
  <c r="V84" i="4"/>
  <c r="U84" i="4"/>
  <c r="N84" i="4"/>
  <c r="M84" i="4"/>
  <c r="L84" i="4"/>
  <c r="H84" i="4"/>
  <c r="BG83" i="4"/>
  <c r="BF83" i="4"/>
  <c r="BE83" i="4"/>
  <c r="AX83" i="4"/>
  <c r="AW83" i="4"/>
  <c r="AV83" i="4"/>
  <c r="AO83" i="4"/>
  <c r="AN83" i="4"/>
  <c r="AM83" i="4"/>
  <c r="AF83" i="4"/>
  <c r="AE83" i="4"/>
  <c r="AD83" i="4"/>
  <c r="W83" i="4"/>
  <c r="V83" i="4"/>
  <c r="U83" i="4"/>
  <c r="N83" i="4"/>
  <c r="M83" i="4"/>
  <c r="L83" i="4"/>
  <c r="H83" i="4"/>
  <c r="BG82" i="4"/>
  <c r="BF82" i="4"/>
  <c r="BE82" i="4"/>
  <c r="AX82" i="4"/>
  <c r="AW82" i="4"/>
  <c r="AV82" i="4"/>
  <c r="AO82" i="4"/>
  <c r="AN82" i="4"/>
  <c r="AM82" i="4"/>
  <c r="AF82" i="4"/>
  <c r="AE82" i="4"/>
  <c r="AD82" i="4"/>
  <c r="W82" i="4"/>
  <c r="V82" i="4"/>
  <c r="U82" i="4"/>
  <c r="N82" i="4"/>
  <c r="M82" i="4"/>
  <c r="L82" i="4"/>
  <c r="H82" i="4"/>
  <c r="BG81" i="4"/>
  <c r="BF81" i="4"/>
  <c r="BE81" i="4"/>
  <c r="AX81" i="4"/>
  <c r="AW81" i="4"/>
  <c r="AV81" i="4"/>
  <c r="AO81" i="4"/>
  <c r="AN81" i="4"/>
  <c r="AM81" i="4"/>
  <c r="AF81" i="4"/>
  <c r="AE81" i="4"/>
  <c r="AD81" i="4"/>
  <c r="W81" i="4"/>
  <c r="V81" i="4"/>
  <c r="U81" i="4"/>
  <c r="N81" i="4"/>
  <c r="M81" i="4"/>
  <c r="L81" i="4"/>
  <c r="H81" i="4"/>
  <c r="BG80" i="4"/>
  <c r="BF80" i="4"/>
  <c r="BE80" i="4"/>
  <c r="AX80" i="4"/>
  <c r="AW80" i="4"/>
  <c r="AV80" i="4"/>
  <c r="AO80" i="4"/>
  <c r="AN80" i="4"/>
  <c r="AM80" i="4"/>
  <c r="AF80" i="4"/>
  <c r="AE80" i="4"/>
  <c r="AD80" i="4"/>
  <c r="W80" i="4"/>
  <c r="V80" i="4"/>
  <c r="U80" i="4"/>
  <c r="N80" i="4"/>
  <c r="M80" i="4"/>
  <c r="L80" i="4"/>
  <c r="H80" i="4"/>
  <c r="BG79" i="4"/>
  <c r="BF79" i="4"/>
  <c r="BE79" i="4"/>
  <c r="AX79" i="4"/>
  <c r="AW79" i="4"/>
  <c r="AV79" i="4"/>
  <c r="AO79" i="4"/>
  <c r="AN79" i="4"/>
  <c r="AM79" i="4"/>
  <c r="AF79" i="4"/>
  <c r="AE79" i="4"/>
  <c r="AD79" i="4"/>
  <c r="W79" i="4"/>
  <c r="V79" i="4"/>
  <c r="U79" i="4"/>
  <c r="N79" i="4"/>
  <c r="M79" i="4"/>
  <c r="L79" i="4"/>
  <c r="H79" i="4"/>
  <c r="BG78" i="4"/>
  <c r="BF78" i="4"/>
  <c r="BE78" i="4"/>
  <c r="AX78" i="4"/>
  <c r="AW78" i="4"/>
  <c r="AV78" i="4"/>
  <c r="AO78" i="4"/>
  <c r="AN78" i="4"/>
  <c r="AM78" i="4"/>
  <c r="AF78" i="4"/>
  <c r="AE78" i="4"/>
  <c r="AD78" i="4"/>
  <c r="W78" i="4"/>
  <c r="V78" i="4"/>
  <c r="U78" i="4"/>
  <c r="N78" i="4"/>
  <c r="M78" i="4"/>
  <c r="L78" i="4"/>
  <c r="H78" i="4"/>
  <c r="Y78" i="4" s="1"/>
  <c r="X78" i="4" s="1"/>
  <c r="BG77" i="4"/>
  <c r="BF77" i="4"/>
  <c r="BE77" i="4"/>
  <c r="AX77" i="4"/>
  <c r="AW77" i="4"/>
  <c r="AV77" i="4"/>
  <c r="AO77" i="4"/>
  <c r="AN77" i="4"/>
  <c r="AM77" i="4"/>
  <c r="AF77" i="4"/>
  <c r="AE77" i="4"/>
  <c r="AD77" i="4"/>
  <c r="W77" i="4"/>
  <c r="V77" i="4"/>
  <c r="U77" i="4"/>
  <c r="N77" i="4"/>
  <c r="M77" i="4"/>
  <c r="L77" i="4"/>
  <c r="H77" i="4"/>
  <c r="BG76" i="4"/>
  <c r="BF76" i="4"/>
  <c r="BE76" i="4"/>
  <c r="AX76" i="4"/>
  <c r="AW76" i="4"/>
  <c r="AV76" i="4"/>
  <c r="AO76" i="4"/>
  <c r="AN76" i="4"/>
  <c r="AM76" i="4"/>
  <c r="AF76" i="4"/>
  <c r="AE76" i="4"/>
  <c r="AD76" i="4"/>
  <c r="W76" i="4"/>
  <c r="V76" i="4"/>
  <c r="U76" i="4"/>
  <c r="N76" i="4"/>
  <c r="M76" i="4"/>
  <c r="L76" i="4"/>
  <c r="H76" i="4"/>
  <c r="BG75" i="4"/>
  <c r="BF75" i="4"/>
  <c r="BE75" i="4"/>
  <c r="AX75" i="4"/>
  <c r="AW75" i="4"/>
  <c r="AV75" i="4"/>
  <c r="AO75" i="4"/>
  <c r="AN75" i="4"/>
  <c r="AM75" i="4"/>
  <c r="AF75" i="4"/>
  <c r="AE75" i="4"/>
  <c r="AD75" i="4"/>
  <c r="W75" i="4"/>
  <c r="V75" i="4"/>
  <c r="U75" i="4"/>
  <c r="N75" i="4"/>
  <c r="M75" i="4"/>
  <c r="L75" i="4"/>
  <c r="H75" i="4"/>
  <c r="BG74" i="4"/>
  <c r="BF74" i="4"/>
  <c r="BE74" i="4"/>
  <c r="AX74" i="4"/>
  <c r="AW74" i="4"/>
  <c r="AV74" i="4"/>
  <c r="AO74" i="4"/>
  <c r="AN74" i="4"/>
  <c r="AM74" i="4"/>
  <c r="AF74" i="4"/>
  <c r="AE74" i="4"/>
  <c r="AD74" i="4"/>
  <c r="W74" i="4"/>
  <c r="V74" i="4"/>
  <c r="U74" i="4"/>
  <c r="N74" i="4"/>
  <c r="M74" i="4"/>
  <c r="L74" i="4"/>
  <c r="H74" i="4"/>
  <c r="BG73" i="4"/>
  <c r="BF73" i="4"/>
  <c r="BE73" i="4"/>
  <c r="AX73" i="4"/>
  <c r="AW73" i="4"/>
  <c r="AV73" i="4"/>
  <c r="AO73" i="4"/>
  <c r="AN73" i="4"/>
  <c r="AM73" i="4"/>
  <c r="AF73" i="4"/>
  <c r="AE73" i="4"/>
  <c r="AD73" i="4"/>
  <c r="W73" i="4"/>
  <c r="V73" i="4"/>
  <c r="U73" i="4"/>
  <c r="N73" i="4"/>
  <c r="M73" i="4"/>
  <c r="L73" i="4"/>
  <c r="H73" i="4"/>
  <c r="Y73" i="4" s="1"/>
  <c r="X73" i="4" s="1"/>
  <c r="BG72" i="4"/>
  <c r="BF72" i="4"/>
  <c r="BE72" i="4"/>
  <c r="AX72" i="4"/>
  <c r="AW72" i="4"/>
  <c r="AV72" i="4"/>
  <c r="AO72" i="4"/>
  <c r="AN72" i="4"/>
  <c r="AM72" i="4"/>
  <c r="AF72" i="4"/>
  <c r="AE72" i="4"/>
  <c r="AD72" i="4"/>
  <c r="W72" i="4"/>
  <c r="V72" i="4"/>
  <c r="U72" i="4"/>
  <c r="N72" i="4"/>
  <c r="M72" i="4"/>
  <c r="L72" i="4"/>
  <c r="H72" i="4"/>
  <c r="BG71" i="4"/>
  <c r="BF71" i="4"/>
  <c r="BE71" i="4"/>
  <c r="AX71" i="4"/>
  <c r="AW71" i="4"/>
  <c r="AV71" i="4"/>
  <c r="AO71" i="4"/>
  <c r="AN71" i="4"/>
  <c r="AM71" i="4"/>
  <c r="AF71" i="4"/>
  <c r="AE71" i="4"/>
  <c r="AD71" i="4"/>
  <c r="W71" i="4"/>
  <c r="V71" i="4"/>
  <c r="U71" i="4"/>
  <c r="N71" i="4"/>
  <c r="M71" i="4"/>
  <c r="L71" i="4"/>
  <c r="H71" i="4"/>
  <c r="BG70" i="4"/>
  <c r="BF70" i="4"/>
  <c r="BE70" i="4"/>
  <c r="AX70" i="4"/>
  <c r="AW70" i="4"/>
  <c r="AV70" i="4"/>
  <c r="AO70" i="4"/>
  <c r="AN70" i="4"/>
  <c r="AM70" i="4"/>
  <c r="AF70" i="4"/>
  <c r="AE70" i="4"/>
  <c r="AD70" i="4"/>
  <c r="W70" i="4"/>
  <c r="V70" i="4"/>
  <c r="U70" i="4"/>
  <c r="N70" i="4"/>
  <c r="M70" i="4"/>
  <c r="L70" i="4"/>
  <c r="H70" i="4"/>
  <c r="Y70" i="4" s="1"/>
  <c r="X70" i="4" s="1"/>
  <c r="BG69" i="4"/>
  <c r="BF69" i="4"/>
  <c r="BE69" i="4"/>
  <c r="AX69" i="4"/>
  <c r="AW69" i="4"/>
  <c r="AV69" i="4"/>
  <c r="AO69" i="4"/>
  <c r="AN69" i="4"/>
  <c r="AM69" i="4"/>
  <c r="AF69" i="4"/>
  <c r="AE69" i="4"/>
  <c r="AD69" i="4"/>
  <c r="W69" i="4"/>
  <c r="V69" i="4"/>
  <c r="U69" i="4"/>
  <c r="N69" i="4"/>
  <c r="M69" i="4"/>
  <c r="L69" i="4"/>
  <c r="H69" i="4"/>
  <c r="BG68" i="4"/>
  <c r="BF68" i="4"/>
  <c r="BE68" i="4"/>
  <c r="AX68" i="4"/>
  <c r="AW68" i="4"/>
  <c r="AV68" i="4"/>
  <c r="AO68" i="4"/>
  <c r="AN68" i="4"/>
  <c r="AM68" i="4"/>
  <c r="AF68" i="4"/>
  <c r="AE68" i="4"/>
  <c r="AD68" i="4"/>
  <c r="W68" i="4"/>
  <c r="V68" i="4"/>
  <c r="U68" i="4"/>
  <c r="N68" i="4"/>
  <c r="M68" i="4"/>
  <c r="L68" i="4"/>
  <c r="H68" i="4"/>
  <c r="BG67" i="4"/>
  <c r="BF67" i="4"/>
  <c r="BE67" i="4"/>
  <c r="AX67" i="4"/>
  <c r="AW67" i="4"/>
  <c r="AV67" i="4"/>
  <c r="AO67" i="4"/>
  <c r="AN67" i="4"/>
  <c r="AM67" i="4"/>
  <c r="AF67" i="4"/>
  <c r="AE67" i="4"/>
  <c r="AD67" i="4"/>
  <c r="W67" i="4"/>
  <c r="V67" i="4"/>
  <c r="U67" i="4"/>
  <c r="N67" i="4"/>
  <c r="M67" i="4"/>
  <c r="L67" i="4"/>
  <c r="H67" i="4"/>
  <c r="BG66" i="4"/>
  <c r="BF66" i="4"/>
  <c r="BE66" i="4"/>
  <c r="AX66" i="4"/>
  <c r="AW66" i="4"/>
  <c r="AV66" i="4"/>
  <c r="AO66" i="4"/>
  <c r="AN66" i="4"/>
  <c r="AM66" i="4"/>
  <c r="AF66" i="4"/>
  <c r="AE66" i="4"/>
  <c r="AD66" i="4"/>
  <c r="W66" i="4"/>
  <c r="V66" i="4"/>
  <c r="U66" i="4"/>
  <c r="N66" i="4"/>
  <c r="M66" i="4"/>
  <c r="L66" i="4"/>
  <c r="H66" i="4"/>
  <c r="BG65" i="4"/>
  <c r="BF65" i="4"/>
  <c r="BE65" i="4"/>
  <c r="AX65" i="4"/>
  <c r="AW65" i="4"/>
  <c r="AV65" i="4"/>
  <c r="AO65" i="4"/>
  <c r="AN65" i="4"/>
  <c r="AM65" i="4"/>
  <c r="AF65" i="4"/>
  <c r="AE65" i="4"/>
  <c r="AD65" i="4"/>
  <c r="W65" i="4"/>
  <c r="V65" i="4"/>
  <c r="U65" i="4"/>
  <c r="N65" i="4"/>
  <c r="M65" i="4"/>
  <c r="L65" i="4"/>
  <c r="H65" i="4"/>
  <c r="BG64" i="4"/>
  <c r="BF64" i="4"/>
  <c r="BE64" i="4"/>
  <c r="AX64" i="4"/>
  <c r="AW64" i="4"/>
  <c r="AV64" i="4"/>
  <c r="AO64" i="4"/>
  <c r="AN64" i="4"/>
  <c r="AM64" i="4"/>
  <c r="AF64" i="4"/>
  <c r="AE64" i="4"/>
  <c r="AD64" i="4"/>
  <c r="W64" i="4"/>
  <c r="V64" i="4"/>
  <c r="U64" i="4"/>
  <c r="N64" i="4"/>
  <c r="M64" i="4"/>
  <c r="L64" i="4"/>
  <c r="H64" i="4"/>
  <c r="AZ64" i="4" s="1"/>
  <c r="AY64" i="4" s="1"/>
  <c r="BG63" i="4"/>
  <c r="BF63" i="4"/>
  <c r="BE63" i="4"/>
  <c r="AX63" i="4"/>
  <c r="AW63" i="4"/>
  <c r="AV63" i="4"/>
  <c r="AO63" i="4"/>
  <c r="AN63" i="4"/>
  <c r="AM63" i="4"/>
  <c r="AF63" i="4"/>
  <c r="AE63" i="4"/>
  <c r="AD63" i="4"/>
  <c r="W63" i="4"/>
  <c r="V63" i="4"/>
  <c r="U63" i="4"/>
  <c r="N63" i="4"/>
  <c r="M63" i="4"/>
  <c r="L63" i="4"/>
  <c r="H63" i="4"/>
  <c r="BG62" i="4"/>
  <c r="BF62" i="4"/>
  <c r="BE62" i="4"/>
  <c r="AX62" i="4"/>
  <c r="AW62" i="4"/>
  <c r="AV62" i="4"/>
  <c r="AO62" i="4"/>
  <c r="AN62" i="4"/>
  <c r="AM62" i="4"/>
  <c r="AF62" i="4"/>
  <c r="AE62" i="4"/>
  <c r="AD62" i="4"/>
  <c r="W62" i="4"/>
  <c r="V62" i="4"/>
  <c r="U62" i="4"/>
  <c r="N62" i="4"/>
  <c r="M62" i="4"/>
  <c r="L62" i="4"/>
  <c r="P62" i="4" s="1"/>
  <c r="O62" i="4" s="1"/>
  <c r="H62" i="4"/>
  <c r="BG61" i="4"/>
  <c r="BF61" i="4"/>
  <c r="BE61" i="4"/>
  <c r="AX61" i="4"/>
  <c r="AW61" i="4"/>
  <c r="AV61" i="4"/>
  <c r="AO61" i="4"/>
  <c r="AN61" i="4"/>
  <c r="AM61" i="4"/>
  <c r="AF61" i="4"/>
  <c r="AE61" i="4"/>
  <c r="AD61" i="4"/>
  <c r="W61" i="4"/>
  <c r="V61" i="4"/>
  <c r="U61" i="4"/>
  <c r="N61" i="4"/>
  <c r="M61" i="4"/>
  <c r="L61" i="4"/>
  <c r="P61" i="4" s="1"/>
  <c r="O61" i="4" s="1"/>
  <c r="H61" i="4"/>
  <c r="BI61" i="4" s="1"/>
  <c r="BH61" i="4" s="1"/>
  <c r="BG60" i="4"/>
  <c r="BF60" i="4"/>
  <c r="BE60" i="4"/>
  <c r="AX60" i="4"/>
  <c r="AW60" i="4"/>
  <c r="AV60" i="4"/>
  <c r="AO60" i="4"/>
  <c r="AN60" i="4"/>
  <c r="AM60" i="4"/>
  <c r="AF60" i="4"/>
  <c r="AE60" i="4"/>
  <c r="AD60" i="4"/>
  <c r="W60" i="4"/>
  <c r="V60" i="4"/>
  <c r="U60" i="4"/>
  <c r="N60" i="4"/>
  <c r="M60" i="4"/>
  <c r="L60" i="4"/>
  <c r="H60" i="4"/>
  <c r="BG59" i="4"/>
  <c r="BF59" i="4"/>
  <c r="BE59" i="4"/>
  <c r="AX59" i="4"/>
  <c r="AW59" i="4"/>
  <c r="AV59" i="4"/>
  <c r="AO59" i="4"/>
  <c r="AN59" i="4"/>
  <c r="AM59" i="4"/>
  <c r="AF59" i="4"/>
  <c r="AE59" i="4"/>
  <c r="AD59" i="4"/>
  <c r="W59" i="4"/>
  <c r="V59" i="4"/>
  <c r="U59" i="4"/>
  <c r="N59" i="4"/>
  <c r="M59" i="4"/>
  <c r="L59" i="4"/>
  <c r="H59" i="4"/>
  <c r="BG58" i="4"/>
  <c r="BF58" i="4"/>
  <c r="BE58" i="4"/>
  <c r="AX58" i="4"/>
  <c r="AW58" i="4"/>
  <c r="AV58" i="4"/>
  <c r="AO58" i="4"/>
  <c r="AN58" i="4"/>
  <c r="AM58" i="4"/>
  <c r="AF58" i="4"/>
  <c r="AE58" i="4"/>
  <c r="AD58" i="4"/>
  <c r="W58" i="4"/>
  <c r="V58" i="4"/>
  <c r="U58" i="4"/>
  <c r="N58" i="4"/>
  <c r="M58" i="4"/>
  <c r="L58" i="4"/>
  <c r="H58" i="4"/>
  <c r="BG57" i="4"/>
  <c r="BF57" i="4"/>
  <c r="BE57" i="4"/>
  <c r="AX57" i="4"/>
  <c r="AW57" i="4"/>
  <c r="AV57" i="4"/>
  <c r="AO57" i="4"/>
  <c r="AN57" i="4"/>
  <c r="AM57" i="4"/>
  <c r="AF57" i="4"/>
  <c r="AE57" i="4"/>
  <c r="AD57" i="4"/>
  <c r="W57" i="4"/>
  <c r="V57" i="4"/>
  <c r="U57" i="4"/>
  <c r="N57" i="4"/>
  <c r="M57" i="4"/>
  <c r="L57" i="4"/>
  <c r="H57" i="4"/>
  <c r="BG56" i="4"/>
  <c r="BF56" i="4"/>
  <c r="BE56" i="4"/>
  <c r="AX56" i="4"/>
  <c r="AW56" i="4"/>
  <c r="AV56" i="4"/>
  <c r="AO56" i="4"/>
  <c r="AN56" i="4"/>
  <c r="AM56" i="4"/>
  <c r="AF56" i="4"/>
  <c r="AE56" i="4"/>
  <c r="AD56" i="4"/>
  <c r="W56" i="4"/>
  <c r="V56" i="4"/>
  <c r="U56" i="4"/>
  <c r="N56" i="4"/>
  <c r="M56" i="4"/>
  <c r="L56" i="4"/>
  <c r="H56" i="4"/>
  <c r="AZ56" i="4" s="1"/>
  <c r="AY56" i="4" s="1"/>
  <c r="BG55" i="4"/>
  <c r="BF55" i="4"/>
  <c r="BE55" i="4"/>
  <c r="AX55" i="4"/>
  <c r="AW55" i="4"/>
  <c r="AV55" i="4"/>
  <c r="AO55" i="4"/>
  <c r="AN55" i="4"/>
  <c r="AM55" i="4"/>
  <c r="AF55" i="4"/>
  <c r="AE55" i="4"/>
  <c r="AD55" i="4"/>
  <c r="W55" i="4"/>
  <c r="V55" i="4"/>
  <c r="U55" i="4"/>
  <c r="N55" i="4"/>
  <c r="M55" i="4"/>
  <c r="L55" i="4"/>
  <c r="H55" i="4"/>
  <c r="BG54" i="4"/>
  <c r="BF54" i="4"/>
  <c r="BE54" i="4"/>
  <c r="AX54" i="4"/>
  <c r="AW54" i="4"/>
  <c r="AV54" i="4"/>
  <c r="AO54" i="4"/>
  <c r="AN54" i="4"/>
  <c r="AM54" i="4"/>
  <c r="AF54" i="4"/>
  <c r="AE54" i="4"/>
  <c r="AD54" i="4"/>
  <c r="W54" i="4"/>
  <c r="V54" i="4"/>
  <c r="U54" i="4"/>
  <c r="N54" i="4"/>
  <c r="M54" i="4"/>
  <c r="L54" i="4"/>
  <c r="H54" i="4"/>
  <c r="BG53" i="4"/>
  <c r="BF53" i="4"/>
  <c r="BE53" i="4"/>
  <c r="AX53" i="4"/>
  <c r="AW53" i="4"/>
  <c r="AV53" i="4"/>
  <c r="AO53" i="4"/>
  <c r="AN53" i="4"/>
  <c r="AM53" i="4"/>
  <c r="AF53" i="4"/>
  <c r="AE53" i="4"/>
  <c r="AD53" i="4"/>
  <c r="W53" i="4"/>
  <c r="V53" i="4"/>
  <c r="U53" i="4"/>
  <c r="N53" i="4"/>
  <c r="M53" i="4"/>
  <c r="L53" i="4"/>
  <c r="H53" i="4"/>
  <c r="BG52" i="4"/>
  <c r="BF52" i="4"/>
  <c r="BE52" i="4"/>
  <c r="AX52" i="4"/>
  <c r="AW52" i="4"/>
  <c r="AV52" i="4"/>
  <c r="AO52" i="4"/>
  <c r="AN52" i="4"/>
  <c r="AM52" i="4"/>
  <c r="AF52" i="4"/>
  <c r="AE52" i="4"/>
  <c r="AD52" i="4"/>
  <c r="W52" i="4"/>
  <c r="V52" i="4"/>
  <c r="U52" i="4"/>
  <c r="N52" i="4"/>
  <c r="M52" i="4"/>
  <c r="L52" i="4"/>
  <c r="H52" i="4"/>
  <c r="AH52" i="4" s="1"/>
  <c r="AG52" i="4" s="1"/>
  <c r="BG51" i="4"/>
  <c r="BF51" i="4"/>
  <c r="BE51" i="4"/>
  <c r="AX51" i="4"/>
  <c r="AW51" i="4"/>
  <c r="AV51" i="4"/>
  <c r="AO51" i="4"/>
  <c r="AN51" i="4"/>
  <c r="AM51" i="4"/>
  <c r="AF51" i="4"/>
  <c r="AE51" i="4"/>
  <c r="AD51" i="4"/>
  <c r="W51" i="4"/>
  <c r="V51" i="4"/>
  <c r="U51" i="4"/>
  <c r="N51" i="4"/>
  <c r="M51" i="4"/>
  <c r="L51" i="4"/>
  <c r="H51" i="4"/>
  <c r="BG50" i="4"/>
  <c r="BF50" i="4"/>
  <c r="BE50" i="4"/>
  <c r="AX50" i="4"/>
  <c r="AW50" i="4"/>
  <c r="AV50" i="4"/>
  <c r="AO50" i="4"/>
  <c r="AN50" i="4"/>
  <c r="AM50" i="4"/>
  <c r="AF50" i="4"/>
  <c r="AE50" i="4"/>
  <c r="AD50" i="4"/>
  <c r="W50" i="4"/>
  <c r="V50" i="4"/>
  <c r="U50" i="4"/>
  <c r="N50" i="4"/>
  <c r="M50" i="4"/>
  <c r="L50" i="4"/>
  <c r="H50" i="4"/>
  <c r="BI50" i="4" s="1"/>
  <c r="BH50" i="4" s="1"/>
  <c r="BG49" i="4"/>
  <c r="BF49" i="4"/>
  <c r="BE49" i="4"/>
  <c r="AX49" i="4"/>
  <c r="AW49" i="4"/>
  <c r="AV49" i="4"/>
  <c r="AO49" i="4"/>
  <c r="AN49" i="4"/>
  <c r="AM49" i="4"/>
  <c r="AF49" i="4"/>
  <c r="AE49" i="4"/>
  <c r="AD49" i="4"/>
  <c r="W49" i="4"/>
  <c r="V49" i="4"/>
  <c r="U49" i="4"/>
  <c r="N49" i="4"/>
  <c r="M49" i="4"/>
  <c r="L49" i="4"/>
  <c r="P49" i="4" s="1"/>
  <c r="O49" i="4" s="1"/>
  <c r="H49" i="4"/>
  <c r="BG48" i="4"/>
  <c r="BF48" i="4"/>
  <c r="BE48" i="4"/>
  <c r="AX48" i="4"/>
  <c r="AW48" i="4"/>
  <c r="AV48" i="4"/>
  <c r="AO48" i="4"/>
  <c r="AN48" i="4"/>
  <c r="AM48" i="4"/>
  <c r="AF48" i="4"/>
  <c r="AE48" i="4"/>
  <c r="AD48" i="4"/>
  <c r="W48" i="4"/>
  <c r="V48" i="4"/>
  <c r="U48" i="4"/>
  <c r="N48" i="4"/>
  <c r="M48" i="4"/>
  <c r="L48" i="4"/>
  <c r="H48" i="4"/>
  <c r="BG47" i="4"/>
  <c r="BF47" i="4"/>
  <c r="BE47" i="4"/>
  <c r="AX47" i="4"/>
  <c r="AW47" i="4"/>
  <c r="AV47" i="4"/>
  <c r="AO47" i="4"/>
  <c r="AN47" i="4"/>
  <c r="AM47" i="4"/>
  <c r="AF47" i="4"/>
  <c r="AE47" i="4"/>
  <c r="AD47" i="4"/>
  <c r="W47" i="4"/>
  <c r="V47" i="4"/>
  <c r="U47" i="4"/>
  <c r="N47" i="4"/>
  <c r="M47" i="4"/>
  <c r="L47" i="4"/>
  <c r="H47" i="4"/>
  <c r="Y47" i="4" s="1"/>
  <c r="X47" i="4" s="1"/>
  <c r="BG46" i="4"/>
  <c r="BF46" i="4"/>
  <c r="BE46" i="4"/>
  <c r="AX46" i="4"/>
  <c r="AW46" i="4"/>
  <c r="AV46" i="4"/>
  <c r="AO46" i="4"/>
  <c r="AN46" i="4"/>
  <c r="AM46" i="4"/>
  <c r="AF46" i="4"/>
  <c r="AE46" i="4"/>
  <c r="AD46" i="4"/>
  <c r="W46" i="4"/>
  <c r="V46" i="4"/>
  <c r="U46" i="4"/>
  <c r="N46" i="4"/>
  <c r="M46" i="4"/>
  <c r="L46" i="4"/>
  <c r="H46" i="4"/>
  <c r="BI46" i="4" s="1"/>
  <c r="BH46" i="4" s="1"/>
  <c r="BG45" i="4"/>
  <c r="BF45" i="4"/>
  <c r="BE45" i="4"/>
  <c r="AX45" i="4"/>
  <c r="AW45" i="4"/>
  <c r="AV45" i="4"/>
  <c r="AO45" i="4"/>
  <c r="AN45" i="4"/>
  <c r="AM45" i="4"/>
  <c r="AF45" i="4"/>
  <c r="AE45" i="4"/>
  <c r="AD45" i="4"/>
  <c r="W45" i="4"/>
  <c r="V45" i="4"/>
  <c r="U45" i="4"/>
  <c r="N45" i="4"/>
  <c r="M45" i="4"/>
  <c r="L45" i="4"/>
  <c r="H45" i="4"/>
  <c r="P45" i="4" s="1"/>
  <c r="O45" i="4" s="1"/>
  <c r="BG44" i="4"/>
  <c r="BF44" i="4"/>
  <c r="BE44" i="4"/>
  <c r="AX44" i="4"/>
  <c r="AW44" i="4"/>
  <c r="AV44" i="4"/>
  <c r="AO44" i="4"/>
  <c r="AN44" i="4"/>
  <c r="AM44" i="4"/>
  <c r="AF44" i="4"/>
  <c r="AE44" i="4"/>
  <c r="AD44" i="4"/>
  <c r="W44" i="4"/>
  <c r="V44" i="4"/>
  <c r="U44" i="4"/>
  <c r="N44" i="4"/>
  <c r="M44" i="4"/>
  <c r="L44" i="4"/>
  <c r="H44" i="4"/>
  <c r="BG43" i="4"/>
  <c r="BF43" i="4"/>
  <c r="BE43" i="4"/>
  <c r="AX43" i="4"/>
  <c r="AW43" i="4"/>
  <c r="AV43" i="4"/>
  <c r="AO43" i="4"/>
  <c r="AN43" i="4"/>
  <c r="AM43" i="4"/>
  <c r="AF43" i="4"/>
  <c r="AE43" i="4"/>
  <c r="AD43" i="4"/>
  <c r="W43" i="4"/>
  <c r="V43" i="4"/>
  <c r="U43" i="4"/>
  <c r="N43" i="4"/>
  <c r="M43" i="4"/>
  <c r="L43" i="4"/>
  <c r="H43" i="4"/>
  <c r="BG42" i="4"/>
  <c r="BF42" i="4"/>
  <c r="BE42" i="4"/>
  <c r="AX42" i="4"/>
  <c r="AW42" i="4"/>
  <c r="AV42" i="4"/>
  <c r="AO42" i="4"/>
  <c r="AN42" i="4"/>
  <c r="AM42" i="4"/>
  <c r="AF42" i="4"/>
  <c r="AE42" i="4"/>
  <c r="AD42" i="4"/>
  <c r="W42" i="4"/>
  <c r="V42" i="4"/>
  <c r="U42" i="4"/>
  <c r="N42" i="4"/>
  <c r="M42" i="4"/>
  <c r="L42" i="4"/>
  <c r="H42" i="4"/>
  <c r="BG41" i="4"/>
  <c r="BF41" i="4"/>
  <c r="BE41" i="4"/>
  <c r="AX41" i="4"/>
  <c r="AW41" i="4"/>
  <c r="AV41" i="4"/>
  <c r="AO41" i="4"/>
  <c r="AN41" i="4"/>
  <c r="AM41" i="4"/>
  <c r="AF41" i="4"/>
  <c r="AE41" i="4"/>
  <c r="AD41" i="4"/>
  <c r="W41" i="4"/>
  <c r="V41" i="4"/>
  <c r="U41" i="4"/>
  <c r="N41" i="4"/>
  <c r="M41" i="4"/>
  <c r="L41" i="4"/>
  <c r="H41" i="4"/>
  <c r="BG40" i="4"/>
  <c r="BF40" i="4"/>
  <c r="BE40" i="4"/>
  <c r="AX40" i="4"/>
  <c r="AW40" i="4"/>
  <c r="AV40" i="4"/>
  <c r="AO40" i="4"/>
  <c r="AN40" i="4"/>
  <c r="AM40" i="4"/>
  <c r="AF40" i="4"/>
  <c r="AE40" i="4"/>
  <c r="AD40" i="4"/>
  <c r="W40" i="4"/>
  <c r="V40" i="4"/>
  <c r="U40" i="4"/>
  <c r="N40" i="4"/>
  <c r="M40" i="4"/>
  <c r="L40" i="4"/>
  <c r="H40" i="4"/>
  <c r="BG39" i="4"/>
  <c r="BF39" i="4"/>
  <c r="BE39" i="4"/>
  <c r="AX39" i="4"/>
  <c r="AW39" i="4"/>
  <c r="AV39" i="4"/>
  <c r="AO39" i="4"/>
  <c r="AN39" i="4"/>
  <c r="AM39" i="4"/>
  <c r="AF39" i="4"/>
  <c r="AE39" i="4"/>
  <c r="AD39" i="4"/>
  <c r="W39" i="4"/>
  <c r="V39" i="4"/>
  <c r="U39" i="4"/>
  <c r="N39" i="4"/>
  <c r="M39" i="4"/>
  <c r="L39" i="4"/>
  <c r="H39" i="4"/>
  <c r="BG38" i="4"/>
  <c r="BF38" i="4"/>
  <c r="BE38" i="4"/>
  <c r="AX38" i="4"/>
  <c r="AW38" i="4"/>
  <c r="AV38" i="4"/>
  <c r="AO38" i="4"/>
  <c r="AN38" i="4"/>
  <c r="AM38" i="4"/>
  <c r="AF38" i="4"/>
  <c r="AE38" i="4"/>
  <c r="AD38" i="4"/>
  <c r="W38" i="4"/>
  <c r="V38" i="4"/>
  <c r="U38" i="4"/>
  <c r="N38" i="4"/>
  <c r="M38" i="4"/>
  <c r="L38" i="4"/>
  <c r="H38" i="4"/>
  <c r="BG37" i="4"/>
  <c r="BF37" i="4"/>
  <c r="BE37" i="4"/>
  <c r="AX37" i="4"/>
  <c r="AW37" i="4"/>
  <c r="AV37" i="4"/>
  <c r="AO37" i="4"/>
  <c r="AN37" i="4"/>
  <c r="AM37" i="4"/>
  <c r="AF37" i="4"/>
  <c r="AE37" i="4"/>
  <c r="AD37" i="4"/>
  <c r="W37" i="4"/>
  <c r="V37" i="4"/>
  <c r="U37" i="4"/>
  <c r="N37" i="4"/>
  <c r="M37" i="4"/>
  <c r="L37" i="4"/>
  <c r="H37" i="4"/>
  <c r="BG36" i="4"/>
  <c r="BF36" i="4"/>
  <c r="BE36" i="4"/>
  <c r="AX36" i="4"/>
  <c r="AW36" i="4"/>
  <c r="AV36" i="4"/>
  <c r="AO36" i="4"/>
  <c r="AN36" i="4"/>
  <c r="AM36" i="4"/>
  <c r="AF36" i="4"/>
  <c r="AE36" i="4"/>
  <c r="AD36" i="4"/>
  <c r="W36" i="4"/>
  <c r="V36" i="4"/>
  <c r="U36" i="4"/>
  <c r="N36" i="4"/>
  <c r="M36" i="4"/>
  <c r="L36" i="4"/>
  <c r="H36" i="4"/>
  <c r="BG35" i="4"/>
  <c r="BF35" i="4"/>
  <c r="BE35" i="4"/>
  <c r="AX35" i="4"/>
  <c r="AW35" i="4"/>
  <c r="AV35" i="4"/>
  <c r="AO35" i="4"/>
  <c r="AN35" i="4"/>
  <c r="AM35" i="4"/>
  <c r="AF35" i="4"/>
  <c r="AE35" i="4"/>
  <c r="AD35" i="4"/>
  <c r="W35" i="4"/>
  <c r="V35" i="4"/>
  <c r="U35" i="4"/>
  <c r="N35" i="4"/>
  <c r="M35" i="4"/>
  <c r="L35" i="4"/>
  <c r="H35" i="4"/>
  <c r="BG34" i="4"/>
  <c r="BF34" i="4"/>
  <c r="BE34" i="4"/>
  <c r="AX34" i="4"/>
  <c r="AW34" i="4"/>
  <c r="AV34" i="4"/>
  <c r="AO34" i="4"/>
  <c r="AN34" i="4"/>
  <c r="AM34" i="4"/>
  <c r="AF34" i="4"/>
  <c r="AE34" i="4"/>
  <c r="AD34" i="4"/>
  <c r="W34" i="4"/>
  <c r="V34" i="4"/>
  <c r="U34" i="4"/>
  <c r="N34" i="4"/>
  <c r="M34" i="4"/>
  <c r="L34" i="4"/>
  <c r="H34" i="4"/>
  <c r="BG33" i="4"/>
  <c r="BF33" i="4"/>
  <c r="BE33" i="4"/>
  <c r="AX33" i="4"/>
  <c r="AW33" i="4"/>
  <c r="AV33" i="4"/>
  <c r="AO33" i="4"/>
  <c r="AN33" i="4"/>
  <c r="AM33" i="4"/>
  <c r="AF33" i="4"/>
  <c r="AE33" i="4"/>
  <c r="AD33" i="4"/>
  <c r="W33" i="4"/>
  <c r="V33" i="4"/>
  <c r="U33" i="4"/>
  <c r="N33" i="4"/>
  <c r="M33" i="4"/>
  <c r="L33" i="4"/>
  <c r="H33" i="4"/>
  <c r="BG32" i="4"/>
  <c r="BF32" i="4"/>
  <c r="BE32" i="4"/>
  <c r="AX32" i="4"/>
  <c r="AW32" i="4"/>
  <c r="AV32" i="4"/>
  <c r="AO32" i="4"/>
  <c r="AN32" i="4"/>
  <c r="AM32" i="4"/>
  <c r="AF32" i="4"/>
  <c r="AE32" i="4"/>
  <c r="AD32" i="4"/>
  <c r="W32" i="4"/>
  <c r="V32" i="4"/>
  <c r="U32" i="4"/>
  <c r="N32" i="4"/>
  <c r="M32" i="4"/>
  <c r="L32" i="4"/>
  <c r="H32" i="4"/>
  <c r="AQ32" i="4" s="1"/>
  <c r="AP32" i="4" s="1"/>
  <c r="BG31" i="4"/>
  <c r="BF31" i="4"/>
  <c r="BE31" i="4"/>
  <c r="AX31" i="4"/>
  <c r="AW31" i="4"/>
  <c r="AV31" i="4"/>
  <c r="AO31" i="4"/>
  <c r="AN31" i="4"/>
  <c r="AM31" i="4"/>
  <c r="AF31" i="4"/>
  <c r="AE31" i="4"/>
  <c r="AD31" i="4"/>
  <c r="W31" i="4"/>
  <c r="V31" i="4"/>
  <c r="U31" i="4"/>
  <c r="N31" i="4"/>
  <c r="M31" i="4"/>
  <c r="L31" i="4"/>
  <c r="H31" i="4"/>
  <c r="BG30" i="4"/>
  <c r="BF30" i="4"/>
  <c r="BE30" i="4"/>
  <c r="AX30" i="4"/>
  <c r="AW30" i="4"/>
  <c r="AV30" i="4"/>
  <c r="AO30" i="4"/>
  <c r="AN30" i="4"/>
  <c r="AM30" i="4"/>
  <c r="AF30" i="4"/>
  <c r="AE30" i="4"/>
  <c r="AD30" i="4"/>
  <c r="W30" i="4"/>
  <c r="V30" i="4"/>
  <c r="U30" i="4"/>
  <c r="N30" i="4"/>
  <c r="M30" i="4"/>
  <c r="L30" i="4"/>
  <c r="H30" i="4"/>
  <c r="BI30" i="4" s="1"/>
  <c r="BH30" i="4" s="1"/>
  <c r="BG29" i="4"/>
  <c r="BF29" i="4"/>
  <c r="BE29" i="4"/>
  <c r="AX29" i="4"/>
  <c r="AW29" i="4"/>
  <c r="AV29" i="4"/>
  <c r="AO29" i="4"/>
  <c r="AN29" i="4"/>
  <c r="AM29" i="4"/>
  <c r="AF29" i="4"/>
  <c r="AE29" i="4"/>
  <c r="AD29" i="4"/>
  <c r="W29" i="4"/>
  <c r="V29" i="4"/>
  <c r="U29" i="4"/>
  <c r="N29" i="4"/>
  <c r="M29" i="4"/>
  <c r="L29" i="4"/>
  <c r="H29" i="4"/>
  <c r="BG28" i="4"/>
  <c r="BF28" i="4"/>
  <c r="BE28" i="4"/>
  <c r="AX28" i="4"/>
  <c r="AW28" i="4"/>
  <c r="AV28" i="4"/>
  <c r="AO28" i="4"/>
  <c r="AN28" i="4"/>
  <c r="AM28" i="4"/>
  <c r="AF28" i="4"/>
  <c r="AE28" i="4"/>
  <c r="AD28" i="4"/>
  <c r="W28" i="4"/>
  <c r="V28" i="4"/>
  <c r="U28" i="4"/>
  <c r="N28" i="4"/>
  <c r="M28" i="4"/>
  <c r="L28" i="4"/>
  <c r="H28" i="4"/>
  <c r="BI28" i="4" s="1"/>
  <c r="BH28" i="4" s="1"/>
  <c r="BG27" i="4"/>
  <c r="BF27" i="4"/>
  <c r="BE27" i="4"/>
  <c r="AX27" i="4"/>
  <c r="AW27" i="4"/>
  <c r="AV27" i="4"/>
  <c r="AO27" i="4"/>
  <c r="AN27" i="4"/>
  <c r="AM27" i="4"/>
  <c r="AF27" i="4"/>
  <c r="AE27" i="4"/>
  <c r="AD27" i="4"/>
  <c r="W27" i="4"/>
  <c r="V27" i="4"/>
  <c r="U27" i="4"/>
  <c r="N27" i="4"/>
  <c r="M27" i="4"/>
  <c r="L27" i="4"/>
  <c r="H27" i="4"/>
  <c r="BG26" i="4"/>
  <c r="BF26" i="4"/>
  <c r="BE26" i="4"/>
  <c r="AX26" i="4"/>
  <c r="AW26" i="4"/>
  <c r="AV26" i="4"/>
  <c r="AO26" i="4"/>
  <c r="AN26" i="4"/>
  <c r="AM26" i="4"/>
  <c r="AF26" i="4"/>
  <c r="AE26" i="4"/>
  <c r="AD26" i="4"/>
  <c r="W26" i="4"/>
  <c r="V26" i="4"/>
  <c r="U26" i="4"/>
  <c r="N26" i="4"/>
  <c r="M26" i="4"/>
  <c r="L26" i="4"/>
  <c r="H26" i="4"/>
  <c r="BI26" i="4" s="1"/>
  <c r="BG25" i="4"/>
  <c r="BF25" i="4"/>
  <c r="BE25" i="4"/>
  <c r="AX25" i="4"/>
  <c r="AW25" i="4"/>
  <c r="AV25" i="4"/>
  <c r="AO25" i="4"/>
  <c r="AN25" i="4"/>
  <c r="AM25" i="4"/>
  <c r="AF25" i="4"/>
  <c r="AE25" i="4"/>
  <c r="AD25" i="4"/>
  <c r="W25" i="4"/>
  <c r="V25" i="4"/>
  <c r="U25" i="4"/>
  <c r="N25" i="4"/>
  <c r="M25" i="4"/>
  <c r="L25" i="4"/>
  <c r="H25" i="4"/>
  <c r="BG24" i="4"/>
  <c r="BF24" i="4"/>
  <c r="BE24" i="4"/>
  <c r="AX24" i="4"/>
  <c r="AW24" i="4"/>
  <c r="AV24" i="4"/>
  <c r="AO24" i="4"/>
  <c r="AN24" i="4"/>
  <c r="AM24" i="4"/>
  <c r="AF24" i="4"/>
  <c r="AE24" i="4"/>
  <c r="AD24" i="4"/>
  <c r="W24" i="4"/>
  <c r="V24" i="4"/>
  <c r="U24" i="4"/>
  <c r="N24" i="4"/>
  <c r="M24" i="4"/>
  <c r="L24" i="4"/>
  <c r="H24" i="4"/>
  <c r="P65" i="4" l="1"/>
  <c r="O65" i="4" s="1"/>
  <c r="AQ59" i="4"/>
  <c r="AP59" i="4" s="1"/>
  <c r="P55" i="4"/>
  <c r="O55" i="4" s="1"/>
  <c r="P130" i="4"/>
  <c r="O130" i="4" s="1"/>
  <c r="P114" i="4"/>
  <c r="O114" i="4" s="1"/>
  <c r="AQ112" i="4"/>
  <c r="AP112" i="4" s="1"/>
  <c r="AH112" i="4"/>
  <c r="AG112" i="4" s="1"/>
  <c r="P112" i="4"/>
  <c r="O112" i="4" s="1"/>
  <c r="AH77" i="4"/>
  <c r="AG77" i="4" s="1"/>
  <c r="Y66" i="4"/>
  <c r="X66" i="4" s="1"/>
  <c r="Y53" i="4"/>
  <c r="X53" i="4" s="1"/>
  <c r="P48" i="4"/>
  <c r="O48" i="4" s="1"/>
  <c r="AZ163" i="4"/>
  <c r="AY163" i="4" s="1"/>
  <c r="AH162" i="4"/>
  <c r="AG162" i="4" s="1"/>
  <c r="AZ161" i="4"/>
  <c r="AY161" i="4" s="1"/>
  <c r="AQ161" i="4"/>
  <c r="AP161" i="4" s="1"/>
  <c r="AH160" i="4"/>
  <c r="AG160" i="4" s="1"/>
  <c r="P160" i="4"/>
  <c r="O160" i="4" s="1"/>
  <c r="P159" i="4"/>
  <c r="O159" i="4" s="1"/>
  <c r="AQ157" i="4"/>
  <c r="AP157" i="4" s="1"/>
  <c r="AZ156" i="4"/>
  <c r="AY156" i="4" s="1"/>
  <c r="BI154" i="4"/>
  <c r="BH154" i="4" s="1"/>
  <c r="Y154" i="4"/>
  <c r="X154" i="4" s="1"/>
  <c r="AH153" i="4"/>
  <c r="AG153" i="4" s="1"/>
  <c r="P153" i="4"/>
  <c r="O153" i="4" s="1"/>
  <c r="AH152" i="4"/>
  <c r="AG152" i="4" s="1"/>
  <c r="AQ151" i="4"/>
  <c r="AP151" i="4" s="1"/>
  <c r="AZ148" i="4"/>
  <c r="AY148" i="4" s="1"/>
  <c r="AZ132" i="4"/>
  <c r="AY132" i="4" s="1"/>
  <c r="AH130" i="4"/>
  <c r="AG130" i="4" s="1"/>
  <c r="BI62" i="4"/>
  <c r="BH62" i="4" s="1"/>
  <c r="AZ53" i="4"/>
  <c r="AY53" i="4" s="1"/>
  <c r="AQ49" i="4"/>
  <c r="AP49" i="4" s="1"/>
  <c r="AQ48" i="4"/>
  <c r="AP48" i="4" s="1"/>
  <c r="BI43" i="4"/>
  <c r="BH43" i="4" s="1"/>
  <c r="BI147" i="4"/>
  <c r="BH147" i="4" s="1"/>
  <c r="AZ146" i="4"/>
  <c r="AY146" i="4" s="1"/>
  <c r="AQ146" i="4"/>
  <c r="AP146" i="4" s="1"/>
  <c r="BI145" i="4"/>
  <c r="BH145" i="4" s="1"/>
  <c r="AQ145" i="4"/>
  <c r="AP145" i="4" s="1"/>
  <c r="P145" i="4"/>
  <c r="O145" i="4" s="1"/>
  <c r="P144" i="4"/>
  <c r="O144" i="4" s="1"/>
  <c r="AQ143" i="4"/>
  <c r="AP143" i="4" s="1"/>
  <c r="AH143" i="4"/>
  <c r="AG143" i="4" s="1"/>
  <c r="P143" i="4"/>
  <c r="O143" i="4" s="1"/>
  <c r="AQ142" i="4"/>
  <c r="AP142" i="4" s="1"/>
  <c r="Y142" i="4"/>
  <c r="X142" i="4" s="1"/>
  <c r="AZ139" i="4"/>
  <c r="AY139" i="4" s="1"/>
  <c r="Y139" i="4"/>
  <c r="X139" i="4" s="1"/>
  <c r="AQ138" i="4"/>
  <c r="AP138" i="4" s="1"/>
  <c r="AH138" i="4"/>
  <c r="AG138" i="4" s="1"/>
  <c r="P138" i="4"/>
  <c r="O138" i="4" s="1"/>
  <c r="AQ137" i="4"/>
  <c r="AP137" i="4" s="1"/>
  <c r="AQ134" i="4"/>
  <c r="AP134" i="4" s="1"/>
  <c r="AZ133" i="4"/>
  <c r="AY133" i="4" s="1"/>
  <c r="AQ133" i="4"/>
  <c r="AP133" i="4" s="1"/>
  <c r="BI67" i="4"/>
  <c r="BH67" i="4" s="1"/>
  <c r="AH61" i="4"/>
  <c r="AG61" i="4" s="1"/>
  <c r="BI54" i="4"/>
  <c r="BH54" i="4" s="1"/>
  <c r="AQ53" i="4"/>
  <c r="AP53" i="4" s="1"/>
  <c r="BI49" i="4"/>
  <c r="BH49" i="4" s="1"/>
  <c r="Y48" i="4"/>
  <c r="X48" i="4" s="1"/>
  <c r="P129" i="4"/>
  <c r="O129" i="4" s="1"/>
  <c r="BI128" i="4"/>
  <c r="BH128" i="4" s="1"/>
  <c r="AQ128" i="4"/>
  <c r="AP128" i="4" s="1"/>
  <c r="AH128" i="4"/>
  <c r="AG128" i="4" s="1"/>
  <c r="P128" i="4"/>
  <c r="O128" i="4" s="1"/>
  <c r="AZ127" i="4"/>
  <c r="AY127" i="4" s="1"/>
  <c r="AQ125" i="4"/>
  <c r="AP125" i="4" s="1"/>
  <c r="P122" i="4"/>
  <c r="O122" i="4" s="1"/>
  <c r="BI120" i="4"/>
  <c r="BH120" i="4" s="1"/>
  <c r="AQ120" i="4"/>
  <c r="AP120" i="4" s="1"/>
  <c r="AH120" i="4"/>
  <c r="AG120" i="4" s="1"/>
  <c r="Y120" i="4"/>
  <c r="X120" i="4" s="1"/>
  <c r="P120" i="4"/>
  <c r="O120" i="4" s="1"/>
  <c r="BI119" i="4"/>
  <c r="BH119" i="4" s="1"/>
  <c r="AZ119" i="4"/>
  <c r="AY119" i="4" s="1"/>
  <c r="AQ119" i="4"/>
  <c r="AP119" i="4" s="1"/>
  <c r="AH116" i="4"/>
  <c r="AG116" i="4" s="1"/>
  <c r="BI114" i="4"/>
  <c r="BH114" i="4" s="1"/>
  <c r="AZ114" i="4"/>
  <c r="AY114" i="4" s="1"/>
  <c r="AH113" i="4"/>
  <c r="AG113" i="4" s="1"/>
  <c r="AH49" i="4"/>
  <c r="AG49" i="4" s="1"/>
  <c r="BI111" i="4"/>
  <c r="BH111" i="4" s="1"/>
  <c r="AQ111" i="4"/>
  <c r="AP111" i="4" s="1"/>
  <c r="Y111" i="4"/>
  <c r="X111" i="4" s="1"/>
  <c r="BI108" i="4"/>
  <c r="BH108" i="4" s="1"/>
  <c r="AQ108" i="4"/>
  <c r="AP108" i="4" s="1"/>
  <c r="AH108" i="4"/>
  <c r="AG108" i="4" s="1"/>
  <c r="Y108" i="4"/>
  <c r="X108" i="4" s="1"/>
  <c r="AQ107" i="4"/>
  <c r="AP107" i="4" s="1"/>
  <c r="AH107" i="4"/>
  <c r="AG107" i="4" s="1"/>
  <c r="P107" i="4"/>
  <c r="O107" i="4" s="1"/>
  <c r="AQ106" i="4"/>
  <c r="AP106" i="4" s="1"/>
  <c r="P106" i="4"/>
  <c r="O106" i="4" s="1"/>
  <c r="P105" i="4"/>
  <c r="O105" i="4" s="1"/>
  <c r="AQ104" i="4"/>
  <c r="AP104" i="4" s="1"/>
  <c r="P104" i="4"/>
  <c r="O104" i="4" s="1"/>
  <c r="AQ103" i="4"/>
  <c r="AP103" i="4" s="1"/>
  <c r="AH103" i="4"/>
  <c r="AG103" i="4" s="1"/>
  <c r="AQ102" i="4"/>
  <c r="AP102" i="4" s="1"/>
  <c r="AZ101" i="4"/>
  <c r="AY101" i="4" s="1"/>
  <c r="Y100" i="4"/>
  <c r="X100" i="4" s="1"/>
  <c r="AH99" i="4"/>
  <c r="AG99" i="4" s="1"/>
  <c r="AQ98" i="4"/>
  <c r="AP98" i="4" s="1"/>
  <c r="P98" i="4"/>
  <c r="O98" i="4" s="1"/>
  <c r="AZ97" i="4"/>
  <c r="AY97" i="4" s="1"/>
  <c r="AQ97" i="4"/>
  <c r="AP97" i="4" s="1"/>
  <c r="AH97" i="4"/>
  <c r="AG97" i="4" s="1"/>
  <c r="P97" i="4"/>
  <c r="O97" i="4" s="1"/>
  <c r="AH67" i="4"/>
  <c r="AG67" i="4" s="1"/>
  <c r="AZ61" i="4"/>
  <c r="AY61" i="4" s="1"/>
  <c r="AZ93" i="4"/>
  <c r="AY93" i="4" s="1"/>
  <c r="AQ93" i="4"/>
  <c r="AP93" i="4" s="1"/>
  <c r="AH93" i="4"/>
  <c r="AG93" i="4" s="1"/>
  <c r="Y93" i="4"/>
  <c r="X93" i="4" s="1"/>
  <c r="P93" i="4"/>
  <c r="O93" i="4" s="1"/>
  <c r="AZ92" i="4"/>
  <c r="AY92" i="4" s="1"/>
  <c r="AH92" i="4"/>
  <c r="AG92" i="4" s="1"/>
  <c r="Y92" i="4"/>
  <c r="X92" i="4" s="1"/>
  <c r="BI91" i="4"/>
  <c r="BH91" i="4" s="1"/>
  <c r="AH91" i="4"/>
  <c r="AG91" i="4" s="1"/>
  <c r="P91" i="4"/>
  <c r="O91" i="4" s="1"/>
  <c r="AQ90" i="4"/>
  <c r="AP90" i="4" s="1"/>
  <c r="AQ89" i="4"/>
  <c r="AP89" i="4" s="1"/>
  <c r="AH89" i="4"/>
  <c r="AG89" i="4" s="1"/>
  <c r="AQ88" i="4"/>
  <c r="AP88" i="4" s="1"/>
  <c r="AH88" i="4"/>
  <c r="AG88" i="4" s="1"/>
  <c r="P88" i="4"/>
  <c r="O88" i="4" s="1"/>
  <c r="AQ85" i="4"/>
  <c r="AP85" i="4" s="1"/>
  <c r="AH85" i="4"/>
  <c r="AG85" i="4" s="1"/>
  <c r="Y85" i="4"/>
  <c r="X85" i="4" s="1"/>
  <c r="BI84" i="4"/>
  <c r="BH84" i="4" s="1"/>
  <c r="AZ84" i="4"/>
  <c r="AY84" i="4" s="1"/>
  <c r="AQ84" i="4"/>
  <c r="AP84" i="4" s="1"/>
  <c r="AH84" i="4"/>
  <c r="AG84" i="4" s="1"/>
  <c r="P84" i="4"/>
  <c r="O84" i="4" s="1"/>
  <c r="P83" i="4"/>
  <c r="O83" i="4" s="1"/>
  <c r="AZ82" i="4"/>
  <c r="AY82" i="4" s="1"/>
  <c r="P82" i="4"/>
  <c r="O82" i="4" s="1"/>
  <c r="AQ81" i="4"/>
  <c r="AP81" i="4" s="1"/>
  <c r="P81" i="4"/>
  <c r="O81" i="4" s="1"/>
  <c r="P80" i="4"/>
  <c r="O80" i="4" s="1"/>
  <c r="Y79" i="4"/>
  <c r="X79" i="4" s="1"/>
  <c r="P79" i="4"/>
  <c r="O79" i="4" s="1"/>
  <c r="AQ72" i="4"/>
  <c r="AP72" i="4" s="1"/>
  <c r="AH71" i="4"/>
  <c r="AG71" i="4" s="1"/>
  <c r="AQ70" i="4"/>
  <c r="AP70" i="4" s="1"/>
  <c r="AZ69" i="4"/>
  <c r="AY69" i="4" s="1"/>
  <c r="AQ69" i="4"/>
  <c r="AP69" i="4" s="1"/>
  <c r="P69" i="4"/>
  <c r="O69" i="4" s="1"/>
  <c r="BI68" i="4"/>
  <c r="BH68" i="4" s="1"/>
  <c r="AQ68" i="4"/>
  <c r="AP68" i="4" s="1"/>
  <c r="AZ65" i="4"/>
  <c r="AY65" i="4" s="1"/>
  <c r="AQ61" i="4"/>
  <c r="AP61" i="4" s="1"/>
  <c r="AQ60" i="4"/>
  <c r="AP60" i="4" s="1"/>
  <c r="AZ49" i="4"/>
  <c r="AY49" i="4" s="1"/>
  <c r="AH45" i="4"/>
  <c r="AG45" i="4" s="1"/>
  <c r="AH76" i="4"/>
  <c r="AG76" i="4" s="1"/>
  <c r="Y76" i="4"/>
  <c r="X76" i="4" s="1"/>
  <c r="P76" i="4"/>
  <c r="O76" i="4" s="1"/>
  <c r="AH75" i="4"/>
  <c r="AG75" i="4" s="1"/>
  <c r="P73" i="4"/>
  <c r="O73" i="4" s="1"/>
  <c r="AH59" i="4"/>
  <c r="AG59" i="4" s="1"/>
  <c r="BI57" i="4"/>
  <c r="BH57" i="4" s="1"/>
  <c r="AZ57" i="4"/>
  <c r="AY57" i="4" s="1"/>
  <c r="AQ57" i="4"/>
  <c r="AP57" i="4" s="1"/>
  <c r="P57" i="4"/>
  <c r="O57" i="4" s="1"/>
  <c r="Y42" i="4"/>
  <c r="X42" i="4" s="1"/>
  <c r="P42" i="4"/>
  <c r="O42" i="4" s="1"/>
  <c r="AZ42" i="4"/>
  <c r="AY42" i="4" s="1"/>
  <c r="AQ41" i="4"/>
  <c r="AP41" i="4" s="1"/>
  <c r="P41" i="4"/>
  <c r="O41" i="4" s="1"/>
  <c r="Y40" i="4"/>
  <c r="X40" i="4" s="1"/>
  <c r="AZ37" i="4"/>
  <c r="AY37" i="4" s="1"/>
  <c r="Y37" i="4"/>
  <c r="X37" i="4" s="1"/>
  <c r="P36" i="4"/>
  <c r="O36" i="4" s="1"/>
  <c r="AZ35" i="4"/>
  <c r="AY35" i="4" s="1"/>
  <c r="AH35" i="4"/>
  <c r="AG35" i="4" s="1"/>
  <c r="P33" i="4"/>
  <c r="O33" i="4" s="1"/>
  <c r="Y31" i="4"/>
  <c r="X31" i="4" s="1"/>
  <c r="AH30" i="4"/>
  <c r="AG30" i="4" s="1"/>
  <c r="Y30" i="4"/>
  <c r="X30" i="4" s="1"/>
  <c r="P30" i="4"/>
  <c r="O30" i="4" s="1"/>
  <c r="AZ29" i="4"/>
  <c r="AY29" i="4" s="1"/>
  <c r="AQ29" i="4"/>
  <c r="AP29" i="4" s="1"/>
  <c r="AH27" i="4"/>
  <c r="AG27" i="4" s="1"/>
  <c r="BI25" i="4"/>
  <c r="BH25" i="4" s="1"/>
  <c r="AZ25" i="4"/>
  <c r="AY25" i="4" s="1"/>
  <c r="BI24" i="4"/>
  <c r="BH24" i="4" s="1"/>
  <c r="Y148" i="4"/>
  <c r="X148" i="4" s="1"/>
  <c r="P134" i="4"/>
  <c r="O134" i="4" s="1"/>
  <c r="BI130" i="4"/>
  <c r="BH130" i="4" s="1"/>
  <c r="Y130" i="4"/>
  <c r="X130" i="4" s="1"/>
  <c r="AQ67" i="4"/>
  <c r="AP67" i="4" s="1"/>
  <c r="AQ65" i="4"/>
  <c r="AP65" i="4" s="1"/>
  <c r="Y61" i="4"/>
  <c r="X61" i="4" s="1"/>
  <c r="BI60" i="4"/>
  <c r="BH60" i="4" s="1"/>
  <c r="Y49" i="4"/>
  <c r="X49" i="4" s="1"/>
  <c r="AZ48" i="4"/>
  <c r="AY48" i="4" s="1"/>
  <c r="Y45" i="4"/>
  <c r="X45" i="4" s="1"/>
  <c r="AH26" i="4"/>
  <c r="AZ51" i="4"/>
  <c r="AY51" i="4" s="1"/>
  <c r="Y55" i="4"/>
  <c r="X55" i="4" s="1"/>
  <c r="P59" i="4"/>
  <c r="O59" i="4" s="1"/>
  <c r="Y63" i="4"/>
  <c r="X63" i="4" s="1"/>
  <c r="AZ73" i="4"/>
  <c r="AY73" i="4" s="1"/>
  <c r="AQ77" i="4"/>
  <c r="AP77" i="4" s="1"/>
  <c r="BI100" i="4"/>
  <c r="BH100" i="4" s="1"/>
  <c r="Y105" i="4"/>
  <c r="X105" i="4" s="1"/>
  <c r="P113" i="4"/>
  <c r="O113" i="4" s="1"/>
  <c r="P135" i="4"/>
  <c r="O135" i="4" s="1"/>
  <c r="BI135" i="4"/>
  <c r="BH135" i="4" s="1"/>
  <c r="BI144" i="4"/>
  <c r="BH144" i="4" s="1"/>
  <c r="Y149" i="4"/>
  <c r="X149" i="4" s="1"/>
  <c r="P154" i="4"/>
  <c r="O154" i="4" s="1"/>
  <c r="BI33" i="4"/>
  <c r="BH33" i="4" s="1"/>
  <c r="P38" i="4"/>
  <c r="O38" i="4" s="1"/>
  <c r="BI38" i="4"/>
  <c r="BH38" i="4" s="1"/>
  <c r="AZ47" i="4"/>
  <c r="AY47" i="4" s="1"/>
  <c r="AZ78" i="4"/>
  <c r="AY78" i="4" s="1"/>
  <c r="AZ110" i="4"/>
  <c r="AY110" i="4" s="1"/>
  <c r="BI87" i="4"/>
  <c r="BH87" i="4" s="1"/>
  <c r="BI51" i="4"/>
  <c r="BH51" i="4" s="1"/>
  <c r="Y59" i="4"/>
  <c r="X59" i="4" s="1"/>
  <c r="BI73" i="4"/>
  <c r="BH73" i="4" s="1"/>
  <c r="P87" i="4"/>
  <c r="O87" i="4" s="1"/>
  <c r="P96" i="4"/>
  <c r="O96" i="4" s="1"/>
  <c r="P118" i="4"/>
  <c r="O118" i="4" s="1"/>
  <c r="Y126" i="4"/>
  <c r="X126" i="4" s="1"/>
  <c r="P127" i="4"/>
  <c r="O127" i="4" s="1"/>
  <c r="P136" i="4"/>
  <c r="O136" i="4" s="1"/>
  <c r="BI136" i="4"/>
  <c r="BH136" i="4" s="1"/>
  <c r="P140" i="4"/>
  <c r="O140" i="4" s="1"/>
  <c r="P51" i="4"/>
  <c r="O51" i="4" s="1"/>
  <c r="BI59" i="4"/>
  <c r="BH59" i="4" s="1"/>
  <c r="Y144" i="4"/>
  <c r="X144" i="4" s="1"/>
  <c r="Y164" i="4"/>
  <c r="X164" i="4" s="1"/>
  <c r="P24" i="4"/>
  <c r="O24" i="4" s="1"/>
  <c r="P25" i="4"/>
  <c r="O25" i="4" s="1"/>
  <c r="AZ26" i="4"/>
  <c r="Y33" i="4"/>
  <c r="X33" i="4" s="1"/>
  <c r="P34" i="4"/>
  <c r="O34" i="4" s="1"/>
  <c r="AH37" i="4"/>
  <c r="AG37" i="4" s="1"/>
  <c r="Y68" i="4"/>
  <c r="X68" i="4" s="1"/>
  <c r="BI69" i="4"/>
  <c r="BH69" i="4" s="1"/>
  <c r="BI83" i="4"/>
  <c r="BH83" i="4" s="1"/>
  <c r="Y91" i="4"/>
  <c r="X91" i="4" s="1"/>
  <c r="P92" i="4"/>
  <c r="O92" i="4" s="1"/>
  <c r="BI92" i="4"/>
  <c r="BH92" i="4" s="1"/>
  <c r="BI106" i="4"/>
  <c r="BH106" i="4" s="1"/>
  <c r="P110" i="4"/>
  <c r="O110" i="4" s="1"/>
  <c r="BI74" i="4"/>
  <c r="BH74" i="4" s="1"/>
  <c r="Y82" i="4"/>
  <c r="X82" i="4" s="1"/>
  <c r="AH117" i="4"/>
  <c r="AG117" i="4" s="1"/>
  <c r="AZ34" i="4"/>
  <c r="AY34" i="4" s="1"/>
  <c r="AQ27" i="4"/>
  <c r="AP27" i="4" s="1"/>
  <c r="Y35" i="4"/>
  <c r="X35" i="4" s="1"/>
  <c r="BI35" i="4"/>
  <c r="BH35" i="4" s="1"/>
  <c r="AZ36" i="4"/>
  <c r="AY36" i="4" s="1"/>
  <c r="AQ45" i="4"/>
  <c r="AP45" i="4" s="1"/>
  <c r="BI48" i="4"/>
  <c r="BH48" i="4" s="1"/>
  <c r="AH63" i="4"/>
  <c r="AG63" i="4" s="1"/>
  <c r="BI65" i="4"/>
  <c r="BH65" i="4" s="1"/>
  <c r="AZ75" i="4"/>
  <c r="AY75" i="4" s="1"/>
  <c r="AQ76" i="4"/>
  <c r="AP76" i="4" s="1"/>
  <c r="BI79" i="4"/>
  <c r="BH79" i="4" s="1"/>
  <c r="AQ99" i="4"/>
  <c r="AP99" i="4" s="1"/>
  <c r="AH100" i="4"/>
  <c r="AG100" i="4" s="1"/>
  <c r="Y101" i="4"/>
  <c r="X101" i="4" s="1"/>
  <c r="P102" i="4"/>
  <c r="O102" i="4" s="1"/>
  <c r="AH105" i="4"/>
  <c r="AG105" i="4" s="1"/>
  <c r="AZ120" i="4"/>
  <c r="AY120" i="4" s="1"/>
  <c r="P123" i="4"/>
  <c r="O123" i="4" s="1"/>
  <c r="P137" i="4"/>
  <c r="O137" i="4" s="1"/>
  <c r="BI137" i="4"/>
  <c r="BH137" i="4" s="1"/>
  <c r="AH144" i="4"/>
  <c r="AG144" i="4" s="1"/>
  <c r="BI146" i="4"/>
  <c r="BH146" i="4" s="1"/>
  <c r="AH154" i="4"/>
  <c r="AG154" i="4" s="1"/>
  <c r="BI161" i="4"/>
  <c r="BH161" i="4" s="1"/>
  <c r="Y34" i="4"/>
  <c r="X34" i="4" s="1"/>
  <c r="AQ37" i="4"/>
  <c r="AP37" i="4" s="1"/>
  <c r="AH44" i="4"/>
  <c r="AG44" i="4" s="1"/>
  <c r="BI70" i="4"/>
  <c r="BH70" i="4" s="1"/>
  <c r="Y106" i="4"/>
  <c r="X106" i="4" s="1"/>
  <c r="Y114" i="4"/>
  <c r="X114" i="4" s="1"/>
  <c r="AZ129" i="4"/>
  <c r="AY129" i="4" s="1"/>
  <c r="AQ130" i="4"/>
  <c r="AP130" i="4" s="1"/>
  <c r="P161" i="4"/>
  <c r="O161" i="4" s="1"/>
  <c r="P29" i="4"/>
  <c r="O29" i="4" s="1"/>
  <c r="BI40" i="4"/>
  <c r="BH40" i="4" s="1"/>
  <c r="AH82" i="4"/>
  <c r="AG82" i="4" s="1"/>
  <c r="AZ85" i="4"/>
  <c r="AY85" i="4" s="1"/>
  <c r="BI89" i="4"/>
  <c r="BH89" i="4" s="1"/>
  <c r="AZ116" i="4"/>
  <c r="AY116" i="4" s="1"/>
  <c r="AH124" i="4"/>
  <c r="AG124" i="4" s="1"/>
  <c r="AQ126" i="4"/>
  <c r="AP126" i="4" s="1"/>
  <c r="Y128" i="4"/>
  <c r="X128" i="4" s="1"/>
  <c r="AZ143" i="4"/>
  <c r="AY143" i="4" s="1"/>
  <c r="AZ27" i="4"/>
  <c r="AY27" i="4" s="1"/>
  <c r="AH29" i="4"/>
  <c r="AG29" i="4" s="1"/>
  <c r="AQ42" i="4"/>
  <c r="AP42" i="4" s="1"/>
  <c r="AH43" i="4"/>
  <c r="AG43" i="4" s="1"/>
  <c r="AZ45" i="4"/>
  <c r="AY45" i="4" s="1"/>
  <c r="AQ50" i="4"/>
  <c r="AP50" i="4" s="1"/>
  <c r="AH51" i="4"/>
  <c r="AG51" i="4" s="1"/>
  <c r="P53" i="4"/>
  <c r="O53" i="4" s="1"/>
  <c r="P66" i="4"/>
  <c r="O66" i="4" s="1"/>
  <c r="AH73" i="4"/>
  <c r="AG73" i="4" s="1"/>
  <c r="Y74" i="4"/>
  <c r="X74" i="4" s="1"/>
  <c r="P75" i="4"/>
  <c r="O75" i="4" s="1"/>
  <c r="BI75" i="4"/>
  <c r="BH75" i="4" s="1"/>
  <c r="Y80" i="4"/>
  <c r="X80" i="4" s="1"/>
  <c r="P89" i="4"/>
  <c r="O89" i="4" s="1"/>
  <c r="BI98" i="4"/>
  <c r="BH98" i="4" s="1"/>
  <c r="AQ105" i="4"/>
  <c r="AP105" i="4" s="1"/>
  <c r="BI107" i="4"/>
  <c r="BH107" i="4" s="1"/>
  <c r="AZ108" i="4"/>
  <c r="AY108" i="4" s="1"/>
  <c r="AQ113" i="4"/>
  <c r="AP113" i="4" s="1"/>
  <c r="Y123" i="4"/>
  <c r="X123" i="4" s="1"/>
  <c r="Y137" i="4"/>
  <c r="X137" i="4" s="1"/>
  <c r="AQ144" i="4"/>
  <c r="AP144" i="4" s="1"/>
  <c r="AQ149" i="4"/>
  <c r="AP149" i="4" s="1"/>
  <c r="AQ152" i="4"/>
  <c r="AP152" i="4" s="1"/>
  <c r="AQ154" i="4"/>
  <c r="AP154" i="4" s="1"/>
  <c r="BI162" i="4"/>
  <c r="BH162" i="4" s="1"/>
  <c r="Y71" i="4"/>
  <c r="X71" i="4" s="1"/>
  <c r="AH106" i="4"/>
  <c r="AG106" i="4" s="1"/>
  <c r="AH114" i="4"/>
  <c r="AG114" i="4" s="1"/>
  <c r="AH129" i="4"/>
  <c r="AG129" i="4" s="1"/>
  <c r="BI129" i="4"/>
  <c r="BH129" i="4" s="1"/>
  <c r="AZ130" i="4"/>
  <c r="AY130" i="4" s="1"/>
  <c r="BI138" i="4"/>
  <c r="BH138" i="4" s="1"/>
  <c r="Y143" i="4"/>
  <c r="X143" i="4" s="1"/>
  <c r="P152" i="4"/>
  <c r="O152" i="4" s="1"/>
  <c r="Y156" i="4"/>
  <c r="X156" i="4" s="1"/>
  <c r="Y161" i="4"/>
  <c r="X161" i="4" s="1"/>
  <c r="AH41" i="4"/>
  <c r="AG41" i="4" s="1"/>
  <c r="P58" i="4"/>
  <c r="O58" i="4" s="1"/>
  <c r="BI58" i="4"/>
  <c r="BH58" i="4" s="1"/>
  <c r="AQ82" i="4"/>
  <c r="AP82" i="4" s="1"/>
  <c r="AQ87" i="4"/>
  <c r="AP87" i="4" s="1"/>
  <c r="AQ91" i="4"/>
  <c r="AP91" i="4" s="1"/>
  <c r="Y94" i="4"/>
  <c r="X94" i="4" s="1"/>
  <c r="AQ96" i="4"/>
  <c r="AP96" i="4" s="1"/>
  <c r="Y104" i="4"/>
  <c r="X104" i="4" s="1"/>
  <c r="BI112" i="4"/>
  <c r="BH112" i="4" s="1"/>
  <c r="AH122" i="4"/>
  <c r="AG122" i="4" s="1"/>
  <c r="AQ135" i="4"/>
  <c r="AP135" i="4" s="1"/>
  <c r="AH34" i="4"/>
  <c r="AG34" i="4" s="1"/>
  <c r="AH47" i="4"/>
  <c r="AG47" i="4" s="1"/>
  <c r="AQ51" i="4"/>
  <c r="AP51" i="4" s="1"/>
  <c r="AZ63" i="4"/>
  <c r="AY63" i="4" s="1"/>
  <c r="AQ64" i="4"/>
  <c r="AP64" i="4" s="1"/>
  <c r="AQ73" i="4"/>
  <c r="AP73" i="4" s="1"/>
  <c r="BI76" i="4"/>
  <c r="BH76" i="4" s="1"/>
  <c r="P85" i="4"/>
  <c r="O85" i="4" s="1"/>
  <c r="P90" i="4"/>
  <c r="O90" i="4" s="1"/>
  <c r="BI90" i="4"/>
  <c r="BH90" i="4" s="1"/>
  <c r="BI99" i="4"/>
  <c r="BH99" i="4" s="1"/>
  <c r="AZ100" i="4"/>
  <c r="AY100" i="4" s="1"/>
  <c r="AQ101" i="4"/>
  <c r="AP101" i="4" s="1"/>
  <c r="AQ122" i="4"/>
  <c r="AP122" i="4" s="1"/>
  <c r="Y124" i="4"/>
  <c r="X124" i="4" s="1"/>
  <c r="AQ136" i="4"/>
  <c r="AP136" i="4" s="1"/>
  <c r="AH137" i="4"/>
  <c r="AG137" i="4" s="1"/>
  <c r="AZ144" i="4"/>
  <c r="AY144" i="4" s="1"/>
  <c r="AH148" i="4"/>
  <c r="AG148" i="4" s="1"/>
  <c r="AQ150" i="4"/>
  <c r="AP150" i="4" s="1"/>
  <c r="BI153" i="4"/>
  <c r="BH153" i="4" s="1"/>
  <c r="AH163" i="4"/>
  <c r="AG163" i="4" s="1"/>
  <c r="AZ164" i="4"/>
  <c r="AY164" i="4" s="1"/>
  <c r="AQ165" i="4"/>
  <c r="AP165" i="4" s="1"/>
  <c r="AH25" i="4"/>
  <c r="AG25" i="4" s="1"/>
  <c r="AQ33" i="4"/>
  <c r="AP33" i="4" s="1"/>
  <c r="AQ25" i="4"/>
  <c r="AP25" i="4" s="1"/>
  <c r="AZ33" i="4"/>
  <c r="AY33" i="4" s="1"/>
  <c r="AQ34" i="4"/>
  <c r="AP34" i="4" s="1"/>
  <c r="P37" i="4"/>
  <c r="O37" i="4" s="1"/>
  <c r="AQ39" i="4"/>
  <c r="AP39" i="4" s="1"/>
  <c r="AQ47" i="4"/>
  <c r="AP47" i="4" s="1"/>
  <c r="AZ55" i="4"/>
  <c r="AY55" i="4" s="1"/>
  <c r="AQ56" i="4"/>
  <c r="AP56" i="4" s="1"/>
  <c r="AH65" i="4"/>
  <c r="AG65" i="4" s="1"/>
  <c r="BI81" i="4"/>
  <c r="BH81" i="4" s="1"/>
  <c r="P99" i="4"/>
  <c r="O99" i="4" s="1"/>
  <c r="AZ109" i="4"/>
  <c r="AY109" i="4" s="1"/>
  <c r="AQ114" i="4"/>
  <c r="AP114" i="4" s="1"/>
  <c r="BI121" i="4"/>
  <c r="BH121" i="4" s="1"/>
  <c r="BI139" i="4"/>
  <c r="BH139" i="4" s="1"/>
  <c r="AH146" i="4"/>
  <c r="AG146" i="4" s="1"/>
  <c r="Y147" i="4"/>
  <c r="X147" i="4" s="1"/>
  <c r="AH151" i="4"/>
  <c r="AG151" i="4" s="1"/>
  <c r="AQ160" i="4"/>
  <c r="AP160" i="4" s="1"/>
  <c r="AH161" i="4"/>
  <c r="AG161" i="4" s="1"/>
  <c r="AZ121" i="4"/>
  <c r="AY121" i="4" s="1"/>
  <c r="AZ24" i="4"/>
  <c r="AY24" i="4" s="1"/>
  <c r="AQ24" i="4"/>
  <c r="AP24" i="4" s="1"/>
  <c r="P28" i="4"/>
  <c r="O28" i="4" s="1"/>
  <c r="AZ32" i="4"/>
  <c r="AY32" i="4" s="1"/>
  <c r="AZ41" i="4"/>
  <c r="AY41" i="4" s="1"/>
  <c r="AQ44" i="4"/>
  <c r="AP44" i="4" s="1"/>
  <c r="P52" i="4"/>
  <c r="O52" i="4" s="1"/>
  <c r="AH60" i="4"/>
  <c r="AG60" i="4" s="1"/>
  <c r="AZ60" i="4"/>
  <c r="AY60" i="4" s="1"/>
  <c r="P71" i="4"/>
  <c r="O71" i="4" s="1"/>
  <c r="P94" i="4"/>
  <c r="O94" i="4" s="1"/>
  <c r="AZ98" i="4"/>
  <c r="AY98" i="4" s="1"/>
  <c r="AQ127" i="4"/>
  <c r="AP127" i="4" s="1"/>
  <c r="AQ129" i="4"/>
  <c r="AP129" i="4" s="1"/>
  <c r="AZ135" i="4"/>
  <c r="AY135" i="4" s="1"/>
  <c r="AH136" i="4"/>
  <c r="AG136" i="4" s="1"/>
  <c r="P162" i="4"/>
  <c r="O162" i="4" s="1"/>
  <c r="P63" i="4"/>
  <c r="O63" i="4" s="1"/>
  <c r="BI80" i="4"/>
  <c r="BH80" i="4" s="1"/>
  <c r="BI86" i="4"/>
  <c r="BH86" i="4" s="1"/>
  <c r="AZ145" i="4"/>
  <c r="AY145" i="4" s="1"/>
  <c r="P148" i="4"/>
  <c r="O148" i="4" s="1"/>
  <c r="P26" i="4"/>
  <c r="AZ77" i="4"/>
  <c r="AY77" i="4" s="1"/>
  <c r="P86" i="4"/>
  <c r="O86" i="4" s="1"/>
  <c r="P95" i="4"/>
  <c r="O95" i="4" s="1"/>
  <c r="BI95" i="4"/>
  <c r="BH95" i="4" s="1"/>
  <c r="BI104" i="4"/>
  <c r="BH104" i="4" s="1"/>
  <c r="P109" i="4"/>
  <c r="O109" i="4" s="1"/>
  <c r="P115" i="4"/>
  <c r="O115" i="4" s="1"/>
  <c r="AZ115" i="4"/>
  <c r="AY115" i="4" s="1"/>
  <c r="Y119" i="4"/>
  <c r="X119" i="4" s="1"/>
  <c r="P121" i="4"/>
  <c r="O121" i="4" s="1"/>
  <c r="AZ138" i="4"/>
  <c r="AY138" i="4" s="1"/>
  <c r="BI148" i="4"/>
  <c r="BH148" i="4" s="1"/>
  <c r="Y162" i="4"/>
  <c r="X162" i="4" s="1"/>
  <c r="BI52" i="4"/>
  <c r="BH52" i="4" s="1"/>
  <c r="BI159" i="4"/>
  <c r="BH159" i="4" s="1"/>
  <c r="BI39" i="4"/>
  <c r="BH39" i="4" s="1"/>
  <c r="AZ39" i="4"/>
  <c r="AY39" i="4" s="1"/>
  <c r="BI55" i="4"/>
  <c r="BH55" i="4" s="1"/>
  <c r="AH57" i="4"/>
  <c r="AG57" i="4" s="1"/>
  <c r="Y60" i="4"/>
  <c r="X60" i="4" s="1"/>
  <c r="BI63" i="4"/>
  <c r="BH63" i="4" s="1"/>
  <c r="AZ72" i="4"/>
  <c r="AY72" i="4" s="1"/>
  <c r="AZ81" i="4"/>
  <c r="AY81" i="4" s="1"/>
  <c r="AZ90" i="4"/>
  <c r="AY90" i="4" s="1"/>
  <c r="P101" i="4"/>
  <c r="O101" i="4" s="1"/>
  <c r="AZ107" i="4"/>
  <c r="AY107" i="4" s="1"/>
  <c r="Y112" i="4"/>
  <c r="X112" i="4" s="1"/>
  <c r="P119" i="4"/>
  <c r="O119" i="4" s="1"/>
  <c r="Y121" i="4"/>
  <c r="X121" i="4" s="1"/>
  <c r="Y131" i="4"/>
  <c r="X131" i="4" s="1"/>
  <c r="P132" i="4"/>
  <c r="O132" i="4" s="1"/>
  <c r="AZ142" i="4"/>
  <c r="AY142" i="4" s="1"/>
  <c r="BI152" i="4"/>
  <c r="BH152" i="4" s="1"/>
  <c r="Y159" i="4"/>
  <c r="X159" i="4" s="1"/>
  <c r="AZ160" i="4"/>
  <c r="AY160" i="4" s="1"/>
  <c r="Y38" i="4"/>
  <c r="X38" i="4" s="1"/>
  <c r="AQ40" i="4"/>
  <c r="AP40" i="4" s="1"/>
  <c r="Y41" i="4"/>
  <c r="X41" i="4" s="1"/>
  <c r="Y44" i="4"/>
  <c r="X44" i="4" s="1"/>
  <c r="BI44" i="4"/>
  <c r="BH44" i="4" s="1"/>
  <c r="Y46" i="4"/>
  <c r="X46" i="4" s="1"/>
  <c r="P47" i="4"/>
  <c r="O47" i="4" s="1"/>
  <c r="P72" i="4"/>
  <c r="O72" i="4" s="1"/>
  <c r="BI72" i="4"/>
  <c r="BH72" i="4" s="1"/>
  <c r="Y83" i="4"/>
  <c r="X83" i="4" s="1"/>
  <c r="Y98" i="4"/>
  <c r="X98" i="4" s="1"/>
  <c r="AZ113" i="4"/>
  <c r="AY113" i="4" s="1"/>
  <c r="P142" i="4"/>
  <c r="O142" i="4" s="1"/>
  <c r="BI142" i="4"/>
  <c r="BH142" i="4" s="1"/>
  <c r="AZ153" i="4"/>
  <c r="AY153" i="4" s="1"/>
  <c r="Y155" i="4"/>
  <c r="X155" i="4" s="1"/>
  <c r="P156" i="4"/>
  <c r="O156" i="4" s="1"/>
  <c r="Y52" i="4"/>
  <c r="X52" i="4" s="1"/>
  <c r="Y24" i="4"/>
  <c r="X24" i="4" s="1"/>
  <c r="Y26" i="4"/>
  <c r="BI29" i="4"/>
  <c r="BH29" i="4" s="1"/>
  <c r="Y32" i="4"/>
  <c r="X32" i="4" s="1"/>
  <c r="AQ36" i="4"/>
  <c r="AP36" i="4" s="1"/>
  <c r="BI36" i="4"/>
  <c r="BH36" i="4" s="1"/>
  <c r="AQ43" i="4"/>
  <c r="AP43" i="4" s="1"/>
  <c r="AZ67" i="4"/>
  <c r="AY67" i="4" s="1"/>
  <c r="AZ105" i="4"/>
  <c r="AY105" i="4" s="1"/>
  <c r="AQ110" i="4"/>
  <c r="AP110" i="4" s="1"/>
  <c r="Y115" i="4"/>
  <c r="X115" i="4" s="1"/>
  <c r="AZ122" i="4"/>
  <c r="AY122" i="4" s="1"/>
  <c r="Y129" i="4"/>
  <c r="X129" i="4" s="1"/>
  <c r="Y152" i="4"/>
  <c r="X152" i="4" s="1"/>
  <c r="BI156" i="4"/>
  <c r="BH156" i="4" s="1"/>
  <c r="P32" i="4"/>
  <c r="O32" i="4" s="1"/>
  <c r="P77" i="4"/>
  <c r="O77" i="4" s="1"/>
  <c r="BI77" i="4"/>
  <c r="BH77" i="4" s="1"/>
  <c r="AZ99" i="4"/>
  <c r="AY99" i="4" s="1"/>
  <c r="BI127" i="4"/>
  <c r="BH127" i="4" s="1"/>
  <c r="AZ136" i="4"/>
  <c r="AY136" i="4" s="1"/>
  <c r="Y145" i="4"/>
  <c r="X145" i="4" s="1"/>
  <c r="AQ153" i="4"/>
  <c r="AP153" i="4" s="1"/>
  <c r="AH159" i="4"/>
  <c r="AG159" i="4" s="1"/>
  <c r="BI160" i="4"/>
  <c r="BH160" i="4" s="1"/>
  <c r="P27" i="4"/>
  <c r="O27" i="4" s="1"/>
  <c r="AH46" i="4"/>
  <c r="AG46" i="4" s="1"/>
  <c r="Y51" i="4"/>
  <c r="X51" i="4" s="1"/>
  <c r="P56" i="4"/>
  <c r="O56" i="4" s="1"/>
  <c r="AZ59" i="4"/>
  <c r="AY59" i="4" s="1"/>
  <c r="P64" i="4"/>
  <c r="O64" i="4" s="1"/>
  <c r="BI64" i="4"/>
  <c r="BH64" i="4" s="1"/>
  <c r="P67" i="4"/>
  <c r="O67" i="4" s="1"/>
  <c r="Y72" i="4"/>
  <c r="X72" i="4" s="1"/>
  <c r="AH74" i="4"/>
  <c r="AG74" i="4" s="1"/>
  <c r="Y77" i="4"/>
  <c r="X77" i="4" s="1"/>
  <c r="AH83" i="4"/>
  <c r="AG83" i="4" s="1"/>
  <c r="BI96" i="4"/>
  <c r="BH96" i="4" s="1"/>
  <c r="AH98" i="4"/>
  <c r="AG98" i="4" s="1"/>
  <c r="AH104" i="4"/>
  <c r="AG104" i="4" s="1"/>
  <c r="Y107" i="4"/>
  <c r="X107" i="4" s="1"/>
  <c r="BI113" i="4"/>
  <c r="BH113" i="4" s="1"/>
  <c r="P116" i="4"/>
  <c r="O116" i="4" s="1"/>
  <c r="AH121" i="4"/>
  <c r="AG121" i="4" s="1"/>
  <c r="BI125" i="4"/>
  <c r="BH125" i="4" s="1"/>
  <c r="AZ128" i="4"/>
  <c r="AY128" i="4" s="1"/>
  <c r="Y132" i="4"/>
  <c r="X132" i="4" s="1"/>
  <c r="AH133" i="4"/>
  <c r="AG133" i="4" s="1"/>
  <c r="AH135" i="4"/>
  <c r="AG135" i="4" s="1"/>
  <c r="AH141" i="4"/>
  <c r="AG141" i="4" s="1"/>
  <c r="Y163" i="4"/>
  <c r="X163" i="4" s="1"/>
  <c r="P35" i="4"/>
  <c r="O35" i="4" s="1"/>
  <c r="BI32" i="4"/>
  <c r="BH32" i="4" s="1"/>
  <c r="AH24" i="4"/>
  <c r="AG24" i="4" s="1"/>
  <c r="Y25" i="4"/>
  <c r="X25" i="4" s="1"/>
  <c r="AZ43" i="4"/>
  <c r="AY43" i="4" s="1"/>
  <c r="AH48" i="4"/>
  <c r="AG48" i="4" s="1"/>
  <c r="BI53" i="4"/>
  <c r="BH53" i="4" s="1"/>
  <c r="BI56" i="4"/>
  <c r="BH56" i="4" s="1"/>
  <c r="Y69" i="4"/>
  <c r="X69" i="4" s="1"/>
  <c r="AQ79" i="4"/>
  <c r="AP79" i="4" s="1"/>
  <c r="AH80" i="4"/>
  <c r="AG80" i="4" s="1"/>
  <c r="Y84" i="4"/>
  <c r="X84" i="4" s="1"/>
  <c r="Y88" i="4"/>
  <c r="X88" i="4" s="1"/>
  <c r="Y90" i="4"/>
  <c r="X90" i="4" s="1"/>
  <c r="BI93" i="4"/>
  <c r="BH93" i="4" s="1"/>
  <c r="AH95" i="4"/>
  <c r="AG95" i="4" s="1"/>
  <c r="AQ100" i="4"/>
  <c r="AP100" i="4" s="1"/>
  <c r="Y102" i="4"/>
  <c r="X102" i="4" s="1"/>
  <c r="BI102" i="4"/>
  <c r="BH102" i="4" s="1"/>
  <c r="BI105" i="4"/>
  <c r="BH105" i="4" s="1"/>
  <c r="P133" i="4"/>
  <c r="O133" i="4" s="1"/>
  <c r="BI133" i="4"/>
  <c r="BH133" i="4" s="1"/>
  <c r="Y138" i="4"/>
  <c r="X138" i="4" s="1"/>
  <c r="Y160" i="4"/>
  <c r="X160" i="4" s="1"/>
  <c r="AZ152" i="4"/>
  <c r="AY152" i="4" s="1"/>
  <c r="Y81" i="4"/>
  <c r="X81" i="4" s="1"/>
  <c r="Y113" i="4"/>
  <c r="X113" i="4" s="1"/>
  <c r="AH119" i="4"/>
  <c r="AG119" i="4" s="1"/>
  <c r="AH127" i="4"/>
  <c r="AG127" i="4" s="1"/>
  <c r="BI143" i="4"/>
  <c r="BH143" i="4" s="1"/>
  <c r="P150" i="4"/>
  <c r="O150" i="4" s="1"/>
  <c r="AZ154" i="4"/>
  <c r="AY154" i="4" s="1"/>
  <c r="AQ162" i="4"/>
  <c r="AP162" i="4" s="1"/>
  <c r="AH40" i="4"/>
  <c r="AG40" i="4" s="1"/>
  <c r="Y27" i="4"/>
  <c r="X27" i="4" s="1"/>
  <c r="AQ38" i="4"/>
  <c r="AP38" i="4" s="1"/>
  <c r="Y50" i="4"/>
  <c r="X50" i="4" s="1"/>
  <c r="Y56" i="4"/>
  <c r="X56" i="4" s="1"/>
  <c r="Y58" i="4"/>
  <c r="X58" i="4" s="1"/>
  <c r="Y64" i="4"/>
  <c r="X64" i="4" s="1"/>
  <c r="Y65" i="4"/>
  <c r="X65" i="4" s="1"/>
  <c r="Y67" i="4"/>
  <c r="X67" i="4" s="1"/>
  <c r="AQ71" i="4"/>
  <c r="AP71" i="4" s="1"/>
  <c r="AH72" i="4"/>
  <c r="AG72" i="4" s="1"/>
  <c r="AQ74" i="4"/>
  <c r="AP74" i="4" s="1"/>
  <c r="AZ76" i="4"/>
  <c r="AY76" i="4" s="1"/>
  <c r="P78" i="4"/>
  <c r="O78" i="4" s="1"/>
  <c r="AQ83" i="4"/>
  <c r="AP83" i="4" s="1"/>
  <c r="BI85" i="4"/>
  <c r="BH85" i="4" s="1"/>
  <c r="BI88" i="4"/>
  <c r="BH88" i="4" s="1"/>
  <c r="Y97" i="4"/>
  <c r="X97" i="4" s="1"/>
  <c r="P108" i="4"/>
  <c r="O108" i="4" s="1"/>
  <c r="P111" i="4"/>
  <c r="O111" i="4" s="1"/>
  <c r="Y116" i="4"/>
  <c r="X116" i="4" s="1"/>
  <c r="Y122" i="4"/>
  <c r="X122" i="4" s="1"/>
  <c r="AZ123" i="4"/>
  <c r="AY123" i="4" s="1"/>
  <c r="P139" i="4"/>
  <c r="O139" i="4" s="1"/>
  <c r="AZ151" i="4"/>
  <c r="AY151" i="4" s="1"/>
  <c r="AZ44" i="4"/>
  <c r="AY44" i="4" s="1"/>
  <c r="BI27" i="4"/>
  <c r="BH27" i="4" s="1"/>
  <c r="AH32" i="4"/>
  <c r="AG32" i="4" s="1"/>
  <c r="AQ35" i="4"/>
  <c r="AP35" i="4" s="1"/>
  <c r="Y39" i="4"/>
  <c r="X39" i="4" s="1"/>
  <c r="Y43" i="4"/>
  <c r="X43" i="4" s="1"/>
  <c r="AQ52" i="4"/>
  <c r="AP52" i="4" s="1"/>
  <c r="Y54" i="4"/>
  <c r="X54" i="4" s="1"/>
  <c r="AH55" i="4"/>
  <c r="AG55" i="4" s="1"/>
  <c r="Y57" i="4"/>
  <c r="X57" i="4" s="1"/>
  <c r="AH58" i="4"/>
  <c r="AG58" i="4" s="1"/>
  <c r="AH69" i="4"/>
  <c r="AG69" i="4" s="1"/>
  <c r="AQ80" i="4"/>
  <c r="AP80" i="4" s="1"/>
  <c r="AH87" i="4"/>
  <c r="AG87" i="4" s="1"/>
  <c r="AH90" i="4"/>
  <c r="AG90" i="4" s="1"/>
  <c r="AZ91" i="4"/>
  <c r="AY91" i="4" s="1"/>
  <c r="AQ95" i="4"/>
  <c r="AP95" i="4" s="1"/>
  <c r="Y99" i="4"/>
  <c r="X99" i="4" s="1"/>
  <c r="Y103" i="4"/>
  <c r="X103" i="4" s="1"/>
  <c r="AZ106" i="4"/>
  <c r="AY106" i="4" s="1"/>
  <c r="AQ109" i="4"/>
  <c r="AP109" i="4" s="1"/>
  <c r="AH115" i="4"/>
  <c r="AG115" i="4" s="1"/>
  <c r="AH142" i="4"/>
  <c r="AG142" i="4" s="1"/>
  <c r="AQ148" i="4"/>
  <c r="AP148" i="4" s="1"/>
  <c r="Y151" i="4"/>
  <c r="X151" i="4" s="1"/>
  <c r="Y153" i="4"/>
  <c r="X153" i="4" s="1"/>
  <c r="Y158" i="4"/>
  <c r="X158" i="4" s="1"/>
  <c r="Y165" i="4"/>
  <c r="X165" i="4" s="1"/>
  <c r="BI71" i="4"/>
  <c r="BH71" i="4" s="1"/>
  <c r="P44" i="4"/>
  <c r="O44" i="4" s="1"/>
  <c r="BI41" i="4"/>
  <c r="BH41" i="4" s="1"/>
  <c r="AH33" i="4"/>
  <c r="AG33" i="4" s="1"/>
  <c r="P43" i="4"/>
  <c r="O43" i="4" s="1"/>
  <c r="AZ52" i="4"/>
  <c r="AY52" i="4" s="1"/>
  <c r="AH53" i="4"/>
  <c r="AG53" i="4" s="1"/>
  <c r="AQ55" i="4"/>
  <c r="AP55" i="4" s="1"/>
  <c r="AZ68" i="4"/>
  <c r="AY68" i="4" s="1"/>
  <c r="AH81" i="4"/>
  <c r="AG81" i="4" s="1"/>
  <c r="BI82" i="4"/>
  <c r="BH82" i="4" s="1"/>
  <c r="AH96" i="4"/>
  <c r="AG96" i="4" s="1"/>
  <c r="BI97" i="4"/>
  <c r="BH97" i="4" s="1"/>
  <c r="P103" i="4"/>
  <c r="O103" i="4" s="1"/>
  <c r="BI103" i="4"/>
  <c r="BH103" i="4" s="1"/>
  <c r="AH110" i="4"/>
  <c r="AG110" i="4" s="1"/>
  <c r="AQ115" i="4"/>
  <c r="AP115" i="4" s="1"/>
  <c r="BI123" i="4"/>
  <c r="BH123" i="4" s="1"/>
  <c r="AQ124" i="4"/>
  <c r="AP124" i="4" s="1"/>
  <c r="AZ131" i="4"/>
  <c r="AY131" i="4" s="1"/>
  <c r="BI134" i="4"/>
  <c r="BH134" i="4" s="1"/>
  <c r="Y136" i="4"/>
  <c r="X136" i="4" s="1"/>
  <c r="AZ137" i="4"/>
  <c r="AY137" i="4" s="1"/>
  <c r="Y146" i="4"/>
  <c r="X146" i="4" s="1"/>
  <c r="P158" i="4"/>
  <c r="O158" i="4" s="1"/>
  <c r="AZ162" i="4"/>
  <c r="AY162" i="4" s="1"/>
  <c r="Y29" i="4"/>
  <c r="X29" i="4" s="1"/>
  <c r="AZ28" i="4"/>
  <c r="AY28" i="4" s="1"/>
  <c r="AQ26" i="4"/>
  <c r="AZ31" i="4"/>
  <c r="AY31" i="4" s="1"/>
  <c r="BI34" i="4"/>
  <c r="BH34" i="4" s="1"/>
  <c r="BI37" i="4"/>
  <c r="BH37" i="4" s="1"/>
  <c r="BI45" i="4"/>
  <c r="BH45" i="4" s="1"/>
  <c r="AH56" i="4"/>
  <c r="AG56" i="4" s="1"/>
  <c r="AQ63" i="4"/>
  <c r="AP63" i="4" s="1"/>
  <c r="AH64" i="4"/>
  <c r="AG64" i="4" s="1"/>
  <c r="AH68" i="4"/>
  <c r="AG68" i="4" s="1"/>
  <c r="AZ71" i="4"/>
  <c r="AY71" i="4" s="1"/>
  <c r="AZ79" i="4"/>
  <c r="AY79" i="4" s="1"/>
  <c r="AZ83" i="4"/>
  <c r="AY83" i="4" s="1"/>
  <c r="Y89" i="4"/>
  <c r="X89" i="4" s="1"/>
  <c r="AZ89" i="4"/>
  <c r="AY89" i="4" s="1"/>
  <c r="AQ92" i="4"/>
  <c r="AP92" i="4" s="1"/>
  <c r="P100" i="4"/>
  <c r="O100" i="4" s="1"/>
  <c r="AH101" i="4"/>
  <c r="AG101" i="4" s="1"/>
  <c r="AZ112" i="4"/>
  <c r="AY112" i="4" s="1"/>
  <c r="Y125" i="4"/>
  <c r="X125" i="4" s="1"/>
  <c r="AQ132" i="4"/>
  <c r="AP132" i="4" s="1"/>
  <c r="AH140" i="4"/>
  <c r="AG140" i="4" s="1"/>
  <c r="BI151" i="4"/>
  <c r="BH151" i="4" s="1"/>
  <c r="AZ155" i="4"/>
  <c r="AY155" i="4" s="1"/>
  <c r="AZ159" i="4"/>
  <c r="AY159" i="4" s="1"/>
  <c r="AZ38" i="4"/>
  <c r="AY38" i="4" s="1"/>
  <c r="AH42" i="4"/>
  <c r="AG42" i="4" s="1"/>
  <c r="AQ58" i="4"/>
  <c r="AP58" i="4" s="1"/>
  <c r="AZ62" i="4"/>
  <c r="AY62" i="4" s="1"/>
  <c r="AH62" i="4"/>
  <c r="AG62" i="4" s="1"/>
  <c r="AH28" i="4"/>
  <c r="AG28" i="4" s="1"/>
  <c r="AZ30" i="4"/>
  <c r="AY30" i="4" s="1"/>
  <c r="BI31" i="4"/>
  <c r="BH31" i="4" s="1"/>
  <c r="AH36" i="4"/>
  <c r="AG36" i="4" s="1"/>
  <c r="P39" i="4"/>
  <c r="O39" i="4" s="1"/>
  <c r="AQ54" i="4"/>
  <c r="AP54" i="4" s="1"/>
  <c r="AH39" i="4"/>
  <c r="AG39" i="4" s="1"/>
  <c r="P40" i="4"/>
  <c r="O40" i="4" s="1"/>
  <c r="AZ66" i="4"/>
  <c r="AY66" i="4" s="1"/>
  <c r="AQ46" i="4"/>
  <c r="AP46" i="4" s="1"/>
  <c r="AH31" i="4"/>
  <c r="AG31" i="4" s="1"/>
  <c r="AZ58" i="4"/>
  <c r="AY58" i="4" s="1"/>
  <c r="AQ62" i="4"/>
  <c r="AP62" i="4" s="1"/>
  <c r="AH66" i="4"/>
  <c r="AG66" i="4" s="1"/>
  <c r="P31" i="4"/>
  <c r="O31" i="4" s="1"/>
  <c r="AZ40" i="4"/>
  <c r="AY40" i="4" s="1"/>
  <c r="Y28" i="4"/>
  <c r="X28" i="4" s="1"/>
  <c r="AQ30" i="4"/>
  <c r="AP30" i="4" s="1"/>
  <c r="Y36" i="4"/>
  <c r="X36" i="4" s="1"/>
  <c r="AZ70" i="4"/>
  <c r="AY70" i="4" s="1"/>
  <c r="AH70" i="4"/>
  <c r="AG70" i="4" s="1"/>
  <c r="AQ28" i="4"/>
  <c r="AP28" i="4" s="1"/>
  <c r="AH38" i="4"/>
  <c r="AG38" i="4" s="1"/>
  <c r="BI42" i="4"/>
  <c r="BH42" i="4" s="1"/>
  <c r="P50" i="4"/>
  <c r="O50" i="4" s="1"/>
  <c r="AZ50" i="4"/>
  <c r="AY50" i="4" s="1"/>
  <c r="AZ54" i="4"/>
  <c r="AY54" i="4" s="1"/>
  <c r="P54" i="4"/>
  <c r="O54" i="4" s="1"/>
  <c r="AH54" i="4"/>
  <c r="AG54" i="4" s="1"/>
  <c r="Y62" i="4"/>
  <c r="X62" i="4" s="1"/>
  <c r="P70" i="4"/>
  <c r="O70" i="4" s="1"/>
  <c r="AQ31" i="4"/>
  <c r="AP31" i="4" s="1"/>
  <c r="AZ46" i="4"/>
  <c r="AY46" i="4" s="1"/>
  <c r="P46" i="4"/>
  <c r="O46" i="4" s="1"/>
  <c r="P74" i="4"/>
  <c r="O74" i="4" s="1"/>
  <c r="AZ74" i="4"/>
  <c r="AY74" i="4" s="1"/>
  <c r="AH50" i="4"/>
  <c r="AG50" i="4" s="1"/>
  <c r="AQ66" i="4"/>
  <c r="AP66" i="4" s="1"/>
  <c r="BI66" i="4"/>
  <c r="BH66" i="4" s="1"/>
  <c r="AZ118" i="4"/>
  <c r="AY118" i="4" s="1"/>
  <c r="Y118" i="4"/>
  <c r="X118" i="4" s="1"/>
  <c r="BI47" i="4"/>
  <c r="BH47" i="4" s="1"/>
  <c r="AQ78" i="4"/>
  <c r="AP78" i="4" s="1"/>
  <c r="AZ80" i="4"/>
  <c r="AY80" i="4" s="1"/>
  <c r="Y86" i="4"/>
  <c r="X86" i="4" s="1"/>
  <c r="AQ94" i="4"/>
  <c r="AP94" i="4" s="1"/>
  <c r="AH79" i="4"/>
  <c r="AG79" i="4" s="1"/>
  <c r="P60" i="4"/>
  <c r="O60" i="4" s="1"/>
  <c r="P68" i="4"/>
  <c r="O68" i="4" s="1"/>
  <c r="AQ118" i="4"/>
  <c r="AP118" i="4" s="1"/>
  <c r="AZ86" i="4"/>
  <c r="AY86" i="4" s="1"/>
  <c r="AH158" i="4"/>
  <c r="AG158" i="4" s="1"/>
  <c r="AQ141" i="4"/>
  <c r="AP141" i="4" s="1"/>
  <c r="Y141" i="4"/>
  <c r="X141" i="4" s="1"/>
  <c r="AZ141" i="4"/>
  <c r="AY141" i="4" s="1"/>
  <c r="AH78" i="4"/>
  <c r="AG78" i="4" s="1"/>
  <c r="AZ102" i="4"/>
  <c r="AY102" i="4" s="1"/>
  <c r="AH102" i="4"/>
  <c r="AG102" i="4" s="1"/>
  <c r="AQ117" i="4"/>
  <c r="AP117" i="4" s="1"/>
  <c r="Y117" i="4"/>
  <c r="X117" i="4" s="1"/>
  <c r="AZ117" i="4"/>
  <c r="AY117" i="4" s="1"/>
  <c r="AZ94" i="4"/>
  <c r="AY94" i="4" s="1"/>
  <c r="AH94" i="4"/>
  <c r="AG94" i="4" s="1"/>
  <c r="AQ158" i="4"/>
  <c r="AP158" i="4" s="1"/>
  <c r="Y75" i="4"/>
  <c r="X75" i="4" s="1"/>
  <c r="AQ75" i="4"/>
  <c r="AP75" i="4" s="1"/>
  <c r="AQ86" i="4"/>
  <c r="AP86" i="4" s="1"/>
  <c r="BI94" i="4"/>
  <c r="BH94" i="4" s="1"/>
  <c r="AH150" i="4"/>
  <c r="AG150" i="4" s="1"/>
  <c r="BI78" i="4"/>
  <c r="BH78" i="4" s="1"/>
  <c r="AZ150" i="4"/>
  <c r="AY150" i="4" s="1"/>
  <c r="Y150" i="4"/>
  <c r="X150" i="4" s="1"/>
  <c r="AH118" i="4"/>
  <c r="AG118" i="4" s="1"/>
  <c r="Y109" i="4"/>
  <c r="X109" i="4" s="1"/>
  <c r="P117" i="4"/>
  <c r="O117" i="4" s="1"/>
  <c r="AH149" i="4"/>
  <c r="AG149" i="4" s="1"/>
  <c r="AH157" i="4"/>
  <c r="AG157" i="4" s="1"/>
  <c r="AH165" i="4"/>
  <c r="AG165" i="4" s="1"/>
  <c r="AQ131" i="4"/>
  <c r="AP131" i="4" s="1"/>
  <c r="P141" i="4"/>
  <c r="O141" i="4" s="1"/>
  <c r="AZ111" i="4"/>
  <c r="AY111" i="4" s="1"/>
  <c r="AZ140" i="4"/>
  <c r="AY140" i="4" s="1"/>
  <c r="P149" i="4"/>
  <c r="O149" i="4" s="1"/>
  <c r="AZ149" i="4"/>
  <c r="AY149" i="4" s="1"/>
  <c r="BI150" i="4"/>
  <c r="BH150" i="4" s="1"/>
  <c r="AH156" i="4"/>
  <c r="AG156" i="4" s="1"/>
  <c r="P157" i="4"/>
  <c r="O157" i="4" s="1"/>
  <c r="AZ157" i="4"/>
  <c r="AY157" i="4" s="1"/>
  <c r="BI158" i="4"/>
  <c r="BH158" i="4" s="1"/>
  <c r="AH164" i="4"/>
  <c r="AG164" i="4" s="1"/>
  <c r="P165" i="4"/>
  <c r="O165" i="4" s="1"/>
  <c r="AZ165" i="4"/>
  <c r="AY165" i="4" s="1"/>
  <c r="AH111" i="4"/>
  <c r="AG111" i="4" s="1"/>
  <c r="BI109" i="4"/>
  <c r="BH109" i="4" s="1"/>
  <c r="AH126" i="4"/>
  <c r="AG126" i="4" s="1"/>
  <c r="Y134" i="4"/>
  <c r="X134" i="4" s="1"/>
  <c r="P164" i="4"/>
  <c r="O164" i="4" s="1"/>
  <c r="P124" i="4"/>
  <c r="O124" i="4" s="1"/>
  <c r="AH125" i="4"/>
  <c r="AG125" i="4" s="1"/>
  <c r="P147" i="4"/>
  <c r="O147" i="4" s="1"/>
  <c r="AZ147" i="4"/>
  <c r="AY147" i="4" s="1"/>
  <c r="P155" i="4"/>
  <c r="O155" i="4" s="1"/>
  <c r="P163" i="4"/>
  <c r="O163" i="4" s="1"/>
  <c r="BI116" i="4"/>
  <c r="BH116" i="4" s="1"/>
  <c r="BI117" i="4"/>
  <c r="BH117" i="4" s="1"/>
  <c r="BI118" i="4"/>
  <c r="BH118" i="4" s="1"/>
  <c r="AH123" i="4"/>
  <c r="AG123" i="4" s="1"/>
  <c r="P125" i="4"/>
  <c r="O125" i="4" s="1"/>
  <c r="Y133" i="4"/>
  <c r="X133" i="4" s="1"/>
  <c r="AH139" i="4"/>
  <c r="AG139" i="4" s="1"/>
  <c r="BI141" i="4"/>
  <c r="BH141" i="4" s="1"/>
  <c r="AQ116" i="4"/>
  <c r="AP116" i="4" s="1"/>
  <c r="AZ124" i="4"/>
  <c r="AY124" i="4" s="1"/>
  <c r="BI140" i="4"/>
  <c r="BH140" i="4" s="1"/>
  <c r="AH147" i="4"/>
  <c r="AG147" i="4" s="1"/>
  <c r="BI149" i="4"/>
  <c r="BH149" i="4" s="1"/>
  <c r="BI157" i="4"/>
  <c r="BH157" i="4" s="1"/>
  <c r="BI165" i="4"/>
  <c r="BH165" i="4" s="1"/>
  <c r="AZ88" i="4"/>
  <c r="AY88" i="4" s="1"/>
  <c r="AZ96" i="4"/>
  <c r="AY96" i="4" s="1"/>
  <c r="AZ104" i="4"/>
  <c r="AY104" i="4" s="1"/>
  <c r="P126" i="4"/>
  <c r="O126" i="4" s="1"/>
  <c r="BI131" i="4"/>
  <c r="BH131" i="4" s="1"/>
  <c r="P131" i="4"/>
  <c r="O131" i="4" s="1"/>
  <c r="BI164" i="4"/>
  <c r="BH164" i="4" s="1"/>
  <c r="BI110" i="4"/>
  <c r="BH110" i="4" s="1"/>
  <c r="AH132" i="4"/>
  <c r="AG132" i="4" s="1"/>
  <c r="BI132" i="4"/>
  <c r="BH132" i="4" s="1"/>
  <c r="AH134" i="4"/>
  <c r="AG134" i="4" s="1"/>
  <c r="AQ140" i="4"/>
  <c r="AP140" i="4" s="1"/>
  <c r="AZ87" i="4"/>
  <c r="AY87" i="4" s="1"/>
  <c r="AZ95" i="4"/>
  <c r="AY95" i="4" s="1"/>
  <c r="AZ103" i="4"/>
  <c r="AY103" i="4" s="1"/>
  <c r="Y110" i="4"/>
  <c r="X110" i="4" s="1"/>
  <c r="BI155" i="4"/>
  <c r="BH155" i="4" s="1"/>
  <c r="AQ156" i="4"/>
  <c r="AP156" i="4" s="1"/>
  <c r="BI163" i="4"/>
  <c r="BH163" i="4" s="1"/>
  <c r="AQ164" i="4"/>
  <c r="AP164" i="4" s="1"/>
  <c r="AQ123" i="4"/>
  <c r="AP123" i="4" s="1"/>
  <c r="AQ139" i="4"/>
  <c r="AP139" i="4" s="1"/>
  <c r="AZ158" i="4"/>
  <c r="AY158" i="4" s="1"/>
  <c r="BI124" i="4"/>
  <c r="BH124" i="4" s="1"/>
  <c r="BI126" i="4"/>
  <c r="BH126" i="4" s="1"/>
  <c r="AH131" i="4"/>
  <c r="AG131" i="4" s="1"/>
  <c r="Y140" i="4"/>
  <c r="X140" i="4" s="1"/>
  <c r="AQ147" i="4"/>
  <c r="AP147" i="4" s="1"/>
  <c r="AQ155" i="4"/>
  <c r="AP155" i="4" s="1"/>
  <c r="AQ163" i="4"/>
  <c r="AP163" i="4" s="1"/>
  <c r="BG167" i="4"/>
  <c r="BF167" i="4"/>
  <c r="BE167" i="4"/>
  <c r="BG166" i="4"/>
  <c r="BF166" i="4"/>
  <c r="BE166" i="4"/>
  <c r="BG23" i="4"/>
  <c r="BF23" i="4"/>
  <c r="BE23" i="4"/>
  <c r="BG22" i="4"/>
  <c r="BF22" i="4"/>
  <c r="BE22" i="4"/>
  <c r="A30" i="19" a="1"/>
  <c r="A47" i="18" a="1"/>
  <c r="A17" i="18" a="1"/>
  <c r="A8" i="18" a="1"/>
  <c r="A4" i="18" a="1"/>
  <c r="A3" i="18" a="1"/>
  <c r="A45" i="17" a="1"/>
  <c r="A30" i="17" a="1"/>
  <c r="A24" i="17" a="1"/>
  <c r="A20" i="17" a="1"/>
  <c r="A19" i="17" a="1"/>
  <c r="A18" i="17" a="1"/>
  <c r="A16" i="17" a="1"/>
  <c r="A14" i="17" a="1"/>
  <c r="A13" i="17" a="1"/>
  <c r="A12" i="17" a="1"/>
  <c r="A10" i="17" a="1"/>
  <c r="A8" i="17" a="1"/>
  <c r="A7" i="17" a="1"/>
  <c r="A6" i="17" a="1"/>
  <c r="A5" i="17" a="1"/>
  <c r="A4" i="17" a="1"/>
  <c r="A3" i="17" a="1"/>
  <c r="I72" i="16" a="1"/>
  <c r="H72" i="16" a="1"/>
  <c r="A72" i="16" a="1"/>
  <c r="I71" i="16" a="1"/>
  <c r="H71" i="16" a="1"/>
  <c r="A71" i="16" a="1"/>
  <c r="A70" i="16" a="1"/>
  <c r="A67" i="16" a="1"/>
  <c r="A66" i="16" a="1"/>
  <c r="A65" i="16" a="1"/>
  <c r="A64" i="16" a="1"/>
  <c r="A63" i="16" a="1"/>
  <c r="A62" i="16" a="1"/>
  <c r="A61" i="16" a="1"/>
  <c r="A60" i="16" a="1"/>
  <c r="A59" i="16" a="1"/>
  <c r="A58" i="16" a="1"/>
  <c r="A57" i="16" a="1"/>
  <c r="A56" i="16" a="1"/>
  <c r="A55" i="16" a="1"/>
  <c r="A54" i="16" a="1"/>
  <c r="A53" i="16" a="1"/>
  <c r="A52" i="16" a="1"/>
  <c r="A51" i="16" a="1"/>
  <c r="A50" i="16" a="1"/>
  <c r="A49" i="16" a="1"/>
  <c r="A48" i="16" a="1"/>
  <c r="A47" i="16" a="1"/>
  <c r="A46" i="16" a="1"/>
  <c r="A45" i="16" a="1"/>
  <c r="A44" i="16" a="1"/>
  <c r="A43" i="16" a="1"/>
  <c r="A42" i="16" a="1"/>
  <c r="A41" i="16" a="1"/>
  <c r="A40" i="16" a="1"/>
  <c r="A39" i="16" a="1"/>
  <c r="A38" i="16" a="1"/>
  <c r="A37" i="16" a="1"/>
  <c r="A36" i="16" a="1"/>
  <c r="A35" i="16" a="1"/>
  <c r="A34" i="16" a="1"/>
  <c r="A33" i="16" a="1"/>
  <c r="A32" i="16" a="1"/>
  <c r="A31" i="16" a="1"/>
  <c r="A30" i="16" a="1"/>
  <c r="A29" i="16" a="1"/>
  <c r="A28" i="16" a="1"/>
  <c r="A27" i="16" a="1"/>
  <c r="A26" i="16" a="1"/>
  <c r="A25" i="16" a="1"/>
  <c r="A24" i="16" a="1"/>
  <c r="A23" i="16" a="1"/>
  <c r="A22" i="16" a="1"/>
  <c r="A21" i="16" a="1"/>
  <c r="A20" i="16" a="1"/>
  <c r="A19" i="16" a="1"/>
  <c r="A18" i="16" a="1"/>
  <c r="A17" i="16" a="1"/>
  <c r="A16" i="16" a="1"/>
  <c r="A15" i="16" a="1"/>
  <c r="A14" i="16" a="1"/>
  <c r="A13" i="16" a="1"/>
  <c r="A12" i="16" a="1"/>
  <c r="A11" i="16" a="1"/>
  <c r="A10" i="16" a="1"/>
  <c r="A9" i="16" a="1"/>
  <c r="A8" i="16" a="1"/>
  <c r="A7" i="16" a="1"/>
  <c r="A6" i="16" a="1"/>
  <c r="A5" i="16" a="1"/>
  <c r="A4" i="16" a="1"/>
  <c r="A3" i="16" a="1"/>
  <c r="I72" i="15" a="1"/>
  <c r="H72" i="15" a="1"/>
  <c r="A72" i="15" a="1"/>
  <c r="A71" i="15" a="1"/>
  <c r="A70" i="15" a="1"/>
  <c r="A69" i="15" a="1"/>
  <c r="A68" i="15" a="1"/>
  <c r="A67" i="15" a="1"/>
  <c r="A66" i="15" a="1"/>
  <c r="A65" i="15" a="1"/>
  <c r="A64" i="15" a="1"/>
  <c r="A63" i="15" a="1"/>
  <c r="A62" i="15" a="1"/>
  <c r="A61" i="15" a="1"/>
  <c r="A60" i="15" a="1"/>
  <c r="A59" i="15" a="1"/>
  <c r="A58" i="15" a="1"/>
  <c r="A57" i="15" a="1"/>
  <c r="A56" i="15" a="1"/>
  <c r="A55" i="15" a="1"/>
  <c r="A54" i="15" a="1"/>
  <c r="A53" i="15" a="1"/>
  <c r="A52" i="15" a="1"/>
  <c r="A51" i="15" a="1"/>
  <c r="A50" i="15" a="1"/>
  <c r="A49" i="15" a="1"/>
  <c r="A48" i="15" a="1"/>
  <c r="A47" i="15" a="1"/>
  <c r="A46" i="15" a="1"/>
  <c r="A45" i="15" a="1"/>
  <c r="A44" i="15" a="1"/>
  <c r="A43" i="15" a="1"/>
  <c r="A42" i="15" a="1"/>
  <c r="A41" i="15" a="1"/>
  <c r="A40" i="15" a="1"/>
  <c r="A39" i="15" a="1"/>
  <c r="A38" i="15" a="1"/>
  <c r="A37" i="15" a="1"/>
  <c r="A36" i="15" a="1"/>
  <c r="A35" i="15" a="1"/>
  <c r="A34" i="15" a="1"/>
  <c r="A33" i="15" a="1"/>
  <c r="A32" i="15" a="1"/>
  <c r="A31" i="15" a="1"/>
  <c r="A30" i="15" a="1"/>
  <c r="A29" i="15" a="1"/>
  <c r="A28" i="15" a="1"/>
  <c r="A27" i="15" a="1"/>
  <c r="A26" i="15" a="1"/>
  <c r="A25" i="15" a="1"/>
  <c r="A24" i="15" a="1"/>
  <c r="A23" i="15" a="1"/>
  <c r="A22" i="15" a="1"/>
  <c r="A21" i="15" a="1"/>
  <c r="A20" i="15" a="1"/>
  <c r="A19" i="15" a="1"/>
  <c r="A18" i="15" a="1"/>
  <c r="A17" i="15" a="1"/>
  <c r="A16" i="15" a="1"/>
  <c r="A15" i="15" a="1"/>
  <c r="A14" i="15" a="1"/>
  <c r="A13" i="15" a="1"/>
  <c r="A12" i="15" a="1"/>
  <c r="A11" i="15" a="1"/>
  <c r="A10" i="15" a="1"/>
  <c r="A9" i="15" a="1"/>
  <c r="A8" i="15" a="1"/>
  <c r="A7" i="15" a="1"/>
  <c r="A6" i="15" a="1"/>
  <c r="A5" i="15" a="1"/>
  <c r="A4" i="15" a="1"/>
  <c r="A3" i="15" a="1"/>
  <c r="AK1" i="9"/>
  <c r="F1" i="19" s="1" a="1"/>
  <c r="AX167" i="4"/>
  <c r="AW167" i="4"/>
  <c r="AV167" i="4"/>
  <c r="AX166" i="4"/>
  <c r="AW166" i="4"/>
  <c r="AV166" i="4"/>
  <c r="AX23" i="4"/>
  <c r="AW23" i="4"/>
  <c r="AV23" i="4"/>
  <c r="AX22" i="4"/>
  <c r="AW22" i="4"/>
  <c r="AV22" i="4"/>
  <c r="AB1" i="9"/>
  <c r="F1" i="18" s="1" a="1"/>
  <c r="AO167" i="4"/>
  <c r="AN167" i="4"/>
  <c r="AM167" i="4"/>
  <c r="AO166" i="4"/>
  <c r="AN166" i="4"/>
  <c r="AM166" i="4"/>
  <c r="AO23" i="4"/>
  <c r="AN23" i="4"/>
  <c r="AM23" i="4"/>
  <c r="AO22" i="4"/>
  <c r="AN22" i="4"/>
  <c r="AM22" i="4"/>
  <c r="S1" i="9"/>
  <c r="F1" i="17" s="1" a="1"/>
  <c r="J1" i="9"/>
  <c r="F1" i="16" s="1" a="1"/>
  <c r="A1" i="9"/>
  <c r="F1" i="15" s="1" a="1"/>
  <c r="A10" i="19" l="1" a="1"/>
  <c r="A5" i="19" a="1"/>
  <c r="A11" i="19" a="1"/>
  <c r="A19" i="19" a="1"/>
  <c r="A20" i="19" a="1"/>
  <c r="A6" i="19" a="1"/>
  <c r="A12" i="19" a="1"/>
  <c r="A22" i="19" a="1"/>
  <c r="A7" i="19" a="1"/>
  <c r="A8" i="19" a="1"/>
  <c r="A15" i="19" a="1"/>
  <c r="A25" i="19" a="1"/>
  <c r="A17" i="19" a="1"/>
  <c r="A26" i="19" a="1"/>
  <c r="A3" i="19" a="1"/>
  <c r="A16" i="19" a="1"/>
  <c r="A4" i="19" a="1"/>
  <c r="A9" i="19" a="1"/>
  <c r="A16" i="18" a="1"/>
  <c r="A10" i="18" a="1"/>
  <c r="A20" i="18" a="1"/>
  <c r="A5" i="18" a="1"/>
  <c r="A6" i="18" a="1"/>
  <c r="A12" i="18" a="1"/>
  <c r="A28" i="18" a="1"/>
  <c r="A7" i="18" a="1"/>
  <c r="A13" i="18" a="1"/>
  <c r="A32" i="18" a="1"/>
  <c r="A14" i="18" a="1"/>
  <c r="A68" i="16" a="1"/>
  <c r="A69" i="16" a="1"/>
  <c r="BE168" i="4"/>
  <c r="A31" i="19" a="1"/>
  <c r="A39" i="19" a="1"/>
  <c r="A32" i="19" a="1"/>
  <c r="A47" i="19" a="1"/>
  <c r="A56" i="19" a="1"/>
  <c r="I72" i="19" a="1"/>
  <c r="A72" i="19" a="1"/>
  <c r="A68" i="19" a="1"/>
  <c r="A64" i="19" a="1"/>
  <c r="A60" i="19" a="1"/>
  <c r="H72" i="19" a="1"/>
  <c r="I71" i="19" a="1"/>
  <c r="A71" i="19" a="1"/>
  <c r="A67" i="19" a="1"/>
  <c r="A63" i="19" a="1"/>
  <c r="A59" i="19" a="1"/>
  <c r="A55" i="19" a="1"/>
  <c r="A51" i="19" a="1"/>
  <c r="H71" i="19" a="1"/>
  <c r="A70" i="19" a="1"/>
  <c r="A66" i="19" a="1"/>
  <c r="A62" i="19" a="1"/>
  <c r="A58" i="19" a="1"/>
  <c r="A69" i="19" a="1"/>
  <c r="A45" i="19" a="1"/>
  <c r="A37" i="19" a="1"/>
  <c r="A34" i="19" a="1"/>
  <c r="A61" i="19" a="1"/>
  <c r="A43" i="19" a="1"/>
  <c r="A36" i="19" a="1"/>
  <c r="A33" i="19" a="1"/>
  <c r="A42" i="19" a="1"/>
  <c r="A50" i="19" a="1"/>
  <c r="A57" i="19" a="1"/>
  <c r="A54" i="19" a="1"/>
  <c r="A53" i="19" a="1"/>
  <c r="A52" i="19" a="1"/>
  <c r="A49" i="19" a="1"/>
  <c r="A41" i="19" a="1"/>
  <c r="A48" i="19" a="1"/>
  <c r="A40" i="19" a="1"/>
  <c r="A46" i="19" a="1"/>
  <c r="A23" i="19" a="1"/>
  <c r="A27" i="19" a="1"/>
  <c r="A13" i="19" a="1"/>
  <c r="A18" i="19" a="1"/>
  <c r="A24" i="19" a="1"/>
  <c r="A65" i="19" a="1"/>
  <c r="A28" i="19" a="1"/>
  <c r="A21" i="19" a="1"/>
  <c r="A35" i="19" a="1"/>
  <c r="A44" i="19" a="1"/>
  <c r="A29" i="19" a="1"/>
  <c r="A14" i="19" a="1"/>
  <c r="A38" i="19" a="1"/>
  <c r="A57" i="18" a="1"/>
  <c r="A15" i="18" a="1"/>
  <c r="A9" i="18" a="1"/>
  <c r="A11" i="18" a="1"/>
  <c r="A24" i="18" a="1"/>
  <c r="I72" i="18" a="1"/>
  <c r="A72" i="18" a="1"/>
  <c r="A68" i="18" a="1"/>
  <c r="A64" i="18" a="1"/>
  <c r="A60" i="18" a="1"/>
  <c r="A56" i="18" a="1"/>
  <c r="A52" i="18" a="1"/>
  <c r="A48" i="18" a="1"/>
  <c r="A44" i="18" a="1"/>
  <c r="A40" i="18" a="1"/>
  <c r="H72" i="18" a="1"/>
  <c r="I71" i="18" a="1"/>
  <c r="A71" i="18" a="1"/>
  <c r="A67" i="18" a="1"/>
  <c r="A63" i="18" a="1"/>
  <c r="A59" i="18" a="1"/>
  <c r="A55" i="18" a="1"/>
  <c r="A51" i="18" a="1"/>
  <c r="H71" i="18" a="1"/>
  <c r="A70" i="18" a="1"/>
  <c r="A66" i="18" a="1"/>
  <c r="A62" i="18" a="1"/>
  <c r="A69" i="18" a="1"/>
  <c r="A54" i="18" a="1"/>
  <c r="A35" i="18" a="1"/>
  <c r="A31" i="18" a="1"/>
  <c r="A27" i="18" a="1"/>
  <c r="A23" i="18" a="1"/>
  <c r="A19" i="18" a="1"/>
  <c r="A65" i="18" a="1"/>
  <c r="A49" i="18" a="1"/>
  <c r="A61" i="18" a="1"/>
  <c r="A39" i="18" a="1"/>
  <c r="A34" i="18" a="1"/>
  <c r="A30" i="18" a="1"/>
  <c r="A26" i="18" a="1"/>
  <c r="A22" i="18" a="1"/>
  <c r="A18" i="18" a="1"/>
  <c r="A58" i="18" a="1"/>
  <c r="A43" i="18" a="1"/>
  <c r="A42" i="18" a="1"/>
  <c r="A41" i="18" a="1"/>
  <c r="A50" i="18" a="1"/>
  <c r="A38" i="18" a="1"/>
  <c r="A45" i="18" a="1"/>
  <c r="A53" i="18" a="1"/>
  <c r="A37" i="18" a="1"/>
  <c r="A33" i="18" a="1"/>
  <c r="A29" i="18" a="1"/>
  <c r="A25" i="18" a="1"/>
  <c r="A21" i="18" a="1"/>
  <c r="A46" i="18" a="1"/>
  <c r="A36" i="18" a="1"/>
  <c r="A26" i="17" a="1"/>
  <c r="A28" i="17" a="1"/>
  <c r="A34" i="17" a="1"/>
  <c r="A23" i="17" a="1"/>
  <c r="A57" i="17" a="1"/>
  <c r="A48" i="17" a="1"/>
  <c r="A22" i="17" a="1"/>
  <c r="A9" i="17" a="1"/>
  <c r="I72" i="17" a="1"/>
  <c r="A72" i="17" a="1"/>
  <c r="A68" i="17" a="1"/>
  <c r="A64" i="17" a="1"/>
  <c r="A60" i="17" a="1"/>
  <c r="H72" i="17" a="1"/>
  <c r="I71" i="17" a="1"/>
  <c r="A71" i="17" a="1"/>
  <c r="A67" i="17" a="1"/>
  <c r="A63" i="17" a="1"/>
  <c r="A59" i="17" a="1"/>
  <c r="A55" i="17" a="1"/>
  <c r="A51" i="17" a="1"/>
  <c r="A47" i="17" a="1"/>
  <c r="H71" i="17" a="1"/>
  <c r="A70" i="17" a="1"/>
  <c r="A66" i="17" a="1"/>
  <c r="A62" i="17" a="1"/>
  <c r="A44" i="17" a="1"/>
  <c r="A69" i="17" a="1"/>
  <c r="A49" i="17" a="1"/>
  <c r="A40" i="17" a="1"/>
  <c r="A50" i="17" a="1"/>
  <c r="A36" i="17" a="1"/>
  <c r="A33" i="17" a="1"/>
  <c r="A29" i="17" a="1"/>
  <c r="A25" i="17" a="1"/>
  <c r="A21" i="17" a="1"/>
  <c r="A17" i="17" a="1"/>
  <c r="A65" i="17" a="1"/>
  <c r="A58" i="17" a="1"/>
  <c r="A43" i="17" a="1"/>
  <c r="A61" i="17" a="1"/>
  <c r="A39" i="17" a="1"/>
  <c r="A32" i="17" a="1"/>
  <c r="A56" i="17" a="1"/>
  <c r="A52" i="17" a="1"/>
  <c r="A42" i="17" a="1"/>
  <c r="A38" i="17" a="1"/>
  <c r="A35" i="17" a="1"/>
  <c r="A31" i="17" a="1"/>
  <c r="A53" i="17" a="1"/>
  <c r="A54" i="17" a="1"/>
  <c r="A46" i="17" a="1"/>
  <c r="A41" i="17" a="1"/>
  <c r="A11" i="17" a="1"/>
  <c r="A15" i="17" a="1"/>
  <c r="A27" i="17" a="1"/>
  <c r="A37" i="17" a="1"/>
  <c r="AV168" i="4"/>
  <c r="AM168" i="4"/>
  <c r="AF167" i="4"/>
  <c r="AE167" i="4"/>
  <c r="AD167" i="4"/>
  <c r="AF166" i="4"/>
  <c r="AE166" i="4"/>
  <c r="AD166" i="4"/>
  <c r="AF23" i="4"/>
  <c r="AE23" i="4"/>
  <c r="AD23" i="4"/>
  <c r="AF22" i="4"/>
  <c r="AE22" i="4"/>
  <c r="AD22" i="4"/>
  <c r="W167" i="4"/>
  <c r="V167" i="4"/>
  <c r="U167" i="4"/>
  <c r="W166" i="4"/>
  <c r="V166" i="4"/>
  <c r="U166" i="4"/>
  <c r="W23" i="4"/>
  <c r="V23" i="4"/>
  <c r="U23" i="4"/>
  <c r="W22" i="4"/>
  <c r="V22" i="4"/>
  <c r="U22" i="4"/>
  <c r="L22" i="4"/>
  <c r="L23" i="4"/>
  <c r="L166" i="4"/>
  <c r="L167" i="4"/>
  <c r="AD168" i="4" l="1"/>
  <c r="U168" i="4"/>
  <c r="L168" i="4"/>
  <c r="D1" i="4" l="1"/>
  <c r="N167" i="4" l="1"/>
  <c r="M167" i="4"/>
  <c r="N166" i="4"/>
  <c r="M166" i="4"/>
  <c r="N23" i="4"/>
  <c r="M23" i="4"/>
  <c r="N22" i="4"/>
  <c r="M22" i="4"/>
  <c r="H22" i="4" l="1"/>
  <c r="BI22" i="4" s="1"/>
  <c r="BH22" i="4" s="1"/>
  <c r="H23" i="4"/>
  <c r="G16" i="6"/>
  <c r="A3" i="6"/>
  <c r="A9" i="6"/>
  <c r="A7" i="6"/>
  <c r="F31" i="6"/>
  <c r="D7" i="4"/>
  <c r="D6" i="4"/>
  <c r="D4" i="4"/>
  <c r="D3" i="4"/>
  <c r="D2" i="4"/>
  <c r="P5" i="10" a="1"/>
  <c r="AZ23" i="4" l="1"/>
  <c r="BI23" i="4"/>
  <c r="BH23" i="4" s="1"/>
  <c r="P22" i="4"/>
  <c r="O22" i="4" s="1"/>
  <c r="AZ22" i="4"/>
  <c r="AY22" i="4" s="1"/>
  <c r="AQ22" i="4"/>
  <c r="AP22" i="4" s="1"/>
  <c r="AH23" i="4"/>
  <c r="AQ23" i="4"/>
  <c r="AP23" i="4" s="1"/>
  <c r="Y22" i="4"/>
  <c r="X22" i="4" s="1"/>
  <c r="AH22" i="4"/>
  <c r="AG22" i="4" s="1"/>
  <c r="P23" i="4"/>
  <c r="O23" i="4" s="1"/>
  <c r="Y23" i="4"/>
  <c r="X23" i="4" s="1"/>
  <c r="O7" i="10"/>
  <c r="L3" i="10" s="1"/>
  <c r="BH26" i="4" l="1"/>
  <c r="AG23" i="4"/>
  <c r="AY23" i="4"/>
  <c r="X26" i="4"/>
  <c r="AY26" i="4"/>
  <c r="AG26" i="4"/>
  <c r="AP26" i="4"/>
  <c r="O26" i="4"/>
  <c r="A31" i="6"/>
  <c r="P7" i="10"/>
  <c r="O8" i="10" l="1"/>
  <c r="P8" i="10" s="1"/>
  <c r="O9" i="10" l="1"/>
  <c r="K3" i="10" s="1"/>
  <c r="P9" i="10" l="1"/>
  <c r="O10" i="10" l="1"/>
  <c r="J3" i="10" s="1"/>
  <c r="D8" i="4" l="1"/>
  <c r="G24" i="6"/>
  <c r="P10" i="10"/>
  <c r="M3" i="10" s="1"/>
  <c r="H166" i="4"/>
  <c r="H167" i="4"/>
  <c r="AZ167" i="4" l="1"/>
  <c r="AY167" i="4" s="1"/>
  <c r="BI167" i="4"/>
  <c r="BH167" i="4" s="1"/>
  <c r="AZ166" i="4"/>
  <c r="AY166" i="4" s="1"/>
  <c r="BI166" i="4"/>
  <c r="BH166" i="4" s="1"/>
  <c r="AQ167" i="4"/>
  <c r="AP167" i="4" s="1"/>
  <c r="AQ166" i="4"/>
  <c r="AP166" i="4" s="1"/>
  <c r="P167" i="4"/>
  <c r="O167" i="4" s="1"/>
  <c r="Y166" i="4"/>
  <c r="X166" i="4" s="1"/>
  <c r="AH166" i="4"/>
  <c r="AG166" i="4" s="1"/>
  <c r="Y167" i="4"/>
  <c r="X167" i="4" s="1"/>
  <c r="AH167" i="4"/>
  <c r="AG167" i="4" s="1"/>
  <c r="P166" i="4"/>
  <c r="O166" i="4" s="1"/>
  <c r="H168" i="4"/>
  <c r="D5" i="4"/>
  <c r="D24" i="6"/>
  <c r="AY30" i="9" l="1"/>
  <c r="AW72" i="9"/>
  <c r="AY58" i="9"/>
  <c r="AY35" i="9"/>
  <c r="AW49" i="9"/>
  <c r="AY10" i="9"/>
  <c r="AY22" i="9"/>
  <c r="AY50" i="9"/>
  <c r="AW4" i="9"/>
  <c r="AY72" i="9"/>
  <c r="AY18" i="9"/>
  <c r="AW5" i="9"/>
  <c r="AY15" i="9"/>
  <c r="AW59" i="9"/>
  <c r="AY41" i="9"/>
  <c r="AY51" i="9"/>
  <c r="AY3" i="9"/>
  <c r="AY17" i="9"/>
  <c r="AW25" i="9"/>
  <c r="AY23" i="9"/>
  <c r="AW6" i="9"/>
  <c r="AW24" i="9"/>
  <c r="AY55" i="9"/>
  <c r="AY39" i="9"/>
  <c r="AW40" i="9"/>
  <c r="AY19" i="9"/>
  <c r="AY70" i="9"/>
  <c r="AY52" i="9"/>
  <c r="AY67" i="9"/>
  <c r="AY61" i="9"/>
  <c r="AW56" i="9"/>
  <c r="AW8" i="9"/>
  <c r="AW12" i="9"/>
  <c r="AY60" i="9"/>
  <c r="AY7" i="9"/>
  <c r="AW51" i="9"/>
  <c r="AY11" i="9"/>
  <c r="AW67" i="9"/>
  <c r="AW15" i="9"/>
  <c r="AW22" i="9"/>
  <c r="AW16" i="9"/>
  <c r="AY5" i="9"/>
  <c r="AW14" i="9"/>
  <c r="AY21" i="9"/>
  <c r="AW7" i="9"/>
  <c r="AY46" i="9"/>
  <c r="AY32" i="9"/>
  <c r="AY33" i="9"/>
  <c r="AY20" i="9"/>
  <c r="AY40" i="9"/>
  <c r="AW52" i="9"/>
  <c r="AY27" i="9"/>
  <c r="AW43" i="9"/>
  <c r="AY36" i="9"/>
  <c r="AW53" i="9"/>
  <c r="AY65" i="9"/>
  <c r="AW50" i="9"/>
  <c r="AY6" i="9"/>
  <c r="AW39" i="9"/>
  <c r="AW9" i="9"/>
  <c r="AW35" i="9"/>
  <c r="AY53" i="9"/>
  <c r="AW54" i="9"/>
  <c r="AW57" i="9"/>
  <c r="AW44" i="9"/>
  <c r="AY48" i="9"/>
  <c r="AW64" i="9"/>
  <c r="AW29" i="9"/>
  <c r="AY34" i="9"/>
  <c r="AW38" i="9"/>
  <c r="AW61" i="9"/>
  <c r="AW18" i="9"/>
  <c r="AW47" i="9"/>
  <c r="AY25" i="9"/>
  <c r="AW27" i="9"/>
  <c r="AW69" i="9"/>
  <c r="AW10" i="9"/>
  <c r="AY49" i="9"/>
  <c r="AY28" i="9"/>
  <c r="AY42" i="9"/>
  <c r="AW21" i="9"/>
  <c r="AY63" i="9"/>
  <c r="AW60" i="9"/>
  <c r="AW70" i="9"/>
  <c r="AW45" i="9"/>
  <c r="AW17" i="9"/>
  <c r="AY68" i="9"/>
  <c r="AW63" i="9"/>
  <c r="AW32" i="9"/>
  <c r="AW13" i="9"/>
  <c r="AW58" i="9"/>
  <c r="AW3" i="9"/>
  <c r="AW46" i="9"/>
  <c r="AW34" i="9"/>
  <c r="AY44" i="9"/>
  <c r="AY57" i="9"/>
  <c r="AW42" i="9"/>
  <c r="AW71" i="9"/>
  <c r="AW19" i="9"/>
  <c r="AW26" i="9"/>
  <c r="AY66" i="9"/>
  <c r="AY8" i="9"/>
  <c r="AY43" i="9"/>
  <c r="AY56" i="9"/>
  <c r="AW55" i="9"/>
  <c r="AY31" i="9"/>
  <c r="AW33" i="9"/>
  <c r="AY16" i="9"/>
  <c r="AY45" i="9"/>
  <c r="AW48" i="9"/>
  <c r="AY9" i="9"/>
  <c r="AY47" i="9"/>
  <c r="AY71" i="9"/>
  <c r="AW41" i="9"/>
  <c r="AW68" i="9"/>
  <c r="AW20" i="9"/>
  <c r="AW37" i="9"/>
  <c r="AY24" i="9"/>
  <c r="AW62" i="9"/>
  <c r="AW66" i="9"/>
  <c r="AY69" i="9"/>
  <c r="AY26" i="9"/>
  <c r="AY37" i="9"/>
  <c r="AY4" i="9"/>
  <c r="AY12" i="9"/>
  <c r="AY59" i="9"/>
  <c r="AY14" i="9"/>
  <c r="AY38" i="9"/>
  <c r="AY62" i="9"/>
  <c r="AW31" i="9"/>
  <c r="AY13" i="9"/>
  <c r="AW30" i="9"/>
  <c r="AW36" i="9"/>
  <c r="AY29" i="9"/>
  <c r="AW65" i="9"/>
  <c r="AW28" i="9"/>
  <c r="AY54" i="9"/>
  <c r="AW11" i="9"/>
  <c r="AY64" i="9"/>
  <c r="AW23" i="9"/>
  <c r="BG168" i="4"/>
  <c r="BH168" i="4"/>
  <c r="AX168" i="4"/>
  <c r="AY168" i="4"/>
  <c r="AO168" i="4"/>
  <c r="AP168" i="4"/>
  <c r="AF168" i="4"/>
  <c r="AG168" i="4"/>
  <c r="W168" i="4"/>
  <c r="X168" i="4"/>
  <c r="N168" i="4"/>
  <c r="O168" i="4"/>
  <c r="AX8" i="9" a="1"/>
  <c r="BB8" i="9" a="1"/>
  <c r="BA8" i="9" a="1"/>
  <c r="AX57" i="9" a="1"/>
  <c r="BB57" i="9" a="1"/>
  <c r="BA57" i="9" a="1"/>
  <c r="AX31" i="9" a="1"/>
  <c r="BB31" i="9" a="1"/>
  <c r="BA31" i="9" a="1"/>
  <c r="AX36" i="9" a="1"/>
  <c r="BB36" i="9" a="1"/>
  <c r="BA36" i="9" a="1"/>
  <c r="AX66" i="9" a="1"/>
  <c r="BA66" i="9" a="1"/>
  <c r="BB66" i="9" a="1"/>
  <c r="AX12" i="9" a="1"/>
  <c r="BA12" i="9" a="1"/>
  <c r="BB12" i="9" a="1"/>
  <c r="AX44" i="9" a="1"/>
  <c r="BB44" i="9" a="1"/>
  <c r="BA44" i="9" a="1"/>
  <c r="AX21" i="9" a="1"/>
  <c r="BB21" i="9" a="1"/>
  <c r="BA21" i="9" a="1"/>
  <c r="AX42" i="9" a="1"/>
  <c r="BB42" i="9" a="1"/>
  <c r="BA42" i="9" a="1"/>
  <c r="AX37" i="9" a="1"/>
  <c r="BB37" i="9" a="1"/>
  <c r="BA37" i="9" a="1"/>
  <c r="AX56" i="9" a="1"/>
  <c r="BB56" i="9" a="1"/>
  <c r="BA56" i="9" a="1"/>
  <c r="AX72" i="9" a="1"/>
  <c r="AX71" i="9" a="1"/>
  <c r="BB71" i="9" a="1"/>
  <c r="BA71" i="9" a="1"/>
  <c r="AX41" i="9" a="1"/>
  <c r="BB41" i="9" a="1"/>
  <c r="BA41" i="9" a="1"/>
  <c r="AX30" i="9" a="1"/>
  <c r="BA30" i="9" a="1"/>
  <c r="BB30" i="9" a="1"/>
  <c r="AX62" i="9" a="1"/>
  <c r="BA62" i="9" a="1"/>
  <c r="BB62" i="9" a="1"/>
  <c r="AX25" i="9" a="1"/>
  <c r="BB25" i="9" a="1"/>
  <c r="BA25" i="9" a="1"/>
  <c r="AX52" i="9" a="1"/>
  <c r="BB52" i="9" a="1"/>
  <c r="BA52" i="9" a="1"/>
  <c r="AX64" i="9" a="1"/>
  <c r="BB64" i="9" a="1"/>
  <c r="BA64" i="9" a="1"/>
  <c r="AX60" i="9" a="1"/>
  <c r="BB60" i="9" a="1"/>
  <c r="BA60" i="9" a="1"/>
  <c r="AX19" i="9" a="1"/>
  <c r="BB19" i="9" a="1"/>
  <c r="BA19" i="9" a="1"/>
  <c r="AX68" i="9" a="1"/>
  <c r="BB68" i="9" a="1"/>
  <c r="BA68" i="9" a="1"/>
  <c r="AX23" i="9" a="1"/>
  <c r="BB23" i="9" a="1"/>
  <c r="BA23" i="9" a="1"/>
  <c r="AX51" i="9" a="1"/>
  <c r="BB51" i="9" a="1"/>
  <c r="BA51" i="9" a="1"/>
  <c r="AX29" i="9" a="1"/>
  <c r="BB29" i="9" a="1"/>
  <c r="BA29" i="9" a="1"/>
  <c r="AX70" i="9" a="1"/>
  <c r="BB70" i="9" a="1"/>
  <c r="BA70" i="9" a="1"/>
  <c r="AX26" i="9" a="1"/>
  <c r="BB26" i="9" a="1"/>
  <c r="BA26" i="9" a="1"/>
  <c r="AX20" i="9" a="1"/>
  <c r="BB20" i="9" a="1"/>
  <c r="BA20" i="9" a="1"/>
  <c r="AX11" i="9" a="1"/>
  <c r="BA11" i="9" a="1"/>
  <c r="BB11" i="9" a="1"/>
  <c r="AX49" i="9" a="1"/>
  <c r="BB49" i="9" a="1"/>
  <c r="BA49" i="9" a="1"/>
  <c r="AX6" i="9" a="1"/>
  <c r="BB6" i="9" a="1"/>
  <c r="BA6" i="9" a="1"/>
  <c r="AX43" i="9" a="1"/>
  <c r="BA43" i="9" a="1"/>
  <c r="BB43" i="9" a="1"/>
  <c r="AX45" i="9" a="1"/>
  <c r="BB45" i="9" a="1"/>
  <c r="BA45" i="9" a="1"/>
  <c r="AX65" i="9" a="1"/>
  <c r="BB65" i="9" a="1"/>
  <c r="BA65" i="9" a="1"/>
  <c r="AX24" i="9" a="1"/>
  <c r="BB24" i="9" a="1"/>
  <c r="BA24" i="9" a="1"/>
  <c r="AX67" i="9" a="1"/>
  <c r="BB67" i="9" a="1"/>
  <c r="BA67" i="9" a="1"/>
  <c r="AX38" i="9" a="1"/>
  <c r="BB38" i="9" a="1"/>
  <c r="BA38" i="9" a="1"/>
  <c r="AX17" i="9" a="1"/>
  <c r="BB17" i="9" a="1"/>
  <c r="BA17" i="9" a="1"/>
  <c r="AX15" i="9" a="1"/>
  <c r="BB15" i="9" a="1"/>
  <c r="BA15" i="9" a="1"/>
  <c r="AX53" i="9" a="1"/>
  <c r="BB53" i="9" a="1"/>
  <c r="BA53" i="9" a="1"/>
  <c r="AX61" i="9" a="1"/>
  <c r="BB61" i="9" a="1"/>
  <c r="BA61" i="9" a="1"/>
  <c r="AX22" i="9" a="1"/>
  <c r="BB22" i="9" a="1"/>
  <c r="BA22" i="9" a="1"/>
  <c r="AX18" i="9" a="1"/>
  <c r="BB18" i="9" a="1"/>
  <c r="BA18" i="9" a="1"/>
  <c r="AX63" i="9" a="1"/>
  <c r="BB63" i="9" a="1"/>
  <c r="BA63" i="9" a="1"/>
  <c r="AX28" i="9" a="1"/>
  <c r="BA28" i="9" a="1"/>
  <c r="BB28" i="9" a="1"/>
  <c r="AX4" i="9" a="1"/>
  <c r="BB4" i="9" a="1"/>
  <c r="BA4" i="9" a="1"/>
  <c r="AX40" i="9" a="1"/>
  <c r="BB40" i="9" a="1"/>
  <c r="BA40" i="9" a="1"/>
  <c r="AX16" i="9" a="1"/>
  <c r="BB16" i="9" a="1"/>
  <c r="BA16" i="9" a="1"/>
  <c r="AX50" i="9" a="1"/>
  <c r="BA50" i="9" a="1"/>
  <c r="BB50" i="9" a="1"/>
  <c r="AX47" i="9" a="1"/>
  <c r="BB47" i="9" a="1"/>
  <c r="BA47" i="9" a="1"/>
  <c r="AX32" i="9" a="1"/>
  <c r="BB32" i="9" a="1"/>
  <c r="BA32" i="9" a="1"/>
  <c r="AX55" i="9" a="1"/>
  <c r="BB55" i="9" a="1"/>
  <c r="BA55" i="9" a="1"/>
  <c r="AX13" i="9" a="1"/>
  <c r="BB13" i="9" a="1"/>
  <c r="BA13" i="9" a="1"/>
  <c r="AX14" i="9" a="1"/>
  <c r="BA14" i="9" a="1"/>
  <c r="BB14" i="9" a="1"/>
  <c r="AX39" i="9" a="1"/>
  <c r="BB39" i="9" a="1"/>
  <c r="BA39" i="9" a="1"/>
  <c r="AX27" i="9" a="1"/>
  <c r="BA27" i="9" a="1"/>
  <c r="BB27" i="9" a="1"/>
  <c r="AX58" i="9" a="1"/>
  <c r="BB58" i="9" a="1"/>
  <c r="BA58" i="9" a="1"/>
  <c r="AX33" i="9" a="1"/>
  <c r="BB33" i="9" a="1"/>
  <c r="BA33" i="9" a="1"/>
  <c r="AX5" i="9" a="1"/>
  <c r="BB5" i="9" a="1"/>
  <c r="BA5" i="9" a="1"/>
  <c r="AX9" i="9" a="1"/>
  <c r="BA9" i="9" a="1"/>
  <c r="BB9" i="9" a="1"/>
  <c r="AX69" i="9" a="1"/>
  <c r="BB69" i="9" a="1"/>
  <c r="BA69" i="9" a="1"/>
  <c r="AX3" i="9" a="1"/>
  <c r="AX48" i="9" a="1"/>
  <c r="BB48" i="9" a="1"/>
  <c r="BA48" i="9" a="1"/>
  <c r="AX7" i="9" a="1"/>
  <c r="BB7" i="9" a="1"/>
  <c r="BA7" i="9" a="1"/>
  <c r="AX35" i="9" a="1"/>
  <c r="BB35" i="9" a="1"/>
  <c r="BA35" i="9" a="1"/>
  <c r="AX10" i="9" a="1"/>
  <c r="BB10" i="9" a="1"/>
  <c r="BA10" i="9" a="1"/>
  <c r="AX46" i="9" a="1"/>
  <c r="BA46" i="9" a="1"/>
  <c r="BB46" i="9" a="1"/>
  <c r="AX54" i="9" a="1"/>
  <c r="BB54" i="9" a="1"/>
  <c r="BA54" i="9" a="1"/>
  <c r="AX59" i="9" a="1"/>
  <c r="BA59" i="9" a="1"/>
  <c r="BB59" i="9" a="1"/>
  <c r="AX34" i="9" a="1"/>
  <c r="BB34" i="9" a="1"/>
  <c r="BA34" i="9" a="1"/>
  <c r="AN3" i="9"/>
  <c r="AN5" i="9"/>
  <c r="AP3" i="9"/>
  <c r="AG3" i="9"/>
  <c r="AE3" i="9"/>
  <c r="O3" i="9"/>
  <c r="M3" i="9"/>
  <c r="BB3" i="9" a="1"/>
  <c r="BA3" i="9" a="1"/>
  <c r="AR5" i="9" a="1"/>
  <c r="AS5" i="9" a="1"/>
  <c r="AO3" i="9" a="1"/>
  <c r="AO5" i="9" a="1"/>
  <c r="AF3" i="9" a="1"/>
  <c r="N3" i="9" a="1"/>
  <c r="E4" i="20" s="1" a="1"/>
  <c r="AP6" i="9"/>
  <c r="AN6" i="9"/>
  <c r="AP7" i="9"/>
  <c r="AP4" i="9"/>
  <c r="F3" i="19" s="1" a="1"/>
  <c r="AN4" i="9"/>
  <c r="AP5" i="9"/>
  <c r="AE4" i="9"/>
  <c r="AG4" i="9"/>
  <c r="F3" i="18" s="1" a="1"/>
  <c r="AJ3" i="9" a="1"/>
  <c r="Q3" i="9" a="1"/>
  <c r="AI3" i="9" a="1"/>
  <c r="R3" i="9" a="1"/>
  <c r="AR3" i="9" a="1"/>
  <c r="AS3" i="9" a="1"/>
  <c r="AI4" i="9" a="1"/>
  <c r="AJ4" i="9" a="1"/>
  <c r="AR6" i="9" a="1"/>
  <c r="AS6" i="9" a="1"/>
  <c r="AR4" i="9" a="1"/>
  <c r="AS4" i="9" a="1"/>
  <c r="AO6" i="9" a="1"/>
  <c r="AF4" i="9" a="1"/>
  <c r="AO4" i="9" a="1"/>
  <c r="D3" i="18" a="1"/>
  <c r="AN7" i="9"/>
  <c r="AN8" i="9"/>
  <c r="O4" i="9"/>
  <c r="AH4" i="9"/>
  <c r="G3" i="18" s="1" a="1"/>
  <c r="AD4" i="9"/>
  <c r="AC4" i="9"/>
  <c r="AE5" i="9"/>
  <c r="AG5" i="9"/>
  <c r="F4" i="18" s="1" a="1"/>
  <c r="V3" i="9"/>
  <c r="M5" i="9"/>
  <c r="O5" i="9"/>
  <c r="X3" i="9"/>
  <c r="M4" i="9"/>
  <c r="AI5" i="9" a="1"/>
  <c r="AJ5" i="9" a="1"/>
  <c r="AR7" i="9" a="1"/>
  <c r="AS7" i="9" a="1"/>
  <c r="Q5" i="9" a="1"/>
  <c r="R5" i="9" a="1"/>
  <c r="AR8" i="9" a="1"/>
  <c r="AS8" i="9" a="1"/>
  <c r="Q4" i="9" a="1"/>
  <c r="R4" i="9" a="1"/>
  <c r="W3" i="9" a="1"/>
  <c r="AO8" i="9" a="1"/>
  <c r="AO7" i="9" a="1"/>
  <c r="AF5" i="9" a="1"/>
  <c r="N5" i="9" a="1"/>
  <c r="N4" i="9" a="1"/>
  <c r="AH3" i="9" l="1"/>
  <c r="AD3" i="9"/>
  <c r="AC3" i="9"/>
  <c r="D37" i="20" a="1"/>
  <c r="D71" i="20" a="1"/>
  <c r="D16" i="20" a="1"/>
  <c r="D10" i="20" a="1"/>
  <c r="D22" i="20" a="1"/>
  <c r="D11" i="20" a="1"/>
  <c r="D30" i="20" a="1"/>
  <c r="AV49" i="9"/>
  <c r="C48" i="20" s="1" a="1"/>
  <c r="AZ53" i="9"/>
  <c r="G52" i="20" s="1" a="1"/>
  <c r="AV53" i="9"/>
  <c r="C52" i="20" s="1" a="1"/>
  <c r="AV46" i="9"/>
  <c r="C45" i="20" s="1" a="1"/>
  <c r="AZ46" i="9"/>
  <c r="G45" i="20" s="1" a="1"/>
  <c r="F45" i="20" a="1"/>
  <c r="D34" i="20" a="1"/>
  <c r="D68" i="20" a="1"/>
  <c r="D32" i="20" a="1"/>
  <c r="D38" i="20" a="1"/>
  <c r="D54" i="20" a="1"/>
  <c r="D49" i="20" a="1"/>
  <c r="D3" i="20" a="1"/>
  <c r="D17" i="20" a="1"/>
  <c r="D52" i="20" a="1"/>
  <c r="D66" i="20" a="1"/>
  <c r="D23" i="20" a="1"/>
  <c r="D64" i="20" a="1"/>
  <c r="D42" i="20" a="1"/>
  <c r="D48" i="20" a="1"/>
  <c r="D19" i="20" a="1"/>
  <c r="D25" i="20" a="1"/>
  <c r="D28" i="20" a="1"/>
  <c r="D63" i="20" a="1"/>
  <c r="D24" i="20" a="1"/>
  <c r="D29" i="20" a="1"/>
  <c r="D70" i="20" a="1"/>
  <c r="D36" i="20" a="1"/>
  <c r="D20" i="20" a="1"/>
  <c r="D65" i="20" a="1"/>
  <c r="D7" i="20" a="1"/>
  <c r="AZ49" i="9"/>
  <c r="G48" i="20" s="1" a="1"/>
  <c r="AU49" i="9"/>
  <c r="B48" i="20" s="1" a="1"/>
  <c r="AU53" i="9"/>
  <c r="B52" i="20" s="1" a="1"/>
  <c r="F52" i="20" a="1"/>
  <c r="D45" i="20" a="1"/>
  <c r="D6" i="20" a="1"/>
  <c r="D8" i="20" a="1"/>
  <c r="D57" i="20" a="1"/>
  <c r="D13" i="20" a="1"/>
  <c r="D31" i="20" a="1"/>
  <c r="D15" i="20" a="1"/>
  <c r="D27" i="20" a="1"/>
  <c r="D21" i="20" a="1"/>
  <c r="D14" i="20" a="1"/>
  <c r="D44" i="20" a="1"/>
  <c r="D5" i="20" a="1"/>
  <c r="D69" i="20" a="1"/>
  <c r="D50" i="20" a="1"/>
  <c r="D67" i="20" a="1"/>
  <c r="D18" i="20" a="1"/>
  <c r="D59" i="20" a="1"/>
  <c r="D51" i="20" a="1"/>
  <c r="D61" i="20" a="1"/>
  <c r="D40" i="20" a="1"/>
  <c r="D55" i="20" a="1"/>
  <c r="D41" i="20" a="1"/>
  <c r="D43" i="20" a="1"/>
  <c r="D35" i="20" a="1"/>
  <c r="D56" i="20" a="1"/>
  <c r="D33" i="20" a="1"/>
  <c r="F48" i="20" a="1"/>
  <c r="AU46" i="9"/>
  <c r="B45" i="20" s="1" a="1"/>
  <c r="AZ61" i="9"/>
  <c r="G60" i="20" s="1" a="1"/>
  <c r="AU61" i="9"/>
  <c r="B60" i="20" s="1" a="1"/>
  <c r="D58" i="20" a="1"/>
  <c r="D53" i="20" a="1"/>
  <c r="D9" i="20" a="1"/>
  <c r="D47" i="20" a="1"/>
  <c r="D4" i="20" a="1"/>
  <c r="D26" i="20" a="1"/>
  <c r="D12" i="20" a="1"/>
  <c r="D46" i="20" a="1"/>
  <c r="D39" i="20" a="1"/>
  <c r="D62" i="20" a="1"/>
  <c r="D60" i="20" a="1"/>
  <c r="D3" i="19" a="1"/>
  <c r="D5" i="19" a="1"/>
  <c r="D4" i="19" a="1"/>
  <c r="AQ7" i="9"/>
  <c r="AM7" i="9"/>
  <c r="AL7" i="9"/>
  <c r="F6" i="19" a="1"/>
  <c r="AQ6" i="9"/>
  <c r="AM6" i="9"/>
  <c r="AL6" i="9"/>
  <c r="F4" i="19" a="1"/>
  <c r="AQ4" i="9"/>
  <c r="AM4" i="9"/>
  <c r="AL4" i="9"/>
  <c r="B3" i="19" s="1" a="1"/>
  <c r="F5" i="19" a="1"/>
  <c r="AQ5" i="9"/>
  <c r="AM5" i="9"/>
  <c r="AL5" i="9"/>
  <c r="AZ10" i="9"/>
  <c r="G9" i="20" s="1" a="1"/>
  <c r="AU10" i="9"/>
  <c r="B9" i="20" s="1" a="1"/>
  <c r="AV10" i="9"/>
  <c r="C9" i="20" s="1" a="1"/>
  <c r="F9" i="20" a="1"/>
  <c r="P3" i="9"/>
  <c r="K3" i="9"/>
  <c r="L3" i="9"/>
  <c r="AV61" i="9"/>
  <c r="C60" i="20" s="1" a="1"/>
  <c r="F60" i="20" a="1"/>
  <c r="AU67" i="9"/>
  <c r="B66" i="20" s="1" a="1"/>
  <c r="AZ67" i="9"/>
  <c r="G66" i="20" s="1" a="1"/>
  <c r="AV67" i="9"/>
  <c r="C66" i="20" s="1" a="1"/>
  <c r="F66" i="20" a="1"/>
  <c r="AZ15" i="9"/>
  <c r="G14" i="20" s="1" a="1"/>
  <c r="AV15" i="9"/>
  <c r="C14" i="20" s="1" a="1"/>
  <c r="F14" i="20" a="1"/>
  <c r="AU15" i="9"/>
  <c r="B14" i="20" s="1" a="1"/>
  <c r="AV9" i="9"/>
  <c r="C8" i="20" s="1" a="1"/>
  <c r="AZ9" i="9"/>
  <c r="G8" i="20" s="1" a="1"/>
  <c r="F8" i="20" a="1"/>
  <c r="AU9" i="9"/>
  <c r="B8" i="20" s="1" a="1"/>
  <c r="AZ21" i="9"/>
  <c r="G20" i="20" s="1" a="1"/>
  <c r="AV21" i="9"/>
  <c r="C20" i="20" s="1" a="1"/>
  <c r="AU21" i="9"/>
  <c r="B20" i="20" s="1" a="1"/>
  <c r="F20" i="20" a="1"/>
  <c r="AV52" i="9"/>
  <c r="C51" i="20" s="1" a="1"/>
  <c r="AZ52" i="9"/>
  <c r="G51" i="20" s="1" a="1"/>
  <c r="F51" i="20" a="1"/>
  <c r="AU52" i="9"/>
  <c r="B51" i="20" s="1" a="1"/>
  <c r="AU59" i="9"/>
  <c r="B58" i="20" s="1" a="1"/>
  <c r="AZ59" i="9"/>
  <c r="G58" i="20" s="1" a="1"/>
  <c r="AV59" i="9"/>
  <c r="C58" i="20" s="1" a="1"/>
  <c r="F58" i="20" a="1"/>
  <c r="AZ70" i="9"/>
  <c r="G69" i="20" s="1" a="1"/>
  <c r="F69" i="20" a="1"/>
  <c r="AV70" i="9"/>
  <c r="C69" i="20" s="1" a="1"/>
  <c r="AU70" i="9"/>
  <c r="B69" i="20" s="1" a="1"/>
  <c r="AZ18" i="9"/>
  <c r="G17" i="20" s="1" a="1"/>
  <c r="AU18" i="9"/>
  <c r="B17" i="20" s="1" a="1"/>
  <c r="F17" i="20" a="1"/>
  <c r="AV18" i="9"/>
  <c r="C17" i="20" s="1" a="1"/>
  <c r="AU45" i="9"/>
  <c r="B44" i="20" s="1" a="1"/>
  <c r="AZ45" i="9"/>
  <c r="G44" i="20" s="1" a="1"/>
  <c r="AV45" i="9"/>
  <c r="C44" i="20" s="1" a="1"/>
  <c r="F44" i="20" a="1"/>
  <c r="AV25" i="9"/>
  <c r="C24" i="20" s="1" a="1"/>
  <c r="AZ25" i="9"/>
  <c r="G24" i="20" s="1" a="1"/>
  <c r="AU25" i="9"/>
  <c r="B24" i="20" s="1" a="1"/>
  <c r="F24" i="20" a="1"/>
  <c r="AZ6" i="9"/>
  <c r="G5" i="20" s="1" a="1"/>
  <c r="F5" i="20" a="1"/>
  <c r="AU6" i="9"/>
  <c r="B5" i="20" s="1" a="1"/>
  <c r="AV6" i="9"/>
  <c r="C5" i="20" s="1" a="1"/>
  <c r="AZ5" i="9"/>
  <c r="G4" i="20" s="1" a="1"/>
  <c r="AU5" i="9"/>
  <c r="B4" i="20" s="1" a="1"/>
  <c r="F4" i="20" a="1"/>
  <c r="AV5" i="9"/>
  <c r="C4" i="20" s="1" a="1"/>
  <c r="AV19" i="9"/>
  <c r="C18" i="20" s="1" a="1"/>
  <c r="AZ19" i="9"/>
  <c r="G18" i="20" s="1" a="1"/>
  <c r="AU19" i="9"/>
  <c r="B18" i="20" s="1" a="1"/>
  <c r="F18" i="20" a="1"/>
  <c r="AZ72" i="9"/>
  <c r="G71" i="20" s="1" a="1"/>
  <c r="AU72" i="9"/>
  <c r="B71" i="20" s="1" a="1"/>
  <c r="AV72" i="9"/>
  <c r="C71" i="20" s="1" a="1"/>
  <c r="F71" i="20" a="1"/>
  <c r="AV4" i="9"/>
  <c r="C3" i="20" s="1" a="1"/>
  <c r="F3" i="20" a="1"/>
  <c r="AZ4" i="9"/>
  <c r="G3" i="20" s="1" a="1"/>
  <c r="AU4" i="9"/>
  <c r="B3" i="20" s="1" a="1"/>
  <c r="AZ54" i="9"/>
  <c r="G53" i="20" s="1" a="1"/>
  <c r="F53" i="20" a="1"/>
  <c r="AV65" i="9"/>
  <c r="C64" i="20" s="1" a="1"/>
  <c r="AZ65" i="9"/>
  <c r="G64" i="20" s="1" a="1"/>
  <c r="AU65" i="9"/>
  <c r="B64" i="20" s="1" a="1"/>
  <c r="AZ50" i="9"/>
  <c r="G49" i="20" s="1" a="1"/>
  <c r="AV50" i="9"/>
  <c r="C49" i="20" s="1" a="1"/>
  <c r="AU50" i="9"/>
  <c r="B49" i="20" s="1" a="1"/>
  <c r="F49" i="20" a="1"/>
  <c r="AV68" i="9"/>
  <c r="C67" i="20" s="1" a="1"/>
  <c r="F67" i="20" a="1"/>
  <c r="AZ68" i="9"/>
  <c r="G67" i="20" s="1" a="1"/>
  <c r="AZ22" i="9"/>
  <c r="G21" i="20" s="1" a="1"/>
  <c r="AV22" i="9"/>
  <c r="C21" i="20" s="1" a="1"/>
  <c r="AU22" i="9"/>
  <c r="B21" i="20" s="1" a="1"/>
  <c r="AV14" i="9"/>
  <c r="C13" i="20" s="1" a="1"/>
  <c r="AZ14" i="9"/>
  <c r="G13" i="20" s="1" a="1"/>
  <c r="F13" i="20" a="1"/>
  <c r="AV37" i="9"/>
  <c r="C36" i="20" s="1" a="1"/>
  <c r="F28" i="20" a="1"/>
  <c r="AV8" i="9"/>
  <c r="C7" i="20" s="1" a="1"/>
  <c r="AZ8" i="9"/>
  <c r="G7" i="20" s="1" a="1"/>
  <c r="AV36" i="9"/>
  <c r="C35" i="20" s="1" a="1"/>
  <c r="AZ36" i="9"/>
  <c r="G35" i="20" s="1" a="1"/>
  <c r="H4" i="19" a="1"/>
  <c r="H4" i="20" a="1"/>
  <c r="I4" i="19" a="1"/>
  <c r="AU54" i="9"/>
  <c r="B53" i="20" s="1" a="1"/>
  <c r="AV54" i="9"/>
  <c r="C53" i="20" s="1" a="1"/>
  <c r="AV69" i="9"/>
  <c r="C68" i="20" s="1" a="1"/>
  <c r="AZ69" i="9"/>
  <c r="G68" i="20" s="1" a="1"/>
  <c r="AU69" i="9"/>
  <c r="B68" i="20" s="1" a="1"/>
  <c r="F68" i="20" a="1"/>
  <c r="AV12" i="9"/>
  <c r="C11" i="20" s="1" a="1"/>
  <c r="AZ12" i="9"/>
  <c r="G11" i="20" s="1" a="1"/>
  <c r="AU12" i="9"/>
  <c r="B11" i="20" s="1" a="1"/>
  <c r="F11" i="20" a="1"/>
  <c r="F64" i="20" a="1"/>
  <c r="AV39" i="9"/>
  <c r="C38" i="20" s="1" a="1"/>
  <c r="AU39" i="9"/>
  <c r="B38" i="20" s="1" a="1"/>
  <c r="AZ39" i="9"/>
  <c r="G38" i="20" s="1" a="1"/>
  <c r="F38" i="20" a="1"/>
  <c r="AZ64" i="9"/>
  <c r="G63" i="20" s="1" a="1"/>
  <c r="AV64" i="9"/>
  <c r="C63" i="20" s="1" a="1"/>
  <c r="AU64" i="9"/>
  <c r="B63" i="20" s="1" a="1"/>
  <c r="F63" i="20" a="1"/>
  <c r="AU68" i="9"/>
  <c r="B67" i="20" s="1" a="1"/>
  <c r="AV55" i="9"/>
  <c r="C54" i="20" s="1" a="1"/>
  <c r="AU55" i="9"/>
  <c r="B54" i="20" s="1" a="1"/>
  <c r="AZ55" i="9"/>
  <c r="G54" i="20" s="1" a="1"/>
  <c r="F54" i="20" a="1"/>
  <c r="F21" i="20" a="1"/>
  <c r="AU14" i="9"/>
  <c r="B13" i="20" s="1" a="1"/>
  <c r="AZ37" i="9"/>
  <c r="G36" i="20" s="1" a="1"/>
  <c r="AU37" i="9"/>
  <c r="B36" i="20" s="1" a="1"/>
  <c r="F36" i="20" a="1"/>
  <c r="AZ29" i="9"/>
  <c r="G28" i="20" s="1" a="1"/>
  <c r="AV29" i="9"/>
  <c r="C28" i="20" s="1" a="1"/>
  <c r="AU29" i="9"/>
  <c r="B28" i="20" s="1" a="1"/>
  <c r="AU8" i="9"/>
  <c r="B7" i="20" s="1" a="1"/>
  <c r="F7" i="20" a="1"/>
  <c r="F35" i="20" a="1"/>
  <c r="AU36" i="9"/>
  <c r="B35" i="20" s="1" a="1"/>
  <c r="I4" i="20" a="1"/>
  <c r="I3" i="18" s="1" a="1"/>
  <c r="H3" i="18" s="1" a="1"/>
  <c r="E3" i="20" s="1" a="1"/>
  <c r="E5" i="20" s="1" a="1"/>
  <c r="AV44" i="9"/>
  <c r="C43" i="20" s="1" a="1"/>
  <c r="AZ44" i="9"/>
  <c r="G43" i="20" s="1" a="1"/>
  <c r="F43" i="20" a="1"/>
  <c r="AU44" i="9"/>
  <c r="B43" i="20" s="1" a="1"/>
  <c r="AZ31" i="9"/>
  <c r="G30" i="20" s="1" a="1"/>
  <c r="F30" i="20" a="1"/>
  <c r="AV31" i="9"/>
  <c r="C30" i="20" s="1" a="1"/>
  <c r="AU31" i="9"/>
  <c r="B30" i="20" s="1" a="1"/>
  <c r="AZ66" i="9"/>
  <c r="G65" i="20" s="1" a="1"/>
  <c r="F65" i="20" a="1"/>
  <c r="AU66" i="9"/>
  <c r="B65" i="20" s="1" a="1"/>
  <c r="AV66" i="9"/>
  <c r="C65" i="20" s="1" a="1"/>
  <c r="AZ34" i="9"/>
  <c r="G33" i="20" s="1" a="1"/>
  <c r="AU34" i="9"/>
  <c r="B33" i="20" s="1" a="1"/>
  <c r="F33" i="20" a="1"/>
  <c r="AV34" i="9"/>
  <c r="C33" i="20" s="1" a="1"/>
  <c r="AZ11" i="9"/>
  <c r="G10" i="20" s="1" a="1"/>
  <c r="AV11" i="9"/>
  <c r="C10" i="20" s="1" a="1"/>
  <c r="AU11" i="9"/>
  <c r="B10" i="20" s="1" a="1"/>
  <c r="F10" i="20" a="1"/>
  <c r="AV41" i="9"/>
  <c r="C40" i="20" s="1" a="1"/>
  <c r="AZ41" i="9"/>
  <c r="G40" i="20" s="1" a="1"/>
  <c r="AU41" i="9"/>
  <c r="B40" i="20" s="1" a="1"/>
  <c r="F40" i="20" a="1"/>
  <c r="AZ24" i="9"/>
  <c r="G23" i="20" s="1" a="1"/>
  <c r="AV24" i="9"/>
  <c r="C23" i="20" s="1" a="1"/>
  <c r="AU24" i="9"/>
  <c r="B23" i="20" s="1" a="1"/>
  <c r="F23" i="20" a="1"/>
  <c r="AZ27" i="9"/>
  <c r="G26" i="20" s="1" a="1"/>
  <c r="AU27" i="9"/>
  <c r="B26" i="20" s="1" a="1"/>
  <c r="AV27" i="9"/>
  <c r="C26" i="20" s="1" a="1"/>
  <c r="F26" i="20" a="1"/>
  <c r="AU23" i="9"/>
  <c r="B22" i="20" s="1" a="1"/>
  <c r="AZ23" i="9"/>
  <c r="G22" i="20" s="1" a="1"/>
  <c r="AV23" i="9"/>
  <c r="C22" i="20" s="1" a="1"/>
  <c r="F22" i="20" a="1"/>
  <c r="AV35" i="9"/>
  <c r="C34" i="20" s="1" a="1"/>
  <c r="AZ35" i="9"/>
  <c r="G34" i="20" s="1" a="1"/>
  <c r="AU35" i="9"/>
  <c r="B34" i="20" s="1" a="1"/>
  <c r="F34" i="20" a="1"/>
  <c r="AZ32" i="9"/>
  <c r="G31" i="20" s="1" a="1"/>
  <c r="AU32" i="9"/>
  <c r="B31" i="20" s="1" a="1"/>
  <c r="AV32" i="9"/>
  <c r="C31" i="20" s="1" a="1"/>
  <c r="F31" i="20" a="1"/>
  <c r="AV43" i="9"/>
  <c r="C42" i="20" s="1" a="1"/>
  <c r="AU43" i="9"/>
  <c r="B42" i="20" s="1" a="1"/>
  <c r="AZ43" i="9"/>
  <c r="G42" i="20" s="1" a="1"/>
  <c r="F42" i="20" a="1"/>
  <c r="AU13" i="9"/>
  <c r="B12" i="20" s="1" a="1"/>
  <c r="AZ13" i="9"/>
  <c r="G12" i="20" s="1" a="1"/>
  <c r="AV13" i="9"/>
  <c r="C12" i="20" s="1" a="1"/>
  <c r="F12" i="20" a="1"/>
  <c r="AU7" i="9"/>
  <c r="B6" i="20" s="1" a="1"/>
  <c r="AZ7" i="9"/>
  <c r="G6" i="20" s="1" a="1"/>
  <c r="AV7" i="9"/>
  <c r="C6" i="20" s="1" a="1"/>
  <c r="F6" i="20" a="1"/>
  <c r="AU58" i="9"/>
  <c r="B57" i="20" s="1" a="1"/>
  <c r="AV58" i="9"/>
  <c r="C57" i="20" s="1" a="1"/>
  <c r="F57" i="20" a="1"/>
  <c r="AZ58" i="9"/>
  <c r="G57" i="20" s="1" a="1"/>
  <c r="AV28" i="9"/>
  <c r="C27" i="20" s="1" a="1"/>
  <c r="AZ28" i="9"/>
  <c r="G27" i="20" s="1" a="1"/>
  <c r="AU28" i="9"/>
  <c r="B27" i="20" s="1" a="1"/>
  <c r="F27" i="20" a="1"/>
  <c r="AU26" i="9"/>
  <c r="B25" i="20" s="1" a="1"/>
  <c r="AV26" i="9"/>
  <c r="C25" i="20" s="1" a="1"/>
  <c r="AZ26" i="9"/>
  <c r="G25" i="20" s="1" a="1"/>
  <c r="F25" i="20" a="1"/>
  <c r="AZ63" i="9"/>
  <c r="G62" i="20" s="1" a="1"/>
  <c r="AV63" i="9"/>
  <c r="C62" i="20" s="1" a="1"/>
  <c r="AU63" i="9"/>
  <c r="B62" i="20" s="1" a="1"/>
  <c r="F62" i="20" a="1"/>
  <c r="AZ48" i="9"/>
  <c r="G47" i="20" s="1" a="1"/>
  <c r="AV48" i="9"/>
  <c r="C47" i="20" s="1" a="1"/>
  <c r="AU48" i="9"/>
  <c r="B47" i="20" s="1" a="1"/>
  <c r="F47" i="20" a="1"/>
  <c r="AZ40" i="9"/>
  <c r="G39" i="20" s="1" a="1"/>
  <c r="AV40" i="9"/>
  <c r="C39" i="20" s="1" a="1"/>
  <c r="AU40" i="9"/>
  <c r="B39" i="20" s="1" a="1"/>
  <c r="F39" i="20" a="1"/>
  <c r="AV60" i="9"/>
  <c r="C59" i="20" s="1" a="1"/>
  <c r="AZ60" i="9"/>
  <c r="G59" i="20" s="1" a="1"/>
  <c r="F59" i="20" a="1"/>
  <c r="AU60" i="9"/>
  <c r="B59" i="20" s="1" a="1"/>
  <c r="AV17" i="9"/>
  <c r="C16" i="20" s="1" a="1"/>
  <c r="AZ17" i="9"/>
  <c r="G16" i="20" s="1" a="1"/>
  <c r="AU17" i="9"/>
  <c r="B16" i="20" s="1" a="1"/>
  <c r="F16" i="20" a="1"/>
  <c r="AZ56" i="9"/>
  <c r="G55" i="20" s="1" a="1"/>
  <c r="AU56" i="9"/>
  <c r="B55" i="20" s="1" a="1"/>
  <c r="AV56" i="9"/>
  <c r="C55" i="20" s="1" a="1"/>
  <c r="F55" i="20" a="1"/>
  <c r="AV62" i="9"/>
  <c r="C61" i="20" s="1" a="1"/>
  <c r="AU62" i="9"/>
  <c r="B61" i="20" s="1" a="1"/>
  <c r="F61" i="20" a="1"/>
  <c r="AZ62" i="9"/>
  <c r="G61" i="20" s="1" a="1"/>
  <c r="AV71" i="9"/>
  <c r="C70" i="20" s="1" a="1"/>
  <c r="AU71" i="9"/>
  <c r="B70" i="20" s="1" a="1"/>
  <c r="AZ71" i="9"/>
  <c r="G70" i="20" s="1" a="1"/>
  <c r="F70" i="20" a="1"/>
  <c r="AV20" i="9"/>
  <c r="C19" i="20" s="1" a="1"/>
  <c r="AU20" i="9"/>
  <c r="B19" i="20" s="1" a="1"/>
  <c r="F19" i="20" a="1"/>
  <c r="AZ20" i="9"/>
  <c r="G19" i="20" s="1" a="1"/>
  <c r="AZ3" i="9"/>
  <c r="AV3" i="9"/>
  <c r="AV30" i="9"/>
  <c r="C29" i="20" s="1" a="1"/>
  <c r="AZ30" i="9"/>
  <c r="G29" i="20" s="1" a="1"/>
  <c r="AU30" i="9"/>
  <c r="B29" i="20" s="1" a="1"/>
  <c r="F29" i="20" a="1"/>
  <c r="AZ16" i="9"/>
  <c r="G15" i="20" s="1" a="1"/>
  <c r="AV16" i="9"/>
  <c r="C15" i="20" s="1" a="1"/>
  <c r="AU16" i="9"/>
  <c r="B15" i="20" s="1" a="1"/>
  <c r="F15" i="20" a="1"/>
  <c r="AZ38" i="9"/>
  <c r="G37" i="20" s="1" a="1"/>
  <c r="AV38" i="9"/>
  <c r="C37" i="20" s="1" a="1"/>
  <c r="F37" i="20" a="1"/>
  <c r="AU38" i="9"/>
  <c r="B37" i="20" s="1" a="1"/>
  <c r="AZ47" i="9"/>
  <c r="G46" i="20" s="1" a="1"/>
  <c r="AU47" i="9"/>
  <c r="B46" i="20" s="1" a="1"/>
  <c r="AV47" i="9"/>
  <c r="C46" i="20" s="1" a="1"/>
  <c r="F46" i="20" a="1"/>
  <c r="AV57" i="9"/>
  <c r="C56" i="20" s="1" a="1"/>
  <c r="AU57" i="9"/>
  <c r="B56" i="20" s="1" a="1"/>
  <c r="AZ57" i="9"/>
  <c r="G56" i="20" s="1" a="1"/>
  <c r="F56" i="20" a="1"/>
  <c r="AU42" i="9"/>
  <c r="B41" i="20" s="1" a="1"/>
  <c r="AV42" i="9"/>
  <c r="C41" i="20" s="1" a="1"/>
  <c r="F41" i="20" a="1"/>
  <c r="AQ3" i="9"/>
  <c r="AM3" i="9"/>
  <c r="AL3" i="9"/>
  <c r="AZ42" i="9"/>
  <c r="G41" i="20" s="1" a="1"/>
  <c r="AV33" i="9"/>
  <c r="C32" i="20" s="1" a="1"/>
  <c r="AZ33" i="9"/>
  <c r="G32" i="20" s="1" a="1"/>
  <c r="F32" i="20" a="1"/>
  <c r="AU33" i="9"/>
  <c r="B32" i="20" s="1" a="1"/>
  <c r="AV51" i="9"/>
  <c r="C50" i="20" s="1" a="1"/>
  <c r="AU51" i="9"/>
  <c r="B50" i="20" s="1" a="1"/>
  <c r="AZ51" i="9"/>
  <c r="G50" i="20" s="1" a="1"/>
  <c r="F50" i="20" a="1"/>
  <c r="AU3" i="9"/>
  <c r="C3" i="19" a="1"/>
  <c r="H5" i="19" a="1"/>
  <c r="H5" i="20" a="1"/>
  <c r="I5" i="19" a="1"/>
  <c r="I5" i="20" a="1"/>
  <c r="H3" i="19" a="1"/>
  <c r="H3" i="20" a="1"/>
  <c r="I3" i="19" a="1"/>
  <c r="I3" i="20" a="1"/>
  <c r="I3" i="16" s="1" a="1"/>
  <c r="H3" i="16" s="1" a="1"/>
  <c r="I4" i="16" s="1" a="1"/>
  <c r="H4" i="16" s="1" a="1"/>
  <c r="I4" i="18" s="1" a="1"/>
  <c r="H4" i="18" s="1" a="1"/>
  <c r="E7" i="20" s="1" a="1"/>
  <c r="E6" i="20" s="1" a="1"/>
  <c r="D4" i="18" a="1"/>
  <c r="D6" i="19" a="1"/>
  <c r="G5" i="19" a="1"/>
  <c r="G4" i="19" a="1"/>
  <c r="G6" i="19" a="1"/>
  <c r="G3" i="19" a="1"/>
  <c r="F3" i="16" a="1"/>
  <c r="D3" i="16" a="1"/>
  <c r="E3" i="19" a="1"/>
  <c r="E4" i="19" a="1"/>
  <c r="D7" i="19" a="1"/>
  <c r="C4" i="19" a="1"/>
  <c r="B4" i="19" a="1"/>
  <c r="AP8" i="9"/>
  <c r="F7" i="19" s="1" a="1"/>
  <c r="AN9" i="9"/>
  <c r="AP10" i="9"/>
  <c r="AN11" i="9"/>
  <c r="K4" i="9"/>
  <c r="E3" i="18" a="1"/>
  <c r="L4" i="9"/>
  <c r="P4" i="9"/>
  <c r="V4" i="9"/>
  <c r="AH5" i="9"/>
  <c r="G4" i="18" s="1" a="1"/>
  <c r="AC5" i="9"/>
  <c r="B5" i="19" s="1" a="1"/>
  <c r="AD5" i="9"/>
  <c r="C5" i="19" s="1" a="1"/>
  <c r="AE6" i="9"/>
  <c r="AG6" i="9"/>
  <c r="F5" i="18" s="1" a="1"/>
  <c r="X4" i="9"/>
  <c r="F3" i="17" s="1" a="1"/>
  <c r="P5" i="9"/>
  <c r="L5" i="9"/>
  <c r="K5" i="9"/>
  <c r="Y3" i="9"/>
  <c r="U3" i="9"/>
  <c r="T3" i="9"/>
  <c r="Z3" i="9" a="1"/>
  <c r="AA3" i="9" a="1"/>
  <c r="AR11" i="9" a="1"/>
  <c r="AS11" i="9" a="1"/>
  <c r="Z4" i="9" a="1"/>
  <c r="AA4" i="9" a="1"/>
  <c r="AI6" i="9" a="1"/>
  <c r="AJ6" i="9" a="1"/>
  <c r="AR9" i="9" a="1"/>
  <c r="AS9" i="9" a="1"/>
  <c r="W4" i="9" a="1"/>
  <c r="AF6" i="9" a="1"/>
  <c r="AO9" i="9" a="1"/>
  <c r="AO11" i="9" a="1"/>
  <c r="I6" i="19" a="1"/>
  <c r="I6" i="20" a="1"/>
  <c r="I7" i="19" a="1"/>
  <c r="I7" i="20" a="1"/>
  <c r="H6" i="19" a="1"/>
  <c r="H6" i="20" a="1"/>
  <c r="H7" i="19" a="1"/>
  <c r="H7" i="20" a="1"/>
  <c r="D3" i="17" a="1"/>
  <c r="D5" i="18" a="1"/>
  <c r="D8" i="19" a="1"/>
  <c r="G3" i="16" a="1"/>
  <c r="D4" i="16" a="1"/>
  <c r="F4" i="16" a="1"/>
  <c r="E5" i="19" a="1"/>
  <c r="AP11" i="9"/>
  <c r="F10" i="19" s="1" a="1"/>
  <c r="AM8" i="9"/>
  <c r="AL8" i="9"/>
  <c r="AN10" i="9"/>
  <c r="AQ10" i="9"/>
  <c r="AM10" i="9"/>
  <c r="AL10" i="9"/>
  <c r="AP9" i="9"/>
  <c r="F8" i="19" s="1" a="1"/>
  <c r="B3" i="18" a="1"/>
  <c r="C3" i="18" a="1"/>
  <c r="AH6" i="9"/>
  <c r="G5" i="18" s="1" a="1"/>
  <c r="AD6" i="9"/>
  <c r="C6" i="19" s="1" a="1"/>
  <c r="AC6" i="9"/>
  <c r="B6" i="19" s="1" a="1"/>
  <c r="T4" i="9"/>
  <c r="B3" i="17" s="1" a="1"/>
  <c r="U4" i="9"/>
  <c r="C3" i="17" s="1" a="1"/>
  <c r="Y4" i="9"/>
  <c r="G3" i="17" s="1" a="1"/>
  <c r="AE7" i="9"/>
  <c r="AG7" i="9"/>
  <c r="F6" i="18" s="1" a="1"/>
  <c r="AJ7" i="9" a="1"/>
  <c r="AI7" i="9" a="1"/>
  <c r="AR10" i="9" a="1"/>
  <c r="AS10" i="9" a="1"/>
  <c r="AF7" i="9" a="1"/>
  <c r="AO10" i="9" a="1"/>
  <c r="AQ8" i="9" l="1"/>
  <c r="I5" i="18" a="1"/>
  <c r="H5" i="18" s="1" a="1"/>
  <c r="I3" i="17" s="1" a="1"/>
  <c r="H3" i="17" s="1" a="1"/>
  <c r="E3" i="17" s="1" a="1"/>
  <c r="E8" i="20" s="1" a="1"/>
  <c r="E10" i="20" s="1" a="1"/>
  <c r="H10" i="19" a="1"/>
  <c r="H10" i="20" a="1"/>
  <c r="I10" i="19" a="1"/>
  <c r="I10" i="20" a="1"/>
  <c r="H8" i="19" a="1"/>
  <c r="H8" i="20" a="1"/>
  <c r="I8" i="19" a="1"/>
  <c r="I8" i="20" a="1"/>
  <c r="H6" i="18" s="1" a="1"/>
  <c r="I6" i="18" s="1" a="1"/>
  <c r="E9" i="20" s="1" a="1"/>
  <c r="D9" i="19" a="1"/>
  <c r="G7" i="19" a="1"/>
  <c r="E4" i="18" a="1"/>
  <c r="D6" i="18" a="1"/>
  <c r="G4" i="16" a="1"/>
  <c r="E6" i="19" a="1"/>
  <c r="D10" i="19" a="1"/>
  <c r="F9" i="19" a="1"/>
  <c r="AQ9" i="9"/>
  <c r="G9" i="19" s="1" a="1"/>
  <c r="AM9" i="9"/>
  <c r="AL9" i="9"/>
  <c r="AQ11" i="9"/>
  <c r="AM11" i="9"/>
  <c r="AL11" i="9"/>
  <c r="AP12" i="9"/>
  <c r="F11" i="19" s="1" a="1"/>
  <c r="AN13" i="9"/>
  <c r="AN12" i="9"/>
  <c r="B4" i="18" a="1"/>
  <c r="C4" i="18" a="1"/>
  <c r="AH7" i="9"/>
  <c r="AD7" i="9"/>
  <c r="C7" i="19" s="1" a="1"/>
  <c r="AC7" i="9"/>
  <c r="B7" i="19" s="1" a="1"/>
  <c r="AG8" i="9"/>
  <c r="F7" i="18" s="1" a="1"/>
  <c r="AE8" i="9"/>
  <c r="AR13" i="9" a="1"/>
  <c r="AS13" i="9" a="1"/>
  <c r="AS12" i="9" a="1"/>
  <c r="AR12" i="9" a="1"/>
  <c r="AI8" i="9" a="1"/>
  <c r="AJ8" i="9" a="1"/>
  <c r="AO12" i="9" a="1"/>
  <c r="AO13" i="9" a="1"/>
  <c r="AF8" i="9" a="1"/>
  <c r="I9" i="19" l="1" a="1"/>
  <c r="I9" i="20" a="1"/>
  <c r="H9" i="19" a="1"/>
  <c r="H9" i="20" a="1"/>
  <c r="I7" i="18" s="1" a="1"/>
  <c r="H7" i="18" s="1" a="1"/>
  <c r="E11" i="20" s="1" a="1"/>
  <c r="E12" i="20" s="1" a="1"/>
  <c r="D7" i="18" a="1"/>
  <c r="D11" i="19" a="1"/>
  <c r="G8" i="19" a="1"/>
  <c r="G6" i="18" a="1"/>
  <c r="G10" i="19" a="1"/>
  <c r="E7" i="19" a="1"/>
  <c r="D12" i="19" a="1"/>
  <c r="AP14" i="9"/>
  <c r="AQ12" i="9"/>
  <c r="AM12" i="9"/>
  <c r="AL12" i="9"/>
  <c r="AP13" i="9"/>
  <c r="F12" i="19" s="1" a="1"/>
  <c r="AH8" i="9"/>
  <c r="G7" i="18" s="1" a="1"/>
  <c r="AC8" i="9"/>
  <c r="B8" i="19" s="1" a="1"/>
  <c r="AD8" i="9"/>
  <c r="C8" i="19" s="1" a="1"/>
  <c r="AG9" i="9"/>
  <c r="F8" i="18" s="1" a="1"/>
  <c r="H11" i="19" l="1" a="1"/>
  <c r="H11" i="20" a="1"/>
  <c r="H12" i="19" a="1"/>
  <c r="H12" i="20" a="1"/>
  <c r="I12" i="19" a="1"/>
  <c r="I12" i="20" a="1"/>
  <c r="I11" i="19" a="1"/>
  <c r="I11" i="20" a="1"/>
  <c r="G11" i="19" a="1"/>
  <c r="E8" i="19" a="1"/>
  <c r="AQ14" i="9"/>
  <c r="AM14" i="9"/>
  <c r="AL14" i="9"/>
  <c r="AQ13" i="9"/>
  <c r="F13" i="19" a="1"/>
  <c r="AM13" i="9"/>
  <c r="AL13" i="9"/>
  <c r="AG10" i="9"/>
  <c r="F9" i="18" s="1" a="1"/>
  <c r="AE9" i="9"/>
  <c r="AC9" i="9"/>
  <c r="B9" i="19" s="1" a="1"/>
  <c r="AD9" i="9"/>
  <c r="C9" i="19" s="1" a="1"/>
  <c r="AH9" i="9"/>
  <c r="G8" i="18" s="1" a="1"/>
  <c r="AI9" i="9" a="1"/>
  <c r="AJ9" i="9" a="1"/>
  <c r="AF9" i="9" a="1"/>
  <c r="G13" i="19" l="1" a="1"/>
  <c r="I8" i="18" s="1" a="1"/>
  <c r="H8" i="18" s="1" a="1"/>
  <c r="D8" i="18" a="1"/>
  <c r="G12" i="19" a="1"/>
  <c r="AH10" i="9"/>
  <c r="G9" i="18" s="1" a="1"/>
  <c r="AC10" i="9"/>
  <c r="B10" i="19" a="1"/>
  <c r="E3" i="16" a="1"/>
  <c r="AD10" i="9"/>
  <c r="E9" i="19" l="1" a="1"/>
  <c r="C10" i="19" a="1"/>
  <c r="E4" i="16" a="1"/>
  <c r="D4" i="9"/>
  <c r="F4" i="9"/>
  <c r="C4" i="9" s="1"/>
  <c r="I4" i="9" a="1"/>
  <c r="H4" i="9" a="1"/>
  <c r="E4" i="9" a="1"/>
  <c r="G4" i="9"/>
  <c r="AE10" i="9"/>
  <c r="AE18" i="9"/>
  <c r="AG44" i="9"/>
  <c r="AE36" i="9"/>
  <c r="AE21" i="9"/>
  <c r="AE58" i="9"/>
  <c r="AE26" i="9"/>
  <c r="AG57" i="9"/>
  <c r="AE39" i="9"/>
  <c r="AG49" i="9"/>
  <c r="AG46" i="9"/>
  <c r="AG71" i="9"/>
  <c r="AE14" i="9"/>
  <c r="AG23" i="9"/>
  <c r="AG27" i="9"/>
  <c r="AE71" i="9"/>
  <c r="AE23" i="9"/>
  <c r="AE40" i="9"/>
  <c r="AE29" i="9"/>
  <c r="AG59" i="9"/>
  <c r="AE55" i="9"/>
  <c r="AG16" i="9"/>
  <c r="AG41" i="9"/>
  <c r="AG20" i="9"/>
  <c r="AG11" i="9"/>
  <c r="F10" i="18" s="1" a="1"/>
  <c r="AE68" i="9"/>
  <c r="AE13" i="9"/>
  <c r="AG58" i="9"/>
  <c r="AG29" i="9"/>
  <c r="AG19" i="9"/>
  <c r="AG66" i="9"/>
  <c r="AE34" i="9"/>
  <c r="AG51" i="9"/>
  <c r="AG64" i="9"/>
  <c r="AE54" i="9"/>
  <c r="AE48" i="9"/>
  <c r="AG52" i="9"/>
  <c r="AG14" i="9"/>
  <c r="AG30" i="9"/>
  <c r="AG37" i="9"/>
  <c r="AG35" i="9"/>
  <c r="AE57" i="9"/>
  <c r="AE19" i="9"/>
  <c r="AG54" i="9"/>
  <c r="AG62" i="9"/>
  <c r="AE37" i="9"/>
  <c r="AG21" i="9"/>
  <c r="AE59" i="9"/>
  <c r="AE35" i="9"/>
  <c r="AG50" i="9"/>
  <c r="AE47" i="9"/>
  <c r="AE62" i="9"/>
  <c r="AG39" i="9"/>
  <c r="AG33" i="9"/>
  <c r="AE45" i="9"/>
  <c r="AG24" i="9"/>
  <c r="AE64" i="9"/>
  <c r="AG68" i="9"/>
  <c r="AE52" i="9"/>
  <c r="AE56" i="9"/>
  <c r="AG13" i="9"/>
  <c r="AG31" i="9"/>
  <c r="AG15" i="9"/>
  <c r="AG48" i="9"/>
  <c r="AG63" i="9"/>
  <c r="AE63" i="9"/>
  <c r="AG43" i="9"/>
  <c r="AE70" i="9"/>
  <c r="AE32" i="9"/>
  <c r="AG18" i="9"/>
  <c r="AE33" i="9"/>
  <c r="AG69" i="9"/>
  <c r="AG26" i="9"/>
  <c r="AE44" i="9"/>
  <c r="AG70" i="9"/>
  <c r="AE60" i="9"/>
  <c r="AG56" i="9"/>
  <c r="AE22" i="9"/>
  <c r="AE53" i="9"/>
  <c r="AE11" i="9"/>
  <c r="AG60" i="9"/>
  <c r="AE12" i="9"/>
  <c r="AE15" i="9"/>
  <c r="AE42" i="9"/>
  <c r="AG65" i="9"/>
  <c r="AE17" i="9"/>
  <c r="AE69" i="9"/>
  <c r="AG40" i="9"/>
  <c r="AE16" i="9"/>
  <c r="AE30" i="9"/>
  <c r="AE61" i="9"/>
  <c r="AG22" i="9"/>
  <c r="AG67" i="9"/>
  <c r="AG12" i="9"/>
  <c r="AG17" i="9"/>
  <c r="AE46" i="9"/>
  <c r="AE28" i="9"/>
  <c r="AE24" i="9"/>
  <c r="AG36" i="9"/>
  <c r="AE38" i="9"/>
  <c r="AE67" i="9"/>
  <c r="AE31" i="9"/>
  <c r="AG47" i="9"/>
  <c r="AG25" i="9"/>
  <c r="AE41" i="9"/>
  <c r="AG34" i="9"/>
  <c r="AG32" i="9"/>
  <c r="AG45" i="9"/>
  <c r="AE27" i="9"/>
  <c r="AE72" i="9"/>
  <c r="AG38" i="9"/>
  <c r="AE50" i="9"/>
  <c r="AE43" i="9"/>
  <c r="AG61" i="9"/>
  <c r="AE49" i="9"/>
  <c r="AE65" i="9"/>
  <c r="AE20" i="9"/>
  <c r="AG72" i="9"/>
  <c r="AG42" i="9"/>
  <c r="AE25" i="9"/>
  <c r="AG53" i="9"/>
  <c r="AE66" i="9"/>
  <c r="AE51" i="9"/>
  <c r="AG55" i="9"/>
  <c r="AG28" i="9"/>
  <c r="B4" i="9"/>
  <c r="F5" i="9"/>
  <c r="AI13" i="9" a="1"/>
  <c r="AJ13" i="9" a="1"/>
  <c r="AI19" i="9" a="1"/>
  <c r="AJ19" i="9" a="1"/>
  <c r="AI52" i="9" a="1"/>
  <c r="AJ52" i="9" a="1"/>
  <c r="AI61" i="9" a="1"/>
  <c r="AJ61" i="9" a="1"/>
  <c r="AI51" i="9" a="1"/>
  <c r="AJ51" i="9" a="1"/>
  <c r="AI67" i="9" a="1"/>
  <c r="AJ67" i="9" a="1"/>
  <c r="AI69" i="9" a="1"/>
  <c r="AJ69" i="9" a="1"/>
  <c r="AI68" i="9" a="1"/>
  <c r="AJ68" i="9" a="1"/>
  <c r="AI56" i="9" a="1"/>
  <c r="AJ56" i="9" a="1"/>
  <c r="AI60" i="9" a="1"/>
  <c r="AJ60" i="9" a="1"/>
  <c r="AI14" i="9" a="1"/>
  <c r="AJ14" i="9" a="1"/>
  <c r="AI27" i="9" a="1"/>
  <c r="AJ27" i="9" a="1"/>
  <c r="AI17" i="9" a="1"/>
  <c r="AJ17" i="9" a="1"/>
  <c r="AI41" i="9" a="1"/>
  <c r="AJ41" i="9" a="1"/>
  <c r="AI66" i="9" a="1"/>
  <c r="AJ66" i="9" a="1"/>
  <c r="AI37" i="9" a="1"/>
  <c r="AJ37" i="9" a="1"/>
  <c r="AI22" i="9" a="1"/>
  <c r="AJ22" i="9" a="1"/>
  <c r="AI38" i="9" a="1"/>
  <c r="AJ38" i="9" a="1"/>
  <c r="AI33" i="9" a="1"/>
  <c r="AJ33" i="9" a="1"/>
  <c r="AI53" i="9" a="1"/>
  <c r="AJ53" i="9" a="1"/>
  <c r="AI20" i="9" a="1"/>
  <c r="AJ20" i="9" a="1"/>
  <c r="AI71" i="9" a="1"/>
  <c r="AJ71" i="9" a="1"/>
  <c r="AI34" i="9" a="1"/>
  <c r="AJ34" i="9" a="1"/>
  <c r="AI59" i="9" a="1"/>
  <c r="AJ59" i="9" a="1"/>
  <c r="AI11" i="9" a="1"/>
  <c r="AJ11" i="9" a="1"/>
  <c r="AI46" i="9" a="1"/>
  <c r="AJ46" i="9" a="1"/>
  <c r="AI50" i="9" a="1"/>
  <c r="AJ50" i="9" a="1"/>
  <c r="AJ24" i="9" a="1"/>
  <c r="AI24" i="9" a="1"/>
  <c r="AI10" i="9" a="1"/>
  <c r="AJ10" i="9" a="1"/>
  <c r="AI23" i="9" a="1"/>
  <c r="AJ23" i="9" a="1"/>
  <c r="AI35" i="9" a="1"/>
  <c r="AJ35" i="9" a="1"/>
  <c r="AI28" i="9" a="1"/>
  <c r="AJ28" i="9" a="1"/>
  <c r="AI43" i="9" a="1"/>
  <c r="AJ43" i="9" a="1"/>
  <c r="AI25" i="9" a="1"/>
  <c r="AJ25" i="9" a="1"/>
  <c r="AI30" i="9" a="1"/>
  <c r="AJ30" i="9" a="1"/>
  <c r="AI18" i="9" a="1"/>
  <c r="AJ18" i="9" a="1"/>
  <c r="AI40" i="9" a="1"/>
  <c r="AJ40" i="9" a="1"/>
  <c r="AI63" i="9" a="1"/>
  <c r="AJ63" i="9" a="1"/>
  <c r="AI12" i="9" a="1"/>
  <c r="AJ12" i="9" a="1"/>
  <c r="AI49" i="9" a="1"/>
  <c r="AJ49" i="9" a="1"/>
  <c r="AI31" i="9" a="1"/>
  <c r="AJ31" i="9" a="1"/>
  <c r="AI29" i="9" a="1"/>
  <c r="AJ29" i="9" a="1"/>
  <c r="AI54" i="9" a="1"/>
  <c r="AJ54" i="9" a="1"/>
  <c r="AI47" i="9" a="1"/>
  <c r="AJ47" i="9" a="1"/>
  <c r="AI15" i="9" a="1"/>
  <c r="AJ15" i="9" a="1"/>
  <c r="AI57" i="9" a="1"/>
  <c r="AJ57" i="9" a="1"/>
  <c r="AI36" i="9" a="1"/>
  <c r="AJ36" i="9" a="1"/>
  <c r="AI48" i="9" a="1"/>
  <c r="AJ48" i="9" a="1"/>
  <c r="AI62" i="9" a="1"/>
  <c r="AJ62" i="9" a="1"/>
  <c r="AI70" i="9" a="1"/>
  <c r="AJ70" i="9" a="1"/>
  <c r="AI42" i="9" a="1"/>
  <c r="AJ42" i="9" a="1"/>
  <c r="AI65" i="9" a="1"/>
  <c r="AJ65" i="9" a="1"/>
  <c r="AI21" i="9" a="1"/>
  <c r="AJ21" i="9" a="1"/>
  <c r="AI55" i="9" a="1"/>
  <c r="AJ55" i="9" a="1"/>
  <c r="AI32" i="9" a="1"/>
  <c r="AJ32" i="9" a="1"/>
  <c r="AI58" i="9" a="1"/>
  <c r="AJ58" i="9" a="1"/>
  <c r="AI16" i="9" a="1"/>
  <c r="AJ16" i="9" a="1"/>
  <c r="AI26" i="9" a="1"/>
  <c r="AJ26" i="9" a="1"/>
  <c r="AI45" i="9" a="1"/>
  <c r="AJ45" i="9" a="1"/>
  <c r="AI39" i="9" a="1"/>
  <c r="AJ39" i="9" a="1"/>
  <c r="AI64" i="9" a="1"/>
  <c r="AJ64" i="9" a="1"/>
  <c r="AI44" i="9" a="1"/>
  <c r="AJ44" i="9" a="1"/>
  <c r="AF53" i="9" a="1"/>
  <c r="AF63" i="9" a="1"/>
  <c r="AF67" i="9" a="1"/>
  <c r="AF66" i="9" a="1"/>
  <c r="AF57" i="9" a="1"/>
  <c r="AF62" i="9" a="1"/>
  <c r="AF23" i="9" a="1"/>
  <c r="AF16" i="9" a="1"/>
  <c r="AF41" i="9" a="1"/>
  <c r="AF28" i="9" a="1"/>
  <c r="AF12" i="9" a="1"/>
  <c r="AF20" i="9" a="1"/>
  <c r="AF68" i="9" a="1"/>
  <c r="AF61" i="9" a="1"/>
  <c r="AF14" i="9" a="1"/>
  <c r="AF43" i="9" a="1"/>
  <c r="AF24" i="9" a="1"/>
  <c r="AF31" i="9" a="1"/>
  <c r="AF45" i="9" a="1"/>
  <c r="AF35" i="9" a="1"/>
  <c r="AF15" i="9" a="1"/>
  <c r="AF29" i="9" a="1"/>
  <c r="AF51" i="9" a="1"/>
  <c r="AF13" i="9" a="1"/>
  <c r="AF52" i="9" a="1"/>
  <c r="AF60" i="9" a="1"/>
  <c r="AF64" i="9" a="1"/>
  <c r="AF65" i="9" a="1"/>
  <c r="AF49" i="9" a="1"/>
  <c r="AF32" i="9" a="1"/>
  <c r="AF71" i="9" a="1"/>
  <c r="AF54" i="9" a="1"/>
  <c r="AF58" i="9" a="1"/>
  <c r="AF19" i="9" a="1"/>
  <c r="AF56" i="9" a="1"/>
  <c r="AF27" i="9" a="1"/>
  <c r="AF30" i="9" a="1"/>
  <c r="AF34" i="9" a="1"/>
  <c r="AF47" i="9" a="1"/>
  <c r="AF17" i="9" a="1"/>
  <c r="AF48" i="9" a="1"/>
  <c r="AF21" i="9" a="1"/>
  <c r="AF59" i="9" a="1"/>
  <c r="AF36" i="9" a="1"/>
  <c r="AF26" i="9" a="1"/>
  <c r="AF33" i="9" a="1"/>
  <c r="AF38" i="9" a="1"/>
  <c r="AF22" i="9" a="1"/>
  <c r="AF72" i="9" a="1"/>
  <c r="AF11" i="9" a="1"/>
  <c r="AF46" i="9" a="1"/>
  <c r="AF40" i="9" a="1"/>
  <c r="AF50" i="9" a="1"/>
  <c r="AF70" i="9" a="1"/>
  <c r="AF69" i="9" a="1"/>
  <c r="AF10" i="9" a="1"/>
  <c r="AF42" i="9" a="1"/>
  <c r="AF39" i="9" a="1"/>
  <c r="AF37" i="9" a="1"/>
  <c r="AF18" i="9" a="1"/>
  <c r="AF55" i="9" a="1"/>
  <c r="AF44" i="9" a="1"/>
  <c r="AF25" i="9" a="1"/>
  <c r="I43" i="18" s="1" a="1"/>
  <c r="H43" i="18" s="1" a="1"/>
  <c r="I63" i="18" s="1" a="1"/>
  <c r="H63" i="18" s="1" a="1"/>
  <c r="I38" i="18" s="1" a="1"/>
  <c r="H38" i="18" s="1" a="1"/>
  <c r="I44" i="18" s="1" a="1"/>
  <c r="H44" i="18" s="1" a="1"/>
  <c r="I25" i="18" s="1" a="1"/>
  <c r="H25" i="18" s="1" a="1"/>
  <c r="I15" i="18" s="1" a="1"/>
  <c r="H15" i="18" s="1" a="1"/>
  <c r="I57" i="18" s="1" a="1"/>
  <c r="H57" i="18" s="1" a="1"/>
  <c r="I31" i="18" s="1" a="1"/>
  <c r="H31" i="18" s="1" a="1"/>
  <c r="I54" i="18" s="1" a="1"/>
  <c r="H54" i="18" s="1" a="1"/>
  <c r="I20" i="18" s="1" a="1"/>
  <c r="H20" i="18" s="1" a="1"/>
  <c r="I64" i="18" s="1" a="1"/>
  <c r="H64" i="18" s="1" a="1"/>
  <c r="I41" i="18" s="1" a="1"/>
  <c r="H41" i="18" s="1" a="1"/>
  <c r="I69" i="18" s="1" a="1"/>
  <c r="H69" i="18" s="1" a="1"/>
  <c r="I61" i="18" s="1" a="1"/>
  <c r="H61" i="18" s="1" a="1"/>
  <c r="I47" i="18" s="1" a="1"/>
  <c r="H47" i="18" s="1" a="1"/>
  <c r="I35" i="18" s="1" a="1"/>
  <c r="H35" i="18" s="1" a="1"/>
  <c r="I56" i="18" s="1" a="1"/>
  <c r="H56" i="18" s="1" a="1"/>
  <c r="I14" i="18" s="1" a="1"/>
  <c r="H14" i="18" s="1" a="1"/>
  <c r="I46" i="18" s="1" a="1"/>
  <c r="H46" i="18" s="1" a="1"/>
  <c r="I53" i="18" s="1" a="1"/>
  <c r="H53" i="18" s="1" a="1"/>
  <c r="I28" i="18" s="1" a="1"/>
  <c r="H28" i="18" s="1" a="1"/>
  <c r="I30" i="18" s="1" a="1"/>
  <c r="H30" i="18" s="1" a="1"/>
  <c r="I48" i="18" s="1" a="1"/>
  <c r="H48" i="18" s="1" a="1"/>
  <c r="I11" i="18" s="1" a="1"/>
  <c r="H11" i="18" s="1" a="1"/>
  <c r="I62" i="18" s="1" a="1"/>
  <c r="H62" i="18" s="1" a="1"/>
  <c r="I39" i="18" s="1" a="1"/>
  <c r="H39" i="18" s="1" a="1"/>
  <c r="I17" i="18" s="1" a="1"/>
  <c r="H17" i="18" s="1" a="1"/>
  <c r="I29" i="18" s="1" a="1"/>
  <c r="H29" i="18" s="1" a="1"/>
  <c r="I24" i="18" s="1" a="1"/>
  <c r="H24" i="18" s="1" a="1"/>
  <c r="I42" i="18" s="1" a="1"/>
  <c r="H42" i="18" s="1" a="1"/>
  <c r="I27" i="18" s="1" a="1"/>
  <c r="H27" i="18" s="1" a="1"/>
  <c r="I34" i="18" s="1" a="1"/>
  <c r="H34" i="18" s="1" a="1"/>
  <c r="I22" i="18" s="1" a="1"/>
  <c r="H22" i="18" s="1" a="1"/>
  <c r="I9" i="18" s="1" a="1"/>
  <c r="H9" i="18" s="1" a="1"/>
  <c r="H23" i="18" s="1" a="1"/>
  <c r="I23" i="18" s="1" a="1"/>
  <c r="I49" i="18" s="1" a="1"/>
  <c r="H49" i="18" s="1" a="1"/>
  <c r="I45" i="18" s="1" a="1"/>
  <c r="H45" i="18" s="1" a="1"/>
  <c r="I10" i="18" s="1" a="1"/>
  <c r="H10" i="18" s="1" a="1"/>
  <c r="I58" i="18" s="1" a="1"/>
  <c r="H58" i="18" s="1" a="1"/>
  <c r="I33" i="18" s="1" a="1"/>
  <c r="H33" i="18" s="1" a="1"/>
  <c r="I70" i="18" s="1" a="1"/>
  <c r="H70" i="18" s="1" a="1"/>
  <c r="I19" i="18" s="1" a="1"/>
  <c r="H19" i="18" s="1" a="1"/>
  <c r="I52" i="18" s="1" a="1"/>
  <c r="H52" i="18" s="1" a="1"/>
  <c r="I32" i="18" s="1" a="1"/>
  <c r="H32" i="18" s="1" a="1"/>
  <c r="I37" i="18" s="1" a="1"/>
  <c r="H37" i="18" s="1" a="1"/>
  <c r="I21" i="18" s="1" a="1"/>
  <c r="H21" i="18" s="1" a="1"/>
  <c r="I36" i="18" s="1" a="1"/>
  <c r="H36" i="18" s="1" a="1"/>
  <c r="I65" i="18" s="1" a="1"/>
  <c r="H65" i="18" s="1" a="1"/>
  <c r="I40" i="18" s="1" a="1"/>
  <c r="H40" i="18" s="1" a="1"/>
  <c r="I16" i="18" s="1" a="1"/>
  <c r="H16" i="18" s="1" a="1"/>
  <c r="I26" i="18" s="1" a="1"/>
  <c r="H26" i="18" s="1" a="1"/>
  <c r="I13" i="18" s="1" a="1"/>
  <c r="H13" i="18" s="1" a="1"/>
  <c r="I59" i="18" s="1" a="1"/>
  <c r="H59" i="18" s="1" a="1"/>
  <c r="I55" i="18" s="1" a="1"/>
  <c r="H55" i="18" s="1" a="1"/>
  <c r="I67" i="18" s="1" a="1"/>
  <c r="H67" i="18" s="1" a="1"/>
  <c r="I68" i="18" s="1" a="1"/>
  <c r="H68" i="18" s="1" a="1"/>
  <c r="I66" i="18" s="1" a="1"/>
  <c r="H66" i="18" s="1" a="1"/>
  <c r="I50" i="18" s="1" a="1"/>
  <c r="H50" i="18" s="1" a="1"/>
  <c r="I60" i="18" s="1" a="1"/>
  <c r="H60" i="18" s="1" a="1"/>
  <c r="I51" i="18" s="1" a="1"/>
  <c r="H51" i="18" s="1" a="1"/>
  <c r="I18" i="18" s="1" a="1"/>
  <c r="H18" i="18" s="1" a="1"/>
  <c r="I12" i="18" s="1" a="1"/>
  <c r="H12" i="18" s="1" a="1"/>
  <c r="AN54" i="9"/>
  <c r="AP23" i="9"/>
  <c r="AP34" i="9"/>
  <c r="AP66" i="9"/>
  <c r="AN70" i="9"/>
  <c r="AP65" i="9"/>
  <c r="AP71" i="9"/>
  <c r="AN50" i="9"/>
  <c r="AN60" i="9"/>
  <c r="AP48" i="9"/>
  <c r="AN27" i="9"/>
  <c r="AN42" i="9"/>
  <c r="AN19" i="9"/>
  <c r="AN67" i="9"/>
  <c r="AN57" i="9"/>
  <c r="AP21" i="9"/>
  <c r="AP41" i="9"/>
  <c r="AP35" i="9"/>
  <c r="AP31" i="9"/>
  <c r="AN55" i="9"/>
  <c r="AN47" i="9"/>
  <c r="AP58" i="9"/>
  <c r="AN22" i="9"/>
  <c r="AP16" i="9"/>
  <c r="AN24" i="9"/>
  <c r="AN37" i="9"/>
  <c r="AN17" i="9"/>
  <c r="AP50" i="9"/>
  <c r="AN53" i="9"/>
  <c r="AP53" i="9"/>
  <c r="AN49" i="9"/>
  <c r="AN39" i="9"/>
  <c r="AN28" i="9"/>
  <c r="AN69" i="9"/>
  <c r="AN59" i="9"/>
  <c r="AP69" i="9"/>
  <c r="AP45" i="9"/>
  <c r="AN56" i="9"/>
  <c r="AN20" i="9"/>
  <c r="AN62" i="9"/>
  <c r="AP68" i="9"/>
  <c r="AP54" i="9"/>
  <c r="AN36" i="9"/>
  <c r="AP52" i="9"/>
  <c r="AN18" i="9"/>
  <c r="AN40" i="9"/>
  <c r="AP70" i="9"/>
  <c r="AP43" i="9"/>
  <c r="F43" i="18" s="1" a="1"/>
  <c r="AP19" i="9"/>
  <c r="AP64" i="9"/>
  <c r="AP33" i="9"/>
  <c r="AP61" i="9"/>
  <c r="AN45" i="9"/>
  <c r="AN31" i="9"/>
  <c r="AN71" i="9"/>
  <c r="AP27" i="9"/>
  <c r="AP42" i="9"/>
  <c r="AN16" i="9"/>
  <c r="AN44" i="9"/>
  <c r="AP55" i="9"/>
  <c r="AP15" i="9"/>
  <c r="AN14" i="9"/>
  <c r="AN51" i="9"/>
  <c r="AP39" i="9"/>
  <c r="AN34" i="9"/>
  <c r="AN58" i="9"/>
  <c r="AP40" i="9"/>
  <c r="AN64" i="9"/>
  <c r="AP44" i="9"/>
  <c r="AN61" i="9"/>
  <c r="AP29" i="9"/>
  <c r="AN23" i="9"/>
  <c r="AP17" i="9"/>
  <c r="AN21" i="9"/>
  <c r="AN29" i="9"/>
  <c r="AP28" i="9"/>
  <c r="AN41" i="9"/>
  <c r="AP72" i="9"/>
  <c r="F72" i="18" s="1" a="1"/>
  <c r="AP37" i="9"/>
  <c r="AP18" i="9"/>
  <c r="AN66" i="9"/>
  <c r="AN43" i="9"/>
  <c r="AN46" i="9"/>
  <c r="AP20" i="9"/>
  <c r="AN68" i="9"/>
  <c r="AP26" i="9"/>
  <c r="AP57" i="9"/>
  <c r="AP25" i="9"/>
  <c r="AN63" i="9"/>
  <c r="AN52" i="9"/>
  <c r="AP49" i="9"/>
  <c r="AP51" i="9"/>
  <c r="AP24" i="9"/>
  <c r="AP63" i="9"/>
  <c r="AN15" i="9"/>
  <c r="AN30" i="9"/>
  <c r="AP46" i="9"/>
  <c r="AP36" i="9"/>
  <c r="AN72" i="9"/>
  <c r="AP47" i="9"/>
  <c r="AN35" i="9"/>
  <c r="AP22" i="9"/>
  <c r="AP38" i="9"/>
  <c r="AN25" i="9"/>
  <c r="AN48" i="9"/>
  <c r="AP30" i="9"/>
  <c r="AN33" i="9"/>
  <c r="AP60" i="9"/>
  <c r="AN26" i="9"/>
  <c r="AN65" i="9"/>
  <c r="AP56" i="9"/>
  <c r="F56" i="18" s="1" a="1"/>
  <c r="AP67" i="9"/>
  <c r="AN38" i="9"/>
  <c r="AP62" i="9"/>
  <c r="AN32" i="9"/>
  <c r="AP32" i="9"/>
  <c r="AP59" i="9"/>
  <c r="B4" i="16" a="1"/>
  <c r="C4" i="16" a="1"/>
  <c r="AR27" i="9" a="1"/>
  <c r="AS27" i="9" a="1"/>
  <c r="AR17" i="9" a="1"/>
  <c r="AS17" i="9" a="1"/>
  <c r="AR36" i="9" a="1"/>
  <c r="AS36" i="9" a="1"/>
  <c r="AR44" i="9" a="1"/>
  <c r="AS44" i="9" a="1"/>
  <c r="AR29" i="9" a="1"/>
  <c r="AS29" i="9" a="1"/>
  <c r="AR33" i="9" a="1"/>
  <c r="AS33" i="9" a="1"/>
  <c r="AR41" i="9" a="1"/>
  <c r="AS41" i="9" a="1"/>
  <c r="AR42" i="9" a="1"/>
  <c r="AS42" i="9" a="1"/>
  <c r="AR19" i="9" a="1"/>
  <c r="AS19" i="9" a="1"/>
  <c r="AR53" i="9" a="1"/>
  <c r="AS53" i="9" a="1"/>
  <c r="AR18" i="9" a="1"/>
  <c r="AS18" i="9" a="1"/>
  <c r="AR62" i="9" a="1"/>
  <c r="AS62" i="9" a="1"/>
  <c r="AR67" i="9" a="1"/>
  <c r="AS67" i="9" a="1"/>
  <c r="AR40" i="9" a="1"/>
  <c r="AS40" i="9" a="1"/>
  <c r="AR14" i="9" a="1"/>
  <c r="AS14" i="9" a="1"/>
  <c r="AR65" i="9" a="1"/>
  <c r="AS65" i="9" a="1"/>
  <c r="AR32" i="9" a="1"/>
  <c r="AS32" i="9" a="1"/>
  <c r="AR57" i="9" a="1"/>
  <c r="AS57" i="9" a="1"/>
  <c r="AR49" i="9" a="1"/>
  <c r="AS49" i="9" a="1"/>
  <c r="AR51" i="9" a="1"/>
  <c r="AS51" i="9" a="1"/>
  <c r="AR15" i="9" a="1"/>
  <c r="AS15" i="9" a="1"/>
  <c r="AR39" i="9" a="1"/>
  <c r="AS39" i="9" a="1"/>
  <c r="AR30" i="9" a="1"/>
  <c r="AS30" i="9" a="1"/>
  <c r="AR54" i="9" a="1"/>
  <c r="AS54" i="9" a="1"/>
  <c r="AS28" i="9" a="1"/>
  <c r="AR28" i="9" a="1"/>
  <c r="AR34" i="9" a="1"/>
  <c r="AS34" i="9" a="1"/>
  <c r="AR66" i="9" a="1"/>
  <c r="AS66" i="9" a="1"/>
  <c r="AR38" i="9" a="1"/>
  <c r="AS38" i="9" a="1"/>
  <c r="AR46" i="9" a="1"/>
  <c r="AS46" i="9" a="1"/>
  <c r="AR69" i="9" a="1"/>
  <c r="AS69" i="9" a="1"/>
  <c r="AR58" i="9" a="1"/>
  <c r="AS58" i="9" a="1"/>
  <c r="AR43" i="9" a="1"/>
  <c r="AS43" i="9" a="1"/>
  <c r="AR59" i="9" a="1"/>
  <c r="AS59" i="9" a="1"/>
  <c r="AR55" i="9" a="1"/>
  <c r="AS55" i="9" a="1"/>
  <c r="AR64" i="9" a="1"/>
  <c r="AS64" i="9" a="1"/>
  <c r="AR70" i="9" a="1"/>
  <c r="AS70" i="9" a="1"/>
  <c r="AR47" i="9" a="1"/>
  <c r="AS47" i="9" a="1"/>
  <c r="AR45" i="9" a="1"/>
  <c r="AS45" i="9" a="1"/>
  <c r="AR68" i="9" a="1"/>
  <c r="AS68" i="9" a="1"/>
  <c r="AR35" i="9" a="1"/>
  <c r="AS35" i="9" a="1"/>
  <c r="AR56" i="9" a="1"/>
  <c r="AS56" i="9" a="1"/>
  <c r="AR31" i="9" a="1"/>
  <c r="AS31" i="9" a="1"/>
  <c r="AR61" i="9" a="1"/>
  <c r="AS61" i="9" a="1"/>
  <c r="AR22" i="9" a="1"/>
  <c r="AS22" i="9" a="1"/>
  <c r="AR20" i="9" a="1"/>
  <c r="AS20" i="9" a="1"/>
  <c r="AR71" i="9" a="1"/>
  <c r="AS71" i="9" a="1"/>
  <c r="AR50" i="9" a="1"/>
  <c r="AS50" i="9" a="1"/>
  <c r="AR23" i="9" a="1"/>
  <c r="AS23" i="9" a="1"/>
  <c r="AR60" i="9" a="1"/>
  <c r="AS60" i="9" a="1"/>
  <c r="AS24" i="9" a="1"/>
  <c r="AR24" i="9" a="1"/>
  <c r="AR63" i="9" a="1"/>
  <c r="AS63" i="9" a="1"/>
  <c r="AR48" i="9" a="1"/>
  <c r="AS48" i="9" a="1"/>
  <c r="AR26" i="9" a="1"/>
  <c r="AS26" i="9" a="1"/>
  <c r="AR37" i="9" a="1"/>
  <c r="AS37" i="9" a="1"/>
  <c r="AR16" i="9" a="1"/>
  <c r="AS16" i="9" a="1"/>
  <c r="AR21" i="9" a="1"/>
  <c r="AS21" i="9" a="1"/>
  <c r="AR52" i="9" a="1"/>
  <c r="AS52" i="9" a="1"/>
  <c r="AR25" i="9" a="1"/>
  <c r="AS25" i="9" a="1"/>
  <c r="AO71" i="9" a="1"/>
  <c r="AO27" i="9" a="1"/>
  <c r="AO55" i="9" a="1"/>
  <c r="AO58" i="9" a="1"/>
  <c r="AO66" i="9" a="1"/>
  <c r="AO61" i="9" a="1"/>
  <c r="AO17" i="9" a="1"/>
  <c r="AO57" i="9" a="1"/>
  <c r="AO43" i="9" a="1"/>
  <c r="AO45" i="9" a="1"/>
  <c r="AO65" i="9" a="1"/>
  <c r="AO50" i="9" a="1"/>
  <c r="AO36" i="9" a="1"/>
  <c r="AO49" i="9" a="1"/>
  <c r="AO64" i="9" a="1"/>
  <c r="AO46" i="9" a="1"/>
  <c r="AO62" i="9" a="1"/>
  <c r="AO44" i="9" a="1"/>
  <c r="AO51" i="9" a="1"/>
  <c r="AO70" i="9" a="1"/>
  <c r="AO26" i="9" a="1"/>
  <c r="AO23" i="9" a="1"/>
  <c r="AO29" i="9" a="1"/>
  <c r="AO15" i="9" a="1"/>
  <c r="AO47" i="9" a="1"/>
  <c r="AO25" i="9" a="1"/>
  <c r="AO32" i="9" a="1"/>
  <c r="AO38" i="9" a="1"/>
  <c r="AO33" i="9" a="1"/>
  <c r="AO37" i="9" a="1"/>
  <c r="AO60" i="9" a="1"/>
  <c r="AO42" i="9" a="1"/>
  <c r="AO39" i="9" a="1"/>
  <c r="AO68" i="9" a="1"/>
  <c r="AO24" i="9" a="1"/>
  <c r="AO19" i="9" a="1"/>
  <c r="AO30" i="9" a="1"/>
  <c r="AO35" i="9" a="1"/>
  <c r="AO20" i="9" a="1"/>
  <c r="AO63" i="9" a="1"/>
  <c r="AO53" i="9" a="1"/>
  <c r="AO54" i="9" a="1"/>
  <c r="AO56" i="9" a="1"/>
  <c r="AO48" i="9" a="1"/>
  <c r="AO18" i="9" a="1"/>
  <c r="AO28" i="9" a="1"/>
  <c r="AO59" i="9" a="1"/>
  <c r="AO41" i="9" a="1"/>
  <c r="AO34" i="9" a="1"/>
  <c r="AO16" i="9" a="1"/>
  <c r="AO67" i="9" a="1"/>
  <c r="AO21" i="9" a="1"/>
  <c r="AO40" i="9" a="1"/>
  <c r="AO69" i="9" a="1"/>
  <c r="AO22" i="9" a="1"/>
  <c r="AO52" i="9" a="1"/>
  <c r="AO14" i="9" a="1"/>
  <c r="AO31" i="9" a="1"/>
  <c r="AO72" i="9" a="1"/>
  <c r="E55" i="20" s="1" a="1"/>
  <c r="E34" i="20" s="1" a="1"/>
  <c r="E67" i="20" s="1" a="1"/>
  <c r="E44" i="20" s="1" a="1"/>
  <c r="E46" i="20" s="1" a="1"/>
  <c r="E69" i="20" s="1" a="1"/>
  <c r="E63" i="20" s="1" a="1"/>
  <c r="E42" i="20" s="1" a="1"/>
  <c r="E57" i="20" s="1" a="1"/>
  <c r="E68" i="20" s="1" a="1"/>
  <c r="E30" i="20" s="1" a="1"/>
  <c r="E45" i="20" s="1" a="1"/>
  <c r="E37" i="20" s="1" a="1"/>
  <c r="E65" i="20" s="1" a="1"/>
  <c r="E33" i="20" s="1" a="1"/>
  <c r="E27" i="20" s="1" a="1"/>
  <c r="E53" i="20" s="1" a="1"/>
  <c r="E29" i="20" s="1" a="1"/>
  <c r="E38" i="20" s="1" a="1"/>
  <c r="E31" i="20" s="1" a="1"/>
  <c r="E14" i="20" s="1" a="1"/>
  <c r="E50" i="20" s="1" a="1"/>
  <c r="E48" i="20" s="1" a="1"/>
  <c r="E56" i="20" s="1" a="1"/>
  <c r="E54" i="20" s="1" a="1"/>
  <c r="E64" i="20" s="1" a="1"/>
  <c r="E13" i="20" s="1" a="1"/>
  <c r="E39" i="20" s="1" a="1"/>
  <c r="E66" i="20" s="1" a="1"/>
  <c r="E25" i="20" s="1" a="1"/>
  <c r="E40" i="20" s="1" a="1"/>
  <c r="E17" i="20" s="1" a="1"/>
  <c r="E52" i="20" s="1" a="1"/>
  <c r="E18" i="20" s="1" a="1"/>
  <c r="E41" i="20" s="1" a="1"/>
  <c r="E32" i="20" s="1" a="1"/>
  <c r="E28" i="20" s="1" a="1"/>
  <c r="E43" i="20" s="1" a="1"/>
  <c r="E35" i="20" s="1" a="1"/>
  <c r="E16" i="20" s="1" a="1"/>
  <c r="E26" i="20" s="1" a="1"/>
  <c r="E71" i="20" s="1" a="1"/>
  <c r="E51" i="20" s="1" a="1"/>
  <c r="E20" i="20" s="1" a="1"/>
  <c r="E15" i="20" s="1" a="1"/>
  <c r="E36" i="20" s="1" a="1"/>
  <c r="E58" i="20" s="1" a="1"/>
  <c r="E47" i="20" s="1" a="1"/>
  <c r="E62" i="20" s="1" a="1"/>
  <c r="E23" i="20" s="1" a="1"/>
  <c r="E59" i="20" s="1" a="1"/>
  <c r="E24" i="20" s="1" a="1"/>
  <c r="E22" i="20" s="1" a="1"/>
  <c r="E61" i="20" s="1" a="1"/>
  <c r="E49" i="20" s="1" a="1"/>
  <c r="E60" i="20" s="1" a="1"/>
  <c r="E70" i="20" s="1" a="1"/>
  <c r="E19" i="20" s="1" a="1"/>
  <c r="E21" i="20" s="1" a="1"/>
  <c r="D72" i="18" a="1"/>
  <c r="E72" i="19" a="1"/>
  <c r="F72" i="19" a="1"/>
  <c r="D72" i="19" a="1"/>
  <c r="D29" i="19" a="1"/>
  <c r="D69" i="19" a="1"/>
  <c r="F24" i="19" a="1"/>
  <c r="AM51" i="9"/>
  <c r="AL51" i="9"/>
  <c r="D49" i="19" a="1"/>
  <c r="D53" i="19" a="1"/>
  <c r="D26" i="19" a="1"/>
  <c r="F22" i="19" a="1"/>
  <c r="AM66" i="9"/>
  <c r="AQ66" i="9"/>
  <c r="AL66" i="9"/>
  <c r="D66" i="19" a="1"/>
  <c r="AQ34" i="9"/>
  <c r="AL34" i="9"/>
  <c r="AM34" i="9"/>
  <c r="AQ23" i="9"/>
  <c r="AL23" i="9"/>
  <c r="AM23" i="9"/>
  <c r="D51" i="19" a="1"/>
  <c r="D54" i="19" a="1"/>
  <c r="B11" i="19" a="1"/>
  <c r="C11" i="19" a="1"/>
  <c r="C12" i="19" a="1"/>
  <c r="C13" i="19" a="1"/>
  <c r="B13" i="19" a="1"/>
  <c r="B12" i="19" a="1"/>
  <c r="F26" i="18" l="1" a="1"/>
  <c r="F45" i="18" a="1"/>
  <c r="F70" i="18" a="1"/>
  <c r="F19" i="18" a="1"/>
  <c r="AD39" i="9"/>
  <c r="AH39" i="9"/>
  <c r="AC39" i="9"/>
  <c r="AH62" i="9"/>
  <c r="AD62" i="9"/>
  <c r="AC62" i="9"/>
  <c r="AH11" i="9"/>
  <c r="G10" i="18" s="1" a="1"/>
  <c r="AD11" i="9"/>
  <c r="C10" i="18" s="1" a="1"/>
  <c r="AC11" i="9"/>
  <c r="B10" i="18" s="1" a="1"/>
  <c r="AH54" i="9"/>
  <c r="AD54" i="9"/>
  <c r="AC54" i="9"/>
  <c r="AH64" i="9"/>
  <c r="AC64" i="9"/>
  <c r="AD64" i="9"/>
  <c r="AH40" i="9"/>
  <c r="AD40" i="9"/>
  <c r="AC40" i="9"/>
  <c r="AC51" i="9"/>
  <c r="AH51" i="9"/>
  <c r="AD51" i="9"/>
  <c r="AH20" i="9"/>
  <c r="AD20" i="9"/>
  <c r="AC20" i="9"/>
  <c r="AC67" i="9"/>
  <c r="AH67" i="9"/>
  <c r="AD67" i="9"/>
  <c r="AD50" i="9"/>
  <c r="AC50" i="9"/>
  <c r="AH50" i="9"/>
  <c r="AH41" i="9"/>
  <c r="AD41" i="9"/>
  <c r="AC41" i="9"/>
  <c r="AH27" i="9"/>
  <c r="AD27" i="9"/>
  <c r="AC27" i="9"/>
  <c r="AD23" i="9"/>
  <c r="AH23" i="9"/>
  <c r="AC23" i="9"/>
  <c r="AC68" i="9"/>
  <c r="AD68" i="9"/>
  <c r="AH68" i="9"/>
  <c r="AH35" i="9"/>
  <c r="AD35" i="9"/>
  <c r="AC35" i="9"/>
  <c r="AD66" i="9"/>
  <c r="AH66" i="9"/>
  <c r="AC66" i="9"/>
  <c r="AH16" i="9"/>
  <c r="AD16" i="9"/>
  <c r="AC16" i="9"/>
  <c r="AD57" i="9"/>
  <c r="AC57" i="9"/>
  <c r="AH57" i="9"/>
  <c r="AH19" i="9"/>
  <c r="AD19" i="9"/>
  <c r="AC19" i="9"/>
  <c r="AH65" i="9"/>
  <c r="AD65" i="9"/>
  <c r="AC65" i="9"/>
  <c r="AH70" i="9"/>
  <c r="AD70" i="9"/>
  <c r="AC70" i="9"/>
  <c r="AH63" i="9"/>
  <c r="AC63" i="9"/>
  <c r="AD63" i="9"/>
  <c r="AH37" i="9"/>
  <c r="AD37" i="9"/>
  <c r="AC37" i="9"/>
  <c r="AH29" i="9"/>
  <c r="AD29" i="9"/>
  <c r="AC29" i="9"/>
  <c r="AC59" i="9"/>
  <c r="AD59" i="9"/>
  <c r="D11" i="18" a="1"/>
  <c r="D10" i="18" a="1"/>
  <c r="D9" i="18" a="1"/>
  <c r="D43" i="18" a="1"/>
  <c r="D18" i="18" a="1"/>
  <c r="D14" i="18" a="1"/>
  <c r="D60" i="18" a="1"/>
  <c r="D51" i="18" a="1"/>
  <c r="D13" i="18" a="1"/>
  <c r="D12" i="18" a="1"/>
  <c r="D26" i="18" a="1"/>
  <c r="D70" i="18" a="1"/>
  <c r="F48" i="18" a="1"/>
  <c r="F58" i="18" a="1"/>
  <c r="F38" i="18" a="1"/>
  <c r="F30" i="18" a="1"/>
  <c r="F67" i="18" a="1"/>
  <c r="F62" i="18" a="1"/>
  <c r="F59" i="18" a="1"/>
  <c r="AH60" i="9"/>
  <c r="AD60" i="9"/>
  <c r="AC60" i="9"/>
  <c r="AH17" i="9"/>
  <c r="AD17" i="9"/>
  <c r="AC17" i="9"/>
  <c r="AH12" i="9"/>
  <c r="AD12" i="9"/>
  <c r="AC12" i="9"/>
  <c r="AH43" i="9"/>
  <c r="AC43" i="9"/>
  <c r="AD43" i="9"/>
  <c r="AH47" i="9"/>
  <c r="AC47" i="9"/>
  <c r="AD47" i="9"/>
  <c r="D31" i="18" a="1"/>
  <c r="D66" i="18" a="1"/>
  <c r="D28" i="18" a="1"/>
  <c r="D30" i="18" a="1"/>
  <c r="D32" i="18" a="1"/>
  <c r="D49" i="18" a="1"/>
  <c r="D57" i="18" a="1"/>
  <c r="D65" i="18" a="1"/>
  <c r="D67" i="18" a="1"/>
  <c r="D18" i="19" a="1"/>
  <c r="D33" i="18" a="1"/>
  <c r="D44" i="18" a="1"/>
  <c r="D27" i="18" a="1"/>
  <c r="D52" i="18" a="1"/>
  <c r="D21" i="18" a="1"/>
  <c r="D37" i="18" a="1"/>
  <c r="D48" i="18" a="1"/>
  <c r="D24" i="18" a="1"/>
  <c r="D23" i="18" a="1"/>
  <c r="D50" i="18" a="1"/>
  <c r="D71" i="18" a="1"/>
  <c r="D14" i="19" a="1"/>
  <c r="AQ41" i="9"/>
  <c r="F28" i="19" a="1"/>
  <c r="AL18" i="9"/>
  <c r="D57" i="19" a="1"/>
  <c r="AM27" i="9"/>
  <c r="AQ27" i="9"/>
  <c r="D59" i="19" a="1"/>
  <c r="D21" i="19" a="1"/>
  <c r="D71" i="19" a="1"/>
  <c r="AQ17" i="9"/>
  <c r="AM17" i="9"/>
  <c r="AL17" i="9"/>
  <c r="D31" i="19" a="1"/>
  <c r="D42" i="19" a="1"/>
  <c r="F62" i="19" a="1"/>
  <c r="AQ24" i="9"/>
  <c r="D28" i="19" a="1"/>
  <c r="D38" i="19" a="1"/>
  <c r="D52" i="19" a="1"/>
  <c r="D50" i="19" a="1"/>
  <c r="D63" i="19" a="1"/>
  <c r="AQ15" i="9"/>
  <c r="AM15" i="9"/>
  <c r="AL15" i="9"/>
  <c r="AQ40" i="9"/>
  <c r="AL40" i="9"/>
  <c r="D37" i="19" a="1"/>
  <c r="D33" i="19" a="1"/>
  <c r="D68" i="19" a="1"/>
  <c r="D24" i="19" a="1"/>
  <c r="D34" i="19" a="1"/>
  <c r="D48" i="19" a="1"/>
  <c r="AQ39" i="9"/>
  <c r="AM39" i="9"/>
  <c r="F39" i="19" a="1"/>
  <c r="D22" i="19" a="1"/>
  <c r="D43" i="19" a="1"/>
  <c r="AM58" i="9"/>
  <c r="AQ58" i="9"/>
  <c r="D56" i="18" a="1"/>
  <c r="D35" i="18" a="1"/>
  <c r="D68" i="18" a="1"/>
  <c r="D45" i="18" a="1"/>
  <c r="D47" i="18" a="1"/>
  <c r="D64" i="18" a="1"/>
  <c r="D58" i="18" a="1"/>
  <c r="D69" i="18" a="1"/>
  <c r="D46" i="18" a="1"/>
  <c r="D38" i="18" a="1"/>
  <c r="D34" i="18" a="1"/>
  <c r="D54" i="18" a="1"/>
  <c r="D39" i="18" a="1"/>
  <c r="D15" i="19" a="1"/>
  <c r="D55" i="18" a="1"/>
  <c r="D40" i="18" a="1"/>
  <c r="D41" i="18" a="1"/>
  <c r="D53" i="18" a="1"/>
  <c r="D42" i="18" a="1"/>
  <c r="D29" i="18" a="1"/>
  <c r="D36" i="18" a="1"/>
  <c r="D16" i="19" a="1"/>
  <c r="D59" i="18" a="1"/>
  <c r="D63" i="18" a="1"/>
  <c r="D25" i="18" a="1"/>
  <c r="D62" i="18" a="1"/>
  <c r="D61" i="18" a="1"/>
  <c r="D22" i="18" a="1"/>
  <c r="D56" i="19" a="1"/>
  <c r="AM41" i="9"/>
  <c r="AQ28" i="9"/>
  <c r="AM28" i="9"/>
  <c r="AL28" i="9"/>
  <c r="AL21" i="9"/>
  <c r="AM21" i="9"/>
  <c r="AQ21" i="9"/>
  <c r="AQ18" i="9"/>
  <c r="AQ42" i="9"/>
  <c r="AL42" i="9"/>
  <c r="D13" i="19" a="1"/>
  <c r="D19" i="19" a="1"/>
  <c r="D17" i="19" a="1"/>
  <c r="D20" i="19" a="1"/>
  <c r="D15" i="18" a="1"/>
  <c r="D17" i="18" a="1"/>
  <c r="D19" i="18" a="1"/>
  <c r="D20" i="18" a="1"/>
  <c r="D16" i="18" a="1"/>
  <c r="D47" i="19" a="1"/>
  <c r="D55" i="19" a="1"/>
  <c r="D35" i="19" a="1"/>
  <c r="AQ55" i="9"/>
  <c r="AM55" i="9"/>
  <c r="AL55" i="9"/>
  <c r="D62" i="19" a="1"/>
  <c r="F47" i="19" a="1"/>
  <c r="AQ72" i="9"/>
  <c r="G72" i="19" s="1" a="1"/>
  <c r="AL72" i="9"/>
  <c r="B72" i="19" s="1" a="1"/>
  <c r="AM72" i="9"/>
  <c r="C72" i="19" s="1" a="1"/>
  <c r="D44" i="19" a="1"/>
  <c r="AQ35" i="9"/>
  <c r="D41" i="19" a="1"/>
  <c r="F41" i="19" a="1"/>
  <c r="AL41" i="9"/>
  <c r="F36" i="19" a="1"/>
  <c r="AM18" i="9"/>
  <c r="AM42" i="9"/>
  <c r="D30" i="19" a="1"/>
  <c r="AL27" i="9"/>
  <c r="F27" i="19" a="1"/>
  <c r="D67" i="19" a="1"/>
  <c r="D32" i="19" a="1"/>
  <c r="F17" i="19" a="1"/>
  <c r="AM24" i="9"/>
  <c r="AL24" i="9"/>
  <c r="D23" i="19" a="1"/>
  <c r="D45" i="19" a="1"/>
  <c r="D27" i="19" a="1"/>
  <c r="F38" i="19" a="1"/>
  <c r="D39" i="19" a="1"/>
  <c r="D60" i="19" a="1"/>
  <c r="D61" i="19" a="1"/>
  <c r="D65" i="19" a="1"/>
  <c r="D64" i="19" a="1"/>
  <c r="F26" i="19" a="1"/>
  <c r="AM40" i="9"/>
  <c r="D40" i="19" a="1"/>
  <c r="D70" i="19" a="1"/>
  <c r="D58" i="19" a="1"/>
  <c r="F16" i="19" a="1"/>
  <c r="D46" i="19" a="1"/>
  <c r="AL39" i="9"/>
  <c r="D36" i="19" a="1"/>
  <c r="D25" i="19" a="1"/>
  <c r="F54" i="19" a="1"/>
  <c r="AH53" i="9"/>
  <c r="AD42" i="9"/>
  <c r="F61" i="18" a="1"/>
  <c r="AD53" i="9"/>
  <c r="AH42" i="9"/>
  <c r="AC53" i="9"/>
  <c r="AC42" i="9"/>
  <c r="I3" i="15" a="1"/>
  <c r="H3" i="15" a="1"/>
  <c r="F4" i="15" a="1"/>
  <c r="F27" i="18" a="1"/>
  <c r="F12" i="18" a="1"/>
  <c r="F23" i="18" a="1"/>
  <c r="F13" i="18" a="1"/>
  <c r="F29" i="18" a="1"/>
  <c r="F22" i="18" a="1"/>
  <c r="F32" i="18" a="1"/>
  <c r="F11" i="18" a="1"/>
  <c r="F63" i="18" a="1"/>
  <c r="F37" i="18" a="1"/>
  <c r="F14" i="18" a="1"/>
  <c r="F47" i="18" a="1"/>
  <c r="F65" i="18" a="1"/>
  <c r="F36" i="18" a="1"/>
  <c r="F34" i="18" a="1"/>
  <c r="F66" i="18" a="1"/>
  <c r="F71" i="18" a="1"/>
  <c r="F21" i="18" a="1"/>
  <c r="F41" i="18" a="1"/>
  <c r="F35" i="18" a="1"/>
  <c r="F31" i="18" a="1"/>
  <c r="F16" i="18" a="1"/>
  <c r="F50" i="18" a="1"/>
  <c r="F53" i="18" a="1"/>
  <c r="F69" i="18" a="1"/>
  <c r="F68" i="18" a="1"/>
  <c r="F54" i="18" a="1"/>
  <c r="F52" i="18" a="1"/>
  <c r="F64" i="18" a="1"/>
  <c r="F33" i="18" a="1"/>
  <c r="F42" i="18" a="1"/>
  <c r="F55" i="18" a="1"/>
  <c r="F39" i="18" a="1"/>
  <c r="F40" i="18" a="1"/>
  <c r="F44" i="18" a="1"/>
  <c r="F17" i="18" a="1"/>
  <c r="F28" i="18" a="1"/>
  <c r="F18" i="18" a="1"/>
  <c r="F20" i="18" a="1"/>
  <c r="F57" i="18" a="1"/>
  <c r="F25" i="18" a="1"/>
  <c r="F49" i="18" a="1"/>
  <c r="F51" i="18" a="1"/>
  <c r="F24" i="18" a="1"/>
  <c r="F46" i="18" a="1"/>
  <c r="F60" i="18" a="1"/>
  <c r="AH59" i="9"/>
  <c r="AH72" i="9"/>
  <c r="AD72" i="9"/>
  <c r="AC72" i="9"/>
  <c r="AH45" i="9"/>
  <c r="AD45" i="9"/>
  <c r="AC45" i="9"/>
  <c r="AH48" i="9"/>
  <c r="AD48" i="9"/>
  <c r="AC48" i="9"/>
  <c r="AD58" i="9"/>
  <c r="AH58" i="9"/>
  <c r="AC58" i="9"/>
  <c r="AC28" i="9"/>
  <c r="B27" i="18" s="1" a="1"/>
  <c r="AD28" i="9"/>
  <c r="AH28" i="9"/>
  <c r="AH32" i="9"/>
  <c r="AD32" i="9"/>
  <c r="AC32" i="9"/>
  <c r="AH56" i="9"/>
  <c r="G55" i="18" s="1" a="1"/>
  <c r="AD56" i="9"/>
  <c r="AC56" i="9"/>
  <c r="AD26" i="9"/>
  <c r="AC26" i="9"/>
  <c r="AH26" i="9"/>
  <c r="G25" i="18" s="1" a="1"/>
  <c r="AH24" i="9"/>
  <c r="AD24" i="9"/>
  <c r="C23" i="18" s="1" a="1"/>
  <c r="AC24" i="9"/>
  <c r="AH21" i="9"/>
  <c r="AD21" i="9"/>
  <c r="AC21" i="9"/>
  <c r="AH30" i="9"/>
  <c r="AD30" i="9"/>
  <c r="AC30" i="9"/>
  <c r="AH25" i="9"/>
  <c r="AD25" i="9"/>
  <c r="AC25" i="9"/>
  <c r="B24" i="18" s="1" a="1"/>
  <c r="AH61" i="9"/>
  <c r="AC61" i="9"/>
  <c r="AD61" i="9"/>
  <c r="AH36" i="9"/>
  <c r="AD36" i="9"/>
  <c r="C35" i="18" s="1" a="1"/>
  <c r="AC36" i="9"/>
  <c r="AC69" i="9"/>
  <c r="AH69" i="9"/>
  <c r="G68" i="18" s="1" a="1"/>
  <c r="AD69" i="9"/>
  <c r="AH14" i="9"/>
  <c r="G13" i="18" s="1" a="1"/>
  <c r="AD14" i="9"/>
  <c r="C13" i="18" s="1" a="1"/>
  <c r="AC14" i="9"/>
  <c r="B13" i="18" s="1" a="1"/>
  <c r="AH71" i="9"/>
  <c r="AD71" i="9"/>
  <c r="AC71" i="9"/>
  <c r="AH15" i="9"/>
  <c r="G14" i="18" s="1" a="1"/>
  <c r="AD15" i="9"/>
  <c r="C14" i="18" s="1" a="1"/>
  <c r="AC15" i="9"/>
  <c r="B14" i="18" s="1" a="1"/>
  <c r="AH55" i="9"/>
  <c r="G54" i="18" s="1" a="1"/>
  <c r="AC55" i="9"/>
  <c r="AD55" i="9"/>
  <c r="AD34" i="9"/>
  <c r="AC34" i="9"/>
  <c r="AH34" i="9"/>
  <c r="AH22" i="9"/>
  <c r="AD22" i="9"/>
  <c r="AC22" i="9"/>
  <c r="AH18" i="9"/>
  <c r="AD18" i="9"/>
  <c r="AC18" i="9"/>
  <c r="AD31" i="9"/>
  <c r="C30" i="18" s="1" a="1"/>
  <c r="AH31" i="9"/>
  <c r="AC31" i="9"/>
  <c r="AH46" i="9"/>
  <c r="AD46" i="9"/>
  <c r="AC46" i="9"/>
  <c r="AH44" i="9"/>
  <c r="G43" i="18" s="1" a="1"/>
  <c r="AD44" i="9"/>
  <c r="AC44" i="9"/>
  <c r="AH13" i="9"/>
  <c r="G12" i="18" s="1" a="1"/>
  <c r="AD13" i="9"/>
  <c r="C12" i="18" s="1" a="1"/>
  <c r="AC13" i="9"/>
  <c r="B12" i="18" s="1" a="1"/>
  <c r="AH38" i="9"/>
  <c r="AD38" i="9"/>
  <c r="AC38" i="9"/>
  <c r="B37" i="18" s="1" a="1"/>
  <c r="AD33" i="9"/>
  <c r="C32" i="18" s="1" a="1"/>
  <c r="AC33" i="9"/>
  <c r="AH33" i="9"/>
  <c r="AD52" i="9"/>
  <c r="C51" i="18" s="1" a="1"/>
  <c r="AC52" i="9"/>
  <c r="AH52" i="9"/>
  <c r="AH49" i="9"/>
  <c r="AD49" i="9"/>
  <c r="C48" i="18" s="1" a="1"/>
  <c r="AC49" i="9"/>
  <c r="B48" i="18" s="1" a="1"/>
  <c r="G5" i="9"/>
  <c r="G4" i="15" s="1" a="1"/>
  <c r="C5" i="9"/>
  <c r="C4" i="15" s="1" a="1"/>
  <c r="B5" i="9"/>
  <c r="B4" i="15" s="1" a="1"/>
  <c r="F15" i="18" a="1"/>
  <c r="F14" i="19" a="1"/>
  <c r="C53" i="18" a="1"/>
  <c r="G39" i="18" a="1"/>
  <c r="C22" i="18" a="1"/>
  <c r="B40" i="18" a="1"/>
  <c r="G50" i="18" a="1"/>
  <c r="B50" i="18" a="1"/>
  <c r="G38" i="18" a="1"/>
  <c r="B69" i="18" a="1"/>
  <c r="C63" i="18" a="1"/>
  <c r="G22" i="18" a="1"/>
  <c r="B28" i="18" a="1"/>
  <c r="C19" i="18" a="1"/>
  <c r="AL37" i="9"/>
  <c r="AM37" i="9"/>
  <c r="F37" i="19" a="1"/>
  <c r="AQ37" i="9"/>
  <c r="F55" i="19" a="1"/>
  <c r="AQ31" i="9"/>
  <c r="AM31" i="9"/>
  <c r="AL31" i="9"/>
  <c r="F31" i="19" a="1"/>
  <c r="AQ47" i="9"/>
  <c r="AM47" i="9"/>
  <c r="AL47" i="9"/>
  <c r="AM35" i="9"/>
  <c r="AL35" i="9"/>
  <c r="F35" i="19" a="1"/>
  <c r="AQ36" i="9"/>
  <c r="AM36" i="9"/>
  <c r="AL36" i="9"/>
  <c r="AL45" i="9"/>
  <c r="AM45" i="9"/>
  <c r="AQ45" i="9"/>
  <c r="F45" i="19" a="1"/>
  <c r="F21" i="19" a="1"/>
  <c r="F18" i="19" a="1"/>
  <c r="F46" i="19" a="1"/>
  <c r="AM46" i="9"/>
  <c r="AL46" i="9"/>
  <c r="AQ46" i="9"/>
  <c r="F42" i="19" a="1"/>
  <c r="AL69" i="9"/>
  <c r="AM69" i="9"/>
  <c r="AQ69" i="9"/>
  <c r="F69" i="19" a="1"/>
  <c r="AM59" i="9"/>
  <c r="AQ59" i="9"/>
  <c r="AL59" i="9"/>
  <c r="F59" i="19" a="1"/>
  <c r="AQ32" i="9"/>
  <c r="AL32" i="9"/>
  <c r="AM32" i="9"/>
  <c r="F32" i="19" a="1"/>
  <c r="AQ63" i="9"/>
  <c r="F63" i="19" a="1"/>
  <c r="AL63" i="9"/>
  <c r="AM63" i="9"/>
  <c r="AM62" i="9"/>
  <c r="AL62" i="9"/>
  <c r="AQ62" i="9"/>
  <c r="AQ38" i="9"/>
  <c r="AM38" i="9"/>
  <c r="AL38" i="9"/>
  <c r="F51" i="19" a="1"/>
  <c r="AQ51" i="9"/>
  <c r="AL61" i="9"/>
  <c r="AM61" i="9"/>
  <c r="AQ61" i="9"/>
  <c r="F61" i="19" a="1"/>
  <c r="AQ48" i="9"/>
  <c r="F48" i="19" a="1"/>
  <c r="AM48" i="9"/>
  <c r="AL48" i="9"/>
  <c r="AM67" i="9"/>
  <c r="AQ67" i="9"/>
  <c r="AL67" i="9"/>
  <c r="F67" i="19" a="1"/>
  <c r="AQ49" i="9"/>
  <c r="AM49" i="9"/>
  <c r="AL49" i="9"/>
  <c r="F49" i="19" a="1"/>
  <c r="AL29" i="9"/>
  <c r="AQ29" i="9"/>
  <c r="F29" i="19" a="1"/>
  <c r="AM29" i="9"/>
  <c r="AL33" i="9"/>
  <c r="AM33" i="9"/>
  <c r="AQ33" i="9"/>
  <c r="F33" i="19" a="1"/>
  <c r="AQ64" i="9"/>
  <c r="AL64" i="9"/>
  <c r="F64" i="19" a="1"/>
  <c r="AM64" i="9"/>
  <c r="AL53" i="9"/>
  <c r="AM53" i="9"/>
  <c r="F53" i="19" a="1"/>
  <c r="AQ53" i="9"/>
  <c r="AL68" i="9"/>
  <c r="AQ68" i="9"/>
  <c r="F68" i="19" a="1"/>
  <c r="AM68" i="9"/>
  <c r="AQ56" i="9"/>
  <c r="F56" i="19" a="1"/>
  <c r="AM56" i="9"/>
  <c r="AL56" i="9"/>
  <c r="F19" i="19" a="1"/>
  <c r="AQ19" i="9"/>
  <c r="AM19" i="9"/>
  <c r="AL19" i="9"/>
  <c r="AQ71" i="9"/>
  <c r="F71" i="19" a="1"/>
  <c r="AL71" i="9"/>
  <c r="AM71" i="9"/>
  <c r="AQ25" i="9"/>
  <c r="F25" i="19" a="1"/>
  <c r="AM25" i="9"/>
  <c r="AL25" i="9"/>
  <c r="AL44" i="9"/>
  <c r="AQ44" i="9"/>
  <c r="AM44" i="9"/>
  <c r="F44" i="19" a="1"/>
  <c r="AM43" i="9"/>
  <c r="AL43" i="9"/>
  <c r="F43" i="19" a="1"/>
  <c r="AQ43" i="9"/>
  <c r="AQ50" i="9"/>
  <c r="AM50" i="9"/>
  <c r="AL50" i="9"/>
  <c r="F50" i="19" a="1"/>
  <c r="F15" i="19" a="1"/>
  <c r="F57" i="19" a="1"/>
  <c r="AM57" i="9"/>
  <c r="AQ57" i="9"/>
  <c r="AL57" i="9"/>
  <c r="AQ70" i="9"/>
  <c r="AL70" i="9"/>
  <c r="F70" i="19" a="1"/>
  <c r="AM70" i="9"/>
  <c r="C70" i="19" s="1" a="1"/>
  <c r="AQ65" i="9"/>
  <c r="AL65" i="9"/>
  <c r="AM65" i="9"/>
  <c r="F65" i="19" a="1"/>
  <c r="AQ22" i="9"/>
  <c r="AL22" i="9"/>
  <c r="AM22" i="9"/>
  <c r="AM60" i="9"/>
  <c r="AQ60" i="9"/>
  <c r="AL60" i="9"/>
  <c r="F60" i="19" a="1"/>
  <c r="AL26" i="9"/>
  <c r="AM26" i="9"/>
  <c r="AQ26" i="9"/>
  <c r="G26" i="19" s="1" a="1"/>
  <c r="G40" i="19" a="1"/>
  <c r="F40" i="19" a="1"/>
  <c r="F66" i="19" a="1"/>
  <c r="AM30" i="9"/>
  <c r="AQ30" i="9"/>
  <c r="AL30" i="9"/>
  <c r="F30" i="19" a="1"/>
  <c r="AQ20" i="9"/>
  <c r="F20" i="19" a="1"/>
  <c r="AM20" i="9"/>
  <c r="AL20" i="9"/>
  <c r="AL52" i="9"/>
  <c r="F52" i="19" a="1"/>
  <c r="AM52" i="9"/>
  <c r="AQ52" i="9"/>
  <c r="AQ16" i="9"/>
  <c r="AM16" i="9"/>
  <c r="AL16" i="9"/>
  <c r="F34" i="19" a="1"/>
  <c r="F23" i="19" a="1"/>
  <c r="AQ54" i="9"/>
  <c r="AL54" i="9"/>
  <c r="AM54" i="9"/>
  <c r="AL58" i="9"/>
  <c r="F58" i="19" a="1"/>
  <c r="C50" i="19" a="1"/>
  <c r="H35" i="19" a="1"/>
  <c r="H35" i="20" a="1"/>
  <c r="H17" i="19" a="1"/>
  <c r="H17" i="20" a="1"/>
  <c r="H48" i="19" a="1"/>
  <c r="H48" i="20" a="1"/>
  <c r="H65" i="19" a="1"/>
  <c r="H65" i="20" a="1"/>
  <c r="H63" i="19" a="1"/>
  <c r="H63" i="20" a="1"/>
  <c r="H60" i="19" a="1"/>
  <c r="H60" i="20" a="1"/>
  <c r="H62" i="19" a="1"/>
  <c r="H62" i="20" a="1"/>
  <c r="I35" i="19" a="1"/>
  <c r="I35" i="20" a="1"/>
  <c r="I17" i="19" a="1"/>
  <c r="I17" i="20" a="1"/>
  <c r="I48" i="19" a="1"/>
  <c r="I48" i="20" a="1"/>
  <c r="I65" i="19" a="1"/>
  <c r="I65" i="20" a="1"/>
  <c r="I63" i="19" a="1"/>
  <c r="I63" i="20" a="1"/>
  <c r="I60" i="19" a="1"/>
  <c r="I60" i="20" a="1"/>
  <c r="I62" i="19" a="1"/>
  <c r="I62" i="20" a="1"/>
  <c r="H61" i="19" a="1"/>
  <c r="H61" i="20" a="1"/>
  <c r="I43" i="19" a="1"/>
  <c r="I43" i="20" a="1"/>
  <c r="H66" i="19" a="1"/>
  <c r="H66" i="20" a="1"/>
  <c r="H19" i="19" a="1"/>
  <c r="H19" i="20" a="1"/>
  <c r="H25" i="19" a="1"/>
  <c r="H25" i="20" a="1"/>
  <c r="I28" i="19" a="1"/>
  <c r="I28" i="20" a="1"/>
  <c r="I66" i="19" a="1"/>
  <c r="I66" i="20" a="1"/>
  <c r="I14" i="19" a="1"/>
  <c r="I14" i="20" a="1"/>
  <c r="I45" i="19" a="1"/>
  <c r="I45" i="20" a="1"/>
  <c r="I46" i="19" a="1"/>
  <c r="I46" i="20" a="1"/>
  <c r="I19" i="19" a="1"/>
  <c r="I19" i="20" a="1"/>
  <c r="I25" i="19" a="1"/>
  <c r="I25" i="20" a="1"/>
  <c r="H43" i="19" a="1"/>
  <c r="H43" i="20" a="1"/>
  <c r="I37" i="19" a="1"/>
  <c r="I37" i="20" a="1"/>
  <c r="H32" i="19" a="1"/>
  <c r="H32" i="20" a="1"/>
  <c r="H39" i="19" a="1"/>
  <c r="H39" i="20" a="1"/>
  <c r="H38" i="19" a="1"/>
  <c r="H38" i="20" a="1"/>
  <c r="H68" i="19" a="1"/>
  <c r="H68" i="20" a="1"/>
  <c r="H44" i="19" a="1"/>
  <c r="H44" i="20" a="1"/>
  <c r="H70" i="19" a="1"/>
  <c r="H70" i="20" a="1"/>
  <c r="H36" i="19" a="1"/>
  <c r="H36" i="20" a="1"/>
  <c r="I21" i="19" a="1"/>
  <c r="I21" i="20" a="1"/>
  <c r="I32" i="19" a="1"/>
  <c r="I32" i="20" a="1"/>
  <c r="I39" i="19" a="1"/>
  <c r="I39" i="20" a="1"/>
  <c r="I38" i="19" a="1"/>
  <c r="I38" i="20" a="1"/>
  <c r="I68" i="19" a="1"/>
  <c r="I68" i="20" a="1"/>
  <c r="I44" i="19" a="1"/>
  <c r="I44" i="20" a="1"/>
  <c r="I70" i="19" a="1"/>
  <c r="I70" i="20" a="1"/>
  <c r="I36" i="19" a="1"/>
  <c r="I36" i="20" a="1"/>
  <c r="H50" i="19" a="1"/>
  <c r="H50" i="20" a="1"/>
  <c r="I47" i="19" a="1"/>
  <c r="I47" i="20" a="1"/>
  <c r="H46" i="19" a="1"/>
  <c r="H46" i="20" a="1"/>
  <c r="H40" i="19" a="1"/>
  <c r="H40" i="20" a="1"/>
  <c r="H13" i="19" a="1"/>
  <c r="H13" i="20" a="1"/>
  <c r="H29" i="19" a="1"/>
  <c r="H29" i="20" a="1"/>
  <c r="H57" i="19" a="1"/>
  <c r="H57" i="20" a="1"/>
  <c r="H67" i="19" a="1"/>
  <c r="H67" i="20" a="1"/>
  <c r="H49" i="19" a="1"/>
  <c r="H49" i="20" a="1"/>
  <c r="H15" i="19" a="1"/>
  <c r="H15" i="20" a="1"/>
  <c r="I40" i="19" a="1"/>
  <c r="I40" i="20" a="1"/>
  <c r="I13" i="19" a="1"/>
  <c r="I13" i="20" a="1"/>
  <c r="I29" i="19" a="1"/>
  <c r="I29" i="20" a="1"/>
  <c r="I57" i="19" a="1"/>
  <c r="I57" i="20" a="1"/>
  <c r="I67" i="19" a="1"/>
  <c r="I67" i="20" a="1"/>
  <c r="I49" i="19" a="1"/>
  <c r="I49" i="20" a="1"/>
  <c r="I15" i="19" a="1"/>
  <c r="I15" i="20" a="1"/>
  <c r="I61" i="19" a="1"/>
  <c r="I61" i="20" a="1"/>
  <c r="H45" i="19" a="1"/>
  <c r="H45" i="20" a="1"/>
  <c r="H41" i="19" a="1"/>
  <c r="H41" i="20" a="1"/>
  <c r="H64" i="19" a="1"/>
  <c r="H64" i="20" a="1"/>
  <c r="H53" i="19" a="1"/>
  <c r="H53" i="20" a="1"/>
  <c r="H42" i="19" a="1"/>
  <c r="H42" i="20" a="1"/>
  <c r="H34" i="19" a="1"/>
  <c r="H34" i="20" a="1"/>
  <c r="H22" i="19" a="1"/>
  <c r="H22" i="20" a="1"/>
  <c r="H20" i="19" a="1"/>
  <c r="H20" i="20" a="1"/>
  <c r="H69" i="19" a="1"/>
  <c r="H69" i="20" a="1"/>
  <c r="I41" i="19" a="1"/>
  <c r="I41" i="20" a="1"/>
  <c r="I64" i="19" a="1"/>
  <c r="I64" i="20" a="1"/>
  <c r="I53" i="19" a="1"/>
  <c r="I53" i="20" a="1"/>
  <c r="I42" i="19" a="1"/>
  <c r="I42" i="20" a="1"/>
  <c r="I34" i="19" a="1"/>
  <c r="I34" i="20" a="1"/>
  <c r="I22" i="19" a="1"/>
  <c r="I22" i="20" a="1"/>
  <c r="I20" i="19" a="1"/>
  <c r="I20" i="20" a="1"/>
  <c r="H47" i="19" a="1"/>
  <c r="H47" i="20" a="1"/>
  <c r="H26" i="19" a="1"/>
  <c r="H26" i="20" a="1"/>
  <c r="H18" i="19" a="1"/>
  <c r="H18" i="20" a="1"/>
  <c r="H31" i="19" a="1"/>
  <c r="H31" i="20" a="1"/>
  <c r="I27" i="19" a="1"/>
  <c r="I27" i="20" a="1"/>
  <c r="H58" i="19" a="1"/>
  <c r="H58" i="20" a="1"/>
  <c r="H55" i="19" a="1"/>
  <c r="H55" i="20" a="1"/>
  <c r="H59" i="19" a="1"/>
  <c r="H59" i="20" a="1"/>
  <c r="H51" i="19" a="1"/>
  <c r="H51" i="20" a="1"/>
  <c r="H21" i="19" a="1"/>
  <c r="H21" i="20" a="1"/>
  <c r="I50" i="19" a="1"/>
  <c r="I50" i="20" a="1"/>
  <c r="H28" i="19" a="1"/>
  <c r="H28" i="20" a="1"/>
  <c r="I26" i="19" a="1"/>
  <c r="I26" i="20" a="1"/>
  <c r="I18" i="19" a="1"/>
  <c r="I18" i="20" a="1"/>
  <c r="I31" i="19" a="1"/>
  <c r="I31" i="20" a="1"/>
  <c r="H27" i="19" a="1"/>
  <c r="H27" i="20" a="1"/>
  <c r="I58" i="19" a="1"/>
  <c r="I58" i="20" a="1"/>
  <c r="I55" i="19" a="1"/>
  <c r="I55" i="20" a="1"/>
  <c r="I59" i="19" a="1"/>
  <c r="I59" i="20" a="1"/>
  <c r="I51" i="19" a="1"/>
  <c r="I51" i="20" a="1"/>
  <c r="I69" i="19" a="1"/>
  <c r="I69" i="20" a="1"/>
  <c r="H14" i="19" a="1"/>
  <c r="H14" i="20" a="1"/>
  <c r="H16" i="19" a="1"/>
  <c r="H16" i="20" a="1"/>
  <c r="H52" i="19" a="1"/>
  <c r="H52" i="20" a="1"/>
  <c r="H56" i="19" a="1"/>
  <c r="H56" i="20" a="1"/>
  <c r="H33" i="19" a="1"/>
  <c r="H33" i="20" a="1"/>
  <c r="H54" i="19" a="1"/>
  <c r="H54" i="20" a="1"/>
  <c r="H30" i="19" a="1"/>
  <c r="H30" i="20" a="1"/>
  <c r="I23" i="19" a="1"/>
  <c r="I23" i="20" a="1"/>
  <c r="H24" i="19" a="1"/>
  <c r="H24" i="20" a="1"/>
  <c r="H37" i="19" a="1"/>
  <c r="H37" i="20" a="1"/>
  <c r="I16" i="19" a="1"/>
  <c r="I16" i="20" a="1"/>
  <c r="I52" i="19" a="1"/>
  <c r="I52" i="20" a="1"/>
  <c r="I56" i="19" a="1"/>
  <c r="I56" i="20" a="1"/>
  <c r="I33" i="19" a="1"/>
  <c r="I33" i="20" a="1"/>
  <c r="I54" i="19" a="1"/>
  <c r="I54" i="20" a="1"/>
  <c r="I30" i="19" a="1"/>
  <c r="I30" i="20" a="1"/>
  <c r="H23" i="19" a="1"/>
  <c r="H23" i="20" a="1"/>
  <c r="I24" i="19" a="1"/>
  <c r="I24" i="20" a="1"/>
  <c r="E32" i="19" a="1"/>
  <c r="E36" i="19" a="1"/>
  <c r="E71" i="19" a="1"/>
  <c r="E48" i="19" a="1"/>
  <c r="E29" i="19" a="1"/>
  <c r="C22" i="19" a="1"/>
  <c r="B22" i="19" a="1"/>
  <c r="B15" i="19" a="1"/>
  <c r="E13" i="19" a="1"/>
  <c r="C47" i="19" a="1"/>
  <c r="C65" i="19" a="1"/>
  <c r="G32" i="19" a="1"/>
  <c r="B65" i="19" a="1"/>
  <c r="E67" i="19" a="1"/>
  <c r="E31" i="19" a="1"/>
  <c r="E66" i="19" a="1"/>
  <c r="E16" i="19" a="1"/>
  <c r="E25" i="19" a="1"/>
  <c r="E54" i="19" a="1"/>
  <c r="E22" i="19" a="1"/>
  <c r="E46" i="19" a="1"/>
  <c r="E50" i="19" a="1"/>
  <c r="E53" i="19" a="1"/>
  <c r="E63" i="19" a="1"/>
  <c r="E60" i="19" a="1"/>
  <c r="E58" i="19" a="1"/>
  <c r="E39" i="19" a="1"/>
  <c r="E68" i="19" a="1"/>
  <c r="E33" i="19" a="1"/>
  <c r="E41" i="19" a="1"/>
  <c r="E61" i="19" a="1"/>
  <c r="E34" i="19" a="1"/>
  <c r="B56" i="19" a="1"/>
  <c r="G43" i="19" a="1"/>
  <c r="G53" i="19" a="1"/>
  <c r="G42" i="19" a="1"/>
  <c r="B45" i="19" a="1"/>
  <c r="E65" i="19" a="1"/>
  <c r="E47" i="19" a="1"/>
  <c r="G66" i="19" a="1"/>
  <c r="B28" i="19" a="1"/>
  <c r="B43" i="19" a="1"/>
  <c r="G29" i="19" a="1"/>
  <c r="E21" i="19" a="1"/>
  <c r="C57" i="19" a="1"/>
  <c r="G51" i="19" a="1"/>
  <c r="E52" i="19" a="1"/>
  <c r="E59" i="19" a="1"/>
  <c r="E24" i="19" a="1"/>
  <c r="E49" i="19" a="1"/>
  <c r="E30" i="19" a="1"/>
  <c r="E57" i="19" a="1"/>
  <c r="G22" i="19" a="1"/>
  <c r="E38" i="19" a="1"/>
  <c r="E56" i="19" a="1"/>
  <c r="E27" i="19" a="1"/>
  <c r="E70" i="19" a="1"/>
  <c r="E28" i="19" a="1"/>
  <c r="E37" i="19" a="1"/>
  <c r="E45" i="19" a="1"/>
  <c r="E44" i="19" a="1"/>
  <c r="G65" i="19" a="1"/>
  <c r="B50" i="19" a="1"/>
  <c r="G33" i="19" a="1"/>
  <c r="C48" i="19" a="1"/>
  <c r="B17" i="19" a="1"/>
  <c r="E40" i="19" a="1"/>
  <c r="E23" i="19" a="1"/>
  <c r="E62" i="19" a="1"/>
  <c r="E51" i="19" a="1"/>
  <c r="E64" i="19" a="1"/>
  <c r="E42" i="19" a="1"/>
  <c r="E35" i="19" a="1"/>
  <c r="C33" i="19" a="1"/>
  <c r="B33" i="19" a="1"/>
  <c r="E43" i="19" a="1"/>
  <c r="E26" i="19" a="1"/>
  <c r="E69" i="19" a="1"/>
  <c r="E55" i="19" a="1"/>
  <c r="G72" i="18" a="1"/>
  <c r="E12" i="19" a="1"/>
  <c r="B34" i="18" a="1"/>
  <c r="G56" i="18" a="1"/>
  <c r="C38" i="18" a="1"/>
  <c r="C49" i="18" a="1"/>
  <c r="C15" i="18" a="1"/>
  <c r="G26" i="18" a="1"/>
  <c r="B22" i="18" a="1"/>
  <c r="C50" i="18" a="1"/>
  <c r="G63" i="18" a="1"/>
  <c r="B38" i="18" a="1"/>
  <c r="B72" i="18" a="1"/>
  <c r="B26" i="18" a="1"/>
  <c r="G36" i="18" a="1"/>
  <c r="B36" i="18" a="1"/>
  <c r="G64" i="18" a="1"/>
  <c r="C40" i="18" a="1"/>
  <c r="B58" i="18" a="1"/>
  <c r="G61" i="18" a="1"/>
  <c r="B39" i="18" a="1"/>
  <c r="C66" i="18" a="1"/>
  <c r="C56" i="18" a="1"/>
  <c r="C18" i="18" a="1"/>
  <c r="C36" i="18" a="1"/>
  <c r="B53" i="18" a="1"/>
  <c r="E10" i="19" a="1"/>
  <c r="G62" i="18" a="1"/>
  <c r="C34" i="18" a="1"/>
  <c r="B19" i="18" a="1"/>
  <c r="C61" i="18" a="1"/>
  <c r="C28" i="18" a="1"/>
  <c r="G15" i="18" a="1"/>
  <c r="C65" i="18" a="1"/>
  <c r="B63" i="18" a="1"/>
  <c r="B56" i="18" a="1"/>
  <c r="B67" i="18" a="1"/>
  <c r="B46" i="18" a="1"/>
  <c r="C67" i="18" a="1"/>
  <c r="C69" i="18" a="1"/>
  <c r="B62" i="18" a="1"/>
  <c r="G69" i="18" a="1"/>
  <c r="B15" i="18" a="1"/>
  <c r="G59" i="18" a="1"/>
  <c r="B18" i="18" a="1"/>
  <c r="C39" i="18" a="1"/>
  <c r="G53" i="18" a="1"/>
  <c r="G66" i="18" a="1"/>
  <c r="C72" i="18" a="1"/>
  <c r="C26" i="18" a="1"/>
  <c r="G49" i="18" a="1"/>
  <c r="E11" i="19" a="1"/>
  <c r="G19" i="18" a="1"/>
  <c r="B68" i="18" a="1"/>
  <c r="B49" i="18" a="1"/>
  <c r="B61" i="18" a="1"/>
  <c r="G30" i="18" a="1"/>
  <c r="G40" i="18" a="1"/>
  <c r="G34" i="18" a="1"/>
  <c r="G67" i="18" a="1"/>
  <c r="C46" i="18" a="1"/>
  <c r="G32" i="18" a="1"/>
  <c r="B23" i="18" a="1"/>
  <c r="B64" i="18" a="1"/>
  <c r="G46" i="18" a="1"/>
  <c r="C55" i="18" a="1"/>
  <c r="B65" i="18" a="1"/>
  <c r="B66" i="18" a="1"/>
  <c r="G17" i="18" a="1"/>
  <c r="E15" i="19" a="1"/>
  <c r="E20" i="19" a="1"/>
  <c r="V5" i="9"/>
  <c r="X5" i="9"/>
  <c r="F4" i="17" s="1" a="1"/>
  <c r="AA5" i="9" a="1"/>
  <c r="Z5" i="9" a="1"/>
  <c r="W5" i="9" a="1"/>
  <c r="H4" i="17" s="1" a="1"/>
  <c r="I4" i="17" s="1" a="1"/>
  <c r="E14" i="19" a="1"/>
  <c r="E18" i="19" a="1"/>
  <c r="E17" i="19" a="1"/>
  <c r="E19" i="19" a="1"/>
  <c r="E5" i="18" a="1"/>
  <c r="B47" i="19" l="1" a="1"/>
  <c r="C67" i="19" a="1"/>
  <c r="B48" i="19" a="1"/>
  <c r="C38" i="19" a="1"/>
  <c r="G47" i="19" a="1"/>
  <c r="G38" i="19" a="1"/>
  <c r="G45" i="18" a="1"/>
  <c r="B59" i="18" a="1"/>
  <c r="B16" i="18" a="1"/>
  <c r="C43" i="18" a="1"/>
  <c r="C37" i="18" a="1"/>
  <c r="G21" i="18" a="1"/>
  <c r="G33" i="18" a="1"/>
  <c r="B32" i="18" a="1"/>
  <c r="B51" i="18" a="1"/>
  <c r="C45" i="18" a="1"/>
  <c r="B21" i="18" a="1"/>
  <c r="B17" i="18" a="1"/>
  <c r="G48" i="18" a="1"/>
  <c r="C64" i="18" a="1"/>
  <c r="G18" i="18" a="1"/>
  <c r="G28" i="18" a="1"/>
  <c r="B42" i="18" a="1"/>
  <c r="G11" i="18" a="1"/>
  <c r="B42" i="19" a="1"/>
  <c r="G57" i="19" a="1"/>
  <c r="G15" i="19" a="1"/>
  <c r="G14" i="19" a="1"/>
  <c r="B14" i="19" a="1"/>
  <c r="B66" i="19" a="1"/>
  <c r="G50" i="19" a="1"/>
  <c r="G48" i="19" a="1"/>
  <c r="G27" i="19" a="1"/>
  <c r="C42" i="19" a="1"/>
  <c r="G16" i="18" a="1"/>
  <c r="C58" i="18" a="1"/>
  <c r="G65" i="18" a="1"/>
  <c r="C62" i="18" a="1"/>
  <c r="G20" i="18" a="1"/>
  <c r="G60" i="18" a="1"/>
  <c r="C24" i="18" a="1"/>
  <c r="C29" i="18" a="1"/>
  <c r="B33" i="18" a="1"/>
  <c r="G42" i="18" a="1"/>
  <c r="C59" i="18" a="1"/>
  <c r="B70" i="18" a="1"/>
  <c r="G23" i="18" a="1"/>
  <c r="C54" i="18" a="1"/>
  <c r="C70" i="18" a="1"/>
  <c r="B54" i="18" a="1"/>
  <c r="B52" i="18" a="1"/>
  <c r="C41" i="18" a="1"/>
  <c r="G41" i="18" a="1"/>
  <c r="C46" i="19" a="1"/>
  <c r="B46" i="19" a="1"/>
  <c r="C40" i="19" a="1"/>
  <c r="B40" i="19" a="1"/>
  <c r="D4" i="17" a="1"/>
  <c r="B11" i="18" a="1"/>
  <c r="C11" i="18" a="1"/>
  <c r="G16" i="19" a="1"/>
  <c r="C16" i="19" a="1"/>
  <c r="B16" i="19" a="1"/>
  <c r="G20" i="19" a="1"/>
  <c r="C20" i="19" a="1"/>
  <c r="B20" i="19" a="1"/>
  <c r="B39" i="19" a="1"/>
  <c r="C14" i="19" a="1"/>
  <c r="B71" i="19" a="1"/>
  <c r="G71" i="19" a="1"/>
  <c r="B60" i="19" a="1"/>
  <c r="B54" i="19" a="1"/>
  <c r="C71" i="19" a="1"/>
  <c r="G23" i="19" a="1"/>
  <c r="C27" i="19" a="1"/>
  <c r="G17" i="19" a="1"/>
  <c r="G54" i="19" a="1"/>
  <c r="C26" i="19" a="1"/>
  <c r="G60" i="19" a="1"/>
  <c r="G70" i="19" a="1"/>
  <c r="C39" i="19" a="1"/>
  <c r="G52" i="19" a="1"/>
  <c r="B26" i="19" a="1"/>
  <c r="B24" i="19" a="1"/>
  <c r="B52" i="19" a="1"/>
  <c r="C60" i="19" a="1"/>
  <c r="G39" i="19" a="1"/>
  <c r="B64" i="19" a="1"/>
  <c r="B27" i="19" a="1"/>
  <c r="C24" i="19" a="1"/>
  <c r="G28" i="19" a="1"/>
  <c r="C55" i="19" a="1"/>
  <c r="B49" i="19" a="1"/>
  <c r="C49" i="19" a="1"/>
  <c r="G64" i="19" a="1"/>
  <c r="G49" i="19" a="1"/>
  <c r="B70" i="19" a="1"/>
  <c r="G67" i="19" a="1"/>
  <c r="B32" i="19" a="1"/>
  <c r="G69" i="19" a="1"/>
  <c r="B41" i="19" a="1"/>
  <c r="G25" i="19" a="1"/>
  <c r="C41" i="19" a="1"/>
  <c r="G34" i="19" a="1"/>
  <c r="G30" i="19" a="1"/>
  <c r="C54" i="19" a="1"/>
  <c r="G41" i="19" a="1"/>
  <c r="B38" i="19" a="1"/>
  <c r="C23" i="19" a="1"/>
  <c r="C17" i="19" a="1"/>
  <c r="B23" i="19" a="1"/>
  <c r="G24" i="18" a="1"/>
  <c r="G37" i="18" a="1"/>
  <c r="C31" i="18" a="1"/>
  <c r="C42" i="18" a="1"/>
  <c r="G35" i="18" a="1"/>
  <c r="B60" i="18" a="1"/>
  <c r="B35" i="18" a="1"/>
  <c r="B43" i="18" a="1"/>
  <c r="C16" i="18" a="1"/>
  <c r="B30" i="18" a="1"/>
  <c r="C33" i="18" a="1"/>
  <c r="B45" i="18" a="1"/>
  <c r="B44" i="18" a="1"/>
  <c r="C21" i="18" a="1"/>
  <c r="B41" i="18" a="1"/>
  <c r="G52" i="18" a="1"/>
  <c r="C52" i="18" a="1"/>
  <c r="B57" i="18" a="1"/>
  <c r="B47" i="18" a="1"/>
  <c r="G58" i="18" a="1"/>
  <c r="C47" i="18" a="1"/>
  <c r="C71" i="18" a="1"/>
  <c r="G57" i="18" a="1"/>
  <c r="G44" i="18" a="1"/>
  <c r="C53" i="19" a="1"/>
  <c r="G61" i="19" a="1"/>
  <c r="C63" i="19" a="1"/>
  <c r="C28" i="19" a="1"/>
  <c r="B35" i="19" a="1"/>
  <c r="B55" i="19" a="1"/>
  <c r="B63" i="19" a="1"/>
  <c r="G24" i="19" a="1"/>
  <c r="G63" i="19" a="1"/>
  <c r="B59" i="19" a="1"/>
  <c r="B18" i="19" a="1"/>
  <c r="B67" i="19" a="1"/>
  <c r="C32" i="19" a="1"/>
  <c r="C45" i="19" a="1"/>
  <c r="G71" i="18" a="1"/>
  <c r="G47" i="18" a="1"/>
  <c r="C17" i="18" a="1"/>
  <c r="C68" i="18" a="1"/>
  <c r="C20" i="18" a="1"/>
  <c r="C25" i="18" a="1"/>
  <c r="C27" i="18" a="1"/>
  <c r="G31" i="18" a="1"/>
  <c r="B25" i="18" a="1"/>
  <c r="B55" i="18" a="1"/>
  <c r="G51" i="18" a="1"/>
  <c r="B71" i="18" a="1"/>
  <c r="B29" i="18" a="1"/>
  <c r="C57" i="18" a="1"/>
  <c r="G27" i="18" a="1"/>
  <c r="C60" i="18" a="1"/>
  <c r="C44" i="18" a="1"/>
  <c r="G29" i="18" a="1"/>
  <c r="B31" i="18" a="1"/>
  <c r="B20" i="18" a="1"/>
  <c r="C61" i="19" a="1"/>
  <c r="B53" i="19" a="1"/>
  <c r="C66" i="19" a="1"/>
  <c r="C68" i="19" a="1"/>
  <c r="C52" i="19" a="1"/>
  <c r="B58" i="19" a="1"/>
  <c r="C58" i="19" a="1"/>
  <c r="G58" i="19" a="1"/>
  <c r="B36" i="19" a="1"/>
  <c r="G46" i="19" a="1"/>
  <c r="B57" i="19" a="1"/>
  <c r="C43" i="19" a="1"/>
  <c r="B34" i="19" a="1"/>
  <c r="G35" i="19" a="1"/>
  <c r="G31" i="19" a="1"/>
  <c r="T5" i="9"/>
  <c r="C36" i="19" a="1"/>
  <c r="C34" i="19" a="1"/>
  <c r="B68" i="19" a="1"/>
  <c r="C35" i="19" a="1"/>
  <c r="G62" i="19" a="1"/>
  <c r="B61" i="19" a="1"/>
  <c r="G44" i="19" a="1"/>
  <c r="B30" i="19" a="1"/>
  <c r="B29" i="19" a="1"/>
  <c r="B19" i="19" a="1"/>
  <c r="C64" i="19" a="1"/>
  <c r="C29" i="19" a="1"/>
  <c r="C30" i="19" a="1"/>
  <c r="G45" i="19" a="1"/>
  <c r="C19" i="19" a="1"/>
  <c r="C44" i="19" a="1"/>
  <c r="G19" i="19" a="1"/>
  <c r="G37" i="19" a="1"/>
  <c r="B44" i="19" a="1"/>
  <c r="B62" i="19" a="1"/>
  <c r="U5" i="9"/>
  <c r="Y5" i="9"/>
  <c r="G4" i="17" s="1" a="1"/>
  <c r="G55" i="19" a="1"/>
  <c r="B51" i="19" a="1"/>
  <c r="G59" i="19" a="1"/>
  <c r="C18" i="19" a="1"/>
  <c r="C59" i="19" a="1"/>
  <c r="B25" i="19" a="1"/>
  <c r="C56" i="19" a="1"/>
  <c r="C51" i="19" a="1"/>
  <c r="G18" i="19" a="1"/>
  <c r="G36" i="19" a="1"/>
  <c r="C37" i="19" a="1"/>
  <c r="C15" i="19" a="1"/>
  <c r="C25" i="19" a="1"/>
  <c r="C62" i="19" a="1"/>
  <c r="G21" i="19" a="1"/>
  <c r="B37" i="19" a="1"/>
  <c r="G56" i="19" a="1"/>
  <c r="C69" i="19" a="1"/>
  <c r="C21" i="19" a="1"/>
  <c r="B69" i="19" a="1"/>
  <c r="B21" i="19" a="1"/>
  <c r="G68" i="19" a="1"/>
  <c r="B31" i="19" a="1"/>
  <c r="C31" i="19" a="1"/>
  <c r="G70" i="18" a="1"/>
  <c r="E4" i="17" a="1"/>
  <c r="B5" i="18" a="1"/>
  <c r="C5" i="18" a="1"/>
  <c r="C4" i="17" l="1" a="1"/>
  <c r="B4" i="17" a="1"/>
  <c r="X6" i="9"/>
  <c r="V6" i="9"/>
  <c r="X7" i="9"/>
  <c r="V8" i="9"/>
  <c r="X8" i="9"/>
  <c r="V7" i="9"/>
  <c r="X10" i="9"/>
  <c r="V10" i="9"/>
  <c r="V9" i="9"/>
  <c r="X11" i="9"/>
  <c r="V12" i="9"/>
  <c r="X23" i="9"/>
  <c r="V38" i="9"/>
  <c r="V39" i="9"/>
  <c r="V44" i="9"/>
  <c r="X68" i="9"/>
  <c r="V22" i="9"/>
  <c r="X48" i="9"/>
  <c r="V19" i="9"/>
  <c r="V20" i="9"/>
  <c r="V18" i="9"/>
  <c r="X12" i="9"/>
  <c r="V67" i="9"/>
  <c r="X29" i="9"/>
  <c r="X26" i="9"/>
  <c r="V23" i="9"/>
  <c r="V47" i="9"/>
  <c r="X27" i="9"/>
  <c r="X41" i="9"/>
  <c r="X33" i="9"/>
  <c r="X9" i="9"/>
  <c r="F9" i="17" s="1" a="1"/>
  <c r="V72" i="9"/>
  <c r="V70" i="9"/>
  <c r="V28" i="9"/>
  <c r="V11" i="9"/>
  <c r="V31" i="9"/>
  <c r="X17" i="9"/>
  <c r="V30" i="9"/>
  <c r="X35" i="9"/>
  <c r="X49" i="9"/>
  <c r="V24" i="9"/>
  <c r="V50" i="9"/>
  <c r="V58" i="9"/>
  <c r="X36" i="9"/>
  <c r="X28" i="9"/>
  <c r="X50" i="9"/>
  <c r="V26" i="9"/>
  <c r="X22" i="9"/>
  <c r="V57" i="9"/>
  <c r="X13" i="9"/>
  <c r="X59" i="9"/>
  <c r="V21" i="9"/>
  <c r="V55" i="9"/>
  <c r="X34" i="9"/>
  <c r="V15" i="9"/>
  <c r="V68" i="9"/>
  <c r="V51" i="9"/>
  <c r="X30" i="9"/>
  <c r="X14" i="9"/>
  <c r="X18" i="9"/>
  <c r="X72" i="9"/>
  <c r="F72" i="17" s="1" a="1"/>
  <c r="V25" i="9"/>
  <c r="X40" i="9"/>
  <c r="X43" i="9"/>
  <c r="V53" i="9"/>
  <c r="V52" i="9"/>
  <c r="V65" i="9"/>
  <c r="X58" i="9"/>
  <c r="X38" i="9"/>
  <c r="V49" i="9"/>
  <c r="V13" i="9"/>
  <c r="V14" i="9"/>
  <c r="X24" i="9"/>
  <c r="V29" i="9"/>
  <c r="X25" i="9"/>
  <c r="F25" i="17" s="1" a="1"/>
  <c r="X56" i="9"/>
  <c r="X55" i="9"/>
  <c r="V59" i="9"/>
  <c r="V33" i="9"/>
  <c r="V56" i="9"/>
  <c r="X54" i="9"/>
  <c r="V66" i="9"/>
  <c r="X61" i="9"/>
  <c r="X32" i="9"/>
  <c r="X69" i="9"/>
  <c r="V48" i="9"/>
  <c r="X21" i="9"/>
  <c r="X31" i="9"/>
  <c r="X60" i="9"/>
  <c r="V41" i="9"/>
  <c r="V34" i="9"/>
  <c r="X20" i="9"/>
  <c r="F20" i="17" s="1" a="1"/>
  <c r="X37" i="9"/>
  <c r="X47" i="9"/>
  <c r="F47" i="17" s="1" a="1"/>
  <c r="X70" i="9"/>
  <c r="V45" i="9"/>
  <c r="X52" i="9"/>
  <c r="V62" i="9"/>
  <c r="X44" i="9"/>
  <c r="X42" i="9"/>
  <c r="V42" i="9"/>
  <c r="X64" i="9"/>
  <c r="X16" i="9"/>
  <c r="X39" i="9"/>
  <c r="X63" i="9"/>
  <c r="V64" i="9"/>
  <c r="V46" i="9"/>
  <c r="V16" i="9"/>
  <c r="X71" i="9"/>
  <c r="F71" i="17" s="1" a="1"/>
  <c r="V71" i="9"/>
  <c r="X46" i="9"/>
  <c r="V43" i="9"/>
  <c r="X66" i="9"/>
  <c r="X65" i="9"/>
  <c r="V54" i="9"/>
  <c r="X53" i="9"/>
  <c r="V61" i="9"/>
  <c r="V35" i="9"/>
  <c r="X62" i="9"/>
  <c r="X45" i="9"/>
  <c r="V27" i="9"/>
  <c r="V40" i="9"/>
  <c r="X19" i="9"/>
  <c r="V32" i="9"/>
  <c r="V60" i="9"/>
  <c r="X51" i="9"/>
  <c r="V17" i="9"/>
  <c r="X15" i="9"/>
  <c r="V37" i="9"/>
  <c r="X57" i="9"/>
  <c r="V63" i="9"/>
  <c r="X67" i="9"/>
  <c r="V36" i="9"/>
  <c r="V69" i="9"/>
  <c r="Z22" i="9" a="1"/>
  <c r="AA22" i="9" a="1"/>
  <c r="Z70" i="9" a="1"/>
  <c r="AA70" i="9" a="1"/>
  <c r="Z57" i="9" a="1"/>
  <c r="AA57" i="9" a="1"/>
  <c r="Z53" i="9" a="1"/>
  <c r="AA53" i="9" a="1"/>
  <c r="Z37" i="9" a="1"/>
  <c r="AA37" i="9" a="1"/>
  <c r="Z6" i="9" a="1"/>
  <c r="AA6" i="9" a="1"/>
  <c r="Z28" i="9" a="1"/>
  <c r="AA28" i="9" a="1"/>
  <c r="Z52" i="9" a="1"/>
  <c r="AA52" i="9" a="1"/>
  <c r="Z66" i="9" a="1"/>
  <c r="AA66" i="9" a="1"/>
  <c r="Z62" i="9" a="1"/>
  <c r="AA62" i="9" a="1"/>
  <c r="Z36" i="9" a="1"/>
  <c r="AA36" i="9" a="1"/>
  <c r="Z60" i="9" a="1"/>
  <c r="AA60" i="9" a="1"/>
  <c r="Z19" i="9" a="1"/>
  <c r="AA19" i="9" a="1"/>
  <c r="Z11" i="9" a="1"/>
  <c r="AA11" i="9" a="1"/>
  <c r="Z65" i="9" a="1"/>
  <c r="AA65" i="9" a="1"/>
  <c r="Z54" i="9" a="1"/>
  <c r="AA54" i="9" a="1"/>
  <c r="Z63" i="9" a="1"/>
  <c r="AA63" i="9" a="1"/>
  <c r="Z42" i="9" a="1"/>
  <c r="AA42" i="9" a="1"/>
  <c r="Z35" i="9" a="1"/>
  <c r="AA35" i="9" a="1"/>
  <c r="Z59" i="9" a="1"/>
  <c r="AA59" i="9" a="1"/>
  <c r="Z8" i="9" a="1"/>
  <c r="AA8" i="9" a="1"/>
  <c r="Z20" i="9" a="1"/>
  <c r="AA20" i="9" a="1"/>
  <c r="Z31" i="9" a="1"/>
  <c r="AA31" i="9" a="1"/>
  <c r="Z21" i="9" a="1"/>
  <c r="AA21" i="9" a="1"/>
  <c r="Z18" i="9" a="1"/>
  <c r="AA18" i="9" a="1"/>
  <c r="Z55" i="9" a="1"/>
  <c r="AA55" i="9" a="1"/>
  <c r="Z61" i="9" a="1"/>
  <c r="AA61" i="9" a="1"/>
  <c r="AA7" i="9" a="1"/>
  <c r="Z7" i="9" a="1"/>
  <c r="Z30" i="9" a="1"/>
  <c r="AA30" i="9" a="1"/>
  <c r="Z49" i="9" a="1"/>
  <c r="AA49" i="9" a="1"/>
  <c r="Z48" i="9" a="1"/>
  <c r="AA48" i="9" a="1"/>
  <c r="Z69" i="9" a="1"/>
  <c r="AA69" i="9" a="1"/>
  <c r="Z71" i="9" a="1"/>
  <c r="AA71" i="9" a="1"/>
  <c r="Z56" i="9" a="1"/>
  <c r="AA56" i="9" a="1"/>
  <c r="Z67" i="9" a="1"/>
  <c r="AA67" i="9" a="1"/>
  <c r="Z15" i="9" a="1"/>
  <c r="AA15" i="9" a="1"/>
  <c r="Z13" i="9" a="1"/>
  <c r="AA13" i="9" a="1"/>
  <c r="Z10" i="9" a="1"/>
  <c r="AA10" i="9" a="1"/>
  <c r="Z68" i="9" a="1"/>
  <c r="AA68" i="9" a="1"/>
  <c r="Z14" i="9" a="1"/>
  <c r="AA14" i="9" a="1"/>
  <c r="Z25" i="9" a="1"/>
  <c r="AA25" i="9" a="1"/>
  <c r="Z45" i="9" a="1"/>
  <c r="AA45" i="9" a="1"/>
  <c r="Z9" i="9" a="1"/>
  <c r="AA9" i="9" a="1"/>
  <c r="Z24" i="9" a="1"/>
  <c r="AA24" i="9" a="1"/>
  <c r="Z51" i="9" a="1"/>
  <c r="AA51" i="9" a="1"/>
  <c r="Z27" i="9" a="1"/>
  <c r="AA27" i="9" a="1"/>
  <c r="Z29" i="9" a="1"/>
  <c r="AA29" i="9" a="1"/>
  <c r="Z41" i="9" a="1"/>
  <c r="AA41" i="9" a="1"/>
  <c r="Z64" i="9" a="1"/>
  <c r="AA64" i="9" a="1"/>
  <c r="Z34" i="9" a="1"/>
  <c r="AA34" i="9" a="1"/>
  <c r="Z46" i="9" a="1"/>
  <c r="AA46" i="9" a="1"/>
  <c r="Z17" i="9" a="1"/>
  <c r="AA17" i="9" a="1"/>
  <c r="Z23" i="9" a="1"/>
  <c r="AA23" i="9" a="1"/>
  <c r="Z50" i="9" a="1"/>
  <c r="AA50" i="9" a="1"/>
  <c r="Z40" i="9" a="1"/>
  <c r="AA40" i="9" a="1"/>
  <c r="AA12" i="9" a="1"/>
  <c r="Z12" i="9" a="1"/>
  <c r="Z47" i="9" a="1"/>
  <c r="AA47" i="9" a="1"/>
  <c r="Z58" i="9" a="1"/>
  <c r="AA58" i="9" a="1"/>
  <c r="Z16" i="9" a="1"/>
  <c r="AA16" i="9" a="1"/>
  <c r="Z32" i="9" a="1"/>
  <c r="AA32" i="9" a="1"/>
  <c r="Z38" i="9" a="1"/>
  <c r="AA38" i="9" a="1"/>
  <c r="Z43" i="9" a="1"/>
  <c r="AA43" i="9" a="1"/>
  <c r="Z39" i="9" a="1"/>
  <c r="AA39" i="9" a="1"/>
  <c r="Z44" i="9" a="1"/>
  <c r="AA44" i="9" a="1"/>
  <c r="Z26" i="9" a="1"/>
  <c r="AA26" i="9" a="1"/>
  <c r="Z33" i="9" a="1"/>
  <c r="AA33" i="9" a="1"/>
  <c r="W62" i="9" a="1"/>
  <c r="W55" i="9" a="1"/>
  <c r="W68" i="9" a="1"/>
  <c r="W38" i="9" a="1"/>
  <c r="W27" i="9" a="1"/>
  <c r="W19" i="9" a="1"/>
  <c r="W42" i="9" a="1"/>
  <c r="W14" i="9" a="1"/>
  <c r="W39" i="9" a="1"/>
  <c r="W11" i="9" a="1"/>
  <c r="W61" i="9" a="1"/>
  <c r="W9" i="9" a="1"/>
  <c r="W25" i="9" a="1"/>
  <c r="W50" i="9" a="1"/>
  <c r="W15" i="9" a="1"/>
  <c r="W65" i="9" a="1"/>
  <c r="W36" i="9" a="1"/>
  <c r="W24" i="9" a="1"/>
  <c r="W44" i="9" a="1"/>
  <c r="W71" i="9" a="1"/>
  <c r="W43" i="9" a="1"/>
  <c r="W28" i="9" a="1"/>
  <c r="W54" i="9" a="1"/>
  <c r="W35" i="9" a="1"/>
  <c r="W51" i="9" a="1"/>
  <c r="W26" i="9" a="1"/>
  <c r="W40" i="9" a="1"/>
  <c r="W72" i="9" a="1"/>
  <c r="W56" i="9" a="1"/>
  <c r="W67" i="9" a="1"/>
  <c r="W66" i="9" a="1"/>
  <c r="W63" i="9" a="1"/>
  <c r="W32" i="9" a="1"/>
  <c r="W41" i="9" a="1"/>
  <c r="W58" i="9" a="1"/>
  <c r="W60" i="9" a="1"/>
  <c r="W22" i="9" a="1"/>
  <c r="W33" i="9" a="1"/>
  <c r="W70" i="9" a="1"/>
  <c r="W59" i="9" a="1"/>
  <c r="W7" i="9" a="1"/>
  <c r="W23" i="9" a="1"/>
  <c r="W45" i="9" a="1"/>
  <c r="W12" i="9" a="1"/>
  <c r="W57" i="9" a="1"/>
  <c r="W8" i="9" a="1"/>
  <c r="W30" i="9" a="1"/>
  <c r="W53" i="9" a="1"/>
  <c r="W20" i="9" a="1"/>
  <c r="W49" i="9" a="1"/>
  <c r="W29" i="9" a="1"/>
  <c r="W10" i="9" a="1"/>
  <c r="W37" i="9" a="1"/>
  <c r="W31" i="9" a="1"/>
  <c r="W48" i="9" a="1"/>
  <c r="W64" i="9" a="1"/>
  <c r="W21" i="9" a="1"/>
  <c r="W17" i="9" a="1"/>
  <c r="W47" i="9" a="1"/>
  <c r="W34" i="9" a="1"/>
  <c r="W6" i="9" a="1"/>
  <c r="W69" i="9" a="1"/>
  <c r="W52" i="9" a="1"/>
  <c r="W16" i="9" a="1"/>
  <c r="W13" i="9" a="1"/>
  <c r="W46" i="9" a="1"/>
  <c r="W18" i="9" a="1"/>
  <c r="F16" i="17" l="1" a="1"/>
  <c r="F53" i="17" a="1"/>
  <c r="F33" i="17" a="1"/>
  <c r="F28" i="17" a="1"/>
  <c r="F34" i="17" a="1"/>
  <c r="F37" i="17" a="1"/>
  <c r="F51" i="17" a="1"/>
  <c r="F57" i="17" a="1"/>
  <c r="I32" i="17" s="1" a="1"/>
  <c r="H32" i="17" s="1" a="1"/>
  <c r="I25" i="17" s="1" a="1"/>
  <c r="H25" i="17" s="1" a="1"/>
  <c r="I43" i="17" s="1" a="1"/>
  <c r="H43" i="17" s="1" a="1"/>
  <c r="I38" i="17" s="1" a="1"/>
  <c r="H38" i="17" s="1" a="1"/>
  <c r="I42" i="17" s="1" a="1"/>
  <c r="H42" i="17" s="1" a="1"/>
  <c r="I37" i="17" s="1" a="1"/>
  <c r="H37" i="17" s="1" a="1"/>
  <c r="I31" i="17" s="1" a="1"/>
  <c r="H31" i="17" s="1" a="1"/>
  <c r="I15" i="17" s="1" a="1"/>
  <c r="H15" i="17" s="1" a="1"/>
  <c r="I57" i="17" s="1" a="1"/>
  <c r="H57" i="17" s="1" a="1"/>
  <c r="I46" i="17" s="1" a="1"/>
  <c r="H46" i="17" s="1" a="1"/>
  <c r="H11" i="17" s="1" a="1"/>
  <c r="I11" i="17" s="1" a="1"/>
  <c r="I39" i="17" s="1" a="1"/>
  <c r="H39" i="17" s="1" a="1"/>
  <c r="I49" i="17" s="1" a="1"/>
  <c r="H49" i="17" s="1" a="1"/>
  <c r="I22" i="17" s="1" a="1"/>
  <c r="H22" i="17" s="1" a="1"/>
  <c r="I16" i="17" s="1" a="1"/>
  <c r="H16" i="17" s="1" a="1"/>
  <c r="I45" i="17" s="1" a="1"/>
  <c r="H45" i="17" s="1" a="1"/>
  <c r="I33" i="17" s="1" a="1"/>
  <c r="H33" i="17" s="1" a="1"/>
  <c r="I63" i="17" s="1" a="1"/>
  <c r="H63" i="17" s="1" a="1"/>
  <c r="I40" i="17" s="1" a="1"/>
  <c r="H40" i="17" s="1" a="1"/>
  <c r="I28" i="17" s="1" a="1"/>
  <c r="H28" i="17" s="1" a="1"/>
  <c r="I26" i="17" s="1" a="1"/>
  <c r="H26" i="17" s="1" a="1"/>
  <c r="I50" i="17" s="1" a="1"/>
  <c r="H50" i="17" s="1" a="1"/>
  <c r="I23" i="17" s="1" a="1"/>
  <c r="H23" i="17" s="1" a="1"/>
  <c r="I8" i="17" s="1" a="1"/>
  <c r="H8" i="17" s="1" a="1"/>
  <c r="I44" i="17" s="1" a="1"/>
  <c r="H44" i="17" s="1" a="1"/>
  <c r="I24" i="17" s="1" a="1"/>
  <c r="H24" i="17" s="1" a="1"/>
  <c r="I13" i="17" s="1" a="1"/>
  <c r="H13" i="17" s="1" a="1"/>
  <c r="I67" i="17" s="1" a="1"/>
  <c r="H67" i="17" s="1" a="1"/>
  <c r="I9" i="17" s="1" a="1"/>
  <c r="H9" i="17" s="1" a="1"/>
  <c r="I12" i="17" s="1" a="1"/>
  <c r="H12" i="17" s="1" a="1"/>
  <c r="I14" i="17" s="1" a="1"/>
  <c r="H14" i="17" s="1" a="1"/>
  <c r="I66" i="17" s="1" a="1"/>
  <c r="H66" i="17" s="1" a="1"/>
  <c r="I55" i="17" s="1" a="1"/>
  <c r="H55" i="17" s="1" a="1"/>
  <c r="I70" i="17" s="1" a="1"/>
  <c r="H70" i="17" s="1" a="1"/>
  <c r="I68" i="17" s="1" a="1"/>
  <c r="H68" i="17" s="1" a="1"/>
  <c r="I47" i="17" s="1" a="1"/>
  <c r="H47" i="17" s="1" a="1"/>
  <c r="I48" i="17" s="1" a="1"/>
  <c r="H48" i="17" s="1" a="1"/>
  <c r="I29" i="17" s="1" a="1"/>
  <c r="H29" i="17" s="1" a="1"/>
  <c r="H6" i="17" s="1" a="1"/>
  <c r="I6" i="17" s="1" a="1"/>
  <c r="I60" i="17" s="1" a="1"/>
  <c r="H60" i="17" s="1" a="1"/>
  <c r="I54" i="17" s="1" a="1"/>
  <c r="H54" i="17" s="1" a="1"/>
  <c r="I17" i="17" s="1" a="1"/>
  <c r="H17" i="17" s="1" a="1"/>
  <c r="I20" i="17" s="1" a="1"/>
  <c r="H20" i="17" s="1" a="1"/>
  <c r="I30" i="17" s="1" a="1"/>
  <c r="H30" i="17" s="1" a="1"/>
  <c r="I19" i="17" s="1" a="1"/>
  <c r="H19" i="17" s="1" a="1"/>
  <c r="I7" i="17" s="1" a="1"/>
  <c r="H7" i="17" s="1" a="1"/>
  <c r="I58" i="17" s="1" a="1"/>
  <c r="H58" i="17" s="1" a="1"/>
  <c r="I34" i="17" s="1" a="1"/>
  <c r="H34" i="17" s="1" a="1"/>
  <c r="I41" i="17" s="1" a="1"/>
  <c r="H41" i="17" s="1" a="1"/>
  <c r="I62" i="17" s="1" a="1"/>
  <c r="H62" i="17" s="1" a="1"/>
  <c r="I53" i="17" s="1" a="1"/>
  <c r="H53" i="17" s="1" a="1"/>
  <c r="I64" i="17" s="1" a="1"/>
  <c r="H64" i="17" s="1" a="1"/>
  <c r="I10" i="17" s="1" a="1"/>
  <c r="H10" i="17" s="1" a="1"/>
  <c r="I18" i="17" s="1" a="1"/>
  <c r="H18" i="17" s="1" a="1"/>
  <c r="I59" i="17" s="1" a="1"/>
  <c r="H59" i="17" s="1" a="1"/>
  <c r="I35" i="17" s="1" a="1"/>
  <c r="H35" i="17" s="1" a="1"/>
  <c r="I61" i="17" s="1" a="1"/>
  <c r="H61" i="17" s="1" a="1"/>
  <c r="I65" i="17" s="1" a="1"/>
  <c r="H65" i="17" s="1" a="1"/>
  <c r="I51" i="17" s="1" a="1"/>
  <c r="H51" i="17" s="1" a="1"/>
  <c r="I27" i="17" s="1" a="1"/>
  <c r="H27" i="17" s="1" a="1"/>
  <c r="I5" i="17" s="1" a="1"/>
  <c r="H5" i="17" s="1" a="1"/>
  <c r="I36" i="17" s="1" a="1"/>
  <c r="H36" i="17" s="1" a="1"/>
  <c r="I52" i="17" s="1" a="1"/>
  <c r="H52" i="17" s="1" a="1"/>
  <c r="I56" i="17" s="1" a="1"/>
  <c r="H56" i="17" s="1" a="1"/>
  <c r="I69" i="17" s="1" a="1"/>
  <c r="H69" i="17" s="1" a="1"/>
  <c r="I21" i="17" s="1" a="1"/>
  <c r="H21" i="17" s="1" a="1"/>
  <c r="F11" i="17" a="1"/>
  <c r="D43" i="17" a="1"/>
  <c r="D56" i="17" a="1"/>
  <c r="D72" i="17" a="1"/>
  <c r="F56" i="17" a="1"/>
  <c r="D60" i="17" a="1"/>
  <c r="D46" i="17" a="1"/>
  <c r="D29" i="17" a="1"/>
  <c r="D40" i="17" a="1"/>
  <c r="D51" i="17" a="1"/>
  <c r="D14" i="17" a="1"/>
  <c r="D17" i="17" a="1"/>
  <c r="D48" i="17" a="1"/>
  <c r="D30" i="17" a="1"/>
  <c r="D7" i="17" a="1"/>
  <c r="D61" i="17" a="1"/>
  <c r="D27" i="17" a="1"/>
  <c r="D69" i="17" a="1"/>
  <c r="D21" i="17" a="1"/>
  <c r="D54" i="17" a="1"/>
  <c r="D19" i="17" a="1"/>
  <c r="D66" i="17" a="1"/>
  <c r="D52" i="17" a="1"/>
  <c r="D64" i="17" a="1"/>
  <c r="D37" i="17" a="1"/>
  <c r="F22" i="17" a="1"/>
  <c r="F40" i="17" a="1"/>
  <c r="F63" i="17" a="1"/>
  <c r="D9" i="17" a="1"/>
  <c r="D49" i="17" a="1"/>
  <c r="D63" i="17" a="1"/>
  <c r="D32" i="17" a="1"/>
  <c r="D41" i="17" a="1"/>
  <c r="D50" i="17" a="1"/>
  <c r="D13" i="17" a="1"/>
  <c r="F62" i="17" a="1"/>
  <c r="D35" i="17" a="1"/>
  <c r="D25" i="17" a="1"/>
  <c r="F39" i="17" a="1"/>
  <c r="F44" i="17" a="1"/>
  <c r="D65" i="17" a="1"/>
  <c r="D11" i="17" a="1"/>
  <c r="F46" i="17" a="1"/>
  <c r="F55" i="17" a="1"/>
  <c r="D71" i="17" a="1"/>
  <c r="F19" i="17" a="1"/>
  <c r="D34" i="17" a="1"/>
  <c r="F60" i="17" a="1"/>
  <c r="F21" i="17" a="1"/>
  <c r="F67" i="17" a="1"/>
  <c r="F42" i="17" a="1"/>
  <c r="F32" i="17" a="1"/>
  <c r="F58" i="17" a="1"/>
  <c r="F7" i="17" a="1"/>
  <c r="F15" i="17" a="1"/>
  <c r="D45" i="17" a="1"/>
  <c r="F43" i="17" a="1"/>
  <c r="F68" i="17" a="1"/>
  <c r="F70" i="17" a="1"/>
  <c r="D33" i="17" a="1"/>
  <c r="D26" i="17" a="1"/>
  <c r="D44" i="17" a="1"/>
  <c r="D59" i="17" a="1"/>
  <c r="F50" i="17" a="1"/>
  <c r="D39" i="17" a="1"/>
  <c r="F41" i="17" a="1"/>
  <c r="D38" i="17" a="1"/>
  <c r="F18" i="17" a="1"/>
  <c r="F36" i="17" a="1"/>
  <c r="F27" i="17" a="1"/>
  <c r="F23" i="17" a="1"/>
  <c r="F14" i="17" a="1"/>
  <c r="D58" i="17" a="1"/>
  <c r="D47" i="17" a="1"/>
  <c r="D12" i="17" a="1"/>
  <c r="F30" i="17" a="1"/>
  <c r="D23" i="17" a="1"/>
  <c r="F24" i="17" a="1"/>
  <c r="D24" i="17" a="1"/>
  <c r="F26" i="17" a="1"/>
  <c r="D16" i="17" a="1"/>
  <c r="F45" i="17" a="1"/>
  <c r="F31" i="17" a="1"/>
  <c r="D68" i="17" a="1"/>
  <c r="F49" i="17" a="1"/>
  <c r="F29" i="17" a="1"/>
  <c r="D10" i="17" a="1"/>
  <c r="D15" i="17" a="1"/>
  <c r="F35" i="17" a="1"/>
  <c r="D67" i="17" a="1"/>
  <c r="F10" i="17" a="1"/>
  <c r="F64" i="17" a="1"/>
  <c r="F12" i="17" a="1"/>
  <c r="D36" i="17" a="1"/>
  <c r="D42" i="17" a="1"/>
  <c r="F69" i="17" a="1"/>
  <c r="F38" i="17" a="1"/>
  <c r="D55" i="17" a="1"/>
  <c r="F17" i="17" a="1"/>
  <c r="D18" i="17" a="1"/>
  <c r="F8" i="17" a="1"/>
  <c r="D31" i="17" a="1"/>
  <c r="D20" i="17" a="1"/>
  <c r="D8" i="17" a="1"/>
  <c r="F61" i="17" a="1"/>
  <c r="F59" i="17" a="1"/>
  <c r="F65" i="17" a="1"/>
  <c r="D62" i="17" a="1"/>
  <c r="F13" i="17" a="1"/>
  <c r="D28" i="17" a="1"/>
  <c r="F48" i="17" a="1"/>
  <c r="D6" i="17" a="1"/>
  <c r="D5" i="17" a="1"/>
  <c r="F66" i="17" a="1"/>
  <c r="F52" i="17" a="1"/>
  <c r="F54" i="17" a="1"/>
  <c r="D53" i="17" a="1"/>
  <c r="D57" i="17" a="1"/>
  <c r="D70" i="17" a="1"/>
  <c r="D22" i="17" a="1"/>
  <c r="F6" i="17" a="1"/>
  <c r="F5" i="17" a="1"/>
  <c r="E8" i="18" a="1"/>
  <c r="E7" i="18" a="1"/>
  <c r="E10" i="18" a="1"/>
  <c r="E9" i="18" a="1"/>
  <c r="E11" i="18" a="1"/>
  <c r="E14" i="18" a="1"/>
  <c r="E22" i="18" a="1"/>
  <c r="E18" i="18" a="1"/>
  <c r="E26" i="18" a="1"/>
  <c r="E33" i="18" a="1"/>
  <c r="E25" i="18" a="1"/>
  <c r="E17" i="18" a="1"/>
  <c r="E24" i="18" a="1"/>
  <c r="E30" i="18" a="1"/>
  <c r="E20" i="18" a="1"/>
  <c r="E27" i="18" a="1"/>
  <c r="E19" i="18" a="1"/>
  <c r="E23" i="18" a="1"/>
  <c r="E15" i="18" a="1"/>
  <c r="E21" i="18" a="1"/>
  <c r="E28" i="18" a="1"/>
  <c r="E29" i="18" a="1"/>
  <c r="E16" i="18" a="1"/>
  <c r="E12" i="18" a="1"/>
  <c r="E32" i="18" a="1"/>
  <c r="E31" i="18" a="1"/>
  <c r="T11" i="9"/>
  <c r="Y11" i="9"/>
  <c r="U11" i="9"/>
  <c r="Y8" i="9"/>
  <c r="U8" i="9"/>
  <c r="C8" i="18" s="1" a="1"/>
  <c r="T8" i="9"/>
  <c r="B8" i="18" s="1" a="1"/>
  <c r="Y7" i="9"/>
  <c r="U7" i="9"/>
  <c r="C7" i="18" s="1" a="1"/>
  <c r="T7" i="9"/>
  <c r="B7" i="18" s="1" a="1"/>
  <c r="Y10" i="9"/>
  <c r="U10" i="9"/>
  <c r="T10" i="9"/>
  <c r="Y6" i="9"/>
  <c r="U6" i="9"/>
  <c r="T6" i="9"/>
  <c r="E36" i="18" a="1"/>
  <c r="E63" i="18" a="1"/>
  <c r="E35" i="18" a="1"/>
  <c r="E46" i="18" a="1"/>
  <c r="E65" i="18" a="1"/>
  <c r="E37" i="18" a="1"/>
  <c r="E64" i="18" a="1"/>
  <c r="E62" i="18" a="1"/>
  <c r="E52" i="18" a="1"/>
  <c r="E54" i="18" a="1"/>
  <c r="E55" i="18" a="1"/>
  <c r="E66" i="18" a="1"/>
  <c r="E70" i="18" a="1"/>
  <c r="E48" i="18" a="1"/>
  <c r="E60" i="18" a="1"/>
  <c r="E45" i="18" a="1"/>
  <c r="E43" i="18" a="1"/>
  <c r="E67" i="18" a="1"/>
  <c r="E53" i="18" a="1"/>
  <c r="E57" i="18" a="1"/>
  <c r="E72" i="18" a="1"/>
  <c r="E56" i="18" a="1"/>
  <c r="E49" i="18" a="1"/>
  <c r="E58" i="18" a="1"/>
  <c r="E44" i="18" a="1"/>
  <c r="E50" i="18" a="1"/>
  <c r="E59" i="18" a="1"/>
  <c r="E71" i="18" a="1"/>
  <c r="E34" i="18" a="1"/>
  <c r="E51" i="18" a="1"/>
  <c r="E39" i="18" a="1"/>
  <c r="E40" i="18" a="1"/>
  <c r="E42" i="18" a="1"/>
  <c r="E38" i="18" a="1"/>
  <c r="E61" i="18" a="1"/>
  <c r="E13" i="18" a="1"/>
  <c r="E41" i="18" a="1"/>
  <c r="E68" i="18" a="1"/>
  <c r="E47" i="18" a="1"/>
  <c r="E69" i="18" a="1"/>
  <c r="Y31" i="9"/>
  <c r="U31" i="9"/>
  <c r="T31" i="9"/>
  <c r="Y50" i="9"/>
  <c r="U50" i="9"/>
  <c r="T50" i="9"/>
  <c r="U44" i="9"/>
  <c r="T44" i="9"/>
  <c r="Y44" i="9"/>
  <c r="Y63" i="9"/>
  <c r="T63" i="9"/>
  <c r="U63" i="9"/>
  <c r="Y34" i="9"/>
  <c r="U34" i="9"/>
  <c r="T34" i="9"/>
  <c r="Y28" i="9"/>
  <c r="U28" i="9"/>
  <c r="T28" i="9"/>
  <c r="Y53" i="9"/>
  <c r="U53" i="9"/>
  <c r="T53" i="9"/>
  <c r="Y15" i="9"/>
  <c r="U15" i="9"/>
  <c r="T15" i="9"/>
  <c r="Y52" i="9"/>
  <c r="T52" i="9"/>
  <c r="U52" i="9"/>
  <c r="Y21" i="9"/>
  <c r="U21" i="9"/>
  <c r="T21" i="9"/>
  <c r="Y61" i="9"/>
  <c r="T61" i="9"/>
  <c r="U61" i="9"/>
  <c r="Y56" i="9"/>
  <c r="U56" i="9"/>
  <c r="T56" i="9"/>
  <c r="U65" i="9"/>
  <c r="Y65" i="9"/>
  <c r="T65" i="9"/>
  <c r="U43" i="9"/>
  <c r="Y43" i="9"/>
  <c r="G43" i="17" s="1" a="1"/>
  <c r="T43" i="9"/>
  <c r="Y26" i="9"/>
  <c r="U26" i="9"/>
  <c r="T26" i="9"/>
  <c r="Y48" i="9"/>
  <c r="T48" i="9"/>
  <c r="U48" i="9"/>
  <c r="Y59" i="9"/>
  <c r="U59" i="9"/>
  <c r="T59" i="9"/>
  <c r="Y29" i="9"/>
  <c r="U29" i="9"/>
  <c r="T29" i="9"/>
  <c r="Y66" i="9"/>
  <c r="U66" i="9"/>
  <c r="T66" i="9"/>
  <c r="Y39" i="9"/>
  <c r="T39" i="9"/>
  <c r="U39" i="9"/>
  <c r="Y13" i="9"/>
  <c r="U13" i="9"/>
  <c r="T13" i="9"/>
  <c r="Y24" i="9"/>
  <c r="U24" i="9"/>
  <c r="T24" i="9"/>
  <c r="Y40" i="9"/>
  <c r="U40" i="9"/>
  <c r="T40" i="9"/>
  <c r="Y36" i="9"/>
  <c r="U36" i="9"/>
  <c r="T36" i="9"/>
  <c r="U54" i="9"/>
  <c r="Y54" i="9"/>
  <c r="T54" i="9"/>
  <c r="U57" i="9"/>
  <c r="Y57" i="9"/>
  <c r="T57" i="9"/>
  <c r="Y72" i="9"/>
  <c r="G72" i="17" s="1" a="1"/>
  <c r="U72" i="9"/>
  <c r="C72" i="17" s="1" a="1"/>
  <c r="T72" i="9"/>
  <c r="B72" i="17" s="1" a="1"/>
  <c r="U68" i="9"/>
  <c r="T68" i="9"/>
  <c r="Y68" i="9"/>
  <c r="Y19" i="9"/>
  <c r="U19" i="9"/>
  <c r="T19" i="9"/>
  <c r="Y18" i="9"/>
  <c r="U18" i="9"/>
  <c r="T18" i="9"/>
  <c r="Y37" i="9"/>
  <c r="U37" i="9"/>
  <c r="T37" i="9"/>
  <c r="Y69" i="9"/>
  <c r="U69" i="9"/>
  <c r="T69" i="9"/>
  <c r="Y14" i="9"/>
  <c r="U14" i="9"/>
  <c r="T14" i="9"/>
  <c r="Y9" i="9"/>
  <c r="U9" i="9"/>
  <c r="C9" i="18" s="1" a="1"/>
  <c r="T9" i="9"/>
  <c r="B9" i="18" s="1" a="1"/>
  <c r="Y12" i="9"/>
  <c r="U12" i="9"/>
  <c r="T12" i="9"/>
  <c r="Y25" i="9"/>
  <c r="U25" i="9"/>
  <c r="T25" i="9"/>
  <c r="U46" i="9"/>
  <c r="Y46" i="9"/>
  <c r="T46" i="9"/>
  <c r="T38" i="9"/>
  <c r="U38" i="9"/>
  <c r="Y38" i="9"/>
  <c r="Y33" i="9"/>
  <c r="U33" i="9"/>
  <c r="T33" i="9"/>
  <c r="Y30" i="9"/>
  <c r="U30" i="9"/>
  <c r="T30" i="9"/>
  <c r="Y41" i="9"/>
  <c r="T41" i="9"/>
  <c r="U41" i="9"/>
  <c r="U64" i="9"/>
  <c r="Y64" i="9"/>
  <c r="T64" i="9"/>
  <c r="Y58" i="9"/>
  <c r="T58" i="9"/>
  <c r="U58" i="9"/>
  <c r="Y22" i="9"/>
  <c r="U22" i="9"/>
  <c r="T22" i="9"/>
  <c r="T49" i="9"/>
  <c r="Y49" i="9"/>
  <c r="U49" i="9"/>
  <c r="Y35" i="9"/>
  <c r="U35" i="9"/>
  <c r="T35" i="9"/>
  <c r="Y27" i="9"/>
  <c r="U27" i="9"/>
  <c r="T27" i="9"/>
  <c r="Y51" i="9"/>
  <c r="U51" i="9"/>
  <c r="T51" i="9"/>
  <c r="Y16" i="9"/>
  <c r="U16" i="9"/>
  <c r="T16" i="9"/>
  <c r="Y70" i="9"/>
  <c r="U70" i="9"/>
  <c r="T70" i="9"/>
  <c r="Y32" i="9"/>
  <c r="U32" i="9"/>
  <c r="T32" i="9"/>
  <c r="T71" i="9"/>
  <c r="Y71" i="9"/>
  <c r="U71" i="9"/>
  <c r="Y45" i="9"/>
  <c r="U45" i="9"/>
  <c r="T45" i="9"/>
  <c r="Y55" i="9"/>
  <c r="T55" i="9"/>
  <c r="U55" i="9"/>
  <c r="Y23" i="9"/>
  <c r="U23" i="9"/>
  <c r="T23" i="9"/>
  <c r="Y47" i="9"/>
  <c r="U47" i="9"/>
  <c r="T47" i="9"/>
  <c r="Y20" i="9"/>
  <c r="U20" i="9"/>
  <c r="T20" i="9"/>
  <c r="Y67" i="9"/>
  <c r="U67" i="9"/>
  <c r="T67" i="9"/>
  <c r="Y62" i="9"/>
  <c r="U62" i="9"/>
  <c r="T62" i="9"/>
  <c r="Y42" i="9"/>
  <c r="U42" i="9"/>
  <c r="T42" i="9"/>
  <c r="T60" i="9"/>
  <c r="Y60" i="9"/>
  <c r="U60" i="9"/>
  <c r="Y17" i="9"/>
  <c r="U17" i="9"/>
  <c r="T17" i="9"/>
  <c r="B35" i="17" l="1" a="1"/>
  <c r="B45" i="17" a="1"/>
  <c r="G17" i="17" a="1"/>
  <c r="C17" i="17" a="1"/>
  <c r="G64" i="17" a="1"/>
  <c r="C42" i="17" a="1"/>
  <c r="B52" i="17" a="1"/>
  <c r="G35" i="17" a="1"/>
  <c r="B17" i="17" a="1"/>
  <c r="G67" i="17" a="1"/>
  <c r="C35" i="17" a="1"/>
  <c r="C18" i="17" a="1"/>
  <c r="C32" i="17" a="1"/>
  <c r="G49" i="17" a="1"/>
  <c r="B49" i="17" a="1"/>
  <c r="B55" i="17" a="1"/>
  <c r="G28" i="17" a="1"/>
  <c r="B41" i="17" a="1"/>
  <c r="G23" i="17" a="1"/>
  <c r="B43" i="17" a="1"/>
  <c r="G58" i="17" a="1"/>
  <c r="C27" i="17" a="1"/>
  <c r="G27" i="17" a="1"/>
  <c r="B71" i="17" a="1"/>
  <c r="C60" i="17" a="1"/>
  <c r="G30" i="17" a="1"/>
  <c r="B60" i="17" a="1"/>
  <c r="C23" i="17" a="1"/>
  <c r="B25" i="17" a="1"/>
  <c r="G25" i="17" a="1"/>
  <c r="B18" i="17" a="1"/>
  <c r="G63" i="17" a="1"/>
  <c r="C43" i="17" a="1"/>
  <c r="C20" i="17" a="1"/>
  <c r="G33" i="17" a="1"/>
  <c r="G42" i="17" a="1"/>
  <c r="C14" i="17" a="1"/>
  <c r="B38" i="17" a="1"/>
  <c r="C45" i="17" a="1"/>
  <c r="B58" i="17" a="1"/>
  <c r="B67" i="17" a="1"/>
  <c r="G71" i="17" a="1"/>
  <c r="G52" i="17" a="1"/>
  <c r="G39" i="17" a="1"/>
  <c r="B30" i="17" a="1"/>
  <c r="B36" i="17" a="1"/>
  <c r="C66" i="17" a="1"/>
  <c r="C47" i="17" a="1"/>
  <c r="G32" i="17" a="1"/>
  <c r="C30" i="17" a="1"/>
  <c r="G12" i="17" a="1"/>
  <c r="G54" i="17" a="1"/>
  <c r="B47" i="17" a="1"/>
  <c r="G60" i="17" a="1"/>
  <c r="B23" i="17" a="1"/>
  <c r="B33" i="17" a="1"/>
  <c r="C55" i="17" a="1"/>
  <c r="G9" i="17" a="1"/>
  <c r="G45" i="17" a="1"/>
  <c r="B20" i="17" a="1"/>
  <c r="C25" i="17" a="1"/>
  <c r="G20" i="17" a="1"/>
  <c r="B66" i="17" a="1"/>
  <c r="G44" i="17" a="1"/>
  <c r="C36" i="17" a="1"/>
  <c r="G66" i="17" a="1"/>
  <c r="B65" i="17" a="1"/>
  <c r="G47" i="17" a="1"/>
  <c r="G19" i="17" a="1"/>
  <c r="C29" i="17" a="1"/>
  <c r="C65" i="17" a="1"/>
  <c r="B53" i="17" a="1"/>
  <c r="C50" i="17" a="1"/>
  <c r="C70" i="17" a="1"/>
  <c r="C33" i="17" a="1"/>
  <c r="G68" i="17" a="1"/>
  <c r="B56" i="17" a="1"/>
  <c r="B14" i="17" a="1"/>
  <c r="C56" i="17" a="1"/>
  <c r="G10" i="17" a="1"/>
  <c r="C68" i="17" a="1"/>
  <c r="B24" i="17" a="1"/>
  <c r="G56" i="17" a="1"/>
  <c r="B28" i="17" a="1"/>
  <c r="B62" i="17" a="1"/>
  <c r="C38" i="17" a="1"/>
  <c r="G14" i="17" a="1"/>
  <c r="C24" i="17" a="1"/>
  <c r="B69" i="17" a="1"/>
  <c r="G7" i="17" a="1"/>
  <c r="C62" i="17" a="1"/>
  <c r="C51" i="17" a="1"/>
  <c r="B32" i="17" a="1"/>
  <c r="G41" i="17" a="1"/>
  <c r="C54" i="17" a="1"/>
  <c r="G18" i="17" a="1"/>
  <c r="B15" i="17" a="1"/>
  <c r="B44" i="17" a="1"/>
  <c r="B6" i="18" a="1"/>
  <c r="B5" i="17" a="1"/>
  <c r="C49" i="17" a="1"/>
  <c r="C15" i="17" a="1"/>
  <c r="C44" i="17" a="1"/>
  <c r="C6" i="18" a="1"/>
  <c r="C5" i="17" a="1"/>
  <c r="B19" i="17" a="1"/>
  <c r="B70" i="17" a="1"/>
  <c r="C19" i="17" a="1"/>
  <c r="G36" i="17" a="1"/>
  <c r="B29" i="17" a="1"/>
  <c r="G65" i="17" a="1"/>
  <c r="G15" i="17" a="1"/>
  <c r="B50" i="17" a="1"/>
  <c r="G6" i="17" a="1"/>
  <c r="G5" i="17" a="1"/>
  <c r="C40" i="17" a="1"/>
  <c r="G29" i="17" a="1"/>
  <c r="C53" i="17" a="1"/>
  <c r="G50" i="17" a="1"/>
  <c r="G70" i="17" a="1"/>
  <c r="B68" i="17" a="1"/>
  <c r="G40" i="17" a="1"/>
  <c r="B59" i="17" a="1"/>
  <c r="G53" i="17" a="1"/>
  <c r="B31" i="17" a="1"/>
  <c r="C31" i="17" a="1"/>
  <c r="G16" i="17" a="1"/>
  <c r="C58" i="17" a="1"/>
  <c r="G59" i="17" a="1"/>
  <c r="C61" i="17" a="1"/>
  <c r="C28" i="17" a="1"/>
  <c r="G31" i="17" a="1"/>
  <c r="E6" i="18" a="1"/>
  <c r="E5" i="17" a="1"/>
  <c r="B42" i="17" a="1"/>
  <c r="B16" i="17" a="1"/>
  <c r="G22" i="17" a="1"/>
  <c r="B51" i="17" a="1"/>
  <c r="G24" i="17" a="1"/>
  <c r="C48" i="17" a="1"/>
  <c r="B61" i="17" a="1"/>
  <c r="C22" i="17" a="1"/>
  <c r="C16" i="17" a="1"/>
  <c r="B46" i="17" a="1"/>
  <c r="B48" i="17" a="1"/>
  <c r="G61" i="17" a="1"/>
  <c r="B34" i="17" a="1"/>
  <c r="B22" i="17" a="1"/>
  <c r="G38" i="17" a="1"/>
  <c r="C59" i="17" a="1"/>
  <c r="G55" i="17" a="1"/>
  <c r="B64" i="17" a="1"/>
  <c r="G46" i="17" a="1"/>
  <c r="G69" i="17" a="1"/>
  <c r="B57" i="17" a="1"/>
  <c r="G48" i="17" a="1"/>
  <c r="B21" i="17" a="1"/>
  <c r="C34" i="17" a="1"/>
  <c r="G51" i="17" a="1"/>
  <c r="C67" i="17" a="1"/>
  <c r="B27" i="17" a="1"/>
  <c r="C46" i="17" a="1"/>
  <c r="B37" i="17" a="1"/>
  <c r="G57" i="17" a="1"/>
  <c r="G13" i="17" a="1"/>
  <c r="B26" i="17" a="1"/>
  <c r="C21" i="17" a="1"/>
  <c r="G34" i="17" a="1"/>
  <c r="G8" i="17" a="1"/>
  <c r="B40" i="17" a="1"/>
  <c r="G62" i="17" a="1"/>
  <c r="C69" i="17" a="1"/>
  <c r="C71" i="17" a="1"/>
  <c r="C64" i="17" a="1"/>
  <c r="C37" i="17" a="1"/>
  <c r="C57" i="17" a="1"/>
  <c r="C39" i="17" a="1"/>
  <c r="C26" i="17" a="1"/>
  <c r="G21" i="17" a="1"/>
  <c r="C63" i="17" a="1"/>
  <c r="C41" i="17" a="1"/>
  <c r="G37" i="17" a="1"/>
  <c r="B54" i="17" a="1"/>
  <c r="B39" i="17" a="1"/>
  <c r="G26" i="17" a="1"/>
  <c r="C52" i="17" a="1"/>
  <c r="B63" i="17" a="1"/>
  <c r="G11" i="17" a="1"/>
  <c r="M7" i="9"/>
  <c r="O7" i="9"/>
  <c r="O6" i="9"/>
  <c r="F5" i="16" s="1" a="1"/>
  <c r="M8" i="9"/>
  <c r="O8" i="9"/>
  <c r="M6" i="9"/>
  <c r="O11" i="9"/>
  <c r="O10" i="9"/>
  <c r="O12" i="9"/>
  <c r="O9" i="9"/>
  <c r="O13" i="9"/>
  <c r="O15" i="9"/>
  <c r="M13" i="9"/>
  <c r="M10" i="9"/>
  <c r="M9" i="9"/>
  <c r="M12" i="9"/>
  <c r="M11" i="9"/>
  <c r="M15" i="9"/>
  <c r="O17" i="9"/>
  <c r="O14" i="9"/>
  <c r="M14" i="9"/>
  <c r="M18" i="9"/>
  <c r="M16" i="9"/>
  <c r="M17" i="9"/>
  <c r="O16" i="9"/>
  <c r="O33" i="9"/>
  <c r="O31" i="9"/>
  <c r="O39" i="9"/>
  <c r="M66" i="9"/>
  <c r="O55" i="9"/>
  <c r="O20" i="9"/>
  <c r="O57" i="9"/>
  <c r="O19" i="9"/>
  <c r="O40" i="9"/>
  <c r="O56" i="9"/>
  <c r="O34" i="9"/>
  <c r="O18" i="9"/>
  <c r="O54" i="9"/>
  <c r="O24" i="9"/>
  <c r="O29" i="9"/>
  <c r="O41" i="9"/>
  <c r="O25" i="9"/>
  <c r="O60" i="9"/>
  <c r="O43" i="9"/>
  <c r="M71" i="9"/>
  <c r="O47" i="9"/>
  <c r="O72" i="9"/>
  <c r="O52" i="9"/>
  <c r="M39" i="9"/>
  <c r="O69" i="9"/>
  <c r="O45" i="9"/>
  <c r="O59" i="9"/>
  <c r="O67" i="9"/>
  <c r="O22" i="9"/>
  <c r="O37" i="9"/>
  <c r="M29" i="9"/>
  <c r="O21" i="9"/>
  <c r="O48" i="9"/>
  <c r="O32" i="9"/>
  <c r="O38" i="9"/>
  <c r="O35" i="9"/>
  <c r="O44" i="9"/>
  <c r="O66" i="9"/>
  <c r="O46" i="9"/>
  <c r="M34" i="9"/>
  <c r="O36" i="9"/>
  <c r="O61" i="9"/>
  <c r="O27" i="9"/>
  <c r="O58" i="9"/>
  <c r="O30" i="9"/>
  <c r="O71" i="9"/>
  <c r="O42" i="9"/>
  <c r="M32" i="9"/>
  <c r="O28" i="9"/>
  <c r="O53" i="9"/>
  <c r="O70" i="9"/>
  <c r="O62" i="9"/>
  <c r="O51" i="9"/>
  <c r="O64" i="9"/>
  <c r="M26" i="9"/>
  <c r="O50" i="9"/>
  <c r="M24" i="9"/>
  <c r="O63" i="9"/>
  <c r="O49" i="9"/>
  <c r="M46" i="9"/>
  <c r="M51" i="9"/>
  <c r="O26" i="9"/>
  <c r="M45" i="9"/>
  <c r="M19" i="9"/>
  <c r="M63" i="9"/>
  <c r="M38" i="9"/>
  <c r="O68" i="9"/>
  <c r="M41" i="9"/>
  <c r="M65" i="9"/>
  <c r="O65" i="9"/>
  <c r="M68" i="9"/>
  <c r="M57" i="9"/>
  <c r="O23" i="9"/>
  <c r="M70" i="9"/>
  <c r="M62" i="9"/>
  <c r="M25" i="9"/>
  <c r="M64" i="9"/>
  <c r="M69" i="9"/>
  <c r="M60" i="9"/>
  <c r="M58" i="9"/>
  <c r="M54" i="9"/>
  <c r="M53" i="9"/>
  <c r="M37" i="9"/>
  <c r="M49" i="9"/>
  <c r="M28" i="9"/>
  <c r="M33" i="9"/>
  <c r="M20" i="9"/>
  <c r="M43" i="9"/>
  <c r="M44" i="9"/>
  <c r="M42" i="9"/>
  <c r="M40" i="9"/>
  <c r="M50" i="9"/>
  <c r="M61" i="9"/>
  <c r="M48" i="9"/>
  <c r="M52" i="9"/>
  <c r="M67" i="9"/>
  <c r="M55" i="9"/>
  <c r="M22" i="9"/>
  <c r="M23" i="9"/>
  <c r="M56" i="9"/>
  <c r="M31" i="9"/>
  <c r="M72" i="9"/>
  <c r="M21" i="9"/>
  <c r="M36" i="9"/>
  <c r="M27" i="9"/>
  <c r="M47" i="9"/>
  <c r="M59" i="9"/>
  <c r="M30" i="9"/>
  <c r="M35" i="9"/>
  <c r="Q10" i="9" a="1"/>
  <c r="R10" i="9" a="1"/>
  <c r="Q65" i="9" a="1"/>
  <c r="R65" i="9" a="1"/>
  <c r="Q28" i="9" a="1"/>
  <c r="R28" i="9" a="1"/>
  <c r="Q31" i="9" a="1"/>
  <c r="R31" i="9" a="1"/>
  <c r="Q22" i="9" a="1"/>
  <c r="R22" i="9" a="1"/>
  <c r="Q9" i="9" a="1"/>
  <c r="R9" i="9" a="1"/>
  <c r="Q33" i="9" a="1"/>
  <c r="R33" i="9" a="1"/>
  <c r="Q66" i="9" a="1"/>
  <c r="R66" i="9" a="1"/>
  <c r="Q12" i="9" a="1"/>
  <c r="R12" i="9" a="1"/>
  <c r="Q26" i="9" a="1"/>
  <c r="R26" i="9" a="1"/>
  <c r="Q68" i="9" a="1"/>
  <c r="R68" i="9" a="1"/>
  <c r="Q20" i="9" a="1"/>
  <c r="R20" i="9" a="1"/>
  <c r="Q21" i="9" a="1"/>
  <c r="R21" i="9" a="1"/>
  <c r="Q57" i="9" a="1"/>
  <c r="R57" i="9" a="1"/>
  <c r="Q43" i="9" a="1"/>
  <c r="R43" i="9" a="1"/>
  <c r="Q36" i="9" a="1"/>
  <c r="R36" i="9" a="1"/>
  <c r="Q44" i="9" a="1"/>
  <c r="R44" i="9" a="1"/>
  <c r="Q42" i="9" a="1"/>
  <c r="R42" i="9" a="1"/>
  <c r="Q63" i="9" a="1"/>
  <c r="R63" i="9" a="1"/>
  <c r="Q49" i="9" a="1"/>
  <c r="R49" i="9" a="1"/>
  <c r="Q7" i="9" a="1"/>
  <c r="R7" i="9" a="1"/>
  <c r="Q11" i="9" a="1"/>
  <c r="R11" i="9" a="1"/>
  <c r="Q39" i="9" a="1"/>
  <c r="R39" i="9" a="1"/>
  <c r="Q34" i="9" a="1"/>
  <c r="R34" i="9" a="1"/>
  <c r="Q47" i="9" a="1"/>
  <c r="R47" i="9" a="1"/>
  <c r="Q53" i="9" a="1"/>
  <c r="R53" i="9" a="1"/>
  <c r="Q15" i="9" a="1"/>
  <c r="R15" i="9" a="1"/>
  <c r="Q24" i="9" a="1"/>
  <c r="R24" i="9" a="1"/>
  <c r="Q27" i="9" a="1"/>
  <c r="R27" i="9" a="1"/>
  <c r="Q70" i="9" a="1"/>
  <c r="R70" i="9" a="1"/>
  <c r="Q30" i="9" a="1"/>
  <c r="R30" i="9" a="1"/>
  <c r="Q35" i="9" a="1"/>
  <c r="R35" i="9" a="1"/>
  <c r="Q55" i="9" a="1"/>
  <c r="R55" i="9" a="1"/>
  <c r="Q71" i="9" a="1"/>
  <c r="R71" i="9" a="1"/>
  <c r="Q8" i="9" a="1"/>
  <c r="R8" i="9" a="1"/>
  <c r="Q62" i="9" a="1"/>
  <c r="R62" i="9" a="1"/>
  <c r="Q40" i="9" a="1"/>
  <c r="R40" i="9" a="1"/>
  <c r="Q59" i="9" a="1"/>
  <c r="R59" i="9" a="1"/>
  <c r="Q25" i="9" a="1"/>
  <c r="R25" i="9" a="1"/>
  <c r="Q61" i="9" a="1"/>
  <c r="R61" i="9" a="1"/>
  <c r="Q38" i="9" a="1"/>
  <c r="R38" i="9" a="1"/>
  <c r="Q41" i="9" a="1"/>
  <c r="R41" i="9" a="1"/>
  <c r="Q14" i="9" a="1"/>
  <c r="R14" i="9" a="1"/>
  <c r="Q46" i="9" a="1"/>
  <c r="R46" i="9" a="1"/>
  <c r="Q50" i="9" a="1"/>
  <c r="R50" i="9" a="1"/>
  <c r="Q48" i="9" a="1"/>
  <c r="R48" i="9" a="1"/>
  <c r="Q54" i="9" a="1"/>
  <c r="R54" i="9" a="1"/>
  <c r="Q6" i="9" a="1"/>
  <c r="R6" i="9" a="1"/>
  <c r="Q18" i="9" a="1"/>
  <c r="R18" i="9" a="1"/>
  <c r="Q51" i="9" a="1"/>
  <c r="R51" i="9" a="1"/>
  <c r="Q64" i="9" a="1"/>
  <c r="R64" i="9" a="1"/>
  <c r="Q16" i="9" a="1"/>
  <c r="R16" i="9" a="1"/>
  <c r="Q69" i="9" a="1"/>
  <c r="R69" i="9" a="1"/>
  <c r="Q13" i="9" a="1"/>
  <c r="R13" i="9" a="1"/>
  <c r="Q17" i="9" a="1"/>
  <c r="R17" i="9" a="1"/>
  <c r="Q29" i="9" a="1"/>
  <c r="R29" i="9" a="1"/>
  <c r="Q45" i="9" a="1"/>
  <c r="R45" i="9" a="1"/>
  <c r="Q60" i="9" a="1"/>
  <c r="R60" i="9" a="1"/>
  <c r="Q52" i="9" a="1"/>
  <c r="R52" i="9" a="1"/>
  <c r="Q56" i="9" a="1"/>
  <c r="R56" i="9" a="1"/>
  <c r="Q32" i="9" a="1"/>
  <c r="R32" i="9" a="1"/>
  <c r="Q19" i="9" a="1"/>
  <c r="R19" i="9" a="1"/>
  <c r="Q58" i="9" a="1"/>
  <c r="R58" i="9" a="1"/>
  <c r="Q67" i="9" a="1"/>
  <c r="R67" i="9" a="1"/>
  <c r="Q37" i="9" a="1"/>
  <c r="R37" i="9" a="1"/>
  <c r="Q23" i="9" a="1"/>
  <c r="R23" i="9" a="1"/>
  <c r="N25" i="9" a="1"/>
  <c r="N31" i="9" a="1"/>
  <c r="N57" i="9" a="1"/>
  <c r="N32" i="9" a="1"/>
  <c r="N38" i="9" a="1"/>
  <c r="N64" i="9" a="1"/>
  <c r="N43" i="9" a="1"/>
  <c r="N69" i="9" a="1"/>
  <c r="N8" i="9" a="1"/>
  <c r="N53" i="9" a="1"/>
  <c r="N10" i="9" a="1"/>
  <c r="N27" i="9" a="1"/>
  <c r="N22" i="9" a="1"/>
  <c r="N65" i="9" a="1"/>
  <c r="N42" i="9" a="1"/>
  <c r="N59" i="9" a="1"/>
  <c r="N58" i="9" a="1"/>
  <c r="N62" i="9" a="1"/>
  <c r="N50" i="9" a="1"/>
  <c r="N28" i="9" a="1"/>
  <c r="N30" i="9" a="1"/>
  <c r="N14" i="9" a="1"/>
  <c r="N56" i="9" a="1"/>
  <c r="N67" i="9" a="1"/>
  <c r="N72" i="9" a="1"/>
  <c r="N52" i="9" a="1"/>
  <c r="N16" i="9" a="1"/>
  <c r="N37" i="9" a="1"/>
  <c r="N70" i="9" a="1"/>
  <c r="N7" i="9" a="1"/>
  <c r="N46" i="9" a="1"/>
  <c r="N51" i="9" a="1"/>
  <c r="N60" i="9" a="1"/>
  <c r="N23" i="9" a="1"/>
  <c r="N61" i="9" a="1"/>
  <c r="N11" i="9" a="1"/>
  <c r="N48" i="9" a="1"/>
  <c r="N39" i="9" a="1"/>
  <c r="N47" i="9" a="1"/>
  <c r="N9" i="9" a="1"/>
  <c r="N6" i="9" a="1"/>
  <c r="N35" i="9" a="1"/>
  <c r="N33" i="9" a="1"/>
  <c r="N34" i="9" a="1"/>
  <c r="N18" i="9" a="1"/>
  <c r="N13" i="9" a="1"/>
  <c r="N19" i="9" a="1"/>
  <c r="N36" i="9" a="1"/>
  <c r="N21" i="9" a="1"/>
  <c r="N66" i="9" a="1"/>
  <c r="N12" i="9" a="1"/>
  <c r="N40" i="9" a="1"/>
  <c r="N55" i="9" a="1"/>
  <c r="N71" i="9" a="1"/>
  <c r="N26" i="9" a="1"/>
  <c r="N15" i="9" a="1"/>
  <c r="N17" i="9" a="1"/>
  <c r="N68" i="9" a="1"/>
  <c r="N29" i="9" a="1"/>
  <c r="N63" i="9" a="1"/>
  <c r="N41" i="9" a="1"/>
  <c r="N24" i="9" a="1"/>
  <c r="N54" i="9" a="1"/>
  <c r="N49" i="9" a="1"/>
  <c r="N20" i="9" a="1"/>
  <c r="N44" i="9" a="1"/>
  <c r="N45" i="9" a="1"/>
  <c r="I22" i="16" s="1" a="1"/>
  <c r="H22" i="16" s="1" a="1"/>
  <c r="I36" i="16" s="1" a="1"/>
  <c r="H36" i="16" s="1" a="1"/>
  <c r="I66" i="16" s="1" a="1"/>
  <c r="H66" i="16" s="1" a="1"/>
  <c r="I57" i="16" s="1" a="1"/>
  <c r="H57" i="16" s="1" a="1"/>
  <c r="I18" i="16" s="1" a="1"/>
  <c r="H18" i="16" s="1" a="1"/>
  <c r="I31" i="16" s="1" a="1"/>
  <c r="H31" i="16" s="1" a="1"/>
  <c r="I55" i="16" s="1" a="1"/>
  <c r="H55" i="16" s="1" a="1"/>
  <c r="I51" i="16" s="1" a="1"/>
  <c r="H51" i="16" s="1" a="1"/>
  <c r="I59" i="16" s="1" a="1"/>
  <c r="H59" i="16" s="1" a="1"/>
  <c r="I44" i="16" s="1" a="1"/>
  <c r="H44" i="16" s="1" a="1"/>
  <c r="I28" i="16" s="1" a="1"/>
  <c r="H28" i="16" s="1" a="1"/>
  <c r="I16" i="16" s="1" a="1"/>
  <c r="H16" i="16" s="1" a="1"/>
  <c r="I12" i="16" s="1" a="1"/>
  <c r="H12" i="16" s="1" a="1"/>
  <c r="I68" i="16" s="1" a="1"/>
  <c r="H68" i="16" s="1" a="1"/>
  <c r="I15" i="16" s="1" a="1"/>
  <c r="H15" i="16" s="1" a="1"/>
  <c r="I63" i="16" s="1" a="1"/>
  <c r="H63" i="16" s="1" a="1"/>
  <c r="I50" i="16" s="1" a="1"/>
  <c r="H50" i="16" s="1" a="1"/>
  <c r="I17" i="16" s="1" a="1"/>
  <c r="H17" i="16" s="1" a="1"/>
  <c r="I5" i="16" s="1" a="1"/>
  <c r="H5" i="16" s="1" a="1"/>
  <c r="I53" i="16" s="1" a="1"/>
  <c r="H53" i="16" s="1" a="1"/>
  <c r="I47" i="16" s="1" a="1"/>
  <c r="H47" i="16" s="1" a="1"/>
  <c r="I49" i="16" s="1" a="1"/>
  <c r="H49" i="16" s="1" a="1"/>
  <c r="I45" i="16" s="1" a="1"/>
  <c r="H45" i="16" s="1" a="1"/>
  <c r="I13" i="16" s="1" a="1"/>
  <c r="H13" i="16" s="1" a="1"/>
  <c r="I40" i="16" s="1" a="1"/>
  <c r="H40" i="16" s="1" a="1"/>
  <c r="I37" i="16" s="1" a="1"/>
  <c r="H37" i="16" s="1" a="1"/>
  <c r="I60" i="16" s="1" a="1"/>
  <c r="H60" i="16" s="1" a="1"/>
  <c r="I24" i="16" s="1" a="1"/>
  <c r="H24" i="16" s="1" a="1"/>
  <c r="I58" i="16" s="1" a="1"/>
  <c r="H58" i="16" s="1" a="1"/>
  <c r="I39" i="16" s="1" a="1"/>
  <c r="H39" i="16" s="1" a="1"/>
  <c r="I61" i="16" s="1" a="1"/>
  <c r="H61" i="16" s="1" a="1"/>
  <c r="I7" i="16" s="1" a="1"/>
  <c r="H7" i="16" s="1" a="1"/>
  <c r="I70" i="16" s="1" a="1"/>
  <c r="H70" i="16" s="1" a="1"/>
  <c r="I54" i="16" s="1" a="1"/>
  <c r="H54" i="16" s="1" a="1"/>
  <c r="I34" i="16" s="1" a="1"/>
  <c r="H34" i="16" s="1" a="1"/>
  <c r="I29" i="16" s="1" a="1"/>
  <c r="H29" i="16" s="1" a="1"/>
  <c r="I69" i="16" s="1" a="1"/>
  <c r="H69" i="16" s="1" a="1"/>
  <c r="I26" i="16" s="1" a="1"/>
  <c r="H26" i="16" s="1" a="1"/>
  <c r="I23" i="16" s="1" a="1"/>
  <c r="H23" i="16" s="1" a="1"/>
  <c r="I14" i="16" s="1" a="1"/>
  <c r="H14" i="16" s="1" a="1"/>
  <c r="I52" i="16" s="1" a="1"/>
  <c r="H52" i="16" s="1" a="1"/>
  <c r="I46" i="16" s="1" a="1"/>
  <c r="H46" i="16" s="1" a="1"/>
  <c r="I33" i="16" s="1" a="1"/>
  <c r="H33" i="16" s="1" a="1"/>
  <c r="I38" i="16" s="1" a="1"/>
  <c r="H38" i="16" s="1" a="1"/>
  <c r="I10" i="16" s="1" a="1"/>
  <c r="H10" i="16" s="1" a="1"/>
  <c r="I6" i="16" s="1" a="1"/>
  <c r="H6" i="16" s="1" a="1"/>
  <c r="I48" i="16" s="1" a="1"/>
  <c r="H48" i="16" s="1" a="1"/>
  <c r="I62" i="16" s="1" a="1"/>
  <c r="H62" i="16" s="1" a="1"/>
  <c r="I41" i="16" s="1" a="1"/>
  <c r="H41" i="16" s="1" a="1"/>
  <c r="I43" i="16" s="1" a="1"/>
  <c r="H43" i="16" s="1" a="1"/>
  <c r="I35" i="16" s="1" a="1"/>
  <c r="H35" i="16" s="1" a="1"/>
  <c r="I42" i="16" s="1" a="1"/>
  <c r="H42" i="16" s="1" a="1"/>
  <c r="I56" i="16" s="1" a="1"/>
  <c r="H56" i="16" s="1" a="1"/>
  <c r="I20" i="16" s="1" a="1"/>
  <c r="H20" i="16" s="1" a="1"/>
  <c r="I19" i="16" s="1" a="1"/>
  <c r="H19" i="16" s="1" a="1"/>
  <c r="I67" i="16" s="1" a="1"/>
  <c r="H67" i="16" s="1" a="1"/>
  <c r="I25" i="16" s="1" a="1"/>
  <c r="H25" i="16" s="1" a="1"/>
  <c r="I11" i="16" s="1" a="1"/>
  <c r="H11" i="16" s="1" a="1"/>
  <c r="I65" i="16" s="1" a="1"/>
  <c r="H65" i="16" s="1" a="1"/>
  <c r="I32" i="16" s="1" a="1"/>
  <c r="H32" i="16" s="1" a="1"/>
  <c r="I8" i="16" s="1" a="1"/>
  <c r="H8" i="16" s="1" a="1"/>
  <c r="I21" i="16" s="1" a="1"/>
  <c r="H21" i="16" s="1" a="1"/>
  <c r="I30" i="16" s="1" a="1"/>
  <c r="H30" i="16" s="1" a="1"/>
  <c r="I27" i="16" s="1" a="1"/>
  <c r="H27" i="16" s="1" a="1"/>
  <c r="I64" i="16" s="1" a="1"/>
  <c r="H64" i="16" s="1" a="1"/>
  <c r="I9" i="16" s="1" a="1"/>
  <c r="H9" i="16" s="1" a="1"/>
  <c r="F72" i="16" a="1"/>
  <c r="D72" i="16" a="1"/>
  <c r="D32" i="16" l="1" a="1"/>
  <c r="D67" i="16" a="1"/>
  <c r="D60" i="16" a="1"/>
  <c r="D69" i="16" a="1"/>
  <c r="D18" i="16" a="1"/>
  <c r="D46" i="16" a="1"/>
  <c r="D30" i="16" a="1"/>
  <c r="D48" i="16" a="1"/>
  <c r="D42" i="16" a="1"/>
  <c r="D27" i="16" a="1"/>
  <c r="D61" i="16" a="1"/>
  <c r="D44" i="16" a="1"/>
  <c r="D34" i="16" a="1"/>
  <c r="D9" i="16" a="1"/>
  <c r="D41" i="16" a="1"/>
  <c r="D66" i="16" a="1"/>
  <c r="D37" i="16" a="1"/>
  <c r="D55" i="16" a="1"/>
  <c r="D21" i="16" a="1"/>
  <c r="D58" i="16" a="1"/>
  <c r="D23" i="16" a="1"/>
  <c r="D52" i="16" a="1"/>
  <c r="D17" i="16" a="1"/>
  <c r="D65" i="16" a="1"/>
  <c r="D33" i="16" a="1"/>
  <c r="D68" i="16" a="1"/>
  <c r="D26" i="16" a="1"/>
  <c r="D62" i="16" a="1"/>
  <c r="D59" i="16" a="1"/>
  <c r="D56" i="16" a="1"/>
  <c r="D47" i="16" a="1"/>
  <c r="D57" i="16" a="1"/>
  <c r="D7" i="16" a="1"/>
  <c r="D54" i="16" a="1"/>
  <c r="D22" i="16" a="1"/>
  <c r="D29" i="16" a="1"/>
  <c r="D16" i="16" a="1"/>
  <c r="D6" i="16" a="1"/>
  <c r="D14" i="16" a="1"/>
  <c r="D8" i="16" a="1"/>
  <c r="D25" i="16" a="1"/>
  <c r="D64" i="16" a="1"/>
  <c r="D15" i="16" a="1"/>
  <c r="D40" i="16" a="1"/>
  <c r="D43" i="16" a="1"/>
  <c r="D11" i="16" a="1"/>
  <c r="D5" i="16" a="1"/>
  <c r="D10" i="16" a="1"/>
  <c r="D20" i="16" a="1"/>
  <c r="D71" i="16" a="1"/>
  <c r="D13" i="16" a="1"/>
  <c r="D53" i="16" a="1"/>
  <c r="D63" i="16" a="1"/>
  <c r="D38" i="16" a="1"/>
  <c r="D12" i="16" a="1"/>
  <c r="D19" i="16" a="1"/>
  <c r="D45" i="16" a="1"/>
  <c r="D49" i="16" a="1"/>
  <c r="D51" i="16" a="1"/>
  <c r="D35" i="16" a="1"/>
  <c r="D28" i="16" a="1"/>
  <c r="D31" i="16" a="1"/>
  <c r="D70" i="16" a="1"/>
  <c r="D24" i="16" a="1"/>
  <c r="D50" i="16" a="1"/>
  <c r="D36" i="16" a="1"/>
  <c r="D39" i="16" a="1"/>
  <c r="F60" i="16" a="1"/>
  <c r="F41" i="16" a="1"/>
  <c r="F29" i="16" a="1"/>
  <c r="F65" i="16" a="1"/>
  <c r="K61" i="9"/>
  <c r="K46" i="9"/>
  <c r="L66" i="9"/>
  <c r="F26" i="16" a="1"/>
  <c r="F8" i="16" a="1"/>
  <c r="F49" i="16" a="1"/>
  <c r="F27" i="16" a="1"/>
  <c r="P61" i="9"/>
  <c r="L61" i="9"/>
  <c r="P36" i="9"/>
  <c r="L36" i="9"/>
  <c r="K36" i="9"/>
  <c r="L46" i="9"/>
  <c r="P46" i="9"/>
  <c r="P66" i="9"/>
  <c r="K66" i="9"/>
  <c r="F64" i="16" a="1"/>
  <c r="F66" i="16" a="1"/>
  <c r="F20" i="16" a="1"/>
  <c r="F51" i="16" a="1"/>
  <c r="F44" i="16" a="1"/>
  <c r="F47" i="16" a="1"/>
  <c r="F55" i="16" a="1"/>
  <c r="F62" i="16" a="1"/>
  <c r="F35" i="16" a="1"/>
  <c r="F57" i="16" a="1"/>
  <c r="F70" i="16" a="1"/>
  <c r="F38" i="16" a="1"/>
  <c r="F43" i="16" a="1"/>
  <c r="F39" i="16" a="1"/>
  <c r="F15" i="16" a="1"/>
  <c r="F52" i="16" a="1"/>
  <c r="F53" i="16" a="1"/>
  <c r="F32" i="16" a="1"/>
  <c r="F31" i="16" a="1"/>
  <c r="F13" i="16" a="1"/>
  <c r="F28" i="16" a="1"/>
  <c r="F48" i="16" a="1"/>
  <c r="F25" i="16" a="1"/>
  <c r="F33" i="16" a="1"/>
  <c r="F9" i="16" a="1"/>
  <c r="F68" i="16" a="1"/>
  <c r="F21" i="16" a="1"/>
  <c r="F16" i="16" a="1"/>
  <c r="F12" i="16" a="1"/>
  <c r="F42" i="16" a="1"/>
  <c r="F10" i="16" a="1"/>
  <c r="F71" i="16" a="1"/>
  <c r="F37" i="16" a="1"/>
  <c r="F24" i="16" a="1"/>
  <c r="F11" i="16" a="1"/>
  <c r="F30" i="16" a="1"/>
  <c r="F22" i="16" a="1"/>
  <c r="F54" i="16" a="1"/>
  <c r="F58" i="16" a="1"/>
  <c r="F67" i="16" a="1"/>
  <c r="F18" i="16" a="1"/>
  <c r="F59" i="16" a="1"/>
  <c r="F34" i="16" a="1"/>
  <c r="F14" i="16" a="1"/>
  <c r="F63" i="16" a="1"/>
  <c r="F61" i="16" a="1"/>
  <c r="F45" i="16" a="1"/>
  <c r="F56" i="16" a="1"/>
  <c r="F17" i="16" a="1"/>
  <c r="F6" i="16" a="1"/>
  <c r="F23" i="16" a="1"/>
  <c r="F36" i="16" a="1"/>
  <c r="F69" i="16" a="1"/>
  <c r="F40" i="16" a="1"/>
  <c r="F7" i="16" a="1"/>
  <c r="F46" i="16" a="1"/>
  <c r="F50" i="16" a="1"/>
  <c r="F19" i="16" a="1"/>
  <c r="P15" i="9"/>
  <c r="K15" i="9"/>
  <c r="L15" i="9"/>
  <c r="L16" i="9"/>
  <c r="P16" i="9"/>
  <c r="K16" i="9"/>
  <c r="P11" i="9"/>
  <c r="L11" i="9"/>
  <c r="K11" i="9"/>
  <c r="P14" i="9"/>
  <c r="L14" i="9"/>
  <c r="K14" i="9"/>
  <c r="L17" i="9"/>
  <c r="K17" i="9"/>
  <c r="P17" i="9"/>
  <c r="P6" i="9"/>
  <c r="G5" i="16" s="1" a="1"/>
  <c r="L6" i="9"/>
  <c r="C5" i="16" s="1" a="1"/>
  <c r="K6" i="9"/>
  <c r="B5" i="16" s="1" a="1"/>
  <c r="K12" i="9"/>
  <c r="P12" i="9"/>
  <c r="L12" i="9"/>
  <c r="P10" i="9"/>
  <c r="L10" i="9"/>
  <c r="K10" i="9"/>
  <c r="L13" i="9"/>
  <c r="P13" i="9"/>
  <c r="K13" i="9"/>
  <c r="P9" i="9"/>
  <c r="K9" i="9"/>
  <c r="L9" i="9"/>
  <c r="P8" i="9"/>
  <c r="L8" i="9"/>
  <c r="K8" i="9"/>
  <c r="P7" i="9"/>
  <c r="L7" i="9"/>
  <c r="K7" i="9"/>
  <c r="P48" i="9"/>
  <c r="K48" i="9"/>
  <c r="L48" i="9"/>
  <c r="K63" i="9"/>
  <c r="L63" i="9"/>
  <c r="P63" i="9"/>
  <c r="P72" i="9"/>
  <c r="L72" i="9"/>
  <c r="K72" i="9"/>
  <c r="P18" i="9"/>
  <c r="L18" i="9"/>
  <c r="K18" i="9"/>
  <c r="P23" i="9"/>
  <c r="L23" i="9"/>
  <c r="K23" i="9"/>
  <c r="P50" i="9"/>
  <c r="L50" i="9"/>
  <c r="K50" i="9"/>
  <c r="P21" i="9"/>
  <c r="L21" i="9"/>
  <c r="K21" i="9"/>
  <c r="P34" i="9"/>
  <c r="L34" i="9"/>
  <c r="K34" i="9"/>
  <c r="P64" i="9"/>
  <c r="L64" i="9"/>
  <c r="K64" i="9"/>
  <c r="P56" i="9"/>
  <c r="L56" i="9"/>
  <c r="K56" i="9"/>
  <c r="P47" i="9"/>
  <c r="L47" i="9"/>
  <c r="K47" i="9"/>
  <c r="P51" i="9"/>
  <c r="L51" i="9"/>
  <c r="K51" i="9"/>
  <c r="L65" i="9"/>
  <c r="P65" i="9"/>
  <c r="K65" i="9"/>
  <c r="P62" i="9"/>
  <c r="K62" i="9"/>
  <c r="L62" i="9"/>
  <c r="K44" i="9"/>
  <c r="P44" i="9"/>
  <c r="L44" i="9"/>
  <c r="L43" i="9"/>
  <c r="K43" i="9"/>
  <c r="P43" i="9"/>
  <c r="P40" i="9"/>
  <c r="K40" i="9"/>
  <c r="L40" i="9"/>
  <c r="P37" i="9"/>
  <c r="L37" i="9"/>
  <c r="K37" i="9"/>
  <c r="P70" i="9"/>
  <c r="K70" i="9"/>
  <c r="L70" i="9"/>
  <c r="P22" i="9"/>
  <c r="L22" i="9"/>
  <c r="K22" i="9"/>
  <c r="K60" i="9"/>
  <c r="P60" i="9"/>
  <c r="L60" i="9"/>
  <c r="P26" i="9"/>
  <c r="L26" i="9"/>
  <c r="K26" i="9"/>
  <c r="P53" i="9"/>
  <c r="L53" i="9"/>
  <c r="K53" i="9"/>
  <c r="P35" i="9"/>
  <c r="L35" i="9"/>
  <c r="K35" i="9"/>
  <c r="P67" i="9"/>
  <c r="K67" i="9"/>
  <c r="L67" i="9"/>
  <c r="P19" i="9"/>
  <c r="L19" i="9"/>
  <c r="K19" i="9"/>
  <c r="P28" i="9"/>
  <c r="L28" i="9"/>
  <c r="K28" i="9"/>
  <c r="K38" i="9"/>
  <c r="P38" i="9"/>
  <c r="L38" i="9"/>
  <c r="L57" i="9"/>
  <c r="K57" i="9"/>
  <c r="P57" i="9"/>
  <c r="P25" i="9"/>
  <c r="L25" i="9"/>
  <c r="K25" i="9"/>
  <c r="P20" i="9"/>
  <c r="L20" i="9"/>
  <c r="K20" i="9"/>
  <c r="P41" i="9"/>
  <c r="L41" i="9"/>
  <c r="K41" i="9"/>
  <c r="P42" i="9"/>
  <c r="L42" i="9"/>
  <c r="K42" i="9"/>
  <c r="P59" i="9"/>
  <c r="K59" i="9"/>
  <c r="L59" i="9"/>
  <c r="L55" i="9"/>
  <c r="P55" i="9"/>
  <c r="K55" i="9"/>
  <c r="P29" i="9"/>
  <c r="L29" i="9"/>
  <c r="K29" i="9"/>
  <c r="P45" i="9"/>
  <c r="L45" i="9"/>
  <c r="K45" i="9"/>
  <c r="P24" i="9"/>
  <c r="L24" i="9"/>
  <c r="K24" i="9"/>
  <c r="L71" i="9"/>
  <c r="P71" i="9"/>
  <c r="K71" i="9"/>
  <c r="P32" i="9"/>
  <c r="L32" i="9"/>
  <c r="K32" i="9"/>
  <c r="P39" i="9"/>
  <c r="L39" i="9"/>
  <c r="K39" i="9"/>
  <c r="P30" i="9"/>
  <c r="L30" i="9"/>
  <c r="K30" i="9"/>
  <c r="P69" i="9"/>
  <c r="L69" i="9"/>
  <c r="K69" i="9"/>
  <c r="P31" i="9"/>
  <c r="L31" i="9"/>
  <c r="K31" i="9"/>
  <c r="L54" i="9"/>
  <c r="K54" i="9"/>
  <c r="P54" i="9"/>
  <c r="L68" i="9"/>
  <c r="K68" i="9"/>
  <c r="P68" i="9"/>
  <c r="P58" i="9"/>
  <c r="L58" i="9"/>
  <c r="K58" i="9"/>
  <c r="L52" i="9"/>
  <c r="P52" i="9"/>
  <c r="K52" i="9"/>
  <c r="P33" i="9"/>
  <c r="L33" i="9"/>
  <c r="K33" i="9"/>
  <c r="P49" i="9"/>
  <c r="K49" i="9"/>
  <c r="L49" i="9"/>
  <c r="P27" i="9"/>
  <c r="L27" i="9"/>
  <c r="K27" i="9"/>
  <c r="C26" i="16" a="1"/>
  <c r="G72" i="16" a="1"/>
  <c r="E65" i="17" a="1"/>
  <c r="E62" i="17" a="1"/>
  <c r="E34" i="17" a="1"/>
  <c r="B10" i="17" a="1"/>
  <c r="C11" i="17" a="1"/>
  <c r="E30" i="17" a="1"/>
  <c r="E9" i="17" a="1"/>
  <c r="E19" i="17" a="1"/>
  <c r="G51" i="16" a="1"/>
  <c r="G46" i="16" a="1"/>
  <c r="E39" i="17" a="1"/>
  <c r="E60" i="17" a="1"/>
  <c r="E38" i="17" a="1"/>
  <c r="E26" i="17" a="1"/>
  <c r="E8" i="17" a="1"/>
  <c r="E7" i="17" a="1"/>
  <c r="B36" i="16" a="1"/>
  <c r="B56" i="16" a="1"/>
  <c r="C19" i="16" a="1"/>
  <c r="C44" i="16" a="1"/>
  <c r="C56" i="16" a="1"/>
  <c r="C46" i="16" a="1"/>
  <c r="E61" i="17" a="1"/>
  <c r="E71" i="17" a="1"/>
  <c r="B7" i="17" a="1"/>
  <c r="E32" i="17" a="1"/>
  <c r="C42" i="16" a="1"/>
  <c r="C13" i="17" a="1"/>
  <c r="C12" i="17" a="1"/>
  <c r="G44" i="16" a="1"/>
  <c r="B12" i="17" a="1"/>
  <c r="E27" i="17" a="1"/>
  <c r="G26" i="16" a="1"/>
  <c r="G69" i="16" a="1"/>
  <c r="C52" i="16" a="1"/>
  <c r="G36" i="16" a="1"/>
  <c r="G58" i="16" a="1"/>
  <c r="C29" i="16" a="1"/>
  <c r="C67" i="16" a="1"/>
  <c r="B44" i="16" a="1"/>
  <c r="E66" i="17" a="1"/>
  <c r="E68" i="17" a="1"/>
  <c r="B6" i="17" a="1"/>
  <c r="E16" i="17" a="1"/>
  <c r="E36" i="17" a="1"/>
  <c r="C48" i="16" a="1"/>
  <c r="E20" i="17" a="1"/>
  <c r="E37" i="17" a="1"/>
  <c r="E64" i="17" a="1"/>
  <c r="E13" i="17" a="1"/>
  <c r="E15" i="17" a="1"/>
  <c r="E40" i="17" a="1"/>
  <c r="E22" i="17" a="1"/>
  <c r="E48" i="17" a="1"/>
  <c r="C7" i="17" a="1"/>
  <c r="G67" i="16" a="1"/>
  <c r="B70" i="16" a="1"/>
  <c r="C23" i="16" a="1"/>
  <c r="G48" i="16" a="1"/>
  <c r="E52" i="17" a="1"/>
  <c r="E59" i="17" a="1"/>
  <c r="E25" i="17" a="1"/>
  <c r="E33" i="17" a="1"/>
  <c r="E10" i="17" a="1"/>
  <c r="E50" i="17" a="1"/>
  <c r="E45" i="17" a="1"/>
  <c r="G68" i="16" a="1"/>
  <c r="E58" i="17" a="1"/>
  <c r="B48" i="16" a="1"/>
  <c r="G54" i="16" a="1"/>
  <c r="G57" i="16" a="1"/>
  <c r="G70" i="16" a="1"/>
  <c r="E51" i="17" a="1"/>
  <c r="E54" i="17" a="1"/>
  <c r="C9" i="17" a="1"/>
  <c r="E21" i="17" a="1"/>
  <c r="E23" i="17" a="1"/>
  <c r="B11" i="17" a="1"/>
  <c r="C10" i="17" a="1"/>
  <c r="E55" i="17" a="1"/>
  <c r="C6" i="17" a="1"/>
  <c r="E67" i="17" a="1"/>
  <c r="E42" i="17" a="1"/>
  <c r="B9" i="17" a="1"/>
  <c r="E12" i="17" a="1"/>
  <c r="E18" i="17" a="1"/>
  <c r="C72" i="16" a="1"/>
  <c r="E49" i="17" a="1"/>
  <c r="B46" i="16" a="1"/>
  <c r="G50" i="16" a="1"/>
  <c r="C25" i="16" a="1"/>
  <c r="C8" i="17" a="1"/>
  <c r="G25" i="16" a="1"/>
  <c r="C32" i="16" a="1"/>
  <c r="E69" i="17" a="1"/>
  <c r="E57" i="17" a="1"/>
  <c r="E29" i="17" a="1"/>
  <c r="E31" i="17" a="1"/>
  <c r="B30" i="16" a="1"/>
  <c r="E17" i="17" a="1"/>
  <c r="G30" i="16" a="1"/>
  <c r="B8" i="17" a="1"/>
  <c r="B68" i="16" a="1"/>
  <c r="E41" i="17" a="1"/>
  <c r="C53" i="16" a="1"/>
  <c r="E43" i="17" a="1"/>
  <c r="B13" i="17" a="1"/>
  <c r="E53" i="17" a="1"/>
  <c r="B58" i="16" a="1"/>
  <c r="B29" i="16" a="1"/>
  <c r="E72" i="17" a="1"/>
  <c r="E46" i="17" a="1"/>
  <c r="E44" i="17" a="1"/>
  <c r="B32" i="16" a="1"/>
  <c r="B54" i="16" a="1"/>
  <c r="B57" i="16" a="1"/>
  <c r="B53" i="16" a="1"/>
  <c r="B31" i="16" a="1"/>
  <c r="C38" i="16" a="1"/>
  <c r="B51" i="16" a="1"/>
  <c r="E70" i="17" a="1"/>
  <c r="E35" i="17" a="1"/>
  <c r="E28" i="17" a="1"/>
  <c r="E11" i="17" a="1"/>
  <c r="C31" i="16" a="1"/>
  <c r="G38" i="16" a="1"/>
  <c r="G53" i="16" a="1"/>
  <c r="C40" i="16" a="1"/>
  <c r="C51" i="16" a="1"/>
  <c r="B72" i="16" a="1"/>
  <c r="E56" i="17" a="1"/>
  <c r="E47" i="17" a="1"/>
  <c r="E63" i="17" a="1"/>
  <c r="E24" i="17" a="1"/>
  <c r="E14" i="17" a="1"/>
  <c r="E5" i="16" a="1"/>
  <c r="D3" i="9"/>
  <c r="F3" i="9"/>
  <c r="F3" i="15" s="1" a="1"/>
  <c r="D32" i="9"/>
  <c r="F25" i="9"/>
  <c r="F33" i="9"/>
  <c r="F7" i="9"/>
  <c r="D18" i="9"/>
  <c r="D50" i="9"/>
  <c r="F53" i="9"/>
  <c r="F34" i="9"/>
  <c r="D43" i="9"/>
  <c r="D30" i="9"/>
  <c r="D20" i="9"/>
  <c r="F39" i="9"/>
  <c r="D47" i="9"/>
  <c r="D24" i="9"/>
  <c r="D27" i="9"/>
  <c r="D45" i="9"/>
  <c r="D10" i="9"/>
  <c r="D44" i="9"/>
  <c r="D8" i="9"/>
  <c r="F35" i="9"/>
  <c r="F52" i="9"/>
  <c r="F52" i="15" s="1" a="1"/>
  <c r="D29" i="9"/>
  <c r="F42" i="9"/>
  <c r="F45" i="9"/>
  <c r="D34" i="9"/>
  <c r="F40" i="9"/>
  <c r="D31" i="9"/>
  <c r="F13" i="9"/>
  <c r="D21" i="9"/>
  <c r="F47" i="9"/>
  <c r="D41" i="9"/>
  <c r="D52" i="9"/>
  <c r="D28" i="9"/>
  <c r="F21" i="9"/>
  <c r="F32" i="9"/>
  <c r="D9" i="9"/>
  <c r="D17" i="9"/>
  <c r="D15" i="9"/>
  <c r="F22" i="9"/>
  <c r="D42" i="9"/>
  <c r="D35" i="9"/>
  <c r="D49" i="9"/>
  <c r="D53" i="9"/>
  <c r="F16" i="9"/>
  <c r="D39" i="9"/>
  <c r="F11" i="9"/>
  <c r="F8" i="9"/>
  <c r="D11" i="9"/>
  <c r="F43" i="9"/>
  <c r="F48" i="9"/>
  <c r="F18" i="9"/>
  <c r="F14" i="9"/>
  <c r="D38" i="9"/>
  <c r="D37" i="9"/>
  <c r="D7" i="9"/>
  <c r="D22" i="9"/>
  <c r="D40" i="9"/>
  <c r="D12" i="9"/>
  <c r="D13" i="9"/>
  <c r="F12" i="9"/>
  <c r="F31" i="9"/>
  <c r="D25" i="9"/>
  <c r="F30" i="9"/>
  <c r="D16" i="9"/>
  <c r="F41" i="9"/>
  <c r="F6" i="9"/>
  <c r="F37" i="9"/>
  <c r="F44" i="9"/>
  <c r="F29" i="9"/>
  <c r="F15" i="9"/>
  <c r="F15" i="15" s="1" a="1"/>
  <c r="F20" i="9"/>
  <c r="F46" i="9"/>
  <c r="F27" i="9"/>
  <c r="F17" i="9"/>
  <c r="F28" i="9"/>
  <c r="D48" i="9"/>
  <c r="D26" i="9"/>
  <c r="D51" i="9"/>
  <c r="F9" i="9"/>
  <c r="D19" i="9"/>
  <c r="F51" i="9"/>
  <c r="D5" i="9"/>
  <c r="D14" i="9"/>
  <c r="D6" i="9"/>
  <c r="F38" i="9"/>
  <c r="F38" i="15" s="1" a="1"/>
  <c r="F24" i="9"/>
  <c r="F24" i="15" s="1" a="1"/>
  <c r="D23" i="9"/>
  <c r="D36" i="9"/>
  <c r="F50" i="9"/>
  <c r="D33" i="9"/>
  <c r="D46" i="9"/>
  <c r="F26" i="9"/>
  <c r="F19" i="9"/>
  <c r="F23" i="9"/>
  <c r="F10" i="9"/>
  <c r="F49" i="9"/>
  <c r="F36" i="9"/>
  <c r="F65" i="9"/>
  <c r="D68" i="9"/>
  <c r="D54" i="9"/>
  <c r="D57" i="9"/>
  <c r="F57" i="9"/>
  <c r="D70" i="9"/>
  <c r="D55" i="9"/>
  <c r="D58" i="9"/>
  <c r="F71" i="9"/>
  <c r="F56" i="9"/>
  <c r="D62" i="9"/>
  <c r="F58" i="9"/>
  <c r="F63" i="9"/>
  <c r="D69" i="9"/>
  <c r="D64" i="9"/>
  <c r="F61" i="9"/>
  <c r="D56" i="9"/>
  <c r="D59" i="9"/>
  <c r="D60" i="9"/>
  <c r="D63" i="9"/>
  <c r="D61" i="9"/>
  <c r="F54" i="9"/>
  <c r="F62" i="9"/>
  <c r="D71" i="9"/>
  <c r="F66" i="9"/>
  <c r="F70" i="9"/>
  <c r="F68" i="9"/>
  <c r="F69" i="9"/>
  <c r="F59" i="9"/>
  <c r="F64" i="9"/>
  <c r="D66" i="9"/>
  <c r="F55" i="9"/>
  <c r="D65" i="9"/>
  <c r="D72" i="9"/>
  <c r="F67" i="9"/>
  <c r="D67" i="9"/>
  <c r="F72" i="9"/>
  <c r="F72" i="15" s="1" a="1"/>
  <c r="F60" i="9"/>
  <c r="I3" i="9" a="1"/>
  <c r="H3" i="9" a="1"/>
  <c r="I7" i="9" a="1"/>
  <c r="H7" i="9" a="1"/>
  <c r="I23" i="9" a="1"/>
  <c r="H23" i="9" a="1"/>
  <c r="I70" i="9" a="1"/>
  <c r="H70" i="9" a="1"/>
  <c r="I42" i="9" a="1"/>
  <c r="H42" i="9" a="1"/>
  <c r="I22" i="9" a="1"/>
  <c r="H22" i="9" a="1"/>
  <c r="I36" i="9" a="1"/>
  <c r="H36" i="9" a="1"/>
  <c r="I55" i="9" a="1"/>
  <c r="H55" i="9" a="1"/>
  <c r="I14" i="9" a="1"/>
  <c r="H14" i="9" a="1"/>
  <c r="I43" i="9" a="1"/>
  <c r="H43" i="9" a="1"/>
  <c r="I34" i="9" a="1"/>
  <c r="H34" i="9" a="1"/>
  <c r="I35" i="9" a="1"/>
  <c r="H35" i="9" a="1"/>
  <c r="I40" i="9" a="1"/>
  <c r="H40" i="9" a="1"/>
  <c r="I58" i="9" a="1"/>
  <c r="H58" i="9" a="1"/>
  <c r="I71" i="9" a="1"/>
  <c r="H71" i="9" a="1"/>
  <c r="I68" i="9" a="1"/>
  <c r="H68" i="9" a="1"/>
  <c r="I30" i="9" a="1"/>
  <c r="H30" i="9" a="1"/>
  <c r="I49" i="9" a="1"/>
  <c r="H49" i="9" a="1"/>
  <c r="I12" i="9" a="1"/>
  <c r="H12" i="9" a="1"/>
  <c r="I33" i="9" a="1"/>
  <c r="H33" i="9" a="1"/>
  <c r="I48" i="9" a="1"/>
  <c r="H48" i="9" a="1"/>
  <c r="I56" i="9" a="1"/>
  <c r="H56" i="9" a="1"/>
  <c r="I54" i="9" a="1"/>
  <c r="H54" i="9" a="1"/>
  <c r="I20" i="9" a="1"/>
  <c r="H20" i="9" a="1"/>
  <c r="I31" i="9" a="1"/>
  <c r="H31" i="9" a="1"/>
  <c r="I53" i="9" a="1"/>
  <c r="H53" i="9" a="1"/>
  <c r="I13" i="9" a="1"/>
  <c r="H13" i="9" a="1"/>
  <c r="I46" i="9" a="1"/>
  <c r="H46" i="9" a="1"/>
  <c r="I62" i="9" a="1"/>
  <c r="H62" i="9" a="1"/>
  <c r="I65" i="9" a="1"/>
  <c r="H65" i="9" a="1"/>
  <c r="I47" i="9" a="1"/>
  <c r="H47" i="9" a="1"/>
  <c r="I21" i="9" a="1"/>
  <c r="H21" i="9" a="1"/>
  <c r="I39" i="9" a="1"/>
  <c r="H39" i="9" a="1"/>
  <c r="I26" i="9" a="1"/>
  <c r="H26" i="9" a="1"/>
  <c r="I60" i="9" a="1"/>
  <c r="H60" i="9" a="1"/>
  <c r="I24" i="9" a="1"/>
  <c r="H24" i="9" a="1"/>
  <c r="I25" i="9" a="1"/>
  <c r="H25" i="9" a="1"/>
  <c r="I51" i="9" a="1"/>
  <c r="H51" i="9" a="1"/>
  <c r="I27" i="9" a="1"/>
  <c r="H27" i="9" a="1"/>
  <c r="I41" i="9" a="1"/>
  <c r="H41" i="9" a="1"/>
  <c r="I69" i="9" a="1"/>
  <c r="H69" i="9" a="1"/>
  <c r="I66" i="9" a="1"/>
  <c r="H66" i="9" a="1"/>
  <c r="I6" i="9" a="1"/>
  <c r="H6" i="9" a="1"/>
  <c r="I45" i="9" a="1"/>
  <c r="H45" i="9" a="1"/>
  <c r="I52" i="9" a="1"/>
  <c r="H52" i="9" a="1"/>
  <c r="I11" i="9" a="1"/>
  <c r="H11" i="9" a="1"/>
  <c r="I16" i="9" a="1"/>
  <c r="H16" i="9" a="1"/>
  <c r="I19" i="9" a="1"/>
  <c r="H19" i="9" a="1"/>
  <c r="I64" i="9" a="1"/>
  <c r="H64" i="9" a="1"/>
  <c r="I59" i="9" a="1"/>
  <c r="H59" i="9" a="1"/>
  <c r="I32" i="9" a="1"/>
  <c r="H32" i="9" a="1"/>
  <c r="I10" i="9" a="1"/>
  <c r="H10" i="9" a="1"/>
  <c r="I28" i="9" a="1"/>
  <c r="H28" i="9" a="1"/>
  <c r="I5" i="9" a="1"/>
  <c r="H5" i="9" a="1"/>
  <c r="I44" i="9" a="1"/>
  <c r="H44" i="9" a="1"/>
  <c r="I8" i="9" a="1"/>
  <c r="H8" i="9" a="1"/>
  <c r="I9" i="9" a="1"/>
  <c r="H9" i="9" a="1"/>
  <c r="I18" i="9" a="1"/>
  <c r="H18" i="9" a="1"/>
  <c r="I17" i="9" a="1"/>
  <c r="H17" i="9" a="1"/>
  <c r="I38" i="9" a="1"/>
  <c r="H38" i="9" a="1"/>
  <c r="I57" i="9" a="1"/>
  <c r="H57" i="9" a="1"/>
  <c r="I63" i="9" a="1"/>
  <c r="H63" i="9" a="1"/>
  <c r="I67" i="9" a="1"/>
  <c r="H67" i="9" a="1"/>
  <c r="I50" i="9" a="1"/>
  <c r="H50" i="9" a="1"/>
  <c r="I29" i="9" a="1"/>
  <c r="H29" i="9" a="1"/>
  <c r="I15" i="9" a="1"/>
  <c r="H15" i="9" a="1"/>
  <c r="I37" i="9" a="1"/>
  <c r="H37" i="9" a="1"/>
  <c r="I61" i="9" a="1"/>
  <c r="H61" i="9" a="1"/>
  <c r="H72" i="9" a="1"/>
  <c r="I72" i="9" a="1"/>
  <c r="E3" i="9" a="1"/>
  <c r="E30" i="9" a="1"/>
  <c r="E26" i="9" a="1"/>
  <c r="E72" i="9" a="1"/>
  <c r="E17" i="9" a="1"/>
  <c r="E32" i="9" a="1"/>
  <c r="E65" i="9" a="1"/>
  <c r="E52" i="9" a="1"/>
  <c r="E7" i="9" a="1"/>
  <c r="E49" i="9" a="1"/>
  <c r="E69" i="9" a="1"/>
  <c r="E38" i="9" a="1"/>
  <c r="E9" i="9" a="1"/>
  <c r="E6" i="9" a="1"/>
  <c r="E60" i="9" a="1"/>
  <c r="E71" i="9" a="1"/>
  <c r="E23" i="9" a="1"/>
  <c r="E12" i="9" a="1"/>
  <c r="E64" i="9" a="1"/>
  <c r="E10" i="9" a="1"/>
  <c r="E57" i="9" a="1"/>
  <c r="E20" i="9" a="1"/>
  <c r="E44" i="9" a="1"/>
  <c r="E13" i="9" a="1"/>
  <c r="E62" i="9" a="1"/>
  <c r="E21" i="9" a="1"/>
  <c r="E70" i="9" a="1"/>
  <c r="E33" i="9" a="1"/>
  <c r="E66" i="9" a="1"/>
  <c r="E28" i="9" a="1"/>
  <c r="E63" i="9" a="1"/>
  <c r="E67" i="9" a="1"/>
  <c r="E24" i="9" a="1"/>
  <c r="E5" i="9" a="1"/>
  <c r="E34" i="9" a="1"/>
  <c r="E58" i="9" a="1"/>
  <c r="E18" i="9" a="1"/>
  <c r="E50" i="9" a="1"/>
  <c r="E61" i="9" a="1"/>
  <c r="E68" i="9" a="1"/>
  <c r="E59" i="9" a="1"/>
  <c r="E31" i="9" a="1"/>
  <c r="E43" i="9" a="1"/>
  <c r="E54" i="9" a="1"/>
  <c r="E42" i="9" a="1"/>
  <c r="E25" i="9" a="1"/>
  <c r="E47" i="9" a="1"/>
  <c r="E22" i="9" a="1"/>
  <c r="E39" i="9" a="1"/>
  <c r="E36" i="9" a="1"/>
  <c r="E53" i="9" a="1"/>
  <c r="E51" i="9" a="1"/>
  <c r="E8" i="9" a="1"/>
  <c r="E14" i="9" a="1"/>
  <c r="E45" i="9" a="1"/>
  <c r="E40" i="9" a="1"/>
  <c r="E55" i="9" a="1"/>
  <c r="E56" i="9" a="1"/>
  <c r="E46" i="9" a="1"/>
  <c r="E27" i="9" a="1"/>
  <c r="E15" i="9" a="1"/>
  <c r="E41" i="9" a="1"/>
  <c r="E37" i="9" a="1"/>
  <c r="E11" i="9" a="1"/>
  <c r="E48" i="9" a="1"/>
  <c r="E16" i="9" a="1"/>
  <c r="E35" i="9" a="1"/>
  <c r="E29" i="9" a="1"/>
  <c r="E19" i="9" a="1"/>
  <c r="G29" i="16" l="1" a="1"/>
  <c r="G60" i="16" a="1"/>
  <c r="C35" i="16" a="1"/>
  <c r="G13" i="16" a="1"/>
  <c r="B43" i="16" a="1"/>
  <c r="C36" i="16" a="1"/>
  <c r="C41" i="16" a="1"/>
  <c r="B19" i="16" a="1"/>
  <c r="C60" i="16" a="1"/>
  <c r="C45" i="16" a="1"/>
  <c r="G45" i="16" a="1"/>
  <c r="G14" i="16" a="1"/>
  <c r="B65" i="16" a="1"/>
  <c r="G23" i="16" a="1"/>
  <c r="C61" i="16" a="1"/>
  <c r="C30" i="16" a="1"/>
  <c r="B38" i="16" a="1"/>
  <c r="G33" i="16" a="1"/>
  <c r="C33" i="16" a="1"/>
  <c r="B60" i="16" a="1"/>
  <c r="G63" i="16" a="1"/>
  <c r="B45" i="16" a="1"/>
  <c r="G41" i="16" a="1"/>
  <c r="C58" i="16" a="1"/>
  <c r="B67" i="16" a="1"/>
  <c r="B23" i="16" a="1"/>
  <c r="C68" i="16" a="1"/>
  <c r="G65" i="16" a="1"/>
  <c r="C17" i="16" a="1"/>
  <c r="G47" i="16" a="1"/>
  <c r="C65" i="16" a="1"/>
  <c r="B35" i="16" a="1"/>
  <c r="G35" i="16" a="1"/>
  <c r="C63" i="16" a="1"/>
  <c r="B39" i="16" a="1"/>
  <c r="G20" i="16" a="1"/>
  <c r="C22" i="16" a="1"/>
  <c r="B64" i="16" a="1"/>
  <c r="C50" i="16" a="1"/>
  <c r="B63" i="16" a="1"/>
  <c r="G43" i="16" a="1"/>
  <c r="B20" i="16" a="1"/>
  <c r="B27" i="16" a="1"/>
  <c r="G55" i="16" a="1"/>
  <c r="B34" i="16" a="1"/>
  <c r="B21" i="16" a="1"/>
  <c r="C20" i="16" a="1"/>
  <c r="G22" i="16" a="1"/>
  <c r="G39" i="16" a="1"/>
  <c r="C27" i="16" a="1"/>
  <c r="C55" i="16" a="1"/>
  <c r="C34" i="16" a="1"/>
  <c r="B61" i="16" a="1"/>
  <c r="B17" i="16" a="1"/>
  <c r="G52" i="16" a="1"/>
  <c r="B50" i="16" a="1"/>
  <c r="C59" i="16" a="1"/>
  <c r="B37" i="16" a="1"/>
  <c r="G34" i="16" a="1"/>
  <c r="B18" i="16" a="1"/>
  <c r="G24" i="16" a="1"/>
  <c r="G56" i="16" a="1"/>
  <c r="G32" i="16" a="1"/>
  <c r="B71" i="16" a="1"/>
  <c r="C57" i="16" a="1"/>
  <c r="B26" i="16" a="1"/>
  <c r="B22" i="16" a="1"/>
  <c r="C39" i="16" a="1"/>
  <c r="G64" i="16" a="1"/>
  <c r="C49" i="16" a="1"/>
  <c r="G49" i="16" a="1"/>
  <c r="C66" i="16" a="1"/>
  <c r="C69" i="16" a="1"/>
  <c r="C43" i="16" a="1"/>
  <c r="B25" i="16" a="1"/>
  <c r="C64" i="16" a="1"/>
  <c r="B55" i="16" a="1"/>
  <c r="G27" i="16" a="1"/>
  <c r="B49" i="16" a="1"/>
  <c r="B59" i="16" a="1"/>
  <c r="G59" i="16" a="1"/>
  <c r="G37" i="16" a="1"/>
  <c r="G18" i="16" a="1"/>
  <c r="B33" i="16" a="1"/>
  <c r="B42" i="16" a="1"/>
  <c r="G66" i="16" a="1"/>
  <c r="F12" i="15" a="1"/>
  <c r="F44" i="15" a="1"/>
  <c r="C16" i="16" a="1"/>
  <c r="G7" i="16" a="1"/>
  <c r="B69" i="16" a="1"/>
  <c r="C24" i="16" a="1"/>
  <c r="G42" i="16" a="1"/>
  <c r="B28" i="16" a="1"/>
  <c r="G40" i="16" a="1"/>
  <c r="B47" i="16" a="1"/>
  <c r="C21" i="16" a="1"/>
  <c r="B41" i="16" a="1"/>
  <c r="G10" i="16" a="1"/>
  <c r="B16" i="16" a="1"/>
  <c r="G12" i="16" a="1"/>
  <c r="G21" i="16" a="1"/>
  <c r="G15" i="16" a="1"/>
  <c r="G16" i="16" a="1"/>
  <c r="G19" i="16" a="1"/>
  <c r="B62" i="16" a="1"/>
  <c r="G6" i="16" a="1"/>
  <c r="G31" i="16" a="1"/>
  <c r="B40" i="16" a="1"/>
  <c r="C28" i="16" a="1"/>
  <c r="C62" i="16" a="1"/>
  <c r="G62" i="16" a="1"/>
  <c r="G8" i="16" a="1"/>
  <c r="G17" i="16" a="1"/>
  <c r="C47" i="16" a="1"/>
  <c r="C37" i="16" a="1"/>
  <c r="B66" i="16" a="1"/>
  <c r="C18" i="16" a="1"/>
  <c r="G61" i="16" a="1"/>
  <c r="G9" i="16" a="1"/>
  <c r="B52" i="16" a="1"/>
  <c r="G11" i="16" a="1"/>
  <c r="C70" i="16" a="1"/>
  <c r="C54" i="16" a="1"/>
  <c r="B24" i="16" a="1"/>
  <c r="G28" i="16" a="1"/>
  <c r="G71" i="16" a="1"/>
  <c r="C71" i="16" a="1"/>
  <c r="F41" i="15" a="1"/>
  <c r="F33" i="15" a="1"/>
  <c r="F32" i="15" a="1"/>
  <c r="F18" i="15" a="1"/>
  <c r="H14" i="15" s="1" a="1"/>
  <c r="H28" i="15" s="1" a="1"/>
  <c r="I28" i="15" s="1" a="1"/>
  <c r="H62" i="15" s="1" a="1"/>
  <c r="I62" i="15" s="1" a="1"/>
  <c r="H56" i="15" s="1" a="1"/>
  <c r="I56" i="15" s="1" a="1"/>
  <c r="I16" i="15" s="1" a="1"/>
  <c r="H17" i="15" s="1" a="1"/>
  <c r="I17" i="15" s="1" a="1"/>
  <c r="H8" i="15" s="1" a="1"/>
  <c r="I8" i="15" s="1" a="1"/>
  <c r="H7" i="15" s="1" a="1"/>
  <c r="I7" i="15" s="1" a="1"/>
  <c r="H43" i="15" s="1" a="1"/>
  <c r="I43" i="15" s="1" a="1"/>
  <c r="H4" i="15" s="1" a="1"/>
  <c r="I4" i="15" s="1" a="1"/>
  <c r="H27" i="15" s="1" a="1"/>
  <c r="I27" i="15" s="1" a="1"/>
  <c r="I58" i="15" s="1" a="1"/>
  <c r="I63" i="15" s="1" a="1"/>
  <c r="H18" i="15" s="1" a="1"/>
  <c r="I18" i="15" s="1" a="1"/>
  <c r="H15" i="15" s="1" a="1"/>
  <c r="I15" i="15" s="1" a="1"/>
  <c r="H10" i="15" s="1" a="1"/>
  <c r="I10" i="15" s="1" a="1"/>
  <c r="H51" i="15" s="1" a="1"/>
  <c r="I51" i="15" s="1" a="1"/>
  <c r="I5" i="15" s="1" a="1"/>
  <c r="I65" i="15" s="1" a="1"/>
  <c r="H68" i="15" s="1" a="1"/>
  <c r="I68" i="15" s="1" a="1"/>
  <c r="H40" i="15" s="1" a="1"/>
  <c r="I40" i="15" s="1" a="1"/>
  <c r="H26" i="15" s="1" a="1"/>
  <c r="I26" i="15" s="1" a="1"/>
  <c r="H50" i="15" s="1" a="1"/>
  <c r="I50" i="15" s="1" a="1"/>
  <c r="H24" i="15" s="1" a="1"/>
  <c r="I24" i="15" s="1" a="1"/>
  <c r="I59" i="15" s="1" a="1"/>
  <c r="I25" i="15" s="1" a="1"/>
  <c r="H38" i="15" s="1" a="1"/>
  <c r="I38" i="15" s="1" a="1"/>
  <c r="H20" i="15" s="1" a="1"/>
  <c r="I20" i="15" s="1" a="1"/>
  <c r="H46" i="15" s="1" a="1"/>
  <c r="I46" i="15" s="1" a="1"/>
  <c r="H64" i="15" s="1" a="1"/>
  <c r="I64" i="15" s="1" a="1"/>
  <c r="H61" i="15" s="1" a="1"/>
  <c r="I61" i="15" s="1" a="1"/>
  <c r="I12" i="15" s="1" a="1"/>
  <c r="H30" i="15" s="1" a="1"/>
  <c r="I30" i="15" s="1" a="1"/>
  <c r="H19" i="15" s="1" a="1"/>
  <c r="I19" i="15" s="1" a="1"/>
  <c r="H53" i="15" s="1" a="1"/>
  <c r="I53" i="15" s="1" a="1"/>
  <c r="H55" i="15" s="1" a="1"/>
  <c r="I55" i="15" s="1" a="1"/>
  <c r="H47" i="15" s="1" a="1"/>
  <c r="I47" i="15" s="1" a="1"/>
  <c r="I11" i="15" s="1" a="1"/>
  <c r="H48" i="15" s="1" a="1"/>
  <c r="I48" i="15" s="1" a="1"/>
  <c r="H29" i="15" s="1" a="1"/>
  <c r="I29" i="15" s="1" a="1"/>
  <c r="H67" i="15" s="1" a="1"/>
  <c r="I67" i="15" s="1" a="1"/>
  <c r="H70" i="15" s="1" a="1"/>
  <c r="I70" i="15" s="1" a="1"/>
  <c r="H57" i="15" s="1" a="1"/>
  <c r="I57" i="15" s="1" a="1"/>
  <c r="H39" i="15" s="1" a="1"/>
  <c r="I39" i="15" s="1" a="1"/>
  <c r="I33" i="15" s="1" a="1"/>
  <c r="I42" i="15" s="1" a="1"/>
  <c r="H13" i="15" s="1" a="1"/>
  <c r="I13" i="15" s="1" a="1"/>
  <c r="H54" i="15" s="1" a="1"/>
  <c r="I54" i="15" s="1" a="1"/>
  <c r="H35" i="15" s="1" a="1"/>
  <c r="I35" i="15" s="1" a="1"/>
  <c r="H21" i="15" s="1" a="1"/>
  <c r="I21" i="15" s="1" a="1"/>
  <c r="H41" i="15" s="1" a="1"/>
  <c r="I41" i="15" s="1" a="1"/>
  <c r="I22" i="15" s="1" a="1"/>
  <c r="H6" i="15" s="1" a="1"/>
  <c r="I6" i="15" s="1" a="1"/>
  <c r="F57" i="15" a="1"/>
  <c r="F29" i="15" a="1"/>
  <c r="F65" i="15" a="1"/>
  <c r="I60" i="15" a="1"/>
  <c r="H60" i="15" a="1"/>
  <c r="I71" i="15" s="1" a="1"/>
  <c r="H71" i="15" s="1" a="1"/>
  <c r="F49" i="15" a="1"/>
  <c r="F26" i="15" a="1"/>
  <c r="F68" i="15" a="1"/>
  <c r="D57" i="15" a="1"/>
  <c r="D38" i="15" a="1"/>
  <c r="D17" i="15" a="1"/>
  <c r="D29" i="15" a="1"/>
  <c r="F67" i="15" a="1"/>
  <c r="D54" i="15" a="1"/>
  <c r="D6" i="15" a="1"/>
  <c r="D9" i="15" a="1"/>
  <c r="D15" i="15" a="1"/>
  <c r="D4" i="15" a="1"/>
  <c r="D72" i="15" a="1"/>
  <c r="D19" i="15" a="1"/>
  <c r="D65" i="15" a="1"/>
  <c r="D51" i="15" a="1"/>
  <c r="D68" i="15" a="1"/>
  <c r="D37" i="15" a="1"/>
  <c r="D48" i="15" a="1"/>
  <c r="D46" i="15" a="1"/>
  <c r="D61" i="15" a="1"/>
  <c r="D33" i="15" a="1"/>
  <c r="D42" i="15" a="1"/>
  <c r="D50" i="15" a="1"/>
  <c r="F60" i="15" a="1"/>
  <c r="D23" i="15" a="1"/>
  <c r="F20" i="15" a="1"/>
  <c r="F7" i="15" a="1"/>
  <c r="D44" i="15" a="1"/>
  <c r="F55" i="15" a="1"/>
  <c r="D52" i="15" a="1"/>
  <c r="F10" i="15" a="1"/>
  <c r="F69" i="15" a="1"/>
  <c r="D12" i="15" a="1"/>
  <c r="F27" i="15" a="1"/>
  <c r="F46" i="15" a="1"/>
  <c r="D56" i="15" a="1"/>
  <c r="F21" i="15" a="1"/>
  <c r="F51" i="15" a="1"/>
  <c r="D16" i="15" a="1"/>
  <c r="D11" i="15" a="1"/>
  <c r="F37" i="15" a="1"/>
  <c r="D26" i="15" a="1"/>
  <c r="F70" i="15" a="1"/>
  <c r="D40" i="15" a="1"/>
  <c r="D67" i="15" a="1"/>
  <c r="D63" i="15" a="1"/>
  <c r="F61" i="15" a="1"/>
  <c r="F64" i="15" a="1"/>
  <c r="D69" i="15" a="1"/>
  <c r="D59" i="15" a="1"/>
  <c r="F19" i="15" a="1"/>
  <c r="D39" i="15" a="1"/>
  <c r="F39" i="15" a="1"/>
  <c r="F59" i="15" a="1"/>
  <c r="D18" i="15" a="1"/>
  <c r="F14" i="15" a="1"/>
  <c r="F35" i="15" a="1"/>
  <c r="D14" i="15" a="1"/>
  <c r="D8" i="15" a="1"/>
  <c r="F6" i="15" a="1"/>
  <c r="F5" i="15" a="1"/>
  <c r="F48" i="15" a="1"/>
  <c r="F25" i="15" a="1"/>
  <c r="F36" i="15" a="1"/>
  <c r="F43" i="15" a="1"/>
  <c r="D28" i="15" a="1"/>
  <c r="D10" i="15" a="1"/>
  <c r="D32" i="15" a="1"/>
  <c r="D45" i="15" a="1"/>
  <c r="F9" i="15" a="1"/>
  <c r="F30" i="15" a="1"/>
  <c r="F8" i="15" a="1"/>
  <c r="D41" i="15" a="1"/>
  <c r="D27" i="15" a="1"/>
  <c r="D64" i="15" a="1"/>
  <c r="F63" i="15" a="1"/>
  <c r="F23" i="15" a="1"/>
  <c r="D25" i="15" a="1"/>
  <c r="F11" i="15" a="1"/>
  <c r="F47" i="15" a="1"/>
  <c r="D24" i="15" a="1"/>
  <c r="F58" i="15" a="1"/>
  <c r="F31" i="15" a="1"/>
  <c r="D21" i="15" a="1"/>
  <c r="D47" i="15" a="1"/>
  <c r="D60" i="15" a="1"/>
  <c r="D66" i="15" a="1"/>
  <c r="D62" i="15" a="1"/>
  <c r="F16" i="15" a="1"/>
  <c r="F13" i="15" a="1"/>
  <c r="F56" i="15" a="1"/>
  <c r="F28" i="15" a="1"/>
  <c r="D13" i="15" a="1"/>
  <c r="D53" i="15" a="1"/>
  <c r="D31" i="15" a="1"/>
  <c r="D20" i="15" a="1"/>
  <c r="F66" i="15" a="1"/>
  <c r="F71" i="15" a="1"/>
  <c r="F17" i="15" a="1"/>
  <c r="D49" i="15" a="1"/>
  <c r="F40" i="15" a="1"/>
  <c r="D30" i="15" a="1"/>
  <c r="D71" i="15" a="1"/>
  <c r="D58" i="15" a="1"/>
  <c r="F50" i="15" a="1"/>
  <c r="D35" i="15" a="1"/>
  <c r="D34" i="15" a="1"/>
  <c r="D43" i="15" a="1"/>
  <c r="F62" i="15" a="1"/>
  <c r="D55" i="15" a="1"/>
  <c r="D36" i="15" a="1"/>
  <c r="D22" i="15" a="1"/>
  <c r="F45" i="15" a="1"/>
  <c r="F34" i="15" a="1"/>
  <c r="F54" i="15" a="1"/>
  <c r="D70" i="15" a="1"/>
  <c r="D7" i="15" a="1"/>
  <c r="F22" i="15" a="1"/>
  <c r="F42" i="15" a="1"/>
  <c r="F53" i="15" a="1"/>
  <c r="E6" i="17" a="1"/>
  <c r="D5" i="15" a="1"/>
  <c r="D3" i="15" a="1"/>
  <c r="E8" i="16" a="1"/>
  <c r="E9" i="16" a="1"/>
  <c r="E7" i="16" a="1"/>
  <c r="E10" i="16" a="1"/>
  <c r="E6" i="16" a="1"/>
  <c r="C3" i="9"/>
  <c r="G3" i="9"/>
  <c r="G3" i="15" s="1" a="1"/>
  <c r="B3" i="9"/>
  <c r="G14" i="9"/>
  <c r="C14" i="9"/>
  <c r="B14" i="9"/>
  <c r="G11" i="9"/>
  <c r="C11" i="9"/>
  <c r="B11" i="9"/>
  <c r="G52" i="9"/>
  <c r="B52" i="9"/>
  <c r="C52" i="9"/>
  <c r="B49" i="9"/>
  <c r="C49" i="9"/>
  <c r="G49" i="9"/>
  <c r="G29" i="9"/>
  <c r="C29" i="9"/>
  <c r="B29" i="9"/>
  <c r="G12" i="9"/>
  <c r="C12" i="9"/>
  <c r="B12" i="9"/>
  <c r="G35" i="9"/>
  <c r="C35" i="9"/>
  <c r="B35" i="9"/>
  <c r="G39" i="9"/>
  <c r="B39" i="9"/>
  <c r="C39" i="9"/>
  <c r="G24" i="9"/>
  <c r="C24" i="9"/>
  <c r="B24" i="9"/>
  <c r="B38" i="9"/>
  <c r="C38" i="9"/>
  <c r="G38" i="9"/>
  <c r="G28" i="9"/>
  <c r="C28" i="9"/>
  <c r="B28" i="9"/>
  <c r="G16" i="9"/>
  <c r="C16" i="9"/>
  <c r="B16" i="9"/>
  <c r="B44" i="9"/>
  <c r="C44" i="9"/>
  <c r="G44" i="9"/>
  <c r="G18" i="9"/>
  <c r="C18" i="9"/>
  <c r="B18" i="9"/>
  <c r="G32" i="9"/>
  <c r="C32" i="9"/>
  <c r="B32" i="9"/>
  <c r="G10" i="9"/>
  <c r="C10" i="9"/>
  <c r="B10" i="9"/>
  <c r="G17" i="9"/>
  <c r="C17" i="9"/>
  <c r="B17" i="9"/>
  <c r="G21" i="9"/>
  <c r="C21" i="9"/>
  <c r="B21" i="9"/>
  <c r="G37" i="9"/>
  <c r="B37" i="9"/>
  <c r="C37" i="9"/>
  <c r="G7" i="9"/>
  <c r="C7" i="9"/>
  <c r="B7" i="9"/>
  <c r="G36" i="9"/>
  <c r="C36" i="9"/>
  <c r="B36" i="9"/>
  <c r="G13" i="9"/>
  <c r="C13" i="9"/>
  <c r="B13" i="9"/>
  <c r="G27" i="9"/>
  <c r="C27" i="9"/>
  <c r="B27" i="9"/>
  <c r="G51" i="9"/>
  <c r="B51" i="9"/>
  <c r="C51" i="9"/>
  <c r="G6" i="9"/>
  <c r="C6" i="9"/>
  <c r="C5" i="15" s="1" a="1"/>
  <c r="B6" i="9"/>
  <c r="B5" i="15" s="1" a="1"/>
  <c r="G48" i="9"/>
  <c r="B48" i="9"/>
  <c r="C48" i="9"/>
  <c r="G43" i="9"/>
  <c r="C43" i="9"/>
  <c r="B43" i="9"/>
  <c r="G19" i="9"/>
  <c r="C19" i="9"/>
  <c r="B19" i="9"/>
  <c r="C40" i="9"/>
  <c r="B40" i="9"/>
  <c r="G40" i="9"/>
  <c r="G33" i="9"/>
  <c r="C33" i="9"/>
  <c r="B33" i="9"/>
  <c r="G46" i="9"/>
  <c r="C46" i="9"/>
  <c r="B46" i="9"/>
  <c r="G41" i="9"/>
  <c r="C41" i="9"/>
  <c r="B41" i="9"/>
  <c r="G20" i="9"/>
  <c r="C20" i="9"/>
  <c r="B20" i="9"/>
  <c r="G23" i="9"/>
  <c r="C23" i="9"/>
  <c r="B23" i="9"/>
  <c r="G26" i="9"/>
  <c r="C26" i="9"/>
  <c r="B26" i="9"/>
  <c r="G8" i="9"/>
  <c r="C8" i="9"/>
  <c r="B8" i="9"/>
  <c r="G30" i="9"/>
  <c r="C30" i="9"/>
  <c r="B30" i="9"/>
  <c r="G47" i="9"/>
  <c r="B47" i="9"/>
  <c r="C47" i="9"/>
  <c r="G45" i="9"/>
  <c r="B45" i="9"/>
  <c r="C45" i="9"/>
  <c r="G25" i="9"/>
  <c r="C25" i="9"/>
  <c r="B25" i="9"/>
  <c r="B42" i="9"/>
  <c r="C42" i="9"/>
  <c r="G42" i="9"/>
  <c r="G34" i="9"/>
  <c r="C34" i="9"/>
  <c r="B34" i="9"/>
  <c r="G15" i="9"/>
  <c r="C15" i="9"/>
  <c r="B15" i="9"/>
  <c r="G9" i="9"/>
  <c r="C9" i="9"/>
  <c r="B9" i="9"/>
  <c r="G50" i="9"/>
  <c r="B50" i="9"/>
  <c r="C50" i="9"/>
  <c r="G31" i="9"/>
  <c r="C31" i="9"/>
  <c r="B31" i="9"/>
  <c r="G22" i="9"/>
  <c r="C22" i="9"/>
  <c r="B22" i="9"/>
  <c r="B53" i="9"/>
  <c r="C53" i="9"/>
  <c r="G53" i="9"/>
  <c r="G54" i="9"/>
  <c r="C54" i="9"/>
  <c r="B54" i="9"/>
  <c r="B70" i="9"/>
  <c r="G70" i="9"/>
  <c r="C70" i="9"/>
  <c r="G57" i="9"/>
  <c r="B57" i="9"/>
  <c r="C57" i="9"/>
  <c r="G62" i="9"/>
  <c r="C62" i="9"/>
  <c r="B62" i="9"/>
  <c r="B71" i="9"/>
  <c r="G71" i="9"/>
  <c r="C71" i="9"/>
  <c r="G58" i="9"/>
  <c r="B58" i="9"/>
  <c r="C58" i="9"/>
  <c r="G69" i="9"/>
  <c r="B69" i="9"/>
  <c r="B69" i="15" s="1" a="1"/>
  <c r="C69" i="9"/>
  <c r="C55" i="9"/>
  <c r="B55" i="9"/>
  <c r="G55" i="9"/>
  <c r="B56" i="9"/>
  <c r="C56" i="9"/>
  <c r="G56" i="9"/>
  <c r="G63" i="9"/>
  <c r="B63" i="9"/>
  <c r="C63" i="9"/>
  <c r="G59" i="9"/>
  <c r="C59" i="9"/>
  <c r="B59" i="9"/>
  <c r="C68" i="9"/>
  <c r="B68" i="9"/>
  <c r="G68" i="9"/>
  <c r="C60" i="9"/>
  <c r="B60" i="9"/>
  <c r="G60" i="9"/>
  <c r="G65" i="9"/>
  <c r="B65" i="9"/>
  <c r="C65" i="9"/>
  <c r="G67" i="9"/>
  <c r="C67" i="9"/>
  <c r="B67" i="9"/>
  <c r="G64" i="9"/>
  <c r="B64" i="9"/>
  <c r="C64" i="9"/>
  <c r="G66" i="9"/>
  <c r="C66" i="9"/>
  <c r="B66" i="9"/>
  <c r="C72" i="9"/>
  <c r="C72" i="15" s="1" a="1"/>
  <c r="B72" i="9"/>
  <c r="B72" i="15" s="1" a="1"/>
  <c r="G72" i="9"/>
  <c r="G72" i="15" s="1" a="1"/>
  <c r="C61" i="9"/>
  <c r="G61" i="9"/>
  <c r="B61" i="9"/>
  <c r="I49" i="15" l="1" a="1"/>
  <c r="H49" i="15" a="1"/>
  <c r="I66" i="15" a="1"/>
  <c r="H66" i="15" a="1"/>
  <c r="I37" i="15" a="1"/>
  <c r="I36" i="15" a="1"/>
  <c r="H37" i="15" a="1"/>
  <c r="H16" i="15" a="1"/>
  <c r="H59" i="15" a="1"/>
  <c r="I9" i="15" a="1"/>
  <c r="H9" i="15" a="1"/>
  <c r="I31" i="15" a="1"/>
  <c r="H31" i="15" a="1"/>
  <c r="H65" i="15" a="1"/>
  <c r="I34" i="15" a="1"/>
  <c r="H34" i="15" a="1"/>
  <c r="H33" i="15" a="1"/>
  <c r="H42" i="15" a="1"/>
  <c r="H36" i="15" a="1"/>
  <c r="I44" i="15" a="1"/>
  <c r="H44" i="15" a="1"/>
  <c r="I14" i="15" a="1"/>
  <c r="H63" i="15" a="1"/>
  <c r="I23" i="15" a="1"/>
  <c r="H23" i="15" a="1"/>
  <c r="H5" i="15" a="1"/>
  <c r="H58" i="15" a="1"/>
  <c r="H25" i="15" a="1"/>
  <c r="I45" i="15" a="1"/>
  <c r="H45" i="15" a="1"/>
  <c r="H12" i="15" a="1"/>
  <c r="I52" i="15" a="1"/>
  <c r="H52" i="15" a="1"/>
  <c r="I32" i="15" a="1"/>
  <c r="H32" i="15" a="1"/>
  <c r="H11" i="15" a="1"/>
  <c r="I69" i="15" a="1"/>
  <c r="H69" i="15" a="1"/>
  <c r="H22" i="15" a="1"/>
  <c r="C40" i="15" a="1"/>
  <c r="C50" i="15" a="1"/>
  <c r="B66" i="15" a="1"/>
  <c r="C27" i="15" a="1"/>
  <c r="C19" i="15" a="1"/>
  <c r="G27" i="15" a="1"/>
  <c r="C16" i="15" a="1"/>
  <c r="G66" i="15" a="1"/>
  <c r="C25" i="15" a="1"/>
  <c r="B51" i="15" a="1"/>
  <c r="G48" i="15" a="1"/>
  <c r="B42" i="15" a="1"/>
  <c r="B27" i="15" a="1"/>
  <c r="B35" i="15" a="1"/>
  <c r="B45" i="15" a="1"/>
  <c r="C66" i="15" a="1"/>
  <c r="B28" i="15" a="1"/>
  <c r="C64" i="15" a="1"/>
  <c r="G51" i="15" a="1"/>
  <c r="G25" i="15" a="1"/>
  <c r="G11" i="15" a="1"/>
  <c r="C58" i="15" a="1"/>
  <c r="B50" i="15" a="1"/>
  <c r="C31" i="15" a="1"/>
  <c r="B54" i="15" a="1"/>
  <c r="G50" i="15" a="1"/>
  <c r="C23" i="15" a="1"/>
  <c r="B17" i="15" a="1"/>
  <c r="B60" i="15" a="1"/>
  <c r="G13" i="15" a="1"/>
  <c r="G56" i="15" a="1"/>
  <c r="B47" i="15" a="1"/>
  <c r="G20" i="15" a="1"/>
  <c r="B43" i="15" a="1"/>
  <c r="G15" i="15" a="1"/>
  <c r="B34" i="15" a="1"/>
  <c r="C48" i="15" a="1"/>
  <c r="G10" i="15" a="1"/>
  <c r="B56" i="15" a="1"/>
  <c r="G34" i="15" a="1"/>
  <c r="C34" i="15" a="1"/>
  <c r="B31" i="15" a="1"/>
  <c r="C55" i="15" a="1"/>
  <c r="C70" i="15" a="1"/>
  <c r="B26" i="15" a="1"/>
  <c r="C33" i="15" a="1"/>
  <c r="C37" i="15" a="1"/>
  <c r="C18" i="15" a="1"/>
  <c r="G24" i="15" a="1"/>
  <c r="C52" i="15" a="1"/>
  <c r="C60" i="15" a="1"/>
  <c r="G70" i="15" a="1"/>
  <c r="G31" i="15" a="1"/>
  <c r="C26" i="15" a="1"/>
  <c r="G18" i="15" a="1"/>
  <c r="G68" i="15" a="1"/>
  <c r="B70" i="15" a="1"/>
  <c r="B23" i="15" a="1"/>
  <c r="B40" i="15" a="1"/>
  <c r="G41" i="15" a="1"/>
  <c r="C56" i="15" a="1"/>
  <c r="B48" i="15" a="1"/>
  <c r="B32" i="15" a="1"/>
  <c r="G60" i="15" a="1"/>
  <c r="B55" i="15" a="1"/>
  <c r="G33" i="15" a="1"/>
  <c r="B37" i="15" a="1"/>
  <c r="G26" i="15" a="1"/>
  <c r="G40" i="15" a="1"/>
  <c r="G37" i="15" a="1"/>
  <c r="B21" i="15" a="1"/>
  <c r="C44" i="15" a="1"/>
  <c r="G39" i="15" a="1"/>
  <c r="G69" i="15" a="1"/>
  <c r="C45" i="15" a="1"/>
  <c r="C21" i="15" a="1"/>
  <c r="C68" i="15" a="1"/>
  <c r="G54" i="15" a="1"/>
  <c r="G21" i="15" a="1"/>
  <c r="G35" i="15" a="1"/>
  <c r="G45" i="15" a="1"/>
  <c r="G59" i="15" a="1"/>
  <c r="G9" i="15" a="1"/>
  <c r="C47" i="15" a="1"/>
  <c r="C20" i="15" a="1"/>
  <c r="G64" i="15" a="1"/>
  <c r="C63" i="15" a="1"/>
  <c r="G17" i="15" a="1"/>
  <c r="B63" i="15" a="1"/>
  <c r="G47" i="15" a="1"/>
  <c r="C28" i="15" a="1"/>
  <c r="B64" i="15" a="1"/>
  <c r="B30" i="15" a="1"/>
  <c r="C41" i="15" a="1"/>
  <c r="G28" i="15" a="1"/>
  <c r="C69" i="15" a="1"/>
  <c r="B25" i="15" a="1"/>
  <c r="C51" i="15" a="1"/>
  <c r="C39" i="15" a="1"/>
  <c r="B52" i="15" a="1"/>
  <c r="G44" i="15" a="1"/>
  <c r="B39" i="15" a="1"/>
  <c r="G52" i="15" a="1"/>
  <c r="B44" i="15" a="1"/>
  <c r="G23" i="15" a="1"/>
  <c r="B19" i="15" a="1"/>
  <c r="B16" i="15" a="1"/>
  <c r="C35" i="15" a="1"/>
  <c r="B59" i="15" a="1"/>
  <c r="B58" i="15" a="1"/>
  <c r="C59" i="15" a="1"/>
  <c r="G58" i="15" a="1"/>
  <c r="B20" i="15" a="1"/>
  <c r="C71" i="15" a="1"/>
  <c r="G19" i="15" a="1"/>
  <c r="C17" i="15" a="1"/>
  <c r="G16" i="15" a="1"/>
  <c r="G14" i="15" a="1"/>
  <c r="B67" i="15" a="1"/>
  <c r="G53" i="15" a="1"/>
  <c r="B41" i="15" a="1"/>
  <c r="C43" i="15" a="1"/>
  <c r="G12" i="15" a="1"/>
  <c r="G63" i="15" a="1"/>
  <c r="B62" i="15" a="1"/>
  <c r="C53" i="15" a="1"/>
  <c r="G43" i="15" a="1"/>
  <c r="B36" i="15" a="1"/>
  <c r="B29" i="15" a="1"/>
  <c r="C62" i="15" a="1"/>
  <c r="B53" i="15" a="1"/>
  <c r="C30" i="15" a="1"/>
  <c r="C36" i="15" a="1"/>
  <c r="G38" i="15" a="1"/>
  <c r="C29" i="15" a="1"/>
  <c r="G36" i="15" a="1"/>
  <c r="C38" i="15" a="1"/>
  <c r="G29" i="15" a="1"/>
  <c r="B71" i="15" a="1"/>
  <c r="C65" i="15" a="1"/>
  <c r="G62" i="15" a="1"/>
  <c r="G30" i="15" a="1"/>
  <c r="B61" i="15" a="1"/>
  <c r="B65" i="15" a="1"/>
  <c r="C57" i="15" a="1"/>
  <c r="C22" i="15" a="1"/>
  <c r="C46" i="15" a="1"/>
  <c r="C32" i="15" a="1"/>
  <c r="B38" i="15" a="1"/>
  <c r="G49" i="15" a="1"/>
  <c r="B68" i="15" a="1"/>
  <c r="C54" i="15" a="1"/>
  <c r="G71" i="15" a="1"/>
  <c r="C67" i="15" a="1"/>
  <c r="B46" i="15" a="1"/>
  <c r="G61" i="15" a="1"/>
  <c r="G65" i="15" a="1"/>
  <c r="G55" i="15" a="1"/>
  <c r="B57" i="15" a="1"/>
  <c r="G22" i="15" a="1"/>
  <c r="G42" i="15" a="1"/>
  <c r="G46" i="15" a="1"/>
  <c r="G32" i="15" a="1"/>
  <c r="B24" i="15" a="1"/>
  <c r="C49" i="15" a="1"/>
  <c r="G6" i="15" a="1"/>
  <c r="G5" i="15" a="1"/>
  <c r="G67" i="15" a="1"/>
  <c r="B22" i="15" a="1"/>
  <c r="C61" i="15" a="1"/>
  <c r="G57" i="15" a="1"/>
  <c r="C42" i="15" a="1"/>
  <c r="G8" i="15" a="1"/>
  <c r="B33" i="15" a="1"/>
  <c r="G7" i="15" a="1"/>
  <c r="B18" i="15" a="1"/>
  <c r="C24" i="15" a="1"/>
  <c r="B49" i="15" a="1"/>
  <c r="E3" i="15" a="1"/>
  <c r="E14" i="15" a="1"/>
  <c r="E10" i="15" a="1"/>
  <c r="C3" i="15" a="1"/>
  <c r="C3" i="16" a="1"/>
  <c r="E31" i="15" a="1"/>
  <c r="E31" i="16" a="1"/>
  <c r="E62" i="15" a="1"/>
  <c r="E62" i="16" a="1"/>
  <c r="E35" i="15" a="1"/>
  <c r="E35" i="16" a="1"/>
  <c r="E16" i="15" a="1"/>
  <c r="E16" i="16" a="1"/>
  <c r="E28" i="15" a="1"/>
  <c r="E28" i="16" a="1"/>
  <c r="E27" i="15" a="1"/>
  <c r="E27" i="16" a="1"/>
  <c r="E20" i="15" a="1"/>
  <c r="E20" i="16" a="1"/>
  <c r="E14" i="16" a="1"/>
  <c r="E54" i="15" a="1"/>
  <c r="E54" i="16" a="1"/>
  <c r="E24" i="15" a="1"/>
  <c r="E24" i="16" a="1"/>
  <c r="E11" i="15" a="1"/>
  <c r="E11" i="16" a="1"/>
  <c r="E56" i="15" a="1"/>
  <c r="E56" i="16" a="1"/>
  <c r="E69" i="15" a="1"/>
  <c r="E69" i="16" a="1"/>
  <c r="E70" i="15" a="1"/>
  <c r="E70" i="16" a="1"/>
  <c r="E32" i="15" a="1"/>
  <c r="E32" i="16" a="1"/>
  <c r="B13" i="15" a="1"/>
  <c r="B13" i="16" a="1"/>
  <c r="E63" i="15" a="1"/>
  <c r="E63" i="16" a="1"/>
  <c r="E44" i="15" a="1"/>
  <c r="E44" i="16" a="1"/>
  <c r="B11" i="15" a="1"/>
  <c r="B11" i="16" a="1"/>
  <c r="B12" i="15" a="1"/>
  <c r="B12" i="16" a="1"/>
  <c r="E58" i="15" a="1"/>
  <c r="E58" i="16" a="1"/>
  <c r="E39" i="15" a="1"/>
  <c r="E39" i="16" a="1"/>
  <c r="E42" i="15" a="1"/>
  <c r="E42" i="16" a="1"/>
  <c r="C9" i="15" a="1"/>
  <c r="C9" i="16" a="1"/>
  <c r="E12" i="15" a="1"/>
  <c r="E12" i="16" a="1"/>
  <c r="E21" i="15" a="1"/>
  <c r="E21" i="16" a="1"/>
  <c r="E52" i="15" a="1"/>
  <c r="E52" i="16" a="1"/>
  <c r="E60" i="15" a="1"/>
  <c r="E60" i="16" a="1"/>
  <c r="E65" i="15" a="1"/>
  <c r="E65" i="16" a="1"/>
  <c r="E23" i="15" a="1"/>
  <c r="E23" i="16" a="1"/>
  <c r="E22" i="15" a="1"/>
  <c r="E22" i="16" a="1"/>
  <c r="E66" i="15" a="1"/>
  <c r="E66" i="16" a="1"/>
  <c r="E72" i="15" a="1"/>
  <c r="E72" i="16" a="1"/>
  <c r="C13" i="15" a="1"/>
  <c r="C13" i="16" a="1"/>
  <c r="B10" i="15" a="1"/>
  <c r="B10" i="16" a="1"/>
  <c r="E38" i="15" a="1"/>
  <c r="E38" i="16" a="1"/>
  <c r="E18" i="15" a="1"/>
  <c r="E18" i="16" a="1"/>
  <c r="E61" i="15" a="1"/>
  <c r="E61" i="16" a="1"/>
  <c r="E46" i="15" a="1"/>
  <c r="E46" i="16" a="1"/>
  <c r="E37" i="15" a="1"/>
  <c r="E37" i="16" a="1"/>
  <c r="E47" i="15" a="1"/>
  <c r="E47" i="16" a="1"/>
  <c r="E30" i="15" a="1"/>
  <c r="E30" i="16" a="1"/>
  <c r="C11" i="15" a="1"/>
  <c r="C11" i="16" a="1"/>
  <c r="E53" i="15" a="1"/>
  <c r="E53" i="16" a="1"/>
  <c r="C14" i="15" a="1"/>
  <c r="C14" i="16" a="1"/>
  <c r="C15" i="15" a="1"/>
  <c r="C15" i="16" a="1"/>
  <c r="E13" i="15" a="1"/>
  <c r="E13" i="16" a="1"/>
  <c r="E51" i="15" a="1"/>
  <c r="E51" i="16" a="1"/>
  <c r="C7" i="15" a="1"/>
  <c r="C7" i="16" a="1"/>
  <c r="E43" i="15" a="1"/>
  <c r="E43" i="16" a="1"/>
  <c r="E36" i="15" a="1"/>
  <c r="E36" i="16" a="1"/>
  <c r="E33" i="15" a="1"/>
  <c r="E33" i="16" a="1"/>
  <c r="B9" i="15" a="1"/>
  <c r="B9" i="16" a="1"/>
  <c r="E40" i="15" a="1"/>
  <c r="E40" i="16" a="1"/>
  <c r="C12" i="15" a="1"/>
  <c r="C12" i="16" a="1"/>
  <c r="E26" i="15" a="1"/>
  <c r="E26" i="16" a="1"/>
  <c r="E59" i="15" a="1"/>
  <c r="E59" i="16" a="1"/>
  <c r="C10" i="15" a="1"/>
  <c r="C10" i="16" a="1"/>
  <c r="E17" i="15" a="1"/>
  <c r="E17" i="16" a="1"/>
  <c r="E50" i="15" a="1"/>
  <c r="E50" i="16" a="1"/>
  <c r="B7" i="15" a="1"/>
  <c r="B7" i="16" a="1"/>
  <c r="E57" i="15" a="1"/>
  <c r="E57" i="16" a="1"/>
  <c r="E55" i="15" a="1"/>
  <c r="E55" i="16" a="1"/>
  <c r="B3" i="15" a="1"/>
  <c r="B3" i="16" a="1"/>
  <c r="E19" i="15" a="1"/>
  <c r="E19" i="16" a="1"/>
  <c r="E49" i="15" a="1"/>
  <c r="E49" i="16" a="1"/>
  <c r="B14" i="15" a="1"/>
  <c r="B14" i="16" a="1"/>
  <c r="B15" i="15" a="1"/>
  <c r="B15" i="16" a="1"/>
  <c r="E67" i="15" a="1"/>
  <c r="E67" i="16" a="1"/>
  <c r="E48" i="15" a="1"/>
  <c r="E48" i="16" a="1"/>
  <c r="E25" i="15" a="1"/>
  <c r="E25" i="16" a="1"/>
  <c r="E68" i="15" a="1"/>
  <c r="E68" i="16" a="1"/>
  <c r="E34" i="15" a="1"/>
  <c r="E34" i="16" a="1"/>
  <c r="E15" i="15" a="1"/>
  <c r="E15" i="16" a="1"/>
  <c r="E71" i="15" a="1"/>
  <c r="E71" i="16" a="1"/>
  <c r="B8" i="15" a="1"/>
  <c r="B8" i="16" a="1"/>
  <c r="C8" i="15" a="1"/>
  <c r="C8" i="16" a="1"/>
  <c r="B6" i="15" a="1"/>
  <c r="B6" i="16" a="1"/>
  <c r="C6" i="15" a="1"/>
  <c r="C6" i="16" a="1"/>
  <c r="E45" i="15" a="1"/>
  <c r="E45" i="16" a="1"/>
  <c r="E64" i="15" a="1"/>
  <c r="E64" i="16" a="1"/>
  <c r="E41" i="15" a="1"/>
  <c r="E41" i="16" a="1"/>
  <c r="E29" i="15" a="1"/>
  <c r="E29" i="16" a="1"/>
  <c r="E9" i="15" l="1" a="1"/>
  <c r="E8" i="15" a="1"/>
  <c r="E7" i="15" a="1"/>
  <c r="E5" i="15" a="1"/>
  <c r="E4" i="15" a="1"/>
  <c r="E6" i="1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<sst xmlns="http://schemas.openxmlformats.org/spreadsheetml/2006/main" count="268" uniqueCount="103">
  <si>
    <t>Indice</t>
  </si>
  <si>
    <t>Date</t>
  </si>
  <si>
    <t>Num</t>
  </si>
  <si>
    <t>Désignation</t>
  </si>
  <si>
    <t>U</t>
  </si>
  <si>
    <t>Quantité</t>
  </si>
  <si>
    <t>TOTAL HT</t>
  </si>
  <si>
    <t>PU</t>
  </si>
  <si>
    <t xml:space="preserve">Montant </t>
  </si>
  <si>
    <t>Phase d'etude</t>
  </si>
  <si>
    <t>ACT</t>
  </si>
  <si>
    <t xml:space="preserve">MAITRISE D'OUVRAGE : </t>
  </si>
  <si>
    <t xml:space="preserve">MAITRISE D'OEUVRE : </t>
  </si>
  <si>
    <t>Marge Quantité</t>
  </si>
  <si>
    <t>Marge Prix</t>
  </si>
  <si>
    <t>sup</t>
  </si>
  <si>
    <t>inf</t>
  </si>
  <si>
    <t>bon prix</t>
  </si>
  <si>
    <t>Quantité haute</t>
  </si>
  <si>
    <t>Quantité faible</t>
  </si>
  <si>
    <t>Prix faible</t>
  </si>
  <si>
    <t xml:space="preserve">Prix haut </t>
  </si>
  <si>
    <t/>
  </si>
  <si>
    <t>Quantité haute à confirmer.</t>
  </si>
  <si>
    <t>Quantité faible à confirmer.</t>
  </si>
  <si>
    <t>Prix unitaire haut à confirmer.</t>
  </si>
  <si>
    <t>Prix unitaire faible à confirmer.</t>
  </si>
  <si>
    <t>Quantité OK</t>
  </si>
  <si>
    <t>resultat</t>
  </si>
  <si>
    <t>Base</t>
  </si>
  <si>
    <t>Substitue</t>
  </si>
  <si>
    <t xml:space="preserve">Lot : </t>
  </si>
  <si>
    <t>n° du lot :</t>
  </si>
  <si>
    <t>Nom de l'affaire</t>
  </si>
  <si>
    <t>Cette Valeur sert a ne pas faire de commantaire sur des article qui sont négligeable pour l'ensemble du lot.</t>
  </si>
  <si>
    <t>seuil de négligeabilité (en %)</t>
  </si>
  <si>
    <t>déscription de l'affaire</t>
  </si>
  <si>
    <t>VARIATIONS DES PRIX</t>
  </si>
  <si>
    <t>VARIATIONS DES QUANTITE</t>
  </si>
  <si>
    <t>Calcule du nom de l'indice et de la version</t>
  </si>
  <si>
    <t xml:space="preserve">données à renseigner </t>
  </si>
  <si>
    <t>TABLEAU D'ANALYSE DES OFFRES :</t>
  </si>
  <si>
    <t>détermine quel commentaire est fait dans chaque cas</t>
  </si>
  <si>
    <t>Ce tableau sert à moduler les marges accéptables pour avoir une bonne quantité</t>
  </si>
  <si>
    <t xml:space="preserve">Exemple : si l'article vaux moins de 5% du lot et que le seuil est définit a 5% il ne seras pas commenté </t>
  </si>
  <si>
    <t xml:space="preserve">Ce tableau sert a moduler les marges accéptables qui définisse le Bon prix </t>
  </si>
  <si>
    <t>Ecart Qtés (en %)</t>
  </si>
  <si>
    <t>Ecart PU (en %)</t>
  </si>
  <si>
    <t>Questions</t>
  </si>
  <si>
    <t>CHARGE D’AFFAIRE</t>
  </si>
  <si>
    <t>REDIGE PAR</t>
  </si>
  <si>
    <t>DATE</t>
  </si>
  <si>
    <t>N° AFFAIRE</t>
  </si>
  <si>
    <t>ANALYSE D'OFFRES</t>
  </si>
  <si>
    <t>INTITULE DU DOCUMENT</t>
  </si>
  <si>
    <t>LOT</t>
  </si>
  <si>
    <t>INDICE</t>
  </si>
  <si>
    <t>PHASE</t>
  </si>
  <si>
    <t>BUREAU DE CONROLE</t>
  </si>
  <si>
    <t>AMO BREAM /  WELL</t>
  </si>
  <si>
    <t>BUREAU D’ETUDE STRUCTURE</t>
  </si>
  <si>
    <t>ECONOMISTE</t>
  </si>
  <si>
    <t>ARCHITECTE</t>
  </si>
  <si>
    <t>AMO</t>
  </si>
  <si>
    <t xml:space="preserve"> </t>
  </si>
  <si>
    <t>Note technique</t>
  </si>
  <si>
    <t>OPERATION</t>
  </si>
  <si>
    <t>définie comme il suit:</t>
  </si>
  <si>
    <t>Les offres sont classées selon une note globale sur</t>
  </si>
  <si>
    <t>CRITERES D'ANALYSE</t>
  </si>
  <si>
    <t>MAITRE D’OUVRAGE</t>
  </si>
  <si>
    <t>N°</t>
  </si>
  <si>
    <t>REMARQUES SUR l'OFFRE</t>
  </si>
  <si>
    <t>nb remarque</t>
  </si>
  <si>
    <t>Offre</t>
  </si>
  <si>
    <t>Lot concerné</t>
  </si>
  <si>
    <t>adresse</t>
  </si>
  <si>
    <t xml:space="preserve">Article </t>
  </si>
  <si>
    <t>DMX Economie</t>
  </si>
  <si>
    <t xml:space="preserve">montant attendu = 0 et non inclue </t>
  </si>
  <si>
    <t>Texte :</t>
  </si>
  <si>
    <t>Nom du projet</t>
  </si>
  <si>
    <t>ligne article</t>
  </si>
  <si>
    <t>MOE</t>
  </si>
  <si>
    <t xml:space="preserve">Article à chiffrer. </t>
  </si>
  <si>
    <t xml:space="preserve">Ecart de </t>
  </si>
  <si>
    <t>Erreur d'arrondi</t>
  </si>
  <si>
    <t>Erreur de multipication</t>
  </si>
  <si>
    <t>Décallage :</t>
  </si>
  <si>
    <t>FORMULE A REMPLACER</t>
  </si>
  <si>
    <t>Maitre d'ouvrage</t>
  </si>
  <si>
    <t>Maitre d'œuvre</t>
  </si>
  <si>
    <t xml:space="preserve">Déscription de l'affaire
</t>
  </si>
  <si>
    <t>1 rue de l'adresse</t>
  </si>
  <si>
    <t xml:space="preserve">Ecart quantité </t>
  </si>
  <si>
    <t xml:space="preserve">Ecart PU </t>
  </si>
  <si>
    <t>Entreprise 1</t>
  </si>
  <si>
    <t>Entreprise 2</t>
  </si>
  <si>
    <t>Entreprise 3</t>
  </si>
  <si>
    <t>Entreprise 4</t>
  </si>
  <si>
    <t>Entreprise 5</t>
  </si>
  <si>
    <t>Entreprise 6</t>
  </si>
  <si>
    <t>Réponse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</si>
</sst>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€&quot;;[Red]\-#,##0.00\ &quot;€&quot;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&quot;DOCUMENT EN DU DATE : &quot;dd/mm/yyyy"/>
    <numFmt numFmtId="166" formatCode="dd\-mm\-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Arial Narrow"/>
      <family val="2"/>
    </font>
    <font>
      <sz val="8"/>
      <name val="Calibri"/>
      <family val="2"/>
      <scheme val="minor"/>
    </font>
    <font>
      <b/>
      <sz val="18"/>
      <color theme="1"/>
      <name val="Arial Narrow"/>
      <family val="2"/>
    </font>
    <font>
      <sz val="18"/>
      <color theme="1"/>
      <name val="Calibri"/>
      <family val="2"/>
      <scheme val="minor"/>
    </font>
    <font>
      <sz val="18"/>
      <color theme="1" tint="4.9989318521683403E-2"/>
      <name val="Calibri"/>
      <family val="2"/>
      <scheme val="minor"/>
    </font>
    <font>
      <sz val="18"/>
      <name val="Arial Narrow"/>
      <family val="2"/>
    </font>
    <font>
      <sz val="20"/>
      <color theme="1"/>
      <name val="Arial Narrow"/>
      <family val="2"/>
    </font>
    <font>
      <sz val="18"/>
      <color rgb="FFFF0000"/>
      <name val="Arial Narrow"/>
      <family val="2"/>
    </font>
    <font>
      <sz val="18"/>
      <color rgb="FFFF0000"/>
      <name val="Calibri"/>
      <family val="2"/>
      <scheme val="minor"/>
    </font>
    <font>
      <b/>
      <sz val="18"/>
      <color rgb="FFFF0000"/>
      <name val="Arial Narrow"/>
      <family val="2"/>
    </font>
    <font>
      <sz val="10"/>
      <name val="Arial"/>
      <family val="2"/>
    </font>
    <font>
      <b/>
      <sz val="18"/>
      <name val="Arial Narrow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 Narrow"/>
      <family val="2"/>
    </font>
    <font>
      <sz val="9"/>
      <color rgb="FF808080"/>
      <name val="Arial Narrow"/>
      <family val="2"/>
    </font>
    <font>
      <sz val="16"/>
      <color theme="1"/>
      <name val="Arial Narrow"/>
      <family val="2"/>
    </font>
    <font>
      <sz val="14"/>
      <color theme="1"/>
      <name val="Arial Narrow"/>
      <family val="2"/>
    </font>
    <font>
      <b/>
      <sz val="10"/>
      <color rgb="FFA6A6A6"/>
      <name val="Arial Narrow"/>
      <family val="2"/>
    </font>
    <font>
      <sz val="9"/>
      <color theme="1"/>
      <name val="Arial Narrow"/>
      <family val="2"/>
    </font>
    <font>
      <b/>
      <sz val="22"/>
      <color theme="1"/>
      <name val="Arial Narrow"/>
      <family val="2"/>
    </font>
    <font>
      <b/>
      <sz val="36"/>
      <color theme="1"/>
      <name val="Arial"/>
      <family val="2"/>
    </font>
    <font>
      <sz val="22"/>
      <color theme="1"/>
      <name val="Arial Narrow"/>
      <family val="2"/>
    </font>
    <font>
      <b/>
      <sz val="14"/>
      <color rgb="FFA6A6A6"/>
      <name val="Arial Narrow"/>
      <family val="2"/>
    </font>
    <font>
      <b/>
      <sz val="14"/>
      <color theme="0"/>
      <name val="Calibri"/>
      <family val="2"/>
      <scheme val="minor"/>
    </font>
    <font>
      <b/>
      <sz val="9"/>
      <color rgb="FFA6A6A6"/>
      <name val="Arial Narrow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</fills>
  <borders count="8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double">
        <color auto="1"/>
      </bottom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double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rgb="FFA6A6A6"/>
      </left>
      <right style="thick">
        <color rgb="FFA6A6A6"/>
      </right>
      <top/>
      <bottom style="thick">
        <color rgb="FFA6A6A6"/>
      </bottom>
      <diagonal/>
    </border>
    <border>
      <left style="medium">
        <color rgb="FFA6A6A6"/>
      </left>
      <right style="medium">
        <color rgb="FFA6A6A6"/>
      </right>
      <top/>
      <bottom style="thick">
        <color rgb="FFA6A6A6"/>
      </bottom>
      <diagonal/>
    </border>
    <border>
      <left style="thick">
        <color rgb="FFA6A6A6"/>
      </left>
      <right style="medium">
        <color rgb="FFA6A6A6"/>
      </right>
      <top/>
      <bottom style="thick">
        <color rgb="FFA6A6A6"/>
      </bottom>
      <diagonal/>
    </border>
    <border>
      <left style="medium">
        <color rgb="FFA6A6A6"/>
      </left>
      <right style="thick">
        <color rgb="FFA6A6A6"/>
      </right>
      <top style="thick">
        <color rgb="FFA6A6A6"/>
      </top>
      <bottom/>
      <diagonal/>
    </border>
    <border>
      <left style="medium">
        <color rgb="FFA6A6A6"/>
      </left>
      <right style="medium">
        <color rgb="FFA6A6A6"/>
      </right>
      <top style="thick">
        <color rgb="FFA6A6A6"/>
      </top>
      <bottom/>
      <diagonal/>
    </border>
    <border>
      <left style="thick">
        <color rgb="FFA6A6A6"/>
      </left>
      <right style="medium">
        <color rgb="FFA6A6A6"/>
      </right>
      <top style="thick">
        <color rgb="FFA6A6A6"/>
      </top>
      <bottom/>
      <diagonal/>
    </border>
    <border>
      <left/>
      <right style="thick">
        <color rgb="FFA6A6A6"/>
      </right>
      <top/>
      <bottom style="thick">
        <color rgb="FFA6A6A6"/>
      </bottom>
      <diagonal/>
    </border>
    <border>
      <left/>
      <right/>
      <top/>
      <bottom style="thick">
        <color rgb="FFA6A6A6"/>
      </bottom>
      <diagonal/>
    </border>
    <border>
      <left style="thick">
        <color rgb="FFA6A6A6"/>
      </left>
      <right/>
      <top/>
      <bottom style="thick">
        <color rgb="FFA6A6A6"/>
      </bottom>
      <diagonal/>
    </border>
    <border>
      <left/>
      <right style="thick">
        <color rgb="FFA6A6A6"/>
      </right>
      <top style="thick">
        <color rgb="FFA6A6A6"/>
      </top>
      <bottom/>
      <diagonal/>
    </border>
    <border>
      <left/>
      <right/>
      <top style="thick">
        <color rgb="FFA6A6A6"/>
      </top>
      <bottom/>
      <diagonal/>
    </border>
    <border>
      <left style="thick">
        <color rgb="FFA6A6A6"/>
      </left>
      <right/>
      <top style="thick">
        <color rgb="FFA6A6A6"/>
      </top>
      <bottom/>
      <diagonal/>
    </border>
    <border>
      <left style="medium">
        <color rgb="FFA6A6A6"/>
      </left>
      <right/>
      <top/>
      <bottom style="thick">
        <color rgb="FFA6A6A6"/>
      </bottom>
      <diagonal/>
    </border>
    <border>
      <left/>
      <right style="medium">
        <color rgb="FFA6A6A6"/>
      </right>
      <top/>
      <bottom style="thick">
        <color rgb="FFA6A6A6"/>
      </bottom>
      <diagonal/>
    </border>
    <border>
      <left/>
      <right style="thick">
        <color rgb="FFA6A6A6"/>
      </right>
      <top/>
      <bottom/>
      <diagonal/>
    </border>
    <border>
      <left style="medium">
        <color rgb="FFA6A6A6"/>
      </left>
      <right/>
      <top/>
      <bottom/>
      <diagonal/>
    </border>
    <border>
      <left/>
      <right style="medium">
        <color rgb="FFA6A6A6"/>
      </right>
      <top/>
      <bottom/>
      <diagonal/>
    </border>
    <border>
      <left style="thick">
        <color rgb="FFA6A6A6"/>
      </left>
      <right/>
      <top/>
      <bottom/>
      <diagonal/>
    </border>
    <border>
      <left style="medium">
        <color rgb="FFA6A6A6"/>
      </left>
      <right/>
      <top style="thick">
        <color rgb="FFA6A6A6"/>
      </top>
      <bottom/>
      <diagonal/>
    </border>
    <border>
      <left/>
      <right style="medium">
        <color rgb="FFA6A6A6"/>
      </right>
      <top style="thick">
        <color rgb="FFA6A6A6"/>
      </top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theme="0" tint="-0.34998626667073579"/>
      </left>
      <right/>
      <top style="double">
        <color indexed="64"/>
      </top>
      <bottom style="thin">
        <color theme="0" tint="-0.34998626667073579"/>
      </bottom>
      <diagonal/>
    </border>
    <border>
      <left/>
      <right/>
      <top style="double">
        <color indexed="64"/>
      </top>
      <bottom style="thin">
        <color theme="0" tint="-0.34998626667073579"/>
      </bottom>
      <diagonal/>
    </border>
    <border>
      <left style="double">
        <color indexed="64"/>
      </left>
      <right/>
      <top style="double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indexed="64"/>
      </top>
      <bottom/>
      <diagonal/>
    </border>
    <border>
      <left style="thin">
        <color theme="0" tint="-0.34998626667073579"/>
      </left>
      <right/>
      <top style="double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indexed="64"/>
      </top>
      <bottom style="thin">
        <color theme="0" tint="-0.34998626667073579"/>
      </bottom>
      <diagonal/>
    </border>
    <border>
      <left/>
      <right style="double">
        <color indexed="64"/>
      </right>
      <top style="double">
        <color indexed="64"/>
      </top>
      <bottom style="thin">
        <color theme="0" tint="-0.34998626667073579"/>
      </bottom>
      <diagonal/>
    </border>
    <border>
      <left style="double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indexed="64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double">
        <color indexed="64"/>
      </right>
      <top style="thin">
        <color theme="0" tint="-0.34998626667073579"/>
      </top>
      <bottom style="double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" fillId="0" borderId="0"/>
    <xf numFmtId="43" fontId="1" fillId="0" borderId="0" applyFont="0" applyFill="0" applyBorder="0" applyAlignment="0" applyProtection="0"/>
  </cellStyleXfs>
  <cellXfs count="218">
    <xf numFmtId="0" fontId="0" fillId="0" borderId="0" xfId="0"/>
    <xf numFmtId="0" fontId="2" fillId="0" borderId="0" xfId="0" applyFont="1"/>
    <xf numFmtId="0" fontId="5" fillId="0" borderId="0" xfId="0" applyFont="1"/>
    <xf numFmtId="164" fontId="5" fillId="0" borderId="0" xfId="1" applyNumberFormat="1" applyFont="1"/>
    <xf numFmtId="0" fontId="2" fillId="0" borderId="0" xfId="0" applyFont="1" applyAlignment="1">
      <alignment vertical="center"/>
    </xf>
    <xf numFmtId="0" fontId="6" fillId="0" borderId="0" xfId="0" applyFont="1"/>
    <xf numFmtId="0" fontId="5" fillId="0" borderId="0" xfId="0" applyFont="1" applyAlignment="1">
      <alignment vertical="center"/>
    </xf>
    <xf numFmtId="44" fontId="5" fillId="0" borderId="0" xfId="2" applyFont="1"/>
    <xf numFmtId="44" fontId="5" fillId="0" borderId="0" xfId="2" applyFont="1" applyAlignment="1">
      <alignment horizontal="right"/>
    </xf>
    <xf numFmtId="44" fontId="2" fillId="0" borderId="0" xfId="2" applyFont="1"/>
    <xf numFmtId="44" fontId="7" fillId="0" borderId="17" xfId="2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0" borderId="0" xfId="0" applyFont="1"/>
    <xf numFmtId="165" fontId="8" fillId="0" borderId="0" xfId="0" applyNumberFormat="1" applyFont="1" applyAlignment="1">
      <alignment horizontal="left" vertical="top"/>
    </xf>
    <xf numFmtId="165" fontId="2" fillId="0" borderId="0" xfId="0" applyNumberFormat="1" applyFont="1" applyAlignment="1" applyProtection="1">
      <alignment vertical="top"/>
      <protection locked="0"/>
    </xf>
    <xf numFmtId="165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44" fontId="2" fillId="0" borderId="10" xfId="2" applyFont="1" applyFill="1" applyBorder="1" applyAlignment="1">
      <alignment vertical="center"/>
    </xf>
    <xf numFmtId="2" fontId="2" fillId="0" borderId="10" xfId="3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3" fontId="2" fillId="0" borderId="13" xfId="0" applyNumberFormat="1" applyFont="1" applyBorder="1" applyAlignment="1">
      <alignment vertical="center"/>
    </xf>
    <xf numFmtId="44" fontId="2" fillId="0" borderId="13" xfId="2" applyFont="1" applyFill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center" vertical="center"/>
    </xf>
    <xf numFmtId="3" fontId="2" fillId="0" borderId="15" xfId="0" applyNumberFormat="1" applyFont="1" applyBorder="1" applyAlignment="1">
      <alignment vertical="center"/>
    </xf>
    <xf numFmtId="44" fontId="2" fillId="0" borderId="15" xfId="2" applyFont="1" applyFill="1" applyBorder="1" applyAlignment="1">
      <alignment vertical="center"/>
    </xf>
    <xf numFmtId="44" fontId="5" fillId="0" borderId="0" xfId="2" applyFont="1" applyFill="1"/>
    <xf numFmtId="44" fontId="2" fillId="0" borderId="0" xfId="2" applyFont="1" applyFill="1"/>
    <xf numFmtId="0" fontId="10" fillId="0" borderId="0" xfId="0" applyFont="1"/>
    <xf numFmtId="0" fontId="9" fillId="0" borderId="6" xfId="0" applyFont="1" applyBorder="1" applyAlignment="1">
      <alignment vertical="center"/>
    </xf>
    <xf numFmtId="0" fontId="11" fillId="0" borderId="6" xfId="0" applyFont="1" applyBorder="1" applyAlignment="1">
      <alignment vertical="center"/>
    </xf>
    <xf numFmtId="44" fontId="7" fillId="0" borderId="26" xfId="2" applyFont="1" applyFill="1" applyBorder="1" applyAlignment="1">
      <alignment horizontal="right" vertical="center" wrapText="1"/>
    </xf>
    <xf numFmtId="0" fontId="13" fillId="0" borderId="6" xfId="0" applyFont="1" applyBorder="1" applyAlignment="1">
      <alignment vertical="center"/>
    </xf>
    <xf numFmtId="0" fontId="0" fillId="0" borderId="0" xfId="0" applyAlignment="1">
      <alignment horizontal="center" vertical="center" textRotation="90"/>
    </xf>
    <xf numFmtId="0" fontId="0" fillId="0" borderId="2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9" fontId="0" fillId="2" borderId="17" xfId="4" applyFont="1" applyFill="1" applyBorder="1" applyAlignment="1">
      <alignment horizontal="center" vertical="center"/>
    </xf>
    <xf numFmtId="2" fontId="0" fillId="2" borderId="36" xfId="0" applyNumberFormat="1" applyFill="1" applyBorder="1" applyAlignment="1">
      <alignment horizontal="center" vertical="center"/>
    </xf>
    <xf numFmtId="2" fontId="0" fillId="2" borderId="17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2" borderId="27" xfId="0" applyFill="1" applyBorder="1" applyAlignment="1">
      <alignment horizontal="left" vertical="center"/>
    </xf>
    <xf numFmtId="0" fontId="0" fillId="2" borderId="29" xfId="0" applyFill="1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2" fontId="0" fillId="0" borderId="11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2" fontId="0" fillId="0" borderId="41" xfId="0" applyNumberFormat="1" applyBorder="1" applyAlignment="1">
      <alignment horizontal="center" vertical="center"/>
    </xf>
    <xf numFmtId="14" fontId="0" fillId="2" borderId="22" xfId="0" applyNumberForma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5" fillId="0" borderId="0" xfId="0" applyFont="1" applyAlignment="1">
      <alignment horizontal="left" vertical="center" indent="15"/>
    </xf>
    <xf numFmtId="0" fontId="17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0" fillId="0" borderId="65" xfId="0" applyBorder="1"/>
    <xf numFmtId="0" fontId="22" fillId="0" borderId="6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0" fillId="0" borderId="0" xfId="4" applyFont="1"/>
    <xf numFmtId="0" fontId="20" fillId="0" borderId="6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7" fillId="0" borderId="0" xfId="0" applyFont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quotePrefix="1" applyBorder="1" applyAlignment="1">
      <alignment vertical="top" wrapText="1"/>
    </xf>
    <xf numFmtId="0" fontId="0" fillId="0" borderId="69" xfId="0" quotePrefix="1" applyBorder="1" applyAlignment="1">
      <alignment vertical="top" wrapText="1"/>
    </xf>
    <xf numFmtId="44" fontId="7" fillId="0" borderId="36" xfId="2" applyFont="1" applyFill="1" applyBorder="1" applyAlignment="1">
      <alignment horizontal="right" vertical="center" wrapText="1"/>
    </xf>
    <xf numFmtId="44" fontId="7" fillId="0" borderId="16" xfId="2" applyFont="1" applyFill="1" applyBorder="1" applyAlignment="1">
      <alignment horizontal="right" vertical="center" wrapText="1"/>
    </xf>
    <xf numFmtId="2" fontId="2" fillId="0" borderId="7" xfId="3" applyNumberFormat="1" applyFont="1" applyBorder="1" applyAlignment="1">
      <alignment vertical="center"/>
    </xf>
    <xf numFmtId="2" fontId="2" fillId="0" borderId="72" xfId="3" applyNumberFormat="1" applyFont="1" applyBorder="1" applyAlignment="1">
      <alignment vertical="center"/>
    </xf>
    <xf numFmtId="0" fontId="2" fillId="0" borderId="14" xfId="0" applyFont="1" applyBorder="1" applyAlignment="1">
      <alignment horizontal="center" vertical="center"/>
    </xf>
    <xf numFmtId="14" fontId="0" fillId="0" borderId="67" xfId="0" applyNumberFormat="1" applyBorder="1" applyAlignment="1">
      <alignment horizontal="center" vertical="center"/>
    </xf>
    <xf numFmtId="0" fontId="28" fillId="0" borderId="76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28" fillId="0" borderId="77" xfId="0" applyFont="1" applyBorder="1" applyAlignment="1">
      <alignment vertical="center"/>
    </xf>
    <xf numFmtId="0" fontId="28" fillId="0" borderId="78" xfId="0" applyFont="1" applyBorder="1" applyAlignment="1">
      <alignment vertical="center"/>
    </xf>
    <xf numFmtId="0" fontId="28" fillId="0" borderId="79" xfId="0" applyFont="1" applyBorder="1" applyAlignment="1">
      <alignment vertical="center" wrapText="1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4" xfId="0" quotePrefix="1" applyBorder="1" applyAlignment="1">
      <alignment vertical="top" wrapText="1"/>
    </xf>
    <xf numFmtId="0" fontId="0" fillId="0" borderId="85" xfId="0" quotePrefix="1" applyBorder="1" applyAlignment="1">
      <alignment vertical="top" wrapText="1"/>
    </xf>
    <xf numFmtId="14" fontId="0" fillId="0" borderId="86" xfId="0" applyNumberForma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9" fontId="2" fillId="0" borderId="10" xfId="4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3" fontId="2" fillId="0" borderId="9" xfId="0" applyNumberFormat="1" applyFont="1" applyBorder="1" applyAlignment="1">
      <alignment horizontal="center" vertical="center" wrapText="1"/>
    </xf>
    <xf numFmtId="44" fontId="2" fillId="0" borderId="9" xfId="2" applyFont="1" applyFill="1" applyBorder="1" applyAlignment="1">
      <alignment horizontal="center" vertical="center" wrapText="1"/>
    </xf>
    <xf numFmtId="44" fontId="2" fillId="0" borderId="70" xfId="2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3" fontId="2" fillId="0" borderId="70" xfId="0" applyNumberFormat="1" applyFont="1" applyBorder="1" applyAlignment="1">
      <alignment horizontal="center" vertical="center" wrapText="1"/>
    </xf>
    <xf numFmtId="9" fontId="2" fillId="0" borderId="9" xfId="4" applyFont="1" applyBorder="1" applyAlignment="1">
      <alignment horizontal="center" vertical="center" wrapText="1"/>
    </xf>
    <xf numFmtId="9" fontId="2" fillId="0" borderId="71" xfId="4" applyFont="1" applyBorder="1" applyAlignment="1">
      <alignment horizontal="center" vertical="center" wrapText="1"/>
    </xf>
    <xf numFmtId="3" fontId="7" fillId="0" borderId="71" xfId="0" applyNumberFormat="1" applyFont="1" applyBorder="1" applyAlignment="1">
      <alignment horizontal="center" vertical="center" wrapText="1"/>
    </xf>
    <xf numFmtId="3" fontId="7" fillId="0" borderId="27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8" fillId="0" borderId="75" xfId="0" applyFont="1" applyBorder="1" applyAlignment="1">
      <alignment vertical="center" wrapText="1"/>
    </xf>
    <xf numFmtId="9" fontId="2" fillId="0" borderId="15" xfId="4" applyFont="1" applyBorder="1" applyAlignment="1">
      <alignment horizontal="center" vertical="center"/>
    </xf>
    <xf numFmtId="0" fontId="28" fillId="0" borderId="74" xfId="0" applyFont="1" applyBorder="1" applyAlignment="1">
      <alignment vertical="center" wrapText="1"/>
    </xf>
    <xf numFmtId="0" fontId="28" fillId="0" borderId="80" xfId="0" applyFont="1" applyBorder="1" applyAlignment="1">
      <alignment vertical="center" wrapText="1"/>
    </xf>
    <xf numFmtId="2" fontId="2" fillId="0" borderId="10" xfId="3" applyNumberFormat="1" applyFont="1" applyBorder="1" applyAlignment="1">
      <alignment vertical="center" wrapText="1"/>
    </xf>
    <xf numFmtId="2" fontId="2" fillId="0" borderId="73" xfId="3" applyNumberFormat="1" applyFont="1" applyBorder="1" applyAlignment="1">
      <alignment vertical="center" wrapText="1"/>
    </xf>
    <xf numFmtId="0" fontId="5" fillId="0" borderId="11" xfId="0" applyFont="1" applyBorder="1"/>
    <xf numFmtId="0" fontId="5" fillId="0" borderId="11" xfId="0" applyFont="1" applyBorder="1" applyAlignment="1">
      <alignment vertical="center"/>
    </xf>
    <xf numFmtId="0" fontId="28" fillId="0" borderId="76" xfId="0" applyFont="1" applyBorder="1" applyAlignment="1">
      <alignment vertical="center" wrapText="1"/>
    </xf>
    <xf numFmtId="0" fontId="28" fillId="0" borderId="2" xfId="0" applyFont="1" applyBorder="1" applyAlignment="1">
      <alignment vertical="center" wrapText="1"/>
    </xf>
    <xf numFmtId="0" fontId="28" fillId="0" borderId="77" xfId="0" applyFont="1" applyBorder="1" applyAlignment="1">
      <alignment vertical="center" wrapText="1"/>
    </xf>
    <xf numFmtId="0" fontId="28" fillId="0" borderId="78" xfId="0" applyFont="1" applyBorder="1" applyAlignment="1">
      <alignment vertical="center" wrapText="1"/>
    </xf>
    <xf numFmtId="0" fontId="0" fillId="0" borderId="81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14" fontId="0" fillId="0" borderId="67" xfId="0" applyNumberFormat="1" applyBorder="1" applyAlignment="1">
      <alignment horizontal="center" vertical="center" wrapText="1"/>
    </xf>
    <xf numFmtId="0" fontId="0" fillId="0" borderId="83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6" xfId="0" applyBorder="1" applyAlignment="1">
      <alignment horizontal="center" vertical="center" wrapText="1"/>
    </xf>
    <xf numFmtId="14" fontId="0" fillId="0" borderId="86" xfId="0" applyNumberFormat="1" applyBorder="1" applyAlignment="1">
      <alignment horizontal="center" vertical="center" wrapText="1"/>
    </xf>
    <xf numFmtId="0" fontId="0" fillId="0" borderId="87" xfId="0" applyBorder="1" applyAlignment="1">
      <alignment horizontal="center" vertical="center" wrapText="1"/>
    </xf>
    <xf numFmtId="0" fontId="0" fillId="0" borderId="69" xfId="0" quotePrefix="1" applyBorder="1" applyAlignment="1">
      <alignment vertical="center" wrapText="1"/>
    </xf>
    <xf numFmtId="0" fontId="0" fillId="0" borderId="68" xfId="0" quotePrefix="1" applyBorder="1" applyAlignment="1">
      <alignment vertical="center" wrapText="1"/>
    </xf>
    <xf numFmtId="0" fontId="0" fillId="0" borderId="84" xfId="0" quotePrefix="1" applyBorder="1" applyAlignment="1">
      <alignment vertical="center" wrapText="1"/>
    </xf>
    <xf numFmtId="0" fontId="0" fillId="0" borderId="85" xfId="0" quotePrefix="1" applyBorder="1" applyAlignment="1">
      <alignment vertical="center" wrapText="1"/>
    </xf>
    <xf numFmtId="8" fontId="10" fillId="0" borderId="0" xfId="0" applyNumberFormat="1" applyFont="1"/>
    <xf numFmtId="44" fontId="5" fillId="0" borderId="0" xfId="0" applyNumberFormat="1" applyFont="1"/>
    <xf numFmtId="0" fontId="5" fillId="2" borderId="19" xfId="0" applyFont="1" applyFill="1" applyBorder="1" applyAlignment="1">
      <alignment vertical="center"/>
    </xf>
    <xf numFmtId="0" fontId="5" fillId="3" borderId="19" xfId="0" applyFont="1" applyFill="1" applyBorder="1" applyAlignment="1">
      <alignment vertical="center"/>
    </xf>
    <xf numFmtId="9" fontId="0" fillId="0" borderId="67" xfId="4" applyFont="1" applyBorder="1" applyAlignment="1">
      <alignment horizontal="center" vertical="center" wrapText="1"/>
    </xf>
    <xf numFmtId="9" fontId="0" fillId="0" borderId="82" xfId="4" applyFont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8" fillId="0" borderId="52" xfId="0" applyFont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18" fillId="0" borderId="50" xfId="0" applyFont="1" applyBorder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16" fillId="0" borderId="46" xfId="0" applyFont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166" fontId="16" fillId="0" borderId="45" xfId="0" quotePrefix="1" applyNumberFormat="1" applyFont="1" applyBorder="1" applyAlignment="1">
      <alignment horizontal="center" vertical="center" wrapText="1"/>
    </xf>
    <xf numFmtId="166" fontId="16" fillId="0" borderId="45" xfId="0" applyNumberFormat="1" applyFont="1" applyBorder="1" applyAlignment="1">
      <alignment horizontal="center" vertical="center" wrapText="1"/>
    </xf>
    <xf numFmtId="0" fontId="16" fillId="2" borderId="45" xfId="0" applyFont="1" applyFill="1" applyBorder="1" applyAlignment="1">
      <alignment horizontal="center" vertical="center" wrapText="1"/>
    </xf>
    <xf numFmtId="0" fontId="16" fillId="2" borderId="44" xfId="0" applyFont="1" applyFill="1" applyBorder="1" applyAlignment="1">
      <alignment horizontal="center" vertical="center" wrapText="1"/>
    </xf>
    <xf numFmtId="0" fontId="21" fillId="0" borderId="64" xfId="0" applyFont="1" applyBorder="1" applyAlignment="1">
      <alignment horizontal="left" vertical="center" wrapText="1"/>
    </xf>
    <xf numFmtId="0" fontId="21" fillId="0" borderId="64" xfId="0" applyFont="1" applyBorder="1" applyAlignment="1">
      <alignment horizontal="right" vertical="center" wrapText="1"/>
    </xf>
    <xf numFmtId="0" fontId="17" fillId="0" borderId="55" xfId="0" applyFont="1" applyBorder="1" applyAlignment="1">
      <alignment horizontal="left" vertical="center" wrapText="1"/>
    </xf>
    <xf numFmtId="0" fontId="17" fillId="0" borderId="54" xfId="0" applyFont="1" applyBorder="1" applyAlignment="1">
      <alignment horizontal="left" vertical="center" wrapText="1"/>
    </xf>
    <xf numFmtId="0" fontId="17" fillId="0" borderId="63" xfId="0" applyFont="1" applyBorder="1" applyAlignment="1">
      <alignment horizontal="left" vertical="center" wrapText="1"/>
    </xf>
    <xf numFmtId="0" fontId="17" fillId="0" borderId="62" xfId="0" applyFont="1" applyBorder="1" applyAlignment="1">
      <alignment horizontal="left" vertical="center" wrapText="1"/>
    </xf>
    <xf numFmtId="0" fontId="17" fillId="0" borderId="54" xfId="0" applyFont="1" applyBorder="1" applyAlignment="1">
      <alignment vertical="center" wrapText="1"/>
    </xf>
    <xf numFmtId="0" fontId="25" fillId="0" borderId="66" xfId="0" applyFont="1" applyBorder="1" applyAlignment="1">
      <alignment horizontal="center" vertical="center"/>
    </xf>
    <xf numFmtId="0" fontId="17" fillId="0" borderId="53" xfId="0" applyFont="1" applyBorder="1" applyAlignment="1">
      <alignment horizontal="left" vertical="center" wrapText="1"/>
    </xf>
    <xf numFmtId="0" fontId="18" fillId="0" borderId="61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60" xfId="0" applyFont="1" applyBorder="1" applyAlignment="1">
      <alignment horizontal="center" vertical="center" wrapText="1"/>
    </xf>
    <xf numFmtId="0" fontId="18" fillId="0" borderId="57" xfId="0" applyFont="1" applyBorder="1" applyAlignment="1">
      <alignment horizontal="center" vertical="center" wrapText="1"/>
    </xf>
    <xf numFmtId="0" fontId="18" fillId="0" borderId="59" xfId="0" applyFont="1" applyBorder="1" applyAlignment="1">
      <alignment horizontal="center" vertical="center" wrapText="1"/>
    </xf>
    <xf numFmtId="0" fontId="18" fillId="0" borderId="56" xfId="0" applyFont="1" applyBorder="1" applyAlignment="1">
      <alignment horizontal="center" vertical="center" wrapText="1"/>
    </xf>
    <xf numFmtId="0" fontId="19" fillId="0" borderId="59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58" xfId="0" applyFont="1" applyBorder="1" applyAlignment="1">
      <alignment horizontal="center" vertical="center" wrapText="1"/>
    </xf>
    <xf numFmtId="0" fontId="19" fillId="0" borderId="56" xfId="0" applyFont="1" applyBorder="1" applyAlignment="1">
      <alignment horizontal="center" vertical="center" wrapText="1"/>
    </xf>
    <xf numFmtId="0" fontId="19" fillId="0" borderId="51" xfId="0" applyFont="1" applyBorder="1" applyAlignment="1">
      <alignment horizontal="center" vertical="center" wrapText="1"/>
    </xf>
    <xf numFmtId="0" fontId="19" fillId="0" borderId="50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6" fillId="4" borderId="0" xfId="0" applyFont="1" applyFill="1" applyAlignment="1">
      <alignment horizontal="center" vertical="center"/>
    </xf>
    <xf numFmtId="0" fontId="17" fillId="0" borderId="49" xfId="0" applyFont="1" applyBorder="1" applyAlignment="1">
      <alignment horizontal="left" vertical="center" wrapText="1"/>
    </xf>
    <xf numFmtId="0" fontId="17" fillId="0" borderId="48" xfId="0" applyFont="1" applyBorder="1" applyAlignment="1">
      <alignment horizontal="left" vertical="center" wrapText="1"/>
    </xf>
    <xf numFmtId="0" fontId="17" fillId="0" borderId="47" xfId="0" applyFont="1" applyBorder="1" applyAlignment="1">
      <alignment horizontal="left" vertical="center" wrapText="1"/>
    </xf>
    <xf numFmtId="0" fontId="5" fillId="3" borderId="20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10">
    <cellStyle name="Milliers" xfId="1" builtinId="3"/>
    <cellStyle name="Milliers 223" xfId="9" xr:uid="{2480DF97-5A20-44D8-A10D-0FD3D15A3991}"/>
    <cellStyle name="Monétaire" xfId="2" builtinId="4"/>
    <cellStyle name="Normal" xfId="0" builtinId="0"/>
    <cellStyle name="Normal 19" xfId="5" xr:uid="{6E2ECF53-3FB7-4511-8287-30401265D787}"/>
    <cellStyle name="Normal 20" xfId="6" xr:uid="{086EFA72-5B20-4962-8067-127E5D87E774}"/>
    <cellStyle name="Normal 6 2" xfId="7" xr:uid="{045135F1-FB43-4D46-BB81-A95723CAB9B0}"/>
    <cellStyle name="Normal 783" xfId="8" xr:uid="{72947DCC-14E9-4183-A3A8-42044E33DE8B}"/>
    <cellStyle name="Normal 92" xfId="3" xr:uid="{54D81386-B5E9-454F-B88F-463EF6E0AE6E}"/>
    <cellStyle name="Pourcentage" xfId="4" builtinId="5"/>
  </cellStyles>
  <dxfs count="32"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B6AC8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9B6AC8"/>
        </patternFill>
      </fill>
    </dxf>
  </dxfs>
  <tableStyles count="0" defaultTableStyle="TableStyleMedium2" defaultPivotStyle="PivotStyleLight16"/>
  <colors>
    <mruColors>
      <color rgb="FF9B6A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53</xdr:col>
      <xdr:colOff>0</xdr:colOff>
      <xdr:row>0</xdr:row>
      <xdr:rowOff>49120</xdr:rowOff>
    </xdr:from>
    <xdr:ext cx="2909361" cy="1546317"/>
    <xdr:pic>
      <xdr:nvPicPr>
        <xdr:cNvPr id="3" name="Image 2">
          <a:extLst>
            <a:ext uri="{FF2B5EF4-FFF2-40B4-BE49-F238E27FC236}">
              <a16:creationId xmlns:a16="http://schemas.microsoft.com/office/drawing/2014/main" id="{176BA03B-BBB2-4CDE-BCD1-CF33F5B8CA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319" t="30256" r="23736" b="28205"/>
        <a:stretch/>
      </xdr:blipFill>
      <xdr:spPr>
        <a:xfrm>
          <a:off x="140155651" y="51025"/>
          <a:ext cx="2909361" cy="1546317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../../AlbanMichaud/AppData/Local/Microsoft/Windows/INetCache/Content.Outlook/FXR2SF63/2019-12-04-ACT%20V4-LOT%2016%20ELE-%203-18-287%20(002).xlsm" TargetMode="External"/><Relationship Id="rId2" Type="http://schemas.openxmlformats.org/officeDocument/2006/relationships/externalLinkPath" Target="file:///C:\Users\AlbanMichaud\AppData\Local\Microsoft\Windows\INetCache\Content.Outlook\FXR2SF63\2019-12-04-ACT%20V4-LOT%2016%20ELE-%203-18-287%20(002).xlsm" TargetMode="External"/><Relationship Id="rId1" Type="http://schemas.openxmlformats.org/officeDocument/2006/relationships/externalLinkPath" Target="/Users/AlbanMichaud/AppData/Local/Microsoft/Windows/INetCache/Content.Outlook/FXR2SF63/2019-12-04-ACT%20V4-LOT%2016%20ELE-%203-18-287%20(002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UTORIEL"/>
      <sheetName val="Tableau V1"/>
      <sheetName val="Tableau V2"/>
      <sheetName val="DPGF V3"/>
      <sheetName val="DPGF V4"/>
      <sheetName val="GARDE"/>
      <sheetName val="BALAS"/>
      <sheetName val="BRUNET"/>
      <sheetName val="ENGIE"/>
      <sheetName val="PEZANT"/>
      <sheetName val="ACORUS"/>
      <sheetName val="RESOLUTION"/>
      <sheetName val="ENT 7"/>
      <sheetName val="ENT 8"/>
      <sheetName val="ENT 9"/>
      <sheetName val="ENT 10"/>
      <sheetName val="SYNTHESE"/>
      <sheetName val="CALCULS"/>
    </sheetNames>
    <sheetDataSet>
      <sheetData sheetId="0"/>
      <sheetData sheetId="1"/>
      <sheetData sheetId="2"/>
      <sheetData sheetId="3">
        <row r="705">
          <cell r="B705" t="str">
            <v>TYPE 1 - SPOT</v>
          </cell>
        </row>
      </sheetData>
      <sheetData sheetId="4">
        <row r="335">
          <cell r="J335">
            <v>3580.88</v>
          </cell>
        </row>
      </sheetData>
      <sheetData sheetId="5">
        <row r="9">
          <cell r="Y9">
            <v>0.4</v>
          </cell>
        </row>
      </sheetData>
      <sheetData sheetId="6">
        <row r="4">
          <cell r="D4" t="str">
            <v>INDICE INDICE</v>
          </cell>
        </row>
      </sheetData>
      <sheetData sheetId="7">
        <row r="121">
          <cell r="F121">
            <v>457356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B8">
            <v>1</v>
          </cell>
          <cell r="C8" t="str">
            <v>BALAS</v>
          </cell>
          <cell r="D8">
            <v>470000</v>
          </cell>
          <cell r="E8">
            <v>470000</v>
          </cell>
          <cell r="F8">
            <v>470000</v>
          </cell>
          <cell r="G8">
            <v>470000</v>
          </cell>
          <cell r="H8">
            <v>470000</v>
          </cell>
          <cell r="I8">
            <v>0</v>
          </cell>
          <cell r="J8">
            <v>10</v>
          </cell>
          <cell r="K8">
            <v>10</v>
          </cell>
        </row>
        <row r="9">
          <cell r="B9">
            <v>3</v>
          </cell>
          <cell r="C9" t="str">
            <v>BRUNET</v>
          </cell>
          <cell r="D9">
            <v>598031</v>
          </cell>
          <cell r="E9">
            <v>598031</v>
          </cell>
          <cell r="F9">
            <v>598031</v>
          </cell>
          <cell r="G9">
            <v>598031</v>
          </cell>
          <cell r="H9">
            <v>598031</v>
          </cell>
          <cell r="I9">
            <v>0</v>
          </cell>
          <cell r="J9">
            <v>7.2759361702127663</v>
          </cell>
          <cell r="K9">
            <v>7.2759361702127663</v>
          </cell>
        </row>
        <row r="10">
          <cell r="B10">
            <v>2</v>
          </cell>
          <cell r="C10" t="str">
            <v>ENGIE</v>
          </cell>
          <cell r="D10">
            <v>519000</v>
          </cell>
          <cell r="E10">
            <v>519000</v>
          </cell>
          <cell r="F10">
            <v>519000</v>
          </cell>
          <cell r="G10">
            <v>519000</v>
          </cell>
          <cell r="H10">
            <v>519000</v>
          </cell>
          <cell r="I10">
            <v>0</v>
          </cell>
          <cell r="J10">
            <v>8.9574468085106389</v>
          </cell>
          <cell r="K10">
            <v>8.9574468085106389</v>
          </cell>
        </row>
        <row r="11">
          <cell r="B11">
            <v>5</v>
          </cell>
          <cell r="C11" t="str">
            <v>PEZANT</v>
          </cell>
          <cell r="D11">
            <v>633804.28720000002</v>
          </cell>
          <cell r="E11">
            <v>633804.28720000002</v>
          </cell>
          <cell r="F11">
            <v>633804.28720000002</v>
          </cell>
          <cell r="G11">
            <v>633804.28720000002</v>
          </cell>
          <cell r="H11">
            <v>633804.28720000002</v>
          </cell>
          <cell r="I11">
            <v>0</v>
          </cell>
          <cell r="J11">
            <v>6.5148023999999989</v>
          </cell>
          <cell r="K11">
            <v>6.5148023999999989</v>
          </cell>
        </row>
        <row r="12">
          <cell r="B12">
            <v>6</v>
          </cell>
          <cell r="C12" t="str">
            <v>ACORUS</v>
          </cell>
          <cell r="D12">
            <v>738193.56</v>
          </cell>
          <cell r="E12">
            <v>738193.56</v>
          </cell>
          <cell r="F12">
            <v>738193.56</v>
          </cell>
          <cell r="G12">
            <v>738193.56</v>
          </cell>
          <cell r="H12">
            <v>738193.56</v>
          </cell>
          <cell r="I12">
            <v>0</v>
          </cell>
          <cell r="J12">
            <v>4.293754042553191</v>
          </cell>
          <cell r="K12">
            <v>4.293754042553191</v>
          </cell>
        </row>
        <row r="13">
          <cell r="B13">
            <v>4</v>
          </cell>
          <cell r="C13" t="str">
            <v>RESOLUTION</v>
          </cell>
          <cell r="D13">
            <v>608074.30000000005</v>
          </cell>
          <cell r="E13">
            <v>608074.30000000005</v>
          </cell>
          <cell r="F13">
            <v>608074.30000000005</v>
          </cell>
          <cell r="G13">
            <v>608074.30000000005</v>
          </cell>
          <cell r="H13">
            <v>608074.30000000005</v>
          </cell>
          <cell r="I13">
            <v>0</v>
          </cell>
          <cell r="J13">
            <v>7.0622489361702119</v>
          </cell>
          <cell r="K13">
            <v>7.0622489361702119</v>
          </cell>
        </row>
        <row r="14">
          <cell r="B14" t="str">
            <v/>
          </cell>
          <cell r="C14" t="str">
            <v/>
          </cell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</row>
        <row r="15">
          <cell r="B15" t="str">
            <v/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</row>
        <row r="16">
          <cell r="B16" t="str">
            <v/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</row>
        <row r="17">
          <cell r="B17" t="str">
            <v/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</row>
        <row r="22">
          <cell r="B22">
            <v>1</v>
          </cell>
          <cell r="C22" t="str">
            <v>BALAS</v>
          </cell>
          <cell r="D22">
            <v>442378.82</v>
          </cell>
          <cell r="E22">
            <v>442378.82</v>
          </cell>
          <cell r="F22" t="str">
            <v>CONFORME</v>
          </cell>
          <cell r="G22">
            <v>442378.82</v>
          </cell>
          <cell r="H22">
            <v>442378.82</v>
          </cell>
          <cell r="I22">
            <v>442378.82</v>
          </cell>
          <cell r="J22">
            <v>0</v>
          </cell>
          <cell r="K22">
            <v>10</v>
          </cell>
          <cell r="L22">
            <v>10</v>
          </cell>
        </row>
        <row r="23">
          <cell r="B23">
            <v>2</v>
          </cell>
          <cell r="C23" t="str">
            <v>BRUNET</v>
          </cell>
          <cell r="D23">
            <v>517088</v>
          </cell>
          <cell r="E23">
            <v>517088</v>
          </cell>
          <cell r="F23" t="str">
            <v>CONFORME</v>
          </cell>
          <cell r="G23">
            <v>517088</v>
          </cell>
          <cell r="H23">
            <v>517088</v>
          </cell>
          <cell r="I23">
            <v>517088</v>
          </cell>
          <cell r="J23">
            <v>0</v>
          </cell>
          <cell r="K23">
            <v>8.3111944645089473</v>
          </cell>
          <cell r="L23">
            <v>8.3111944645089473</v>
          </cell>
        </row>
        <row r="24">
          <cell r="B24">
            <v>3</v>
          </cell>
          <cell r="C24" t="str">
            <v>ENGIE</v>
          </cell>
          <cell r="D24">
            <v>545068.21</v>
          </cell>
          <cell r="E24">
            <v>545068.21</v>
          </cell>
          <cell r="F24" t="str">
            <v>CONFORME</v>
          </cell>
          <cell r="G24">
            <v>545068.21</v>
          </cell>
          <cell r="H24">
            <v>545068.21</v>
          </cell>
          <cell r="I24">
            <v>545068.21</v>
          </cell>
          <cell r="J24">
            <v>0</v>
          </cell>
          <cell r="K24">
            <v>7.6787001240249264</v>
          </cell>
          <cell r="L24">
            <v>7.6787001240249264</v>
          </cell>
        </row>
        <row r="25">
          <cell r="C25" t="str">
            <v>PEZANT</v>
          </cell>
          <cell r="D25">
            <v>633804.28720000002</v>
          </cell>
          <cell r="E25">
            <v>633804.28720000002</v>
          </cell>
          <cell r="F25" t="str">
            <v>NON CONFORME</v>
          </cell>
          <cell r="G25">
            <v>633804.28720000002</v>
          </cell>
          <cell r="H25">
            <v>633804.28720000002</v>
          </cell>
          <cell r="I25">
            <v>633804.28720000002</v>
          </cell>
          <cell r="J25">
            <v>0</v>
          </cell>
          <cell r="K25">
            <v>0</v>
          </cell>
          <cell r="L25">
            <v>0</v>
          </cell>
        </row>
        <row r="26">
          <cell r="C26" t="str">
            <v>ACORUS</v>
          </cell>
          <cell r="D26">
            <v>738193.56</v>
          </cell>
          <cell r="E26">
            <v>738193.56</v>
          </cell>
          <cell r="F26" t="str">
            <v>NON CONFORME</v>
          </cell>
          <cell r="G26">
            <v>738193.56</v>
          </cell>
          <cell r="H26">
            <v>738193.56</v>
          </cell>
          <cell r="I26">
            <v>738193.56</v>
          </cell>
          <cell r="J26">
            <v>0</v>
          </cell>
          <cell r="K26">
            <v>0</v>
          </cell>
          <cell r="L26">
            <v>0</v>
          </cell>
        </row>
        <row r="27">
          <cell r="C27" t="str">
            <v>RESOLUTION</v>
          </cell>
          <cell r="D27">
            <v>608074.30000000005</v>
          </cell>
          <cell r="E27">
            <v>608074.30000000005</v>
          </cell>
          <cell r="F27" t="str">
            <v>NON CONFORME</v>
          </cell>
          <cell r="G27">
            <v>608074.30000000005</v>
          </cell>
          <cell r="H27">
            <v>608074.30000000005</v>
          </cell>
          <cell r="I27">
            <v>608074.30000000005</v>
          </cell>
          <cell r="J27">
            <v>0</v>
          </cell>
          <cell r="K27">
            <v>0</v>
          </cell>
          <cell r="L27">
            <v>0</v>
          </cell>
        </row>
        <row r="28">
          <cell r="B28" t="str">
            <v/>
          </cell>
          <cell r="C28" t="str">
            <v/>
          </cell>
          <cell r="D28" t="str">
            <v/>
          </cell>
          <cell r="E28" t="str">
            <v/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  <cell r="L28" t="str">
            <v/>
          </cell>
        </row>
        <row r="29">
          <cell r="B29" t="str">
            <v/>
          </cell>
          <cell r="C29" t="str">
            <v/>
          </cell>
          <cell r="D29" t="str">
            <v/>
          </cell>
          <cell r="E29" t="str">
            <v/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/>
          </cell>
          <cell r="K29" t="str">
            <v/>
          </cell>
          <cell r="L29" t="str">
            <v/>
          </cell>
        </row>
        <row r="30">
          <cell r="B30" t="str">
            <v/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/>
          </cell>
          <cell r="H30" t="str">
            <v/>
          </cell>
          <cell r="I30" t="str">
            <v/>
          </cell>
          <cell r="J30" t="str">
            <v/>
          </cell>
          <cell r="K30" t="str">
            <v/>
          </cell>
          <cell r="L30" t="str">
            <v/>
          </cell>
        </row>
        <row r="31">
          <cell r="B31" t="str">
            <v/>
          </cell>
          <cell r="C31" t="str">
            <v/>
          </cell>
          <cell r="D31" t="str">
            <v/>
          </cell>
          <cell r="E31" t="str">
            <v/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/>
          </cell>
          <cell r="K31" t="str">
            <v/>
          </cell>
          <cell r="L31" t="str">
            <v/>
          </cell>
        </row>
        <row r="36">
          <cell r="B36">
            <v>1</v>
          </cell>
          <cell r="C36" t="str">
            <v>BALAS</v>
          </cell>
          <cell r="D36">
            <v>440173.49</v>
          </cell>
          <cell r="E36">
            <v>440173.49</v>
          </cell>
          <cell r="F36">
            <v>440173.49</v>
          </cell>
          <cell r="G36">
            <v>440173.49</v>
          </cell>
          <cell r="H36">
            <v>440173.49</v>
          </cell>
          <cell r="I36">
            <v>0</v>
          </cell>
          <cell r="J36">
            <v>10</v>
          </cell>
          <cell r="K36">
            <v>10</v>
          </cell>
        </row>
        <row r="37">
          <cell r="B37">
            <v>2</v>
          </cell>
          <cell r="C37" t="str">
            <v>BRUNET</v>
          </cell>
          <cell r="D37">
            <v>457356</v>
          </cell>
          <cell r="E37">
            <v>457356</v>
          </cell>
          <cell r="F37">
            <v>457356</v>
          </cell>
          <cell r="G37">
            <v>457356</v>
          </cell>
          <cell r="H37">
            <v>457356</v>
          </cell>
          <cell r="I37">
            <v>0</v>
          </cell>
          <cell r="J37">
            <v>9.6096423253476715</v>
          </cell>
          <cell r="K37">
            <v>9.6096423253476715</v>
          </cell>
        </row>
        <row r="38">
          <cell r="B38">
            <v>3</v>
          </cell>
          <cell r="C38" t="str">
            <v>ENGIE</v>
          </cell>
          <cell r="D38">
            <v>505596.64</v>
          </cell>
          <cell r="E38">
            <v>505596.64</v>
          </cell>
          <cell r="F38">
            <v>505596.64</v>
          </cell>
          <cell r="G38">
            <v>505596.64</v>
          </cell>
          <cell r="H38">
            <v>505596.64</v>
          </cell>
          <cell r="I38">
            <v>0</v>
          </cell>
          <cell r="J38">
            <v>8.5136962700775083</v>
          </cell>
          <cell r="K38">
            <v>8.5136962700775083</v>
          </cell>
        </row>
        <row r="39">
          <cell r="B39" t="str">
            <v/>
          </cell>
          <cell r="C39" t="str">
            <v>PEZANT</v>
          </cell>
          <cell r="D39">
            <v>0</v>
          </cell>
          <cell r="E39" t="str">
            <v xml:space="preserve"> </v>
          </cell>
          <cell r="F39" t="str">
            <v/>
          </cell>
          <cell r="G39" t="str">
            <v/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</row>
        <row r="40">
          <cell r="B40" t="str">
            <v/>
          </cell>
          <cell r="C40" t="str">
            <v>ACORUS</v>
          </cell>
          <cell r="D40">
            <v>0</v>
          </cell>
          <cell r="E40" t="str">
            <v xml:space="preserve"> </v>
          </cell>
          <cell r="F40" t="str">
            <v/>
          </cell>
          <cell r="G40" t="str">
            <v/>
          </cell>
          <cell r="H40" t="str">
            <v/>
          </cell>
          <cell r="I40" t="str">
            <v/>
          </cell>
          <cell r="J40" t="str">
            <v/>
          </cell>
          <cell r="K40" t="str">
            <v/>
          </cell>
        </row>
        <row r="41">
          <cell r="B41" t="str">
            <v/>
          </cell>
          <cell r="C41" t="str">
            <v>RESOLUTION</v>
          </cell>
          <cell r="D41">
            <v>0</v>
          </cell>
          <cell r="E41" t="str">
            <v xml:space="preserve"> </v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/>
          </cell>
          <cell r="K41" t="str">
            <v/>
          </cell>
        </row>
        <row r="42">
          <cell r="B42" t="str">
            <v/>
          </cell>
          <cell r="C42" t="str">
            <v/>
          </cell>
          <cell r="D42" t="str">
            <v/>
          </cell>
          <cell r="E42" t="str">
            <v/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/>
          </cell>
          <cell r="K42" t="str">
            <v/>
          </cell>
        </row>
        <row r="43">
          <cell r="B43" t="str">
            <v/>
          </cell>
          <cell r="C43" t="str">
            <v/>
          </cell>
          <cell r="D43" t="str">
            <v/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/>
          </cell>
          <cell r="K43" t="str">
            <v/>
          </cell>
        </row>
        <row r="44">
          <cell r="B44" t="str">
            <v/>
          </cell>
          <cell r="C44" t="str">
            <v/>
          </cell>
          <cell r="D44" t="str">
            <v/>
          </cell>
          <cell r="E44" t="str">
            <v/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</row>
        <row r="45">
          <cell r="B45" t="str">
            <v/>
          </cell>
          <cell r="C45" t="str">
            <v/>
          </cell>
          <cell r="D45" t="str">
            <v/>
          </cell>
          <cell r="E45" t="str">
            <v/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/>
          </cell>
          <cell r="K45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17B60-AF7E-4F6C-BE1B-BB00DB8E864E}">
  <sheetPr codeName="Feuil4">
    <tabColor rgb="FF00B0F0"/>
    <pageSetUpPr fitToPage="1"/>
  </sheetPr>
  <dimension ref="A1:AE32"/>
  <sheetViews>
    <sheetView showGridLines="0" view="pageBreakPreview" zoomScale="70" zoomScaleNormal="100" zoomScaleSheetLayoutView="70" workbookViewId="0">
      <selection activeCell="Q30" activeCellId="7" sqref="A23:C23 D23:F23 G23:U23 A27:U27 A30:E30 F30:K30 L30:P30 Q30:U30"/>
    </sheetView>
  </sheetViews>
  <sheetFormatPr baseColWidth="10" defaultColWidth="11.44140625" defaultRowHeight="14.4" outlineLevelCol="1" x14ac:dyDescent="0.3"/>
  <cols>
    <col min="1" max="21" width="4.5546875" customWidth="1"/>
    <col min="22" max="30" width="11.44140625" hidden="1" customWidth="1" outlineLevel="1"/>
    <col min="31" max="31" width="11.44140625" collapsed="1"/>
  </cols>
  <sheetData>
    <row r="1" spans="1:30" ht="18" x14ac:dyDescent="0.3">
      <c r="A1" s="186" t="s">
        <v>70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</row>
    <row r="2" spans="1:30" x14ac:dyDescent="0.3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</row>
    <row r="3" spans="1:30" ht="28.2" x14ac:dyDescent="0.3">
      <c r="A3" s="200" t="str">
        <f>'Feuille de Donnée'!F3</f>
        <v>Maitre d'ouvrage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5" t="s">
        <v>69</v>
      </c>
      <c r="W3" s="205"/>
      <c r="X3" s="205"/>
      <c r="Y3" s="205"/>
      <c r="Z3" s="205"/>
      <c r="AA3" s="205"/>
      <c r="AB3" s="205"/>
      <c r="AC3" s="205"/>
      <c r="AD3" s="205"/>
    </row>
    <row r="4" spans="1:30" ht="20.399999999999999" x14ac:dyDescent="0.3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4" t="s">
        <v>68</v>
      </c>
      <c r="W4" s="204"/>
      <c r="X4" s="204"/>
      <c r="Y4" s="204"/>
      <c r="Z4" s="95">
        <v>10</v>
      </c>
      <c r="AA4" t="s">
        <v>67</v>
      </c>
    </row>
    <row r="5" spans="1:30" ht="28.5" customHeight="1" x14ac:dyDescent="0.3">
      <c r="A5" s="94"/>
      <c r="B5" s="94"/>
      <c r="C5" s="94"/>
      <c r="D5" s="94"/>
      <c r="E5" s="94"/>
      <c r="F5" s="94"/>
      <c r="G5" s="94"/>
      <c r="H5" s="94"/>
      <c r="I5" s="94"/>
      <c r="J5" s="94"/>
      <c r="K5" s="94"/>
      <c r="L5" s="94"/>
      <c r="M5" s="89"/>
      <c r="N5" s="89"/>
      <c r="O5" s="89"/>
      <c r="P5" s="89"/>
      <c r="Q5" s="89"/>
      <c r="R5" s="89"/>
      <c r="S5" s="89"/>
      <c r="T5" s="89"/>
      <c r="U5" s="89"/>
    </row>
    <row r="6" spans="1:30" ht="18" customHeight="1" x14ac:dyDescent="0.3">
      <c r="A6" s="186" t="s">
        <v>66</v>
      </c>
      <c r="B6" s="186"/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W6" t="s">
        <v>65</v>
      </c>
      <c r="Y6" s="93">
        <v>0.4</v>
      </c>
    </row>
    <row r="7" spans="1:30" ht="41.4" customHeight="1" x14ac:dyDescent="0.3">
      <c r="A7" s="203" t="str">
        <f>'Feuille de Donnée'!H3</f>
        <v xml:space="preserve">Déscription de l'affaire
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203"/>
      <c r="T7" s="203"/>
      <c r="U7" s="203"/>
    </row>
    <row r="8" spans="1:30" ht="43.95" customHeight="1" x14ac:dyDescent="0.3">
      <c r="A8" s="203"/>
      <c r="B8" s="203"/>
      <c r="C8" s="203"/>
      <c r="D8" s="203"/>
      <c r="E8" s="203"/>
      <c r="F8" s="203"/>
      <c r="G8" s="203"/>
      <c r="H8" s="203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203"/>
    </row>
    <row r="9" spans="1:30" ht="15" customHeight="1" x14ac:dyDescent="0.3">
      <c r="A9" s="189" t="str">
        <f>'Feuille de Donnée'!I3</f>
        <v>1 rue de l'adresse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</row>
    <row r="10" spans="1:30" ht="28.2" x14ac:dyDescent="0.3">
      <c r="A10" s="202"/>
      <c r="B10" s="202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</row>
    <row r="11" spans="1:30" ht="54" customHeight="1" x14ac:dyDescent="0.3">
      <c r="A11" s="92"/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</row>
    <row r="12" spans="1:30" ht="28.2" x14ac:dyDescent="0.3">
      <c r="A12" s="91" t="s">
        <v>64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</row>
    <row r="13" spans="1:30" ht="52.5" customHeight="1" x14ac:dyDescent="0.3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89"/>
      <c r="N13" s="89"/>
      <c r="O13" s="89"/>
      <c r="P13" s="89"/>
      <c r="Q13" s="89"/>
      <c r="R13" s="89"/>
      <c r="S13" s="89"/>
      <c r="T13" s="89"/>
      <c r="U13" s="89"/>
    </row>
    <row r="14" spans="1:30" x14ac:dyDescent="0.3">
      <c r="A14" s="86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</row>
    <row r="15" spans="1:30" ht="15.75" customHeight="1" x14ac:dyDescent="0.3">
      <c r="A15" s="179" t="s">
        <v>63</v>
      </c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80"/>
      <c r="O15" s="180"/>
      <c r="P15" s="180"/>
      <c r="Q15" s="180"/>
      <c r="R15" s="180"/>
      <c r="S15" s="180"/>
      <c r="T15" s="180"/>
      <c r="U15" s="180"/>
      <c r="V15" s="88"/>
    </row>
    <row r="16" spans="1:30" ht="15" customHeight="1" x14ac:dyDescent="0.3">
      <c r="A16" s="179" t="s">
        <v>62</v>
      </c>
      <c r="B16" s="179"/>
      <c r="C16" s="179"/>
      <c r="D16" s="179"/>
      <c r="E16" s="179"/>
      <c r="F16" s="179"/>
      <c r="G16" s="179" t="str">
        <f>'Feuille de Donnée'!G3</f>
        <v>Maitre d'œuvre</v>
      </c>
      <c r="H16" s="179"/>
      <c r="I16" s="179"/>
      <c r="J16" s="179"/>
      <c r="K16" s="179"/>
      <c r="L16" s="179"/>
      <c r="M16" s="179"/>
      <c r="N16" s="180"/>
      <c r="O16" s="180"/>
      <c r="P16" s="180"/>
      <c r="Q16" s="180"/>
      <c r="R16" s="180"/>
      <c r="S16" s="180"/>
      <c r="T16" s="180"/>
      <c r="U16" s="180"/>
      <c r="V16" s="87"/>
    </row>
    <row r="17" spans="1:22" ht="15" customHeight="1" x14ac:dyDescent="0.3">
      <c r="A17" s="179" t="s">
        <v>61</v>
      </c>
      <c r="B17" s="179"/>
      <c r="C17" s="179"/>
      <c r="D17" s="179"/>
      <c r="E17" s="179"/>
      <c r="F17" s="179"/>
      <c r="G17" s="179" t="s">
        <v>78</v>
      </c>
      <c r="H17" s="179"/>
      <c r="I17" s="179"/>
      <c r="J17" s="179"/>
      <c r="K17" s="179"/>
      <c r="L17" s="179"/>
      <c r="M17" s="179"/>
      <c r="N17" s="180"/>
      <c r="O17" s="180"/>
      <c r="P17" s="180"/>
      <c r="Q17" s="180"/>
      <c r="R17" s="180"/>
      <c r="S17" s="180"/>
      <c r="T17" s="180"/>
      <c r="U17" s="180"/>
      <c r="V17" s="87"/>
    </row>
    <row r="18" spans="1:22" ht="15" customHeight="1" x14ac:dyDescent="0.3">
      <c r="A18" s="179" t="s">
        <v>60</v>
      </c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80"/>
      <c r="O18" s="180"/>
      <c r="P18" s="180"/>
      <c r="Q18" s="180"/>
      <c r="R18" s="180"/>
      <c r="S18" s="180"/>
      <c r="T18" s="180"/>
      <c r="U18" s="180"/>
      <c r="V18" s="87"/>
    </row>
    <row r="19" spans="1:22" ht="15" customHeight="1" x14ac:dyDescent="0.3">
      <c r="A19" s="179" t="s">
        <v>59</v>
      </c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80"/>
      <c r="O19" s="180"/>
      <c r="P19" s="180"/>
      <c r="Q19" s="180"/>
      <c r="R19" s="180"/>
      <c r="S19" s="180"/>
      <c r="T19" s="180"/>
      <c r="U19" s="180"/>
      <c r="V19" s="87"/>
    </row>
    <row r="20" spans="1:22" x14ac:dyDescent="0.3">
      <c r="A20" s="179" t="s">
        <v>58</v>
      </c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80"/>
      <c r="O20" s="180"/>
      <c r="P20" s="180"/>
      <c r="Q20" s="180"/>
      <c r="R20" s="180"/>
      <c r="S20" s="180"/>
      <c r="T20" s="180"/>
      <c r="U20" s="180"/>
      <c r="V20" s="87"/>
    </row>
    <row r="21" spans="1:22" x14ac:dyDescent="0.3">
      <c r="A21" s="179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80"/>
      <c r="O21" s="180"/>
      <c r="P21" s="180"/>
      <c r="Q21" s="180"/>
      <c r="R21" s="180"/>
      <c r="S21" s="180"/>
      <c r="T21" s="180"/>
      <c r="U21" s="180"/>
    </row>
    <row r="22" spans="1:22" ht="15.75" customHeight="1" thickBot="1" x14ac:dyDescent="0.35">
      <c r="A22" s="86"/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</row>
    <row r="23" spans="1:22" ht="20.25" customHeight="1" thickTop="1" x14ac:dyDescent="0.3">
      <c r="A23" s="181" t="s">
        <v>57</v>
      </c>
      <c r="B23" s="182"/>
      <c r="C23" s="183"/>
      <c r="D23" s="184" t="s">
        <v>56</v>
      </c>
      <c r="E23" s="182"/>
      <c r="F23" s="183"/>
      <c r="G23" s="184" t="s">
        <v>55</v>
      </c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182"/>
      <c r="T23" s="182"/>
      <c r="U23" s="187"/>
    </row>
    <row r="24" spans="1:22" ht="16.5" customHeight="1" x14ac:dyDescent="0.3">
      <c r="A24" s="188" t="s">
        <v>10</v>
      </c>
      <c r="B24" s="189"/>
      <c r="C24" s="190"/>
      <c r="D24" s="192" t="e">
        <f ca="1">'Feuille de Donnée'!M3</f>
        <v>#VALUE!</v>
      </c>
      <c r="E24" s="189"/>
      <c r="F24" s="190"/>
      <c r="G24" s="194" t="e">
        <f ca="1">'Feuille de Donnée'!J3</f>
        <v>#VALUE!</v>
      </c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6"/>
    </row>
    <row r="25" spans="1:22" ht="15" thickBot="1" x14ac:dyDescent="0.35">
      <c r="A25" s="169"/>
      <c r="B25" s="170"/>
      <c r="C25" s="191"/>
      <c r="D25" s="193"/>
      <c r="E25" s="170"/>
      <c r="F25" s="191"/>
      <c r="G25" s="197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9"/>
    </row>
    <row r="26" spans="1:22" ht="15.75" customHeight="1" thickTop="1" thickBot="1" x14ac:dyDescent="0.35">
      <c r="A26" s="185"/>
      <c r="B26" s="185"/>
      <c r="C26" s="185"/>
      <c r="D26" s="185"/>
      <c r="E26" s="185"/>
      <c r="F26" s="185"/>
      <c r="G26" s="172"/>
      <c r="H26" s="172"/>
      <c r="I26" s="172"/>
      <c r="J26" s="172"/>
      <c r="K26" s="172"/>
      <c r="L26" s="172"/>
      <c r="M26" s="172"/>
      <c r="N26" s="85"/>
      <c r="O26" s="172"/>
      <c r="P26" s="172"/>
    </row>
    <row r="27" spans="1:22" ht="21" customHeight="1" thickTop="1" x14ac:dyDescent="0.3">
      <c r="A27" s="181" t="s">
        <v>54</v>
      </c>
      <c r="B27" s="182"/>
      <c r="C27" s="182"/>
      <c r="D27" s="182"/>
      <c r="E27" s="182"/>
      <c r="F27" s="182"/>
      <c r="G27" s="182"/>
      <c r="H27" s="182"/>
      <c r="I27" s="182"/>
      <c r="J27" s="182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7"/>
    </row>
    <row r="28" spans="1:22" ht="17.25" customHeight="1" thickBot="1" x14ac:dyDescent="0.35">
      <c r="A28" s="169" t="s">
        <v>53</v>
      </c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170"/>
      <c r="U28" s="171"/>
    </row>
    <row r="29" spans="1:22" ht="15.75" customHeight="1" thickTop="1" thickBot="1" x14ac:dyDescent="0.35">
      <c r="A29" s="172"/>
      <c r="B29" s="172"/>
      <c r="C29" s="172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85"/>
      <c r="O29" s="85"/>
      <c r="P29" s="85"/>
    </row>
    <row r="30" spans="1:22" ht="15.75" customHeight="1" thickTop="1" x14ac:dyDescent="0.3">
      <c r="A30" s="206" t="s">
        <v>52</v>
      </c>
      <c r="B30" s="207"/>
      <c r="C30" s="207"/>
      <c r="D30" s="207"/>
      <c r="E30" s="207"/>
      <c r="F30" s="207" t="s">
        <v>51</v>
      </c>
      <c r="G30" s="207"/>
      <c r="H30" s="207"/>
      <c r="I30" s="207"/>
      <c r="J30" s="207"/>
      <c r="K30" s="207"/>
      <c r="L30" s="207" t="s">
        <v>50</v>
      </c>
      <c r="M30" s="207"/>
      <c r="N30" s="207"/>
      <c r="O30" s="207"/>
      <c r="P30" s="207"/>
      <c r="Q30" s="207" t="s">
        <v>49</v>
      </c>
      <c r="R30" s="207"/>
      <c r="S30" s="207"/>
      <c r="T30" s="207"/>
      <c r="U30" s="208"/>
    </row>
    <row r="31" spans="1:22" ht="15" thickBot="1" x14ac:dyDescent="0.35">
      <c r="A31" s="173" t="e">
        <f ca="1">'Feuille de Donnée'!L3</f>
        <v>#VALUE!</v>
      </c>
      <c r="B31" s="174"/>
      <c r="C31" s="174"/>
      <c r="D31" s="174"/>
      <c r="E31" s="174"/>
      <c r="F31" s="175">
        <f ca="1">'Feuille de Donnée'!C3</f>
        <v>46184</v>
      </c>
      <c r="G31" s="176"/>
      <c r="H31" s="176"/>
      <c r="I31" s="176"/>
      <c r="J31" s="176"/>
      <c r="K31" s="176"/>
      <c r="L31" s="177"/>
      <c r="M31" s="177"/>
      <c r="N31" s="177"/>
      <c r="O31" s="177"/>
      <c r="P31" s="177"/>
      <c r="Q31" s="177"/>
      <c r="R31" s="177"/>
      <c r="S31" s="177"/>
      <c r="T31" s="177"/>
      <c r="U31" s="178"/>
    </row>
    <row r="32" spans="1:22" ht="15" thickTop="1" x14ac:dyDescent="0.3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</row>
  </sheetData>
  <mergeCells count="49">
    <mergeCell ref="V4:Y4"/>
    <mergeCell ref="V3:AD3"/>
    <mergeCell ref="A30:E30"/>
    <mergeCell ref="F30:K30"/>
    <mergeCell ref="L30:P30"/>
    <mergeCell ref="Q30:U30"/>
    <mergeCell ref="A27:U27"/>
    <mergeCell ref="A20:F20"/>
    <mergeCell ref="G20:M20"/>
    <mergeCell ref="N20:U20"/>
    <mergeCell ref="A18:F18"/>
    <mergeCell ref="G18:M18"/>
    <mergeCell ref="N18:U18"/>
    <mergeCell ref="A19:F19"/>
    <mergeCell ref="G19:M19"/>
    <mergeCell ref="N19:U19"/>
    <mergeCell ref="A1:U1"/>
    <mergeCell ref="A3:U3"/>
    <mergeCell ref="A4:U4"/>
    <mergeCell ref="A10:U10"/>
    <mergeCell ref="A7:U8"/>
    <mergeCell ref="A9:U9"/>
    <mergeCell ref="A26:M26"/>
    <mergeCell ref="O26:P26"/>
    <mergeCell ref="G16:M16"/>
    <mergeCell ref="N16:U16"/>
    <mergeCell ref="A6:U6"/>
    <mergeCell ref="A17:F17"/>
    <mergeCell ref="G17:M17"/>
    <mergeCell ref="N17:U17"/>
    <mergeCell ref="A15:F15"/>
    <mergeCell ref="G15:M15"/>
    <mergeCell ref="N15:U15"/>
    <mergeCell ref="A16:F16"/>
    <mergeCell ref="G23:U23"/>
    <mergeCell ref="A24:C25"/>
    <mergeCell ref="D24:F25"/>
    <mergeCell ref="G24:U25"/>
    <mergeCell ref="A21:F21"/>
    <mergeCell ref="G21:M21"/>
    <mergeCell ref="N21:U21"/>
    <mergeCell ref="A23:C23"/>
    <mergeCell ref="D23:F23"/>
    <mergeCell ref="A28:U28"/>
    <mergeCell ref="A29:M29"/>
    <mergeCell ref="A31:E31"/>
    <mergeCell ref="F31:K31"/>
    <mergeCell ref="L31:P31"/>
    <mergeCell ref="Q31:U31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63207-05E3-4DE5-AADF-4C1C73AA19F1}">
  <sheetPr codeName="Feuil1">
    <tabColor rgb="FFFFFF00"/>
    <pageSetUpPr fitToPage="1"/>
  </sheetPr>
  <dimension ref="A1:BK172"/>
  <sheetViews>
    <sheetView tabSelected="1" view="pageBreakPreview" topLeftCell="A11" zoomScale="55" zoomScaleNormal="70" zoomScaleSheetLayoutView="55" workbookViewId="0">
      <selection activeCell="D28" sqref="D28"/>
    </sheetView>
  </sheetViews>
  <sheetFormatPr baseColWidth="10" defaultColWidth="11.5546875" defaultRowHeight="23.4" outlineLevelRow="1" outlineLevelCol="2" x14ac:dyDescent="0.45"/>
  <cols>
    <col min="1" max="1" width="15.6640625" style="1" customWidth="1"/>
    <col min="2" max="4" width="50.109375" style="1" customWidth="1"/>
    <col min="5" max="5" width="10.6640625" style="1" customWidth="1"/>
    <col min="6" max="6" width="16.109375" style="1" bestFit="1" customWidth="1"/>
    <col min="7" max="7" width="23" style="9" bestFit="1" customWidth="1"/>
    <col min="8" max="8" width="25.5546875" style="9" customWidth="1"/>
    <col min="9" max="9" width="6" style="2" customWidth="1"/>
    <col min="10" max="10" width="16.109375" style="2" customWidth="1"/>
    <col min="11" max="11" width="20" style="2" customWidth="1"/>
    <col min="12" max="12" width="23" style="2" bestFit="1" customWidth="1"/>
    <col min="13" max="14" width="15.109375" style="40" customWidth="1"/>
    <col min="15" max="15" width="22.6640625" style="40" customWidth="1" outlineLevel="2"/>
    <col min="16" max="16" width="96" style="40" customWidth="1" outlineLevel="1"/>
    <col min="17" max="17" width="18.88671875" style="40" customWidth="1" outlineLevel="1"/>
    <col min="18" max="18" width="6" style="2" customWidth="1"/>
    <col min="19" max="19" width="16.109375" style="2" customWidth="1"/>
    <col min="20" max="20" width="20" style="2" customWidth="1"/>
    <col min="21" max="21" width="23.5546875" style="2" customWidth="1"/>
    <col min="22" max="23" width="15.109375" style="40" customWidth="1"/>
    <col min="24" max="24" width="22.6640625" style="40" customWidth="1" outlineLevel="2"/>
    <col min="25" max="25" width="96" style="40" customWidth="1" outlineLevel="1"/>
    <col min="26" max="26" width="18.88671875" style="40" customWidth="1" outlineLevel="1"/>
    <col min="27" max="27" width="7" style="2" customWidth="1"/>
    <col min="28" max="28" width="13.6640625" style="2" bestFit="1" customWidth="1"/>
    <col min="29" max="29" width="15" style="2" customWidth="1"/>
    <col min="30" max="30" width="21.6640625" style="2" bestFit="1" customWidth="1"/>
    <col min="31" max="32" width="17" style="2" customWidth="1"/>
    <col min="33" max="33" width="24.44140625" style="2" customWidth="1" outlineLevel="1"/>
    <col min="34" max="34" width="103" style="2" customWidth="1" outlineLevel="1"/>
    <col min="35" max="35" width="24.109375" style="2" customWidth="1" outlineLevel="1"/>
    <col min="36" max="36" width="11.5546875" style="2"/>
    <col min="37" max="37" width="13.6640625" style="2" bestFit="1" customWidth="1"/>
    <col min="38" max="38" width="11.5546875" style="2"/>
    <col min="39" max="39" width="24.5546875" style="2" customWidth="1"/>
    <col min="40" max="41" width="17" style="2" customWidth="1"/>
    <col min="42" max="42" width="24.44140625" style="2" customWidth="1" outlineLevel="1"/>
    <col min="43" max="43" width="103" style="2" customWidth="1" outlineLevel="1"/>
    <col min="44" max="44" width="24.109375" style="2" customWidth="1" outlineLevel="1"/>
    <col min="45" max="45" width="11.5546875" style="2"/>
    <col min="46" max="46" width="13.6640625" style="2" bestFit="1" customWidth="1"/>
    <col min="47" max="47" width="11.5546875" style="2"/>
    <col min="48" max="48" width="24.5546875" style="2" customWidth="1"/>
    <col min="49" max="50" width="17" style="2" customWidth="1"/>
    <col min="51" max="51" width="24.44140625" style="2" customWidth="1" outlineLevel="1"/>
    <col min="52" max="52" width="103" style="2" customWidth="1" outlineLevel="1"/>
    <col min="53" max="53" width="24.109375" style="2" customWidth="1" outlineLevel="1"/>
    <col min="54" max="54" width="11.5546875" style="2"/>
    <col min="55" max="56" width="18.6640625" style="2" customWidth="1"/>
    <col min="57" max="57" width="30.109375" style="2" customWidth="1"/>
    <col min="58" max="59" width="15.88671875" style="2" customWidth="1"/>
    <col min="60" max="60" width="29.109375" style="2" customWidth="1" outlineLevel="1"/>
    <col min="61" max="61" width="103.88671875" style="2" customWidth="1" outlineLevel="1"/>
    <col min="62" max="62" width="35.5546875" style="2" customWidth="1" outlineLevel="1"/>
    <col min="63" max="16384" width="11.5546875" style="2"/>
  </cols>
  <sheetData>
    <row r="1" spans="1:26" hidden="1" outlineLevel="1" x14ac:dyDescent="0.45">
      <c r="B1" s="13"/>
      <c r="C1" s="13"/>
      <c r="D1" s="13" t="str">
        <f>+'Feuille de Donnée'!E3</f>
        <v>Nom du projet</v>
      </c>
      <c r="E1" s="2"/>
      <c r="F1" s="2"/>
      <c r="G1" s="7"/>
      <c r="H1" s="7"/>
    </row>
    <row r="2" spans="1:26" hidden="1" outlineLevel="1" x14ac:dyDescent="0.45">
      <c r="B2" s="13"/>
      <c r="C2" s="13"/>
      <c r="D2" s="1" t="str">
        <f>'Feuille de Donnée'!H3</f>
        <v xml:space="preserve">Déscription de l'affaire
</v>
      </c>
      <c r="E2" s="2"/>
      <c r="F2" s="2"/>
      <c r="G2" s="7"/>
      <c r="H2" s="7"/>
      <c r="I2" s="1"/>
      <c r="R2" s="1"/>
    </row>
    <row r="3" spans="1:26" hidden="1" outlineLevel="1" x14ac:dyDescent="0.45">
      <c r="B3" s="13"/>
      <c r="C3" s="13"/>
      <c r="D3" s="1" t="str">
        <f>'Feuille de Donnée'!B5&amp;'Feuille de Donnée'!F3</f>
        <v>Maitre d'ouvrage</v>
      </c>
      <c r="E3" s="2"/>
      <c r="H3" s="8"/>
      <c r="I3" s="1"/>
      <c r="R3" s="1"/>
    </row>
    <row r="4" spans="1:26" hidden="1" outlineLevel="1" x14ac:dyDescent="0.45">
      <c r="B4" s="13"/>
      <c r="C4" s="13"/>
      <c r="D4" s="1" t="str">
        <f>'Feuille de Donnée'!B6&amp;'Feuille de Donnée'!G3</f>
        <v>Maitre d'œuvre</v>
      </c>
      <c r="E4" s="3"/>
      <c r="H4" s="7"/>
      <c r="I4" s="1"/>
      <c r="R4" s="1"/>
    </row>
    <row r="5" spans="1:26" ht="26.4" hidden="1" customHeight="1" outlineLevel="1" x14ac:dyDescent="0.45">
      <c r="D5" s="1" t="e">
        <f ca="1">"INDICE : "&amp;'Feuille de Donnée'!M3</f>
        <v>#VALUE!</v>
      </c>
      <c r="E5" s="4"/>
      <c r="I5" s="1"/>
      <c r="L5" s="5"/>
      <c r="R5" s="1"/>
      <c r="U5" s="5"/>
    </row>
    <row r="6" spans="1:26" hidden="1" outlineLevel="1" x14ac:dyDescent="0.45">
      <c r="D6" s="1" t="str">
        <f>"PHASE D'ETUDE : "&amp;'Feuille de Donnée'!D3</f>
        <v>PHASE D'ETUDE : ACT</v>
      </c>
      <c r="I6" s="1"/>
      <c r="L6" s="5"/>
      <c r="R6" s="1"/>
      <c r="U6" s="5"/>
    </row>
    <row r="7" spans="1:26" ht="26.4" hidden="1" customHeight="1" outlineLevel="1" x14ac:dyDescent="0.45">
      <c r="A7" s="14"/>
      <c r="B7" s="15"/>
      <c r="D7" s="16" t="str">
        <f ca="1">"DOCUMENT EN DATE DU : "&amp;TEXT('Feuille de Donnée'!C3,"JJ/MM/AA")</f>
        <v>DOCUMENT EN DATE DU : 11/06/26</v>
      </c>
      <c r="I7" s="1"/>
      <c r="L7" s="5"/>
      <c r="R7" s="1"/>
      <c r="U7" s="5"/>
    </row>
    <row r="8" spans="1:26" ht="26.4" hidden="1" customHeight="1" outlineLevel="1" x14ac:dyDescent="0.45">
      <c r="D8" s="1" t="e">
        <f ca="1">'Feuille de Donnée'!K3&amp;" : "&amp; 'Feuille de Donnée'!J3</f>
        <v>#VALUE!</v>
      </c>
      <c r="I8" s="1"/>
      <c r="L8" s="5"/>
      <c r="R8" s="1"/>
      <c r="U8" s="5"/>
    </row>
    <row r="9" spans="1:26" ht="26.4" hidden="1" customHeight="1" outlineLevel="1" x14ac:dyDescent="0.45">
      <c r="D9" s="17" t="s">
        <v>41</v>
      </c>
      <c r="G9" s="1"/>
      <c r="I9" s="1"/>
      <c r="J9" s="5"/>
      <c r="K9" s="5"/>
      <c r="L9" s="5"/>
      <c r="R9" s="1"/>
      <c r="S9" s="5"/>
      <c r="T9" s="5"/>
      <c r="U9" s="5"/>
    </row>
    <row r="10" spans="1:26" ht="26.4" hidden="1" customHeight="1" outlineLevel="1" thickBot="1" x14ac:dyDescent="0.45">
      <c r="D10" s="17"/>
      <c r="G10" s="1"/>
      <c r="I10" s="1"/>
      <c r="J10" s="5"/>
      <c r="K10" s="5"/>
      <c r="L10" s="5"/>
      <c r="R10" s="1"/>
      <c r="S10" s="5"/>
      <c r="T10" s="5"/>
      <c r="U10" s="5"/>
    </row>
    <row r="11" spans="1:26" ht="26.4" customHeight="1" collapsed="1" x14ac:dyDescent="0.45">
      <c r="D11" s="132"/>
      <c r="F11" s="9"/>
      <c r="G11" s="1"/>
      <c r="H11" s="5"/>
      <c r="I11" s="5"/>
      <c r="J11" s="5"/>
      <c r="K11" s="40"/>
      <c r="L11" s="40"/>
      <c r="P11" s="1"/>
      <c r="Q11" s="5"/>
      <c r="R11" s="5"/>
      <c r="S11" s="5"/>
      <c r="T11" s="40"/>
      <c r="U11" s="40"/>
      <c r="Y11" s="2"/>
      <c r="Z11" s="2"/>
    </row>
    <row r="12" spans="1:26" ht="26.4" customHeight="1" x14ac:dyDescent="0.45">
      <c r="D12" s="2"/>
      <c r="F12" s="9"/>
      <c r="G12" s="1"/>
      <c r="H12" s="5"/>
      <c r="I12" s="5"/>
      <c r="J12" s="5"/>
      <c r="K12" s="40"/>
      <c r="L12" s="40"/>
      <c r="P12" s="1"/>
      <c r="Q12" s="5"/>
      <c r="R12" s="5"/>
      <c r="S12" s="5"/>
      <c r="T12" s="40"/>
      <c r="U12" s="40"/>
      <c r="Y12" s="2"/>
      <c r="Z12" s="2"/>
    </row>
    <row r="13" spans="1:26" ht="26.4" customHeight="1" x14ac:dyDescent="0.45">
      <c r="D13" s="2"/>
      <c r="F13" s="9"/>
      <c r="G13" s="1"/>
      <c r="H13" s="5"/>
      <c r="I13" s="5"/>
      <c r="J13" s="5"/>
      <c r="K13" s="40"/>
      <c r="L13" s="40"/>
      <c r="P13" s="1"/>
      <c r="Q13" s="5"/>
      <c r="R13" s="5"/>
      <c r="S13" s="5"/>
      <c r="T13" s="40"/>
      <c r="U13" s="40"/>
      <c r="Y13" s="2"/>
      <c r="Z13" s="2"/>
    </row>
    <row r="14" spans="1:26" ht="26.4" customHeight="1" x14ac:dyDescent="0.45">
      <c r="D14" s="2"/>
      <c r="F14" s="9"/>
      <c r="G14" s="1"/>
      <c r="H14" s="5"/>
      <c r="I14" s="5"/>
      <c r="J14" s="5"/>
      <c r="K14" s="40"/>
      <c r="L14" s="40"/>
      <c r="P14" s="1"/>
      <c r="Q14" s="5"/>
      <c r="R14" s="5"/>
      <c r="S14" s="5"/>
      <c r="T14" s="40"/>
      <c r="U14" s="40"/>
      <c r="Y14" s="2"/>
      <c r="Z14" s="2"/>
    </row>
    <row r="15" spans="1:26" ht="26.4" customHeight="1" x14ac:dyDescent="0.45">
      <c r="D15" s="2"/>
      <c r="F15" s="9"/>
      <c r="G15" s="1"/>
      <c r="H15" s="5"/>
      <c r="I15" s="5"/>
      <c r="J15" s="5"/>
      <c r="K15" s="40"/>
      <c r="L15" s="40"/>
      <c r="P15" s="1"/>
      <c r="Q15" s="5"/>
      <c r="R15" s="5"/>
      <c r="S15" s="5"/>
      <c r="T15" s="40"/>
      <c r="U15" s="40"/>
      <c r="Y15" s="2"/>
      <c r="Z15" s="2"/>
    </row>
    <row r="16" spans="1:26" ht="26.4" customHeight="1" x14ac:dyDescent="0.45">
      <c r="D16" s="2"/>
      <c r="F16" s="9"/>
      <c r="G16" s="1"/>
      <c r="H16" s="5"/>
      <c r="I16" s="5"/>
      <c r="J16" s="5"/>
      <c r="K16" s="40"/>
      <c r="L16" s="40"/>
      <c r="P16" s="1"/>
      <c r="Q16" s="5"/>
      <c r="R16" s="5"/>
      <c r="S16" s="5"/>
      <c r="T16" s="40"/>
      <c r="U16" s="40"/>
      <c r="Y16" s="2"/>
      <c r="Z16" s="2"/>
    </row>
    <row r="17" spans="1:63" ht="26.4" customHeight="1" x14ac:dyDescent="0.45">
      <c r="D17" s="5"/>
      <c r="F17" s="9"/>
      <c r="G17" s="1"/>
      <c r="H17" s="5"/>
      <c r="I17" s="5"/>
      <c r="J17" s="5"/>
      <c r="K17" s="40"/>
      <c r="L17" s="40"/>
      <c r="P17" s="1"/>
      <c r="Q17" s="5"/>
      <c r="R17" s="5"/>
      <c r="S17" s="5"/>
      <c r="T17" s="40"/>
      <c r="U17" s="40"/>
      <c r="Y17" s="2"/>
      <c r="Z17" s="2"/>
    </row>
    <row r="18" spans="1:63" ht="26.4" customHeight="1" x14ac:dyDescent="0.45">
      <c r="D18" s="5"/>
      <c r="F18" s="9"/>
      <c r="G18" s="1"/>
      <c r="H18" s="5"/>
      <c r="I18" s="5"/>
      <c r="J18" s="5"/>
      <c r="K18" s="40"/>
      <c r="L18" s="40"/>
      <c r="P18" s="1"/>
      <c r="Q18" s="5"/>
      <c r="R18" s="5"/>
      <c r="S18" s="5"/>
      <c r="T18" s="40"/>
      <c r="U18" s="40"/>
      <c r="Y18" s="2"/>
      <c r="Z18" s="2"/>
    </row>
    <row r="19" spans="1:63" ht="26.4" customHeight="1" thickBot="1" x14ac:dyDescent="0.5">
      <c r="D19" s="5"/>
      <c r="G19" s="1"/>
      <c r="I19" s="1"/>
      <c r="J19" s="5"/>
      <c r="K19" s="5"/>
      <c r="L19" s="5"/>
      <c r="R19" s="1"/>
      <c r="S19" s="5"/>
      <c r="T19" s="5"/>
      <c r="U19" s="5"/>
    </row>
    <row r="20" spans="1:63" ht="26.4" customHeight="1" thickTop="1" thickBot="1" x14ac:dyDescent="0.5">
      <c r="D20" s="17"/>
      <c r="E20" s="164" t="s">
        <v>83</v>
      </c>
      <c r="F20" s="165"/>
      <c r="G20" s="165"/>
      <c r="H20" s="165"/>
      <c r="I20" s="166" t="s">
        <v>96</v>
      </c>
      <c r="J20" s="167"/>
      <c r="K20" s="167"/>
      <c r="L20" s="167"/>
      <c r="M20" s="167"/>
      <c r="N20" s="167"/>
      <c r="O20" s="167"/>
      <c r="P20" s="167"/>
      <c r="Q20" s="167"/>
      <c r="R20" s="166" t="s">
        <v>97</v>
      </c>
      <c r="S20" s="167"/>
      <c r="T20" s="167"/>
      <c r="U20" s="167"/>
      <c r="V20" s="167"/>
      <c r="W20" s="167"/>
      <c r="X20" s="167"/>
      <c r="Y20" s="167"/>
      <c r="Z20" s="167"/>
      <c r="AA20" s="166" t="s">
        <v>98</v>
      </c>
      <c r="AB20" s="167"/>
      <c r="AC20" s="167"/>
      <c r="AD20" s="167"/>
      <c r="AE20" s="167"/>
      <c r="AF20" s="167"/>
      <c r="AG20" s="167"/>
      <c r="AH20" s="167"/>
      <c r="AI20" s="167"/>
      <c r="AJ20" s="166" t="s">
        <v>99</v>
      </c>
      <c r="AK20" s="167"/>
      <c r="AL20" s="167"/>
      <c r="AM20" s="167"/>
      <c r="AN20" s="167"/>
      <c r="AO20" s="167"/>
      <c r="AP20" s="167"/>
      <c r="AQ20" s="167"/>
      <c r="AR20" s="167"/>
      <c r="AS20" s="166" t="s">
        <v>100</v>
      </c>
      <c r="AT20" s="167"/>
      <c r="AU20" s="167"/>
      <c r="AV20" s="167"/>
      <c r="AW20" s="167"/>
      <c r="AX20" s="167"/>
      <c r="AY20" s="167"/>
      <c r="AZ20" s="167"/>
      <c r="BA20" s="167"/>
      <c r="BB20" s="166" t="s">
        <v>101</v>
      </c>
      <c r="BC20" s="167"/>
      <c r="BD20" s="167"/>
      <c r="BE20" s="167"/>
      <c r="BF20" s="167"/>
      <c r="BG20" s="167"/>
      <c r="BH20" s="167"/>
      <c r="BI20" s="167"/>
      <c r="BJ20" s="167"/>
      <c r="BK20" s="139"/>
    </row>
    <row r="21" spans="1:63" s="6" customFormat="1" ht="79.95" customHeight="1" thickTop="1" x14ac:dyDescent="0.3">
      <c r="A21" s="18" t="s">
        <v>2</v>
      </c>
      <c r="B21" s="19" t="s">
        <v>3</v>
      </c>
      <c r="C21" s="19"/>
      <c r="D21" s="19"/>
      <c r="E21" s="122" t="s">
        <v>4</v>
      </c>
      <c r="F21" s="123" t="s">
        <v>5</v>
      </c>
      <c r="G21" s="124" t="s">
        <v>7</v>
      </c>
      <c r="H21" s="125" t="s">
        <v>8</v>
      </c>
      <c r="I21" s="126" t="s">
        <v>4</v>
      </c>
      <c r="J21" s="123" t="s">
        <v>5</v>
      </c>
      <c r="K21" s="123" t="s">
        <v>7</v>
      </c>
      <c r="L21" s="127" t="s">
        <v>8</v>
      </c>
      <c r="M21" s="128" t="s">
        <v>46</v>
      </c>
      <c r="N21" s="129" t="s">
        <v>47</v>
      </c>
      <c r="O21" s="130" t="s">
        <v>73</v>
      </c>
      <c r="P21" s="130" t="s">
        <v>48</v>
      </c>
      <c r="Q21" s="131" t="s">
        <v>102</v>
      </c>
      <c r="R21" s="126" t="s">
        <v>4</v>
      </c>
      <c r="S21" s="123" t="s">
        <v>5</v>
      </c>
      <c r="T21" s="123" t="s">
        <v>7</v>
      </c>
      <c r="U21" s="127" t="s">
        <v>8</v>
      </c>
      <c r="V21" s="128" t="s">
        <v>46</v>
      </c>
      <c r="W21" s="129" t="s">
        <v>47</v>
      </c>
      <c r="X21" s="130" t="s">
        <v>73</v>
      </c>
      <c r="Y21" s="130" t="s">
        <v>48</v>
      </c>
      <c r="Z21" s="131" t="s">
        <v>102</v>
      </c>
      <c r="AA21" s="126" t="s">
        <v>4</v>
      </c>
      <c r="AB21" s="123" t="s">
        <v>5</v>
      </c>
      <c r="AC21" s="123" t="s">
        <v>7</v>
      </c>
      <c r="AD21" s="127" t="s">
        <v>8</v>
      </c>
      <c r="AE21" s="128" t="s">
        <v>46</v>
      </c>
      <c r="AF21" s="129" t="s">
        <v>47</v>
      </c>
      <c r="AG21" s="130" t="s">
        <v>73</v>
      </c>
      <c r="AH21" s="130" t="s">
        <v>48</v>
      </c>
      <c r="AI21" s="131" t="s">
        <v>102</v>
      </c>
      <c r="AJ21" s="126" t="s">
        <v>4</v>
      </c>
      <c r="AK21" s="123" t="s">
        <v>5</v>
      </c>
      <c r="AL21" s="123" t="s">
        <v>7</v>
      </c>
      <c r="AM21" s="127" t="s">
        <v>8</v>
      </c>
      <c r="AN21" s="128" t="s">
        <v>46</v>
      </c>
      <c r="AO21" s="129" t="s">
        <v>47</v>
      </c>
      <c r="AP21" s="130" t="s">
        <v>73</v>
      </c>
      <c r="AQ21" s="130" t="s">
        <v>48</v>
      </c>
      <c r="AR21" s="131" t="s">
        <v>102</v>
      </c>
      <c r="AS21" s="126" t="s">
        <v>4</v>
      </c>
      <c r="AT21" s="123" t="s">
        <v>5</v>
      </c>
      <c r="AU21" s="123" t="s">
        <v>7</v>
      </c>
      <c r="AV21" s="127" t="s">
        <v>8</v>
      </c>
      <c r="AW21" s="128" t="s">
        <v>46</v>
      </c>
      <c r="AX21" s="129" t="s">
        <v>47</v>
      </c>
      <c r="AY21" s="130" t="s">
        <v>73</v>
      </c>
      <c r="AZ21" s="130" t="s">
        <v>48</v>
      </c>
      <c r="BA21" s="131" t="s">
        <v>102</v>
      </c>
      <c r="BB21" s="126" t="s">
        <v>4</v>
      </c>
      <c r="BC21" s="123" t="s">
        <v>5</v>
      </c>
      <c r="BD21" s="123" t="s">
        <v>7</v>
      </c>
      <c r="BE21" s="127" t="s">
        <v>8</v>
      </c>
      <c r="BF21" s="128" t="s">
        <v>46</v>
      </c>
      <c r="BG21" s="129" t="s">
        <v>47</v>
      </c>
      <c r="BH21" s="130" t="s">
        <v>73</v>
      </c>
      <c r="BI21" s="130" t="s">
        <v>48</v>
      </c>
      <c r="BJ21" s="131" t="s">
        <v>102</v>
      </c>
      <c r="BK21" s="140"/>
    </row>
    <row r="22" spans="1:63" s="6" customFormat="1" x14ac:dyDescent="0.3">
      <c r="A22" s="20"/>
      <c r="B22" s="21"/>
      <c r="C22" s="21"/>
      <c r="D22" s="21"/>
      <c r="E22" s="22"/>
      <c r="F22" s="25"/>
      <c r="G22" s="26"/>
      <c r="H22" s="102" t="str">
        <f t="shared" ref="H22:H23" si="0">IF(ISBLANK(E22),"",ROUND(F22*G22,2))</f>
        <v/>
      </c>
      <c r="I22" s="103"/>
      <c r="J22" s="27"/>
      <c r="K22" s="27"/>
      <c r="L22" s="27" t="str">
        <f t="shared" ref="L22:L23" si="1">IF(ISBLANK(I22),"",ROUND(J22*K22,2))</f>
        <v/>
      </c>
      <c r="M22" s="121" t="str">
        <f t="shared" ref="M22:M23" si="2">IF($F22=0,"",(J22/$F22-1))</f>
        <v/>
      </c>
      <c r="N22" s="121" t="str">
        <f t="shared" ref="N22:N23" si="3">IF($G22=0,"",(K22/$G22-1))</f>
        <v/>
      </c>
      <c r="O22" s="27" t="str">
        <f>IF(AND(ISBLANK(Q22),P22=""),"",1+MAX(O$21:O21))</f>
        <v/>
      </c>
      <c r="P22" s="137" t="str">
        <f>IF(OR(L22="",L22=0,$H22="",$H22=0,NOT(ISNUMBER($H22)),NOT(ISNUMBER(L22))),IF(AND($E22&lt;&gt;"",AND(OR(ISNUMBER(L22),L22=""),AND(ISNUMBER($H22),$H22&gt;0))),'Feuille de Donnée'!$K$13,""),IF(L22&lt;$H$168*'Feuille de Donnée'!$I$9,"Négligeable",(IF(AND(J22&gt;=$F22*(1-'Feuille de Donnée'!$E$12),J22&lt;=$F22*(1+'Feuille de Donnée'!$F$12)),'Feuille de Donnée'!$F$17,IF(J22&lt;$F22*(1-'Feuille de Donnée'!$E$12),'Feuille de Donnée'!$F$18,'Feuille de Donnée'!$F$16))&amp;""&amp;IF(AND(K22&gt;=$G22*(1-'Feuille de Donnée'!$E$27),K22&lt;=$G22*(1+'Feuille de Donnée'!$F$27)),'Feuille de Donnée'!$F$32,IF(K22&lt;$G22*(1-'Feuille de Donnée'!$E$27),'Feuille de Donnée'!$F$33,'Feuille de Donnée'!$F$31)))))</f>
        <v/>
      </c>
      <c r="Q22" s="138"/>
      <c r="R22" s="103"/>
      <c r="S22" s="27"/>
      <c r="T22" s="27"/>
      <c r="U22" s="27" t="str">
        <f t="shared" ref="U22:U23" si="4">IF(ISBLANK(R22),"",ROUND(S22*T22,2))</f>
        <v/>
      </c>
      <c r="V22" s="121" t="str">
        <f t="shared" ref="V22:V23" si="5">IF($F22=0,"",(S22/$F22-1))</f>
        <v/>
      </c>
      <c r="W22" s="121" t="str">
        <f t="shared" ref="W22:W23" si="6">IF($G22=0,"",(T22/$G22-1))</f>
        <v/>
      </c>
      <c r="X22" s="27" t="str">
        <f>IF(AND(ISBLANK(Z22),Y22=""),"",1+MAX(X$21:X21))</f>
        <v/>
      </c>
      <c r="Y22" s="137" t="str">
        <f>IF(OR(U22="",U22=0,$H22="",$H22=0,NOT(ISNUMBER($H22)),NOT(ISNUMBER(U22))),IF(AND($E22&lt;&gt;"",AND(OR(ISNUMBER(U22),U22=""),AND(ISNUMBER($H22),$H22&gt;0))),'Feuille de Donnée'!$K$13,""),IF(U22&lt;$H$168*'Feuille de Donnée'!$I$9,"Négligeable",(IF(AND(S22&gt;=$F22*(1-'Feuille de Donnée'!$E$12),S22&lt;=$F22*(1+'Feuille de Donnée'!$F$12)),'Feuille de Donnée'!$F$17,IF(S22&lt;$F22*(1-'Feuille de Donnée'!$E$12),'Feuille de Donnée'!$F$18,'Feuille de Donnée'!$F$16))&amp;""&amp;IF(AND(T22&gt;=$G22*(1-'Feuille de Donnée'!$E$27),T22&lt;=$G22*(1+'Feuille de Donnée'!$F$27)),'Feuille de Donnée'!$F$32,IF(T22&lt;$G22*(1-'Feuille de Donnée'!$E$27),'Feuille de Donnée'!$F$33,'Feuille de Donnée'!$F$31)))))</f>
        <v/>
      </c>
      <c r="Z22" s="138"/>
      <c r="AA22" s="103"/>
      <c r="AB22" s="27"/>
      <c r="AC22" s="27"/>
      <c r="AD22" s="27" t="str">
        <f t="shared" ref="AD22:AD23" si="7">IF(ISBLANK(AA22),"",ROUND(AB22*AC22,2))</f>
        <v/>
      </c>
      <c r="AE22" s="121" t="str">
        <f t="shared" ref="AE22:AE23" si="8">IF($F22=0,"",(AB22/$F22-1))</f>
        <v/>
      </c>
      <c r="AF22" s="121" t="str">
        <f t="shared" ref="AF22:AF23" si="9">IF($G22=0,"",(AC22/$G22-1))</f>
        <v/>
      </c>
      <c r="AG22" s="27" t="str">
        <f>IF(AND(ISBLANK(AI22),AH22=""),"",1+MAX(AG$21:AG21))</f>
        <v/>
      </c>
      <c r="AH22" s="137" t="str">
        <f>IF(OR(AD22="",AD22=0,$H22="",$H22=0,NOT(ISNUMBER($H22)),NOT(ISNUMBER(AD22))),IF(AND($E22&lt;&gt;"",AND(OR(ISNUMBER(AD22),AD22=""),AND(ISNUMBER($H22),$H22&gt;0))),'Feuille de Donnée'!$K$13,""),IF(AD22&lt;$H$168*'Feuille de Donnée'!$I$9,"Négligeable",(IF(AND(AB22&gt;=$F22*(1-'Feuille de Donnée'!$E$12),AB22&lt;=$F22*(1+'Feuille de Donnée'!$F$12)),'Feuille de Donnée'!$F$17,IF(AB22&lt;$F22*(1-'Feuille de Donnée'!$E$12),'Feuille de Donnée'!$F$18,'Feuille de Donnée'!$F$16))&amp;""&amp;IF(AND(AC22&gt;=$G22*(1-'Feuille de Donnée'!$E$27),AC22&lt;=$G22*(1+'Feuille de Donnée'!$F$27)),'Feuille de Donnée'!$F$32,IF(AC22&lt;$G22*(1-'Feuille de Donnée'!$E$27),'Feuille de Donnée'!$F$33,'Feuille de Donnée'!$F$31)))))</f>
        <v/>
      </c>
      <c r="AI22" s="138"/>
      <c r="AJ22" s="103"/>
      <c r="AK22" s="27"/>
      <c r="AL22" s="27"/>
      <c r="AM22" s="27" t="str">
        <f t="shared" ref="AM22:AM23" si="10">IF(ISBLANK(AJ22),"",ROUND(AK22*AL22,2))</f>
        <v/>
      </c>
      <c r="AN22" s="121" t="str">
        <f t="shared" ref="AN22:AN23" si="11">IF($F22=0,"",(AK22/$F22-1))</f>
        <v/>
      </c>
      <c r="AO22" s="121" t="str">
        <f t="shared" ref="AO22:AO23" si="12">IF($G22=0,"",(AL22/$G22-1))</f>
        <v/>
      </c>
      <c r="AP22" s="27" t="str">
        <f>IF(AND(ISBLANK(AR22),AQ22=""),"",1+MAX(AP$21:AP21))</f>
        <v/>
      </c>
      <c r="AQ22" s="137" t="str">
        <f>IF(OR(AM22="",AM22=0,$H22="",$H22=0,NOT(ISNUMBER($H22)),NOT(ISNUMBER(AM22))),IF(AND($E22&lt;&gt;"",AND(OR(ISNUMBER(AM22),AM22=""),AND(ISNUMBER($H22),$H22&gt;0))),'Feuille de Donnée'!$K$13,""),IF(AM22&lt;$H$168*'Feuille de Donnée'!$I$9,"Négligeable",(IF(AND(AK22&gt;=$F22*(1-'Feuille de Donnée'!$E$12),AK22&lt;=$F22*(1+'Feuille de Donnée'!$F$12)),'Feuille de Donnée'!$F$17,IF(AK22&lt;$F22*(1-'Feuille de Donnée'!$E$12),'Feuille de Donnée'!$F$18,'Feuille de Donnée'!$F$16))&amp;""&amp;IF(AND(AL22&gt;=$G22*(1-'Feuille de Donnée'!$E$27),AL22&lt;=$G22*(1+'Feuille de Donnée'!$F$27)),'Feuille de Donnée'!$F$32,IF(AL22&lt;$G22*(1-'Feuille de Donnée'!$E$27),'Feuille de Donnée'!$F$33,'Feuille de Donnée'!$F$31)))))</f>
        <v/>
      </c>
      <c r="AR22" s="138"/>
      <c r="AS22" s="103"/>
      <c r="AT22" s="27"/>
      <c r="AU22" s="27"/>
      <c r="AV22" s="27" t="str">
        <f t="shared" ref="AV22:AV23" si="13">IF(ISBLANK(AS22),"",ROUND(AT22*AU22,2))</f>
        <v/>
      </c>
      <c r="AW22" s="121" t="str">
        <f t="shared" ref="AW22:AW23" si="14">IF($F22=0,"",(AT22/$F22-1))</f>
        <v/>
      </c>
      <c r="AX22" s="121" t="str">
        <f t="shared" ref="AX22:AX23" si="15">IF($G22=0,"",(AU22/$G22-1))</f>
        <v/>
      </c>
      <c r="AY22" s="27" t="str">
        <f>IF(AND(ISBLANK(BA22),AZ22=""),"",1+MAX(AY$21:AY21))</f>
        <v/>
      </c>
      <c r="AZ22" s="137" t="str">
        <f>IF(OR(AV22="",AV22=0,$H22="",$H22=0,NOT(ISNUMBER($H22)),NOT(ISNUMBER(AV22))),IF(AND($E22&lt;&gt;"",AND(OR(ISNUMBER(AV22),AV22=""),AND(ISNUMBER($H22),$H22&gt;0))),'Feuille de Donnée'!$K$13,""),IF(AV22&lt;$H$168*'Feuille de Donnée'!$I$9,"Négligeable",(IF(AND(AT22&gt;=$F22*(1-'Feuille de Donnée'!$E$12),AT22&lt;=$F22*(1+'Feuille de Donnée'!$F$12)),'Feuille de Donnée'!$F$17,IF(AT22&lt;$F22*(1-'Feuille de Donnée'!$E$12),'Feuille de Donnée'!$F$18,'Feuille de Donnée'!$F$16))&amp;""&amp;IF(AND(AU22&gt;=$G22*(1-'Feuille de Donnée'!$E$27),AU22&lt;=$G22*(1+'Feuille de Donnée'!$F$27)),'Feuille de Donnée'!$F$32,IF(AU22&lt;$G22*(1-'Feuille de Donnée'!$E$27),'Feuille de Donnée'!$F$33,'Feuille de Donnée'!$F$31)))))</f>
        <v/>
      </c>
      <c r="BA22" s="138"/>
      <c r="BB22" s="103"/>
      <c r="BC22" s="27"/>
      <c r="BD22" s="27"/>
      <c r="BE22" s="27" t="str">
        <f t="shared" ref="BE22:BE23" si="16">IF(ISBLANK(BB22),"",ROUND(BC22*BD22,2))</f>
        <v/>
      </c>
      <c r="BF22" s="121" t="str">
        <f t="shared" ref="BF22:BF23" si="17">IF($F22=0,"",(BC22/$F22-1))</f>
        <v/>
      </c>
      <c r="BG22" s="121" t="str">
        <f t="shared" ref="BG22:BG23" si="18">IF($G22=0,"",(BD22/$G22-1))</f>
        <v/>
      </c>
      <c r="BH22" s="27" t="str">
        <f>IF(AND(ISBLANK(BJ22),BI22=""),"",1+MAX(BH$21:BH21))</f>
        <v/>
      </c>
      <c r="BI22" s="137" t="str">
        <f>IF(OR(BE22="",BE22=0,$H22="",$H22=0,NOT(ISNUMBER($H22)),NOT(ISNUMBER(BE22))),IF(AND($E22&lt;&gt;"",AND(OR(ISNUMBER(BE22),BE22=""),AND(ISNUMBER($H22),$H22&gt;0))),'Feuille de Donnée'!$K$13,""),IF(BE22&lt;$H$168*'Feuille de Donnée'!$I$9,"Négligeable",(IF(AND(BC22&gt;=$F22*(1-'Feuille de Donnée'!$E$12),BC22&lt;=$F22*(1+'Feuille de Donnée'!$F$12)),'Feuille de Donnée'!$F$17,IF(BC22&lt;$F22*(1-'Feuille de Donnée'!$E$12),'Feuille de Donnée'!$F$18,'Feuille de Donnée'!$F$16))&amp;""&amp;IF(AND(BD22&gt;=$G22*(1-'Feuille de Donnée'!$E$27),BD22&lt;=$G22*(1+'Feuille de Donnée'!$F$27)),'Feuille de Donnée'!$F$32,IF(BD22&lt;$G22*(1-'Feuille de Donnée'!$E$27),'Feuille de Donnée'!$F$33,'Feuille de Donnée'!$F$31)))))</f>
        <v/>
      </c>
      <c r="BJ22" s="138"/>
      <c r="BK22" s="140"/>
    </row>
    <row r="23" spans="1:63" s="6" customFormat="1" x14ac:dyDescent="0.3">
      <c r="A23" s="23"/>
      <c r="B23" s="24"/>
      <c r="C23" s="24"/>
      <c r="D23" s="24"/>
      <c r="E23" s="22"/>
      <c r="F23" s="25"/>
      <c r="G23" s="26"/>
      <c r="H23" s="102" t="str">
        <f t="shared" si="0"/>
        <v/>
      </c>
      <c r="I23" s="103"/>
      <c r="J23" s="27"/>
      <c r="K23" s="27"/>
      <c r="L23" s="27" t="str">
        <f t="shared" si="1"/>
        <v/>
      </c>
      <c r="M23" s="121" t="str">
        <f t="shared" si="2"/>
        <v/>
      </c>
      <c r="N23" s="121" t="str">
        <f t="shared" si="3"/>
        <v/>
      </c>
      <c r="O23" s="27" t="str">
        <f>IF(AND(ISBLANK(Q23),P23=""),"",1+MAX(O$21:O22))</f>
        <v/>
      </c>
      <c r="P23" s="137" t="str">
        <f>IF(OR(L23="",L23=0,$H23="",$H23=0,NOT(ISNUMBER($H23)),NOT(ISNUMBER(L23))),IF(AND($E23&lt;&gt;"",AND(OR(ISNUMBER(L23),L23=""),AND(ISNUMBER($H23),$H23&gt;0))),'Feuille de Donnée'!$K$13,""),IF(L23&lt;$H$168*'Feuille de Donnée'!$I$9,"Négligeable",(IF(AND(J23&gt;=$F23*(1-'Feuille de Donnée'!$E$12),J23&lt;=$F23*(1+'Feuille de Donnée'!$F$12)),'Feuille de Donnée'!$F$17,IF(J23&lt;$F23*(1-'Feuille de Donnée'!$E$12),'Feuille de Donnée'!$F$18,'Feuille de Donnée'!$F$16))&amp;""&amp;IF(AND(K23&gt;=$G23*(1-'Feuille de Donnée'!$E$27),K23&lt;=$G23*(1+'Feuille de Donnée'!$F$27)),'Feuille de Donnée'!$F$32,IF(K23&lt;$G23*(1-'Feuille de Donnée'!$E$27),'Feuille de Donnée'!$F$33,'Feuille de Donnée'!$F$31)))))</f>
        <v/>
      </c>
      <c r="Q23" s="138"/>
      <c r="R23" s="103"/>
      <c r="S23" s="27"/>
      <c r="T23" s="27"/>
      <c r="U23" s="27" t="str">
        <f t="shared" si="4"/>
        <v/>
      </c>
      <c r="V23" s="121" t="str">
        <f t="shared" si="5"/>
        <v/>
      </c>
      <c r="W23" s="121" t="str">
        <f t="shared" si="6"/>
        <v/>
      </c>
      <c r="X23" s="27" t="str">
        <f>IF(AND(ISBLANK(Z23),Y23=""),"",1+MAX(X$21:X22))</f>
        <v/>
      </c>
      <c r="Y23" s="137" t="str">
        <f>IF(OR(U23="",U23=0,$H23="",$H23=0,NOT(ISNUMBER($H23)),NOT(ISNUMBER(U23))),IF(AND($E23&lt;&gt;"",AND(OR(ISNUMBER(U23),U23=""),AND(ISNUMBER($H23),$H23&gt;0))),'Feuille de Donnée'!$K$13,""),IF(U23&lt;$H$168*'Feuille de Donnée'!$I$9,"Négligeable",(IF(AND(S23&gt;=$F23*(1-'Feuille de Donnée'!$E$12),S23&lt;=$F23*(1+'Feuille de Donnée'!$F$12)),'Feuille de Donnée'!$F$17,IF(S23&lt;$F23*(1-'Feuille de Donnée'!$E$12),'Feuille de Donnée'!$F$18,'Feuille de Donnée'!$F$16))&amp;""&amp;IF(AND(T23&gt;=$G23*(1-'Feuille de Donnée'!$E$27),T23&lt;=$G23*(1+'Feuille de Donnée'!$F$27)),'Feuille de Donnée'!$F$32,IF(T23&lt;$G23*(1-'Feuille de Donnée'!$E$27),'Feuille de Donnée'!$F$33,'Feuille de Donnée'!$F$31)))))</f>
        <v/>
      </c>
      <c r="Z23" s="138"/>
      <c r="AA23" s="103"/>
      <c r="AB23" s="27"/>
      <c r="AC23" s="27"/>
      <c r="AD23" s="27" t="str">
        <f t="shared" si="7"/>
        <v/>
      </c>
      <c r="AE23" s="121" t="str">
        <f t="shared" si="8"/>
        <v/>
      </c>
      <c r="AF23" s="121" t="str">
        <f t="shared" si="9"/>
        <v/>
      </c>
      <c r="AG23" s="27" t="str">
        <f>IF(AND(ISBLANK(AI23),AH23=""),"",1+MAX(AG$21:AG22))</f>
        <v/>
      </c>
      <c r="AH23" s="137" t="str">
        <f>IF(OR(AD23="",AD23=0,$H23="",$H23=0,NOT(ISNUMBER($H23)),NOT(ISNUMBER(AD23))),IF(AND($E23&lt;&gt;"",AND(OR(ISNUMBER(AD23),AD23=""),AND(ISNUMBER($H23),$H23&gt;0))),'Feuille de Donnée'!$K$13,""),IF(AD23&lt;$H$168*'Feuille de Donnée'!$I$9,"Négligeable",(IF(AND(AB23&gt;=$F23*(1-'Feuille de Donnée'!$E$12),AB23&lt;=$F23*(1+'Feuille de Donnée'!$F$12)),'Feuille de Donnée'!$F$17,IF(AB23&lt;$F23*(1-'Feuille de Donnée'!$E$12),'Feuille de Donnée'!$F$18,'Feuille de Donnée'!$F$16))&amp;""&amp;IF(AND(AC23&gt;=$G23*(1-'Feuille de Donnée'!$E$27),AC23&lt;=$G23*(1+'Feuille de Donnée'!$F$27)),'Feuille de Donnée'!$F$32,IF(AC23&lt;$G23*(1-'Feuille de Donnée'!$E$27),'Feuille de Donnée'!$F$33,'Feuille de Donnée'!$F$31)))))</f>
        <v/>
      </c>
      <c r="AI23" s="138"/>
      <c r="AJ23" s="103"/>
      <c r="AK23" s="27"/>
      <c r="AL23" s="27"/>
      <c r="AM23" s="27" t="str">
        <f t="shared" si="10"/>
        <v/>
      </c>
      <c r="AN23" s="121" t="str">
        <f t="shared" si="11"/>
        <v/>
      </c>
      <c r="AO23" s="121" t="str">
        <f t="shared" si="12"/>
        <v/>
      </c>
      <c r="AP23" s="27" t="str">
        <f>IF(AND(ISBLANK(AR23),AQ23=""),"",1+MAX(AP$21:AP22))</f>
        <v/>
      </c>
      <c r="AQ23" s="137" t="str">
        <f>IF(OR(AM23="",AM23=0,$H23="",$H23=0,NOT(ISNUMBER($H23)),NOT(ISNUMBER(AM23))),IF(AND($E23&lt;&gt;"",AND(OR(ISNUMBER(AM23),AM23=""),AND(ISNUMBER($H23),$H23&gt;0))),'Feuille de Donnée'!$K$13,""),IF(AM23&lt;$H$168*'Feuille de Donnée'!$I$9,"Négligeable",(IF(AND(AK23&gt;=$F23*(1-'Feuille de Donnée'!$E$12),AK23&lt;=$F23*(1+'Feuille de Donnée'!$F$12)),'Feuille de Donnée'!$F$17,IF(AK23&lt;$F23*(1-'Feuille de Donnée'!$E$12),'Feuille de Donnée'!$F$18,'Feuille de Donnée'!$F$16))&amp;""&amp;IF(AND(AL23&gt;=$G23*(1-'Feuille de Donnée'!$E$27),AL23&lt;=$G23*(1+'Feuille de Donnée'!$F$27)),'Feuille de Donnée'!$F$32,IF(AL23&lt;$G23*(1-'Feuille de Donnée'!$E$27),'Feuille de Donnée'!$F$33,'Feuille de Donnée'!$F$31)))))</f>
        <v/>
      </c>
      <c r="AR23" s="138"/>
      <c r="AS23" s="103"/>
      <c r="AT23" s="27"/>
      <c r="AU23" s="27"/>
      <c r="AV23" s="27" t="str">
        <f t="shared" si="13"/>
        <v/>
      </c>
      <c r="AW23" s="121" t="str">
        <f t="shared" si="14"/>
        <v/>
      </c>
      <c r="AX23" s="121" t="str">
        <f t="shared" si="15"/>
        <v/>
      </c>
      <c r="AY23" s="27" t="str">
        <f>IF(AND(ISBLANK(BA23),AZ23=""),"",1+MAX(AY$21:AY22))</f>
        <v/>
      </c>
      <c r="AZ23" s="137" t="str">
        <f>IF(OR(AV23="",AV23=0,$H23="",$H23=0,NOT(ISNUMBER($H23)),NOT(ISNUMBER(AV23))),IF(AND($E23&lt;&gt;"",AND(OR(ISNUMBER(AV23),AV23=""),AND(ISNUMBER($H23),$H23&gt;0))),'Feuille de Donnée'!$K$13,""),IF(AV23&lt;$H$168*'Feuille de Donnée'!$I$9,"Négligeable",(IF(AND(AT23&gt;=$F23*(1-'Feuille de Donnée'!$E$12),AT23&lt;=$F23*(1+'Feuille de Donnée'!$F$12)),'Feuille de Donnée'!$F$17,IF(AT23&lt;$F23*(1-'Feuille de Donnée'!$E$12),'Feuille de Donnée'!$F$18,'Feuille de Donnée'!$F$16))&amp;""&amp;IF(AND(AU23&gt;=$G23*(1-'Feuille de Donnée'!$E$27),AU23&lt;=$G23*(1+'Feuille de Donnée'!$F$27)),'Feuille de Donnée'!$F$32,IF(AU23&lt;$G23*(1-'Feuille de Donnée'!$E$27),'Feuille de Donnée'!$F$33,'Feuille de Donnée'!$F$31)))))</f>
        <v/>
      </c>
      <c r="BA23" s="138"/>
      <c r="BB23" s="103"/>
      <c r="BC23" s="27"/>
      <c r="BD23" s="27"/>
      <c r="BE23" s="27" t="str">
        <f t="shared" si="16"/>
        <v/>
      </c>
      <c r="BF23" s="121" t="str">
        <f t="shared" si="17"/>
        <v/>
      </c>
      <c r="BG23" s="121" t="str">
        <f t="shared" si="18"/>
        <v/>
      </c>
      <c r="BH23" s="27" t="str">
        <f>IF(AND(ISBLANK(BJ23),BI23=""),"",1+MAX(BH$21:BH22))</f>
        <v/>
      </c>
      <c r="BI23" s="137" t="str">
        <f>IF(OR(BE23="",BE23=0,$H23="",$H23=0,NOT(ISNUMBER($H23)),NOT(ISNUMBER(BE23))),IF(AND($E23&lt;&gt;"",AND(OR(ISNUMBER(BE23),BE23=""),AND(ISNUMBER($H23),$H23&gt;0))),'Feuille de Donnée'!$K$13,""),IF(BE23&lt;$H$168*'Feuille de Donnée'!$I$9,"Négligeable",(IF(AND(BC23&gt;=$F23*(1-'Feuille de Donnée'!$E$12),BC23&lt;=$F23*(1+'Feuille de Donnée'!$F$12)),'Feuille de Donnée'!$F$17,IF(BC23&lt;$F23*(1-'Feuille de Donnée'!$E$12),'Feuille de Donnée'!$F$18,'Feuille de Donnée'!$F$16))&amp;""&amp;IF(AND(BD23&gt;=$G23*(1-'Feuille de Donnée'!$E$27),BD23&lt;=$G23*(1+'Feuille de Donnée'!$F$27)),'Feuille de Donnée'!$F$32,IF(BD23&lt;$G23*(1-'Feuille de Donnée'!$E$27),'Feuille de Donnée'!$F$33,'Feuille de Donnée'!$F$31)))))</f>
        <v/>
      </c>
      <c r="BJ23" s="138"/>
      <c r="BK23" s="140"/>
    </row>
    <row r="24" spans="1:63" s="6" customFormat="1" x14ac:dyDescent="0.3">
      <c r="A24" s="23"/>
      <c r="B24" s="24"/>
      <c r="C24" s="24"/>
      <c r="D24" s="24"/>
      <c r="E24" s="22"/>
      <c r="F24" s="25"/>
      <c r="G24" s="26"/>
      <c r="H24" s="102" t="str">
        <f t="shared" ref="H24:H87" si="19">IF(ISBLANK(E24),"",ROUND(F24*G24,2))</f>
        <v/>
      </c>
      <c r="I24" s="103"/>
      <c r="J24" s="27"/>
      <c r="K24" s="27"/>
      <c r="L24" s="27" t="str">
        <f t="shared" ref="L24:L87" si="20">IF(ISBLANK(I24),"",ROUND(J24*K24,2))</f>
        <v/>
      </c>
      <c r="M24" s="121" t="str">
        <f t="shared" ref="M24:M87" si="21">IF($F24=0,"",(J24/$F24-1))</f>
        <v/>
      </c>
      <c r="N24" s="121" t="str">
        <f t="shared" ref="N24:N87" si="22">IF($G24=0,"",(K24/$G24-1))</f>
        <v/>
      </c>
      <c r="O24" s="27" t="str">
        <f>IF(AND(ISBLANK(Q24),P24=""),"",1+MAX(O$21:O23))</f>
        <v/>
      </c>
      <c r="P24" s="137" t="str">
        <f>IF(OR(L24="",L24=0,$H24="",$H24=0,NOT(ISNUMBER($H24)),NOT(ISNUMBER(L24))),IF(AND($E24&lt;&gt;"",AND(OR(ISNUMBER(L24),L24=""),AND(ISNUMBER($H24),$H24&gt;0))),'Feuille de Donnée'!$K$13,""),IF(L24&lt;$H$168*'Feuille de Donnée'!$I$9,"Négligeable",(IF(AND(J24&gt;=$F24*(1-'Feuille de Donnée'!$E$12),J24&lt;=$F24*(1+'Feuille de Donnée'!$F$12)),'Feuille de Donnée'!$F$17,IF(J24&lt;$F24*(1-'Feuille de Donnée'!$E$12),'Feuille de Donnée'!$F$18,'Feuille de Donnée'!$F$16))&amp;""&amp;IF(AND(K24&gt;=$G24*(1-'Feuille de Donnée'!$E$27),K24&lt;=$G24*(1+'Feuille de Donnée'!$F$27)),'Feuille de Donnée'!$F$32,IF(K24&lt;$G24*(1-'Feuille de Donnée'!$E$27),'Feuille de Donnée'!$F$33,'Feuille de Donnée'!$F$31)))))</f>
        <v/>
      </c>
      <c r="Q24" s="138"/>
      <c r="R24" s="103"/>
      <c r="S24" s="27"/>
      <c r="T24" s="27"/>
      <c r="U24" s="27" t="str">
        <f t="shared" ref="U24:U87" si="23">IF(ISBLANK(R24),"",ROUND(S24*T24,2))</f>
        <v/>
      </c>
      <c r="V24" s="121" t="str">
        <f t="shared" ref="V24:V87" si="24">IF($F24=0,"",(S24/$F24-1))</f>
        <v/>
      </c>
      <c r="W24" s="121" t="str">
        <f t="shared" ref="W24:W87" si="25">IF($G24=0,"",(T24/$G24-1))</f>
        <v/>
      </c>
      <c r="X24" s="27" t="str">
        <f>IF(AND(ISBLANK(Z24),Y24=""),"",1+MAX(X$21:X23))</f>
        <v/>
      </c>
      <c r="Y24" s="137" t="str">
        <f>IF(OR(U24="",U24=0,$H24="",$H24=0,NOT(ISNUMBER($H24)),NOT(ISNUMBER(U24))),IF(AND($E24&lt;&gt;"",AND(OR(ISNUMBER(U24),U24=""),AND(ISNUMBER($H24),$H24&gt;0))),'Feuille de Donnée'!$K$13,""),IF(U24&lt;$H$168*'Feuille de Donnée'!$I$9,"Négligeable",(IF(AND(S24&gt;=$F24*(1-'Feuille de Donnée'!$E$12),S24&lt;=$F24*(1+'Feuille de Donnée'!$F$12)),'Feuille de Donnée'!$F$17,IF(S24&lt;$F24*(1-'Feuille de Donnée'!$E$12),'Feuille de Donnée'!$F$18,'Feuille de Donnée'!$F$16))&amp;""&amp;IF(AND(T24&gt;=$G24*(1-'Feuille de Donnée'!$E$27),T24&lt;=$G24*(1+'Feuille de Donnée'!$F$27)),'Feuille de Donnée'!$F$32,IF(T24&lt;$G24*(1-'Feuille de Donnée'!$E$27),'Feuille de Donnée'!$F$33,'Feuille de Donnée'!$F$31)))))</f>
        <v/>
      </c>
      <c r="Z24" s="138"/>
      <c r="AA24" s="103"/>
      <c r="AB24" s="27"/>
      <c r="AC24" s="27"/>
      <c r="AD24" s="27" t="str">
        <f t="shared" ref="AD24:AD87" si="26">IF(ISBLANK(AA24),"",ROUND(AB24*AC24,2))</f>
        <v/>
      </c>
      <c r="AE24" s="121" t="str">
        <f t="shared" ref="AE24:AE87" si="27">IF($F24=0,"",(AB24/$F24-1))</f>
        <v/>
      </c>
      <c r="AF24" s="121" t="str">
        <f t="shared" ref="AF24:AF87" si="28">IF($G24=0,"",(AC24/$G24-1))</f>
        <v/>
      </c>
      <c r="AG24" s="27" t="str">
        <f>IF(AND(ISBLANK(AI24),AH24=""),"",1+MAX(AG$21:AG23))</f>
        <v/>
      </c>
      <c r="AH24" s="137" t="str">
        <f>IF(OR(AD24="",AD24=0,$H24="",$H24=0,NOT(ISNUMBER($H24)),NOT(ISNUMBER(AD24))),IF(AND($E24&lt;&gt;"",AND(OR(ISNUMBER(AD24),AD24=""),AND(ISNUMBER($H24),$H24&gt;0))),'Feuille de Donnée'!$K$13,""),IF(AD24&lt;$H$168*'Feuille de Donnée'!$I$9,"Négligeable",(IF(AND(AB24&gt;=$F24*(1-'Feuille de Donnée'!$E$12),AB24&lt;=$F24*(1+'Feuille de Donnée'!$F$12)),'Feuille de Donnée'!$F$17,IF(AB24&lt;$F24*(1-'Feuille de Donnée'!$E$12),'Feuille de Donnée'!$F$18,'Feuille de Donnée'!$F$16))&amp;""&amp;IF(AND(AC24&gt;=$G24*(1-'Feuille de Donnée'!$E$27),AC24&lt;=$G24*(1+'Feuille de Donnée'!$F$27)),'Feuille de Donnée'!$F$32,IF(AC24&lt;$G24*(1-'Feuille de Donnée'!$E$27),'Feuille de Donnée'!$F$33,'Feuille de Donnée'!$F$31)))))</f>
        <v/>
      </c>
      <c r="AI24" s="138"/>
      <c r="AJ24" s="103"/>
      <c r="AK24" s="27"/>
      <c r="AL24" s="27"/>
      <c r="AM24" s="27" t="str">
        <f t="shared" ref="AM24:AM87" si="29">IF(ISBLANK(AJ24),"",ROUND(AK24*AL24,2))</f>
        <v/>
      </c>
      <c r="AN24" s="121" t="str">
        <f t="shared" ref="AN24:AN87" si="30">IF($F24=0,"",(AK24/$F24-1))</f>
        <v/>
      </c>
      <c r="AO24" s="121" t="str">
        <f t="shared" ref="AO24:AO87" si="31">IF($G24=0,"",(AL24/$G24-1))</f>
        <v/>
      </c>
      <c r="AP24" s="27" t="str">
        <f>IF(AND(ISBLANK(AR24),AQ24=""),"",1+MAX(AP$21:AP23))</f>
        <v/>
      </c>
      <c r="AQ24" s="137" t="str">
        <f>IF(OR(AM24="",AM24=0,$H24="",$H24=0,NOT(ISNUMBER($H24)),NOT(ISNUMBER(AM24))),IF(AND($E24&lt;&gt;"",AND(OR(ISNUMBER(AM24),AM24=""),AND(ISNUMBER($H24),$H24&gt;0))),'Feuille de Donnée'!$K$13,""),IF(AM24&lt;$H$168*'Feuille de Donnée'!$I$9,"Négligeable",(IF(AND(AK24&gt;=$F24*(1-'Feuille de Donnée'!$E$12),AK24&lt;=$F24*(1+'Feuille de Donnée'!$F$12)),'Feuille de Donnée'!$F$17,IF(AK24&lt;$F24*(1-'Feuille de Donnée'!$E$12),'Feuille de Donnée'!$F$18,'Feuille de Donnée'!$F$16))&amp;""&amp;IF(AND(AL24&gt;=$G24*(1-'Feuille de Donnée'!$E$27),AL24&lt;=$G24*(1+'Feuille de Donnée'!$F$27)),'Feuille de Donnée'!$F$32,IF(AL24&lt;$G24*(1-'Feuille de Donnée'!$E$27),'Feuille de Donnée'!$F$33,'Feuille de Donnée'!$F$31)))))</f>
        <v/>
      </c>
      <c r="AR24" s="138"/>
      <c r="AS24" s="103"/>
      <c r="AT24" s="27"/>
      <c r="AU24" s="27"/>
      <c r="AV24" s="27" t="str">
        <f t="shared" ref="AV24:AV87" si="32">IF(ISBLANK(AS24),"",ROUND(AT24*AU24,2))</f>
        <v/>
      </c>
      <c r="AW24" s="121" t="str">
        <f t="shared" ref="AW24:AW87" si="33">IF($F24=0,"",(AT24/$F24-1))</f>
        <v/>
      </c>
      <c r="AX24" s="121" t="str">
        <f t="shared" ref="AX24:AX87" si="34">IF($G24=0,"",(AU24/$G24-1))</f>
        <v/>
      </c>
      <c r="AY24" s="27" t="str">
        <f>IF(AND(ISBLANK(BA24),AZ24=""),"",1+MAX(AY$21:AY23))</f>
        <v/>
      </c>
      <c r="AZ24" s="137" t="str">
        <f>IF(OR(AV24="",AV24=0,$H24="",$H24=0,NOT(ISNUMBER($H24)),NOT(ISNUMBER(AV24))),IF(AND($E24&lt;&gt;"",AND(OR(ISNUMBER(AV24),AV24=""),AND(ISNUMBER($H24),$H24&gt;0))),'Feuille de Donnée'!$K$13,""),IF(AV24&lt;$H$168*'Feuille de Donnée'!$I$9,"Négligeable",(IF(AND(AT24&gt;=$F24*(1-'Feuille de Donnée'!$E$12),AT24&lt;=$F24*(1+'Feuille de Donnée'!$F$12)),'Feuille de Donnée'!$F$17,IF(AT24&lt;$F24*(1-'Feuille de Donnée'!$E$12),'Feuille de Donnée'!$F$18,'Feuille de Donnée'!$F$16))&amp;""&amp;IF(AND(AU24&gt;=$G24*(1-'Feuille de Donnée'!$E$27),AU24&lt;=$G24*(1+'Feuille de Donnée'!$F$27)),'Feuille de Donnée'!$F$32,IF(AU24&lt;$G24*(1-'Feuille de Donnée'!$E$27),'Feuille de Donnée'!$F$33,'Feuille de Donnée'!$F$31)))))</f>
        <v/>
      </c>
      <c r="BA24" s="138"/>
      <c r="BB24" s="103"/>
      <c r="BC24" s="27"/>
      <c r="BD24" s="27"/>
      <c r="BE24" s="27" t="str">
        <f t="shared" ref="BE24:BE87" si="35">IF(ISBLANK(BB24),"",ROUND(BC24*BD24,2))</f>
        <v/>
      </c>
      <c r="BF24" s="121" t="str">
        <f t="shared" ref="BF24:BF87" si="36">IF($F24=0,"",(BC24/$F24-1))</f>
        <v/>
      </c>
      <c r="BG24" s="121" t="str">
        <f t="shared" ref="BG24:BG87" si="37">IF($G24=0,"",(BD24/$G24-1))</f>
        <v/>
      </c>
      <c r="BH24" s="27" t="str">
        <f>IF(AND(ISBLANK(BJ24),BI24=""),"",1+MAX(BH$21:BH23))</f>
        <v/>
      </c>
      <c r="BI24" s="137" t="str">
        <f>IF(OR(BE24="",BE24=0,$H24="",$H24=0,NOT(ISNUMBER($H24)),NOT(ISNUMBER(BE24))),IF(AND($E24&lt;&gt;"",AND(OR(ISNUMBER(BE24),BE24=""),AND(ISNUMBER($H24),$H24&gt;0))),'Feuille de Donnée'!$K$13,""),IF(BE24&lt;$H$168*'Feuille de Donnée'!$I$9,"Négligeable",(IF(AND(BC24&gt;=$F24*(1-'Feuille de Donnée'!$E$12),BC24&lt;=$F24*(1+'Feuille de Donnée'!$F$12)),'Feuille de Donnée'!$F$17,IF(BC24&lt;$F24*(1-'Feuille de Donnée'!$E$12),'Feuille de Donnée'!$F$18,'Feuille de Donnée'!$F$16))&amp;""&amp;IF(AND(BD24&gt;=$G24*(1-'Feuille de Donnée'!$E$27),BD24&lt;=$G24*(1+'Feuille de Donnée'!$F$27)),'Feuille de Donnée'!$F$32,IF(BD24&lt;$G24*(1-'Feuille de Donnée'!$E$27),'Feuille de Donnée'!$F$33,'Feuille de Donnée'!$F$31)))))</f>
        <v/>
      </c>
      <c r="BJ24" s="138"/>
      <c r="BK24" s="140"/>
    </row>
    <row r="25" spans="1:63" s="6" customFormat="1" x14ac:dyDescent="0.3">
      <c r="A25" s="23"/>
      <c r="B25" s="24"/>
      <c r="C25" s="24"/>
      <c r="D25" s="24"/>
      <c r="E25" s="22"/>
      <c r="F25" s="25"/>
      <c r="G25" s="26"/>
      <c r="H25" s="102" t="str">
        <f t="shared" si="19"/>
        <v/>
      </c>
      <c r="I25" s="103"/>
      <c r="J25" s="27"/>
      <c r="K25" s="27"/>
      <c r="L25" s="27" t="str">
        <f t="shared" si="20"/>
        <v/>
      </c>
      <c r="M25" s="121" t="str">
        <f t="shared" si="21"/>
        <v/>
      </c>
      <c r="N25" s="121" t="str">
        <f t="shared" si="22"/>
        <v/>
      </c>
      <c r="O25" s="27" t="str">
        <f>IF(AND(ISBLANK(Q25),P25=""),"",1+MAX(O$21:O24))</f>
        <v/>
      </c>
      <c r="P25" s="137" t="str">
        <f>IF(OR(L25="",L25=0,$H25="",$H25=0,NOT(ISNUMBER($H25)),NOT(ISNUMBER(L25))),IF(AND($E25&lt;&gt;"",AND(OR(ISNUMBER(L25),L25=""),AND(ISNUMBER($H25),$H25&gt;0))),'Feuille de Donnée'!$K$13,""),IF(L25&lt;$H$168*'Feuille de Donnée'!$I$9,"Négligeable",(IF(AND(J25&gt;=$F25*(1-'Feuille de Donnée'!$E$12),J25&lt;=$F25*(1+'Feuille de Donnée'!$F$12)),'Feuille de Donnée'!$F$17,IF(J25&lt;$F25*(1-'Feuille de Donnée'!$E$12),'Feuille de Donnée'!$F$18,'Feuille de Donnée'!$F$16))&amp;""&amp;IF(AND(K25&gt;=$G25*(1-'Feuille de Donnée'!$E$27),K25&lt;=$G25*(1+'Feuille de Donnée'!$F$27)),'Feuille de Donnée'!$F$32,IF(K25&lt;$G25*(1-'Feuille de Donnée'!$E$27),'Feuille de Donnée'!$F$33,'Feuille de Donnée'!$F$31)))))</f>
        <v/>
      </c>
      <c r="Q25" s="138"/>
      <c r="R25" s="103"/>
      <c r="S25" s="27"/>
      <c r="T25" s="27"/>
      <c r="U25" s="27" t="str">
        <f t="shared" si="23"/>
        <v/>
      </c>
      <c r="V25" s="121" t="str">
        <f t="shared" si="24"/>
        <v/>
      </c>
      <c r="W25" s="121" t="str">
        <f t="shared" si="25"/>
        <v/>
      </c>
      <c r="X25" s="27" t="str">
        <f>IF(AND(ISBLANK(Z25),Y25=""),"",1+MAX(X$21:X24))</f>
        <v/>
      </c>
      <c r="Y25" s="137" t="str">
        <f>IF(OR(U25="",U25=0,$H25="",$H25=0,NOT(ISNUMBER($H25)),NOT(ISNUMBER(U25))),IF(AND($E25&lt;&gt;"",AND(OR(ISNUMBER(U25),U25=""),AND(ISNUMBER($H25),$H25&gt;0))),'Feuille de Donnée'!$K$13,""),IF(U25&lt;$H$168*'Feuille de Donnée'!$I$9,"Négligeable",(IF(AND(S25&gt;=$F25*(1-'Feuille de Donnée'!$E$12),S25&lt;=$F25*(1+'Feuille de Donnée'!$F$12)),'Feuille de Donnée'!$F$17,IF(S25&lt;$F25*(1-'Feuille de Donnée'!$E$12),'Feuille de Donnée'!$F$18,'Feuille de Donnée'!$F$16))&amp;""&amp;IF(AND(T25&gt;=$G25*(1-'Feuille de Donnée'!$E$27),T25&lt;=$G25*(1+'Feuille de Donnée'!$F$27)),'Feuille de Donnée'!$F$32,IF(T25&lt;$G25*(1-'Feuille de Donnée'!$E$27),'Feuille de Donnée'!$F$33,'Feuille de Donnée'!$F$31)))))</f>
        <v/>
      </c>
      <c r="Z25" s="138"/>
      <c r="AA25" s="103"/>
      <c r="AB25" s="27"/>
      <c r="AC25" s="27"/>
      <c r="AD25" s="27" t="str">
        <f t="shared" si="26"/>
        <v/>
      </c>
      <c r="AE25" s="121" t="str">
        <f t="shared" si="27"/>
        <v/>
      </c>
      <c r="AF25" s="121" t="str">
        <f t="shared" si="28"/>
        <v/>
      </c>
      <c r="AG25" s="27" t="str">
        <f>IF(AND(ISBLANK(AI25),AH25=""),"",1+MAX(AG$21:AG24))</f>
        <v/>
      </c>
      <c r="AH25" s="137" t="str">
        <f>IF(OR(AD25="",AD25=0,$H25="",$H25=0,NOT(ISNUMBER($H25)),NOT(ISNUMBER(AD25))),IF(AND($E25&lt;&gt;"",AND(OR(ISNUMBER(AD25),AD25=""),AND(ISNUMBER($H25),$H25&gt;0))),'Feuille de Donnée'!$K$13,""),IF(AD25&lt;$H$168*'Feuille de Donnée'!$I$9,"Négligeable",(IF(AND(AB25&gt;=$F25*(1-'Feuille de Donnée'!$E$12),AB25&lt;=$F25*(1+'Feuille de Donnée'!$F$12)),'Feuille de Donnée'!$F$17,IF(AB25&lt;$F25*(1-'Feuille de Donnée'!$E$12),'Feuille de Donnée'!$F$18,'Feuille de Donnée'!$F$16))&amp;""&amp;IF(AND(AC25&gt;=$G25*(1-'Feuille de Donnée'!$E$27),AC25&lt;=$G25*(1+'Feuille de Donnée'!$F$27)),'Feuille de Donnée'!$F$32,IF(AC25&lt;$G25*(1-'Feuille de Donnée'!$E$27),'Feuille de Donnée'!$F$33,'Feuille de Donnée'!$F$31)))))</f>
        <v/>
      </c>
      <c r="AI25" s="138"/>
      <c r="AJ25" s="103"/>
      <c r="AK25" s="27"/>
      <c r="AL25" s="27"/>
      <c r="AM25" s="27" t="str">
        <f t="shared" si="29"/>
        <v/>
      </c>
      <c r="AN25" s="121" t="str">
        <f t="shared" si="30"/>
        <v/>
      </c>
      <c r="AO25" s="121" t="str">
        <f t="shared" si="31"/>
        <v/>
      </c>
      <c r="AP25" s="27" t="str">
        <f>IF(AND(ISBLANK(AR25),AQ25=""),"",1+MAX(AP$21:AP24))</f>
        <v/>
      </c>
      <c r="AQ25" s="137" t="str">
        <f>IF(OR(AM25="",AM25=0,$H25="",$H25=0,NOT(ISNUMBER($H25)),NOT(ISNUMBER(AM25))),IF(AND($E25&lt;&gt;"",AND(OR(ISNUMBER(AM25),AM25=""),AND(ISNUMBER($H25),$H25&gt;0))),'Feuille de Donnée'!$K$13,""),IF(AM25&lt;$H$168*'Feuille de Donnée'!$I$9,"Négligeable",(IF(AND(AK25&gt;=$F25*(1-'Feuille de Donnée'!$E$12),AK25&lt;=$F25*(1+'Feuille de Donnée'!$F$12)),'Feuille de Donnée'!$F$17,IF(AK25&lt;$F25*(1-'Feuille de Donnée'!$E$12),'Feuille de Donnée'!$F$18,'Feuille de Donnée'!$F$16))&amp;""&amp;IF(AND(AL25&gt;=$G25*(1-'Feuille de Donnée'!$E$27),AL25&lt;=$G25*(1+'Feuille de Donnée'!$F$27)),'Feuille de Donnée'!$F$32,IF(AL25&lt;$G25*(1-'Feuille de Donnée'!$E$27),'Feuille de Donnée'!$F$33,'Feuille de Donnée'!$F$31)))))</f>
        <v/>
      </c>
      <c r="AR25" s="138"/>
      <c r="AS25" s="103"/>
      <c r="AT25" s="27"/>
      <c r="AU25" s="27"/>
      <c r="AV25" s="27" t="str">
        <f t="shared" si="32"/>
        <v/>
      </c>
      <c r="AW25" s="121" t="str">
        <f t="shared" si="33"/>
        <v/>
      </c>
      <c r="AX25" s="121" t="str">
        <f t="shared" si="34"/>
        <v/>
      </c>
      <c r="AY25" s="27" t="str">
        <f>IF(AND(ISBLANK(BA25),AZ25=""),"",1+MAX(AY$21:AY24))</f>
        <v/>
      </c>
      <c r="AZ25" s="137" t="str">
        <f>IF(OR(AV25="",AV25=0,$H25="",$H25=0,NOT(ISNUMBER($H25)),NOT(ISNUMBER(AV25))),IF(AND($E25&lt;&gt;"",AND(OR(ISNUMBER(AV25),AV25=""),AND(ISNUMBER($H25),$H25&gt;0))),'Feuille de Donnée'!$K$13,""),IF(AV25&lt;$H$168*'Feuille de Donnée'!$I$9,"Négligeable",(IF(AND(AT25&gt;=$F25*(1-'Feuille de Donnée'!$E$12),AT25&lt;=$F25*(1+'Feuille de Donnée'!$F$12)),'Feuille de Donnée'!$F$17,IF(AT25&lt;$F25*(1-'Feuille de Donnée'!$E$12),'Feuille de Donnée'!$F$18,'Feuille de Donnée'!$F$16))&amp;""&amp;IF(AND(AU25&gt;=$G25*(1-'Feuille de Donnée'!$E$27),AU25&lt;=$G25*(1+'Feuille de Donnée'!$F$27)),'Feuille de Donnée'!$F$32,IF(AU25&lt;$G25*(1-'Feuille de Donnée'!$E$27),'Feuille de Donnée'!$F$33,'Feuille de Donnée'!$F$31)))))</f>
        <v/>
      </c>
      <c r="BA25" s="138"/>
      <c r="BB25" s="103"/>
      <c r="BC25" s="27"/>
      <c r="BD25" s="27"/>
      <c r="BE25" s="27" t="str">
        <f t="shared" si="35"/>
        <v/>
      </c>
      <c r="BF25" s="121" t="str">
        <f t="shared" si="36"/>
        <v/>
      </c>
      <c r="BG25" s="121" t="str">
        <f t="shared" si="37"/>
        <v/>
      </c>
      <c r="BH25" s="27" t="str">
        <f>IF(AND(ISBLANK(BJ25),BI25=""),"",1+MAX(BH$21:BH24))</f>
        <v/>
      </c>
      <c r="BI25" s="137" t="str">
        <f>IF(OR(BE25="",BE25=0,$H25="",$H25=0,NOT(ISNUMBER($H25)),NOT(ISNUMBER(BE25))),IF(AND($E25&lt;&gt;"",AND(OR(ISNUMBER(BE25),BE25=""),AND(ISNUMBER($H25),$H25&gt;0))),'Feuille de Donnée'!$K$13,""),IF(BE25&lt;$H$168*'Feuille de Donnée'!$I$9,"Négligeable",(IF(AND(BC25&gt;=$F25*(1-'Feuille de Donnée'!$E$12),BC25&lt;=$F25*(1+'Feuille de Donnée'!$F$12)),'Feuille de Donnée'!$F$17,IF(BC25&lt;$F25*(1-'Feuille de Donnée'!$E$12),'Feuille de Donnée'!$F$18,'Feuille de Donnée'!$F$16))&amp;""&amp;IF(AND(BD25&gt;=$G25*(1-'Feuille de Donnée'!$E$27),BD25&lt;=$G25*(1+'Feuille de Donnée'!$F$27)),'Feuille de Donnée'!$F$32,IF(BD25&lt;$G25*(1-'Feuille de Donnée'!$E$27),'Feuille de Donnée'!$F$33,'Feuille de Donnée'!$F$31)))))</f>
        <v/>
      </c>
      <c r="BJ25" s="138"/>
      <c r="BK25" s="140"/>
    </row>
    <row r="26" spans="1:63" s="6" customFormat="1" x14ac:dyDescent="0.3">
      <c r="A26" s="23"/>
      <c r="B26" s="24"/>
      <c r="C26" s="24"/>
      <c r="D26" s="24"/>
      <c r="E26" s="22"/>
      <c r="F26" s="25"/>
      <c r="G26" s="26"/>
      <c r="H26" s="102" t="str">
        <f t="shared" si="19"/>
        <v/>
      </c>
      <c r="I26" s="103"/>
      <c r="J26" s="27"/>
      <c r="K26" s="27"/>
      <c r="L26" s="27" t="str">
        <f t="shared" si="20"/>
        <v/>
      </c>
      <c r="M26" s="121" t="str">
        <f t="shared" si="21"/>
        <v/>
      </c>
      <c r="N26" s="121" t="str">
        <f t="shared" si="22"/>
        <v/>
      </c>
      <c r="O26" s="27" t="str">
        <f>IF(AND(ISBLANK(Q26),P26=""),"",1+MAX(O$21:O25))</f>
        <v/>
      </c>
      <c r="P26" s="137" t="str">
        <f>IF(OR(L26="",L26=0,$H26="",$H26=0,NOT(ISNUMBER($H26)),NOT(ISNUMBER(L26))),IF(AND($E26&lt;&gt;"",AND(OR(ISNUMBER(L26),L26=""),AND(ISNUMBER($H26),$H26&gt;0))),'Feuille de Donnée'!$K$13,""),IF(L26&lt;$H$168*'Feuille de Donnée'!$I$9,"Négligeable",(IF(AND(J26&gt;=$F26*(1-'Feuille de Donnée'!$E$12),J26&lt;=$F26*(1+'Feuille de Donnée'!$F$12)),'Feuille de Donnée'!$F$17,IF(J26&lt;$F26*(1-'Feuille de Donnée'!$E$12),'Feuille de Donnée'!$F$18,'Feuille de Donnée'!$F$16))&amp;""&amp;IF(AND(K26&gt;=$G26*(1-'Feuille de Donnée'!$E$27),K26&lt;=$G26*(1+'Feuille de Donnée'!$F$27)),'Feuille de Donnée'!$F$32,IF(K26&lt;$G26*(1-'Feuille de Donnée'!$E$27),'Feuille de Donnée'!$F$33,'Feuille de Donnée'!$F$31)))))</f>
        <v/>
      </c>
      <c r="Q26" s="138"/>
      <c r="R26" s="103"/>
      <c r="S26" s="27"/>
      <c r="T26" s="27"/>
      <c r="U26" s="27" t="str">
        <f t="shared" si="23"/>
        <v/>
      </c>
      <c r="V26" s="121" t="str">
        <f t="shared" si="24"/>
        <v/>
      </c>
      <c r="W26" s="121" t="str">
        <f t="shared" si="25"/>
        <v/>
      </c>
      <c r="X26" s="27" t="str">
        <f>IF(AND(ISBLANK(Z26),Y26=""),"",1+MAX(X$21:X25))</f>
        <v/>
      </c>
      <c r="Y26" s="137" t="str">
        <f>IF(OR(U26="",U26=0,$H26="",$H26=0,NOT(ISNUMBER($H26)),NOT(ISNUMBER(U26))),IF(AND($E26&lt;&gt;"",AND(OR(ISNUMBER(U26),U26=""),AND(ISNUMBER($H26),$H26&gt;0))),'Feuille de Donnée'!$K$13,""),IF(U26&lt;$H$168*'Feuille de Donnée'!$I$9,"Négligeable",(IF(AND(S26&gt;=$F26*(1-'Feuille de Donnée'!$E$12),S26&lt;=$F26*(1+'Feuille de Donnée'!$F$12)),'Feuille de Donnée'!$F$17,IF(S26&lt;$F26*(1-'Feuille de Donnée'!$E$12),'Feuille de Donnée'!$F$18,'Feuille de Donnée'!$F$16))&amp;""&amp;IF(AND(T26&gt;=$G26*(1-'Feuille de Donnée'!$E$27),T26&lt;=$G26*(1+'Feuille de Donnée'!$F$27)),'Feuille de Donnée'!$F$32,IF(T26&lt;$G26*(1-'Feuille de Donnée'!$E$27),'Feuille de Donnée'!$F$33,'Feuille de Donnée'!$F$31)))))</f>
        <v/>
      </c>
      <c r="Z26" s="138"/>
      <c r="AA26" s="103"/>
      <c r="AB26" s="27"/>
      <c r="AC26" s="27"/>
      <c r="AD26" s="27" t="str">
        <f t="shared" si="26"/>
        <v/>
      </c>
      <c r="AE26" s="121" t="str">
        <f t="shared" si="27"/>
        <v/>
      </c>
      <c r="AF26" s="121" t="str">
        <f t="shared" si="28"/>
        <v/>
      </c>
      <c r="AG26" s="27" t="str">
        <f>IF(AND(ISBLANK(AI26),AH26=""),"",1+MAX(AG$21:AG25))</f>
        <v/>
      </c>
      <c r="AH26" s="137" t="str">
        <f>IF(OR(AD26="",AD26=0,$H26="",$H26=0,NOT(ISNUMBER($H26)),NOT(ISNUMBER(AD26))),IF(AND($E26&lt;&gt;"",AND(OR(ISNUMBER(AD26),AD26=""),AND(ISNUMBER($H26),$H26&gt;0))),'Feuille de Donnée'!$K$13,""),IF(AD26&lt;$H$168*'Feuille de Donnée'!$I$9,"Négligeable",(IF(AND(AB26&gt;=$F26*(1-'Feuille de Donnée'!$E$12),AB26&lt;=$F26*(1+'Feuille de Donnée'!$F$12)),'Feuille de Donnée'!$F$17,IF(AB26&lt;$F26*(1-'Feuille de Donnée'!$E$12),'Feuille de Donnée'!$F$18,'Feuille de Donnée'!$F$16))&amp;""&amp;IF(AND(AC26&gt;=$G26*(1-'Feuille de Donnée'!$E$27),AC26&lt;=$G26*(1+'Feuille de Donnée'!$F$27)),'Feuille de Donnée'!$F$32,IF(AC26&lt;$G26*(1-'Feuille de Donnée'!$E$27),'Feuille de Donnée'!$F$33,'Feuille de Donnée'!$F$31)))))</f>
        <v/>
      </c>
      <c r="AI26" s="138"/>
      <c r="AJ26" s="103"/>
      <c r="AK26" s="27"/>
      <c r="AL26" s="27"/>
      <c r="AM26" s="27" t="str">
        <f t="shared" si="29"/>
        <v/>
      </c>
      <c r="AN26" s="121" t="str">
        <f t="shared" si="30"/>
        <v/>
      </c>
      <c r="AO26" s="121" t="str">
        <f t="shared" si="31"/>
        <v/>
      </c>
      <c r="AP26" s="27" t="str">
        <f>IF(AND(ISBLANK(AR26),AQ26=""),"",1+MAX(AP$21:AP25))</f>
        <v/>
      </c>
      <c r="AQ26" s="137" t="str">
        <f>IF(OR(AM26="",AM26=0,$H26="",$H26=0,NOT(ISNUMBER($H26)),NOT(ISNUMBER(AM26))),IF(AND($E26&lt;&gt;"",AND(OR(ISNUMBER(AM26),AM26=""),AND(ISNUMBER($H26),$H26&gt;0))),'Feuille de Donnée'!$K$13,""),IF(AM26&lt;$H$168*'Feuille de Donnée'!$I$9,"Négligeable",(IF(AND(AK26&gt;=$F26*(1-'Feuille de Donnée'!$E$12),AK26&lt;=$F26*(1+'Feuille de Donnée'!$F$12)),'Feuille de Donnée'!$F$17,IF(AK26&lt;$F26*(1-'Feuille de Donnée'!$E$12),'Feuille de Donnée'!$F$18,'Feuille de Donnée'!$F$16))&amp;""&amp;IF(AND(AL26&gt;=$G26*(1-'Feuille de Donnée'!$E$27),AL26&lt;=$G26*(1+'Feuille de Donnée'!$F$27)),'Feuille de Donnée'!$F$32,IF(AL26&lt;$G26*(1-'Feuille de Donnée'!$E$27),'Feuille de Donnée'!$F$33,'Feuille de Donnée'!$F$31)))))</f>
        <v/>
      </c>
      <c r="AR26" s="138"/>
      <c r="AS26" s="103"/>
      <c r="AT26" s="27"/>
      <c r="AU26" s="27"/>
      <c r="AV26" s="27" t="str">
        <f t="shared" si="32"/>
        <v/>
      </c>
      <c r="AW26" s="121" t="str">
        <f t="shared" si="33"/>
        <v/>
      </c>
      <c r="AX26" s="121" t="str">
        <f t="shared" si="34"/>
        <v/>
      </c>
      <c r="AY26" s="27" t="str">
        <f>IF(AND(ISBLANK(BA26),AZ26=""),"",1+MAX(AY$21:AY25))</f>
        <v/>
      </c>
      <c r="AZ26" s="137" t="str">
        <f>IF(OR(AV26="",AV26=0,$H26="",$H26=0,NOT(ISNUMBER($H26)),NOT(ISNUMBER(AV26))),IF(AND($E26&lt;&gt;"",AND(OR(ISNUMBER(AV26),AV26=""),AND(ISNUMBER($H26),$H26&gt;0))),'Feuille de Donnée'!$K$13,""),IF(AV26&lt;$H$168*'Feuille de Donnée'!$I$9,"Négligeable",(IF(AND(AT26&gt;=$F26*(1-'Feuille de Donnée'!$E$12),AT26&lt;=$F26*(1+'Feuille de Donnée'!$F$12)),'Feuille de Donnée'!$F$17,IF(AT26&lt;$F26*(1-'Feuille de Donnée'!$E$12),'Feuille de Donnée'!$F$18,'Feuille de Donnée'!$F$16))&amp;""&amp;IF(AND(AU26&gt;=$G26*(1-'Feuille de Donnée'!$E$27),AU26&lt;=$G26*(1+'Feuille de Donnée'!$F$27)),'Feuille de Donnée'!$F$32,IF(AU26&lt;$G26*(1-'Feuille de Donnée'!$E$27),'Feuille de Donnée'!$F$33,'Feuille de Donnée'!$F$31)))))</f>
        <v/>
      </c>
      <c r="BA26" s="138"/>
      <c r="BB26" s="103"/>
      <c r="BC26" s="27"/>
      <c r="BD26" s="27"/>
      <c r="BE26" s="27" t="str">
        <f t="shared" si="35"/>
        <v/>
      </c>
      <c r="BF26" s="121" t="str">
        <f t="shared" si="36"/>
        <v/>
      </c>
      <c r="BG26" s="121" t="str">
        <f t="shared" si="37"/>
        <v/>
      </c>
      <c r="BH26" s="27" t="str">
        <f>IF(AND(ISBLANK(BJ26),BI26=""),"",1+MAX(BH$21:BH25))</f>
        <v/>
      </c>
      <c r="BI26" s="137" t="str">
        <f>IF(OR(BE26="",BE26=0,$H26="",$H26=0,NOT(ISNUMBER($H26)),NOT(ISNUMBER(BE26))),IF(AND($E26&lt;&gt;"",AND(OR(ISNUMBER(BE26),BE26=""),AND(ISNUMBER($H26),$H26&gt;0))),'Feuille de Donnée'!$K$13,""),IF(BE26&lt;$H$168*'Feuille de Donnée'!$I$9,"Négligeable",(IF(AND(BC26&gt;=$F26*(1-'Feuille de Donnée'!$E$12),BC26&lt;=$F26*(1+'Feuille de Donnée'!$F$12)),'Feuille de Donnée'!$F$17,IF(BC26&lt;$F26*(1-'Feuille de Donnée'!$E$12),'Feuille de Donnée'!$F$18,'Feuille de Donnée'!$F$16))&amp;""&amp;IF(AND(BD26&gt;=$G26*(1-'Feuille de Donnée'!$E$27),BD26&lt;=$G26*(1+'Feuille de Donnée'!$F$27)),'Feuille de Donnée'!$F$32,IF(BD26&lt;$G26*(1-'Feuille de Donnée'!$E$27),'Feuille de Donnée'!$F$33,'Feuille de Donnée'!$F$31)))))</f>
        <v/>
      </c>
      <c r="BJ26" s="138"/>
      <c r="BK26" s="140"/>
    </row>
    <row r="27" spans="1:63" s="6" customFormat="1" x14ac:dyDescent="0.3">
      <c r="A27" s="23"/>
      <c r="B27" s="24"/>
      <c r="C27" s="24"/>
      <c r="D27" s="24"/>
      <c r="E27" s="22"/>
      <c r="F27" s="25"/>
      <c r="G27" s="26"/>
      <c r="H27" s="102" t="str">
        <f t="shared" si="19"/>
        <v/>
      </c>
      <c r="I27" s="103"/>
      <c r="J27" s="27"/>
      <c r="K27" s="27"/>
      <c r="L27" s="27" t="str">
        <f t="shared" si="20"/>
        <v/>
      </c>
      <c r="M27" s="121" t="str">
        <f t="shared" si="21"/>
        <v/>
      </c>
      <c r="N27" s="121" t="str">
        <f t="shared" si="22"/>
        <v/>
      </c>
      <c r="O27" s="27" t="str">
        <f>IF(AND(ISBLANK(Q27),P27=""),"",1+MAX(O$21:O26))</f>
        <v/>
      </c>
      <c r="P27" s="137" t="str">
        <f>IF(OR(L27="",L27=0,$H27="",$H27=0,NOT(ISNUMBER($H27)),NOT(ISNUMBER(L27))),IF(AND($E27&lt;&gt;"",AND(OR(ISNUMBER(L27),L27=""),AND(ISNUMBER($H27),$H27&gt;0))),'Feuille de Donnée'!$K$13,""),IF(L27&lt;$H$168*'Feuille de Donnée'!$I$9,"Négligeable",(IF(AND(J27&gt;=$F27*(1-'Feuille de Donnée'!$E$12),J27&lt;=$F27*(1+'Feuille de Donnée'!$F$12)),'Feuille de Donnée'!$F$17,IF(J27&lt;$F27*(1-'Feuille de Donnée'!$E$12),'Feuille de Donnée'!$F$18,'Feuille de Donnée'!$F$16))&amp;""&amp;IF(AND(K27&gt;=$G27*(1-'Feuille de Donnée'!$E$27),K27&lt;=$G27*(1+'Feuille de Donnée'!$F$27)),'Feuille de Donnée'!$F$32,IF(K27&lt;$G27*(1-'Feuille de Donnée'!$E$27),'Feuille de Donnée'!$F$33,'Feuille de Donnée'!$F$31)))))</f>
        <v/>
      </c>
      <c r="Q27" s="138"/>
      <c r="R27" s="103"/>
      <c r="S27" s="27"/>
      <c r="T27" s="27"/>
      <c r="U27" s="27" t="str">
        <f t="shared" si="23"/>
        <v/>
      </c>
      <c r="V27" s="121" t="str">
        <f t="shared" si="24"/>
        <v/>
      </c>
      <c r="W27" s="121" t="str">
        <f t="shared" si="25"/>
        <v/>
      </c>
      <c r="X27" s="27" t="str">
        <f>IF(AND(ISBLANK(Z27),Y27=""),"",1+MAX(X$21:X26))</f>
        <v/>
      </c>
      <c r="Y27" s="137" t="str">
        <f>IF(OR(U27="",U27=0,$H27="",$H27=0,NOT(ISNUMBER($H27)),NOT(ISNUMBER(U27))),IF(AND($E27&lt;&gt;"",AND(OR(ISNUMBER(U27),U27=""),AND(ISNUMBER($H27),$H27&gt;0))),'Feuille de Donnée'!$K$13,""),IF(U27&lt;$H$168*'Feuille de Donnée'!$I$9,"Négligeable",(IF(AND(S27&gt;=$F27*(1-'Feuille de Donnée'!$E$12),S27&lt;=$F27*(1+'Feuille de Donnée'!$F$12)),'Feuille de Donnée'!$F$17,IF(S27&lt;$F27*(1-'Feuille de Donnée'!$E$12),'Feuille de Donnée'!$F$18,'Feuille de Donnée'!$F$16))&amp;""&amp;IF(AND(T27&gt;=$G27*(1-'Feuille de Donnée'!$E$27),T27&lt;=$G27*(1+'Feuille de Donnée'!$F$27)),'Feuille de Donnée'!$F$32,IF(T27&lt;$G27*(1-'Feuille de Donnée'!$E$27),'Feuille de Donnée'!$F$33,'Feuille de Donnée'!$F$31)))))</f>
        <v/>
      </c>
      <c r="Z27" s="138"/>
      <c r="AA27" s="103"/>
      <c r="AB27" s="27"/>
      <c r="AC27" s="27"/>
      <c r="AD27" s="27" t="str">
        <f t="shared" si="26"/>
        <v/>
      </c>
      <c r="AE27" s="121" t="str">
        <f t="shared" si="27"/>
        <v/>
      </c>
      <c r="AF27" s="121" t="str">
        <f t="shared" si="28"/>
        <v/>
      </c>
      <c r="AG27" s="27" t="str">
        <f>IF(AND(ISBLANK(AI27),AH27=""),"",1+MAX(AG$21:AG26))</f>
        <v/>
      </c>
      <c r="AH27" s="137" t="str">
        <f>IF(OR(AD27="",AD27=0,$H27="",$H27=0,NOT(ISNUMBER($H27)),NOT(ISNUMBER(AD27))),IF(AND($E27&lt;&gt;"",AND(OR(ISNUMBER(AD27),AD27=""),AND(ISNUMBER($H27),$H27&gt;0))),'Feuille de Donnée'!$K$13,""),IF(AD27&lt;$H$168*'Feuille de Donnée'!$I$9,"Négligeable",(IF(AND(AB27&gt;=$F27*(1-'Feuille de Donnée'!$E$12),AB27&lt;=$F27*(1+'Feuille de Donnée'!$F$12)),'Feuille de Donnée'!$F$17,IF(AB27&lt;$F27*(1-'Feuille de Donnée'!$E$12),'Feuille de Donnée'!$F$18,'Feuille de Donnée'!$F$16))&amp;""&amp;IF(AND(AC27&gt;=$G27*(1-'Feuille de Donnée'!$E$27),AC27&lt;=$G27*(1+'Feuille de Donnée'!$F$27)),'Feuille de Donnée'!$F$32,IF(AC27&lt;$G27*(1-'Feuille de Donnée'!$E$27),'Feuille de Donnée'!$F$33,'Feuille de Donnée'!$F$31)))))</f>
        <v/>
      </c>
      <c r="AI27" s="138"/>
      <c r="AJ27" s="103"/>
      <c r="AK27" s="27"/>
      <c r="AL27" s="27"/>
      <c r="AM27" s="27" t="str">
        <f t="shared" si="29"/>
        <v/>
      </c>
      <c r="AN27" s="121" t="str">
        <f t="shared" si="30"/>
        <v/>
      </c>
      <c r="AO27" s="121" t="str">
        <f t="shared" si="31"/>
        <v/>
      </c>
      <c r="AP27" s="27" t="str">
        <f>IF(AND(ISBLANK(AR27),AQ27=""),"",1+MAX(AP$21:AP26))</f>
        <v/>
      </c>
      <c r="AQ27" s="137" t="str">
        <f>IF(OR(AM27="",AM27=0,$H27="",$H27=0,NOT(ISNUMBER($H27)),NOT(ISNUMBER(AM27))),IF(AND($E27&lt;&gt;"",AND(OR(ISNUMBER(AM27),AM27=""),AND(ISNUMBER($H27),$H27&gt;0))),'Feuille de Donnée'!$K$13,""),IF(AM27&lt;$H$168*'Feuille de Donnée'!$I$9,"Négligeable",(IF(AND(AK27&gt;=$F27*(1-'Feuille de Donnée'!$E$12),AK27&lt;=$F27*(1+'Feuille de Donnée'!$F$12)),'Feuille de Donnée'!$F$17,IF(AK27&lt;$F27*(1-'Feuille de Donnée'!$E$12),'Feuille de Donnée'!$F$18,'Feuille de Donnée'!$F$16))&amp;""&amp;IF(AND(AL27&gt;=$G27*(1-'Feuille de Donnée'!$E$27),AL27&lt;=$G27*(1+'Feuille de Donnée'!$F$27)),'Feuille de Donnée'!$F$32,IF(AL27&lt;$G27*(1-'Feuille de Donnée'!$E$27),'Feuille de Donnée'!$F$33,'Feuille de Donnée'!$F$31)))))</f>
        <v/>
      </c>
      <c r="AR27" s="138"/>
      <c r="AS27" s="103"/>
      <c r="AT27" s="27"/>
      <c r="AU27" s="27"/>
      <c r="AV27" s="27" t="str">
        <f t="shared" si="32"/>
        <v/>
      </c>
      <c r="AW27" s="121" t="str">
        <f t="shared" si="33"/>
        <v/>
      </c>
      <c r="AX27" s="121" t="str">
        <f t="shared" si="34"/>
        <v/>
      </c>
      <c r="AY27" s="27" t="str">
        <f>IF(AND(ISBLANK(BA27),AZ27=""),"",1+MAX(AY$21:AY26))</f>
        <v/>
      </c>
      <c r="AZ27" s="137" t="str">
        <f>IF(OR(AV27="",AV27=0,$H27="",$H27=0,NOT(ISNUMBER($H27)),NOT(ISNUMBER(AV27))),IF(AND($E27&lt;&gt;"",AND(OR(ISNUMBER(AV27),AV27=""),AND(ISNUMBER($H27),$H27&gt;0))),'Feuille de Donnée'!$K$13,""),IF(AV27&lt;$H$168*'Feuille de Donnée'!$I$9,"Négligeable",(IF(AND(AT27&gt;=$F27*(1-'Feuille de Donnée'!$E$12),AT27&lt;=$F27*(1+'Feuille de Donnée'!$F$12)),'Feuille de Donnée'!$F$17,IF(AT27&lt;$F27*(1-'Feuille de Donnée'!$E$12),'Feuille de Donnée'!$F$18,'Feuille de Donnée'!$F$16))&amp;""&amp;IF(AND(AU27&gt;=$G27*(1-'Feuille de Donnée'!$E$27),AU27&lt;=$G27*(1+'Feuille de Donnée'!$F$27)),'Feuille de Donnée'!$F$32,IF(AU27&lt;$G27*(1-'Feuille de Donnée'!$E$27),'Feuille de Donnée'!$F$33,'Feuille de Donnée'!$F$31)))))</f>
        <v/>
      </c>
      <c r="BA27" s="138"/>
      <c r="BB27" s="103"/>
      <c r="BC27" s="27"/>
      <c r="BD27" s="27"/>
      <c r="BE27" s="27" t="str">
        <f t="shared" si="35"/>
        <v/>
      </c>
      <c r="BF27" s="121" t="str">
        <f t="shared" si="36"/>
        <v/>
      </c>
      <c r="BG27" s="121" t="str">
        <f t="shared" si="37"/>
        <v/>
      </c>
      <c r="BH27" s="27" t="str">
        <f>IF(AND(ISBLANK(BJ27),BI27=""),"",1+MAX(BH$21:BH26))</f>
        <v/>
      </c>
      <c r="BI27" s="137" t="str">
        <f>IF(OR(BE27="",BE27=0,$H27="",$H27=0,NOT(ISNUMBER($H27)),NOT(ISNUMBER(BE27))),IF(AND($E27&lt;&gt;"",AND(OR(ISNUMBER(BE27),BE27=""),AND(ISNUMBER($H27),$H27&gt;0))),'Feuille de Donnée'!$K$13,""),IF(BE27&lt;$H$168*'Feuille de Donnée'!$I$9,"Négligeable",(IF(AND(BC27&gt;=$F27*(1-'Feuille de Donnée'!$E$12),BC27&lt;=$F27*(1+'Feuille de Donnée'!$F$12)),'Feuille de Donnée'!$F$17,IF(BC27&lt;$F27*(1-'Feuille de Donnée'!$E$12),'Feuille de Donnée'!$F$18,'Feuille de Donnée'!$F$16))&amp;""&amp;IF(AND(BD27&gt;=$G27*(1-'Feuille de Donnée'!$E$27),BD27&lt;=$G27*(1+'Feuille de Donnée'!$F$27)),'Feuille de Donnée'!$F$32,IF(BD27&lt;$G27*(1-'Feuille de Donnée'!$E$27),'Feuille de Donnée'!$F$33,'Feuille de Donnée'!$F$31)))))</f>
        <v/>
      </c>
      <c r="BJ27" s="138"/>
      <c r="BK27" s="140"/>
    </row>
    <row r="28" spans="1:63" s="6" customFormat="1" x14ac:dyDescent="0.3">
      <c r="A28" s="23"/>
      <c r="B28" s="24"/>
      <c r="C28" s="24"/>
      <c r="D28" s="24"/>
      <c r="E28" s="22"/>
      <c r="F28" s="25"/>
      <c r="G28" s="26"/>
      <c r="H28" s="102" t="str">
        <f t="shared" si="19"/>
        <v/>
      </c>
      <c r="I28" s="103"/>
      <c r="J28" s="27"/>
      <c r="K28" s="27"/>
      <c r="L28" s="27" t="str">
        <f t="shared" si="20"/>
        <v/>
      </c>
      <c r="M28" s="121" t="str">
        <f t="shared" si="21"/>
        <v/>
      </c>
      <c r="N28" s="121" t="str">
        <f t="shared" si="22"/>
        <v/>
      </c>
      <c r="O28" s="27" t="str">
        <f>IF(AND(ISBLANK(Q28),P28=""),"",1+MAX(O$21:O27))</f>
        <v/>
      </c>
      <c r="P28" s="137" t="str">
        <f>IF(OR(L28="",L28=0,$H28="",$H28=0,NOT(ISNUMBER($H28)),NOT(ISNUMBER(L28))),IF(AND($E28&lt;&gt;"",AND(OR(ISNUMBER(L28),L28=""),AND(ISNUMBER($H28),$H28&gt;0))),'Feuille de Donnée'!$K$13,""),IF(L28&lt;$H$168*'Feuille de Donnée'!$I$9,"Négligeable",(IF(AND(J28&gt;=$F28*(1-'Feuille de Donnée'!$E$12),J28&lt;=$F28*(1+'Feuille de Donnée'!$F$12)),'Feuille de Donnée'!$F$17,IF(J28&lt;$F28*(1-'Feuille de Donnée'!$E$12),'Feuille de Donnée'!$F$18,'Feuille de Donnée'!$F$16))&amp;""&amp;IF(AND(K28&gt;=$G28*(1-'Feuille de Donnée'!$E$27),K28&lt;=$G28*(1+'Feuille de Donnée'!$F$27)),'Feuille de Donnée'!$F$32,IF(K28&lt;$G28*(1-'Feuille de Donnée'!$E$27),'Feuille de Donnée'!$F$33,'Feuille de Donnée'!$F$31)))))</f>
        <v/>
      </c>
      <c r="Q28" s="138"/>
      <c r="R28" s="103"/>
      <c r="S28" s="27"/>
      <c r="T28" s="27"/>
      <c r="U28" s="27" t="str">
        <f t="shared" si="23"/>
        <v/>
      </c>
      <c r="V28" s="121" t="str">
        <f t="shared" si="24"/>
        <v/>
      </c>
      <c r="W28" s="121" t="str">
        <f t="shared" si="25"/>
        <v/>
      </c>
      <c r="X28" s="27" t="str">
        <f>IF(AND(ISBLANK(Z28),Y28=""),"",1+MAX(X$21:X27))</f>
        <v/>
      </c>
      <c r="Y28" s="137" t="str">
        <f>IF(OR(U28="",U28=0,$H28="",$H28=0,NOT(ISNUMBER($H28)),NOT(ISNUMBER(U28))),IF(AND($E28&lt;&gt;"",AND(OR(ISNUMBER(U28),U28=""),AND(ISNUMBER($H28),$H28&gt;0))),'Feuille de Donnée'!$K$13,""),IF(U28&lt;$H$168*'Feuille de Donnée'!$I$9,"Négligeable",(IF(AND(S28&gt;=$F28*(1-'Feuille de Donnée'!$E$12),S28&lt;=$F28*(1+'Feuille de Donnée'!$F$12)),'Feuille de Donnée'!$F$17,IF(S28&lt;$F28*(1-'Feuille de Donnée'!$E$12),'Feuille de Donnée'!$F$18,'Feuille de Donnée'!$F$16))&amp;""&amp;IF(AND(T28&gt;=$G28*(1-'Feuille de Donnée'!$E$27),T28&lt;=$G28*(1+'Feuille de Donnée'!$F$27)),'Feuille de Donnée'!$F$32,IF(T28&lt;$G28*(1-'Feuille de Donnée'!$E$27),'Feuille de Donnée'!$F$33,'Feuille de Donnée'!$F$31)))))</f>
        <v/>
      </c>
      <c r="Z28" s="138"/>
      <c r="AA28" s="103"/>
      <c r="AB28" s="27"/>
      <c r="AC28" s="27"/>
      <c r="AD28" s="27" t="str">
        <f t="shared" si="26"/>
        <v/>
      </c>
      <c r="AE28" s="121" t="str">
        <f t="shared" si="27"/>
        <v/>
      </c>
      <c r="AF28" s="121" t="str">
        <f t="shared" si="28"/>
        <v/>
      </c>
      <c r="AG28" s="27" t="str">
        <f>IF(AND(ISBLANK(AI28),AH28=""),"",1+MAX(AG$21:AG27))</f>
        <v/>
      </c>
      <c r="AH28" s="137" t="str">
        <f>IF(OR(AD28="",AD28=0,$H28="",$H28=0,NOT(ISNUMBER($H28)),NOT(ISNUMBER(AD28))),IF(AND($E28&lt;&gt;"",AND(OR(ISNUMBER(AD28),AD28=""),AND(ISNUMBER($H28),$H28&gt;0))),'Feuille de Donnée'!$K$13,""),IF(AD28&lt;$H$168*'Feuille de Donnée'!$I$9,"Négligeable",(IF(AND(AB28&gt;=$F28*(1-'Feuille de Donnée'!$E$12),AB28&lt;=$F28*(1+'Feuille de Donnée'!$F$12)),'Feuille de Donnée'!$F$17,IF(AB28&lt;$F28*(1-'Feuille de Donnée'!$E$12),'Feuille de Donnée'!$F$18,'Feuille de Donnée'!$F$16))&amp;""&amp;IF(AND(AC28&gt;=$G28*(1-'Feuille de Donnée'!$E$27),AC28&lt;=$G28*(1+'Feuille de Donnée'!$F$27)),'Feuille de Donnée'!$F$32,IF(AC28&lt;$G28*(1-'Feuille de Donnée'!$E$27),'Feuille de Donnée'!$F$33,'Feuille de Donnée'!$F$31)))))</f>
        <v/>
      </c>
      <c r="AI28" s="138"/>
      <c r="AJ28" s="103"/>
      <c r="AK28" s="27"/>
      <c r="AL28" s="27"/>
      <c r="AM28" s="27" t="str">
        <f t="shared" si="29"/>
        <v/>
      </c>
      <c r="AN28" s="121" t="str">
        <f t="shared" si="30"/>
        <v/>
      </c>
      <c r="AO28" s="121" t="str">
        <f t="shared" si="31"/>
        <v/>
      </c>
      <c r="AP28" s="27" t="str">
        <f>IF(AND(ISBLANK(AR28),AQ28=""),"",1+MAX(AP$21:AP27))</f>
        <v/>
      </c>
      <c r="AQ28" s="137" t="str">
        <f>IF(OR(AM28="",AM28=0,$H28="",$H28=0,NOT(ISNUMBER($H28)),NOT(ISNUMBER(AM28))),IF(AND($E28&lt;&gt;"",AND(OR(ISNUMBER(AM28),AM28=""),AND(ISNUMBER($H28),$H28&gt;0))),'Feuille de Donnée'!$K$13,""),IF(AM28&lt;$H$168*'Feuille de Donnée'!$I$9,"Négligeable",(IF(AND(AK28&gt;=$F28*(1-'Feuille de Donnée'!$E$12),AK28&lt;=$F28*(1+'Feuille de Donnée'!$F$12)),'Feuille de Donnée'!$F$17,IF(AK28&lt;$F28*(1-'Feuille de Donnée'!$E$12),'Feuille de Donnée'!$F$18,'Feuille de Donnée'!$F$16))&amp;""&amp;IF(AND(AL28&gt;=$G28*(1-'Feuille de Donnée'!$E$27),AL28&lt;=$G28*(1+'Feuille de Donnée'!$F$27)),'Feuille de Donnée'!$F$32,IF(AL28&lt;$G28*(1-'Feuille de Donnée'!$E$27),'Feuille de Donnée'!$F$33,'Feuille de Donnée'!$F$31)))))</f>
        <v/>
      </c>
      <c r="AR28" s="138"/>
      <c r="AS28" s="103"/>
      <c r="AT28" s="27"/>
      <c r="AU28" s="27"/>
      <c r="AV28" s="27" t="str">
        <f t="shared" si="32"/>
        <v/>
      </c>
      <c r="AW28" s="121" t="str">
        <f t="shared" si="33"/>
        <v/>
      </c>
      <c r="AX28" s="121" t="str">
        <f t="shared" si="34"/>
        <v/>
      </c>
      <c r="AY28" s="27" t="str">
        <f>IF(AND(ISBLANK(BA28),AZ28=""),"",1+MAX(AY$21:AY27))</f>
        <v/>
      </c>
      <c r="AZ28" s="137" t="str">
        <f>IF(OR(AV28="",AV28=0,$H28="",$H28=0,NOT(ISNUMBER($H28)),NOT(ISNUMBER(AV28))),IF(AND($E28&lt;&gt;"",AND(OR(ISNUMBER(AV28),AV28=""),AND(ISNUMBER($H28),$H28&gt;0))),'Feuille de Donnée'!$K$13,""),IF(AV28&lt;$H$168*'Feuille de Donnée'!$I$9,"Négligeable",(IF(AND(AT28&gt;=$F28*(1-'Feuille de Donnée'!$E$12),AT28&lt;=$F28*(1+'Feuille de Donnée'!$F$12)),'Feuille de Donnée'!$F$17,IF(AT28&lt;$F28*(1-'Feuille de Donnée'!$E$12),'Feuille de Donnée'!$F$18,'Feuille de Donnée'!$F$16))&amp;""&amp;IF(AND(AU28&gt;=$G28*(1-'Feuille de Donnée'!$E$27),AU28&lt;=$G28*(1+'Feuille de Donnée'!$F$27)),'Feuille de Donnée'!$F$32,IF(AU28&lt;$G28*(1-'Feuille de Donnée'!$E$27),'Feuille de Donnée'!$F$33,'Feuille de Donnée'!$F$31)))))</f>
        <v/>
      </c>
      <c r="BA28" s="138"/>
      <c r="BB28" s="103"/>
      <c r="BC28" s="27"/>
      <c r="BD28" s="27"/>
      <c r="BE28" s="27" t="str">
        <f t="shared" si="35"/>
        <v/>
      </c>
      <c r="BF28" s="121" t="str">
        <f t="shared" si="36"/>
        <v/>
      </c>
      <c r="BG28" s="121" t="str">
        <f t="shared" si="37"/>
        <v/>
      </c>
      <c r="BH28" s="27" t="str">
        <f>IF(AND(ISBLANK(BJ28),BI28=""),"",1+MAX(BH$21:BH27))</f>
        <v/>
      </c>
      <c r="BI28" s="137" t="str">
        <f>IF(OR(BE28="",BE28=0,$H28="",$H28=0,NOT(ISNUMBER($H28)),NOT(ISNUMBER(BE28))),IF(AND($E28&lt;&gt;"",AND(OR(ISNUMBER(BE28),BE28=""),AND(ISNUMBER($H28),$H28&gt;0))),'Feuille de Donnée'!$K$13,""),IF(BE28&lt;$H$168*'Feuille de Donnée'!$I$9,"Négligeable",(IF(AND(BC28&gt;=$F28*(1-'Feuille de Donnée'!$E$12),BC28&lt;=$F28*(1+'Feuille de Donnée'!$F$12)),'Feuille de Donnée'!$F$17,IF(BC28&lt;$F28*(1-'Feuille de Donnée'!$E$12),'Feuille de Donnée'!$F$18,'Feuille de Donnée'!$F$16))&amp;""&amp;IF(AND(BD28&gt;=$G28*(1-'Feuille de Donnée'!$E$27),BD28&lt;=$G28*(1+'Feuille de Donnée'!$F$27)),'Feuille de Donnée'!$F$32,IF(BD28&lt;$G28*(1-'Feuille de Donnée'!$E$27),'Feuille de Donnée'!$F$33,'Feuille de Donnée'!$F$31)))))</f>
        <v/>
      </c>
      <c r="BJ28" s="138"/>
      <c r="BK28" s="140"/>
    </row>
    <row r="29" spans="1:63" s="6" customFormat="1" x14ac:dyDescent="0.3">
      <c r="A29" s="23"/>
      <c r="B29" s="24"/>
      <c r="C29" s="24"/>
      <c r="D29" s="24"/>
      <c r="E29" s="22"/>
      <c r="F29" s="25"/>
      <c r="G29" s="26"/>
      <c r="H29" s="102" t="str">
        <f t="shared" si="19"/>
        <v/>
      </c>
      <c r="I29" s="103"/>
      <c r="J29" s="27"/>
      <c r="K29" s="27"/>
      <c r="L29" s="27" t="str">
        <f t="shared" si="20"/>
        <v/>
      </c>
      <c r="M29" s="121" t="str">
        <f t="shared" si="21"/>
        <v/>
      </c>
      <c r="N29" s="121" t="str">
        <f t="shared" si="22"/>
        <v/>
      </c>
      <c r="O29" s="27" t="str">
        <f>IF(AND(ISBLANK(Q29),P29=""),"",1+MAX(O$21:O28))</f>
        <v/>
      </c>
      <c r="P29" s="137" t="str">
        <f>IF(OR(L29="",L29=0,$H29="",$H29=0,NOT(ISNUMBER($H29)),NOT(ISNUMBER(L29))),IF(AND($E29&lt;&gt;"",AND(OR(ISNUMBER(L29),L29=""),AND(ISNUMBER($H29),$H29&gt;0))),'Feuille de Donnée'!$K$13,""),IF(L29&lt;$H$168*'Feuille de Donnée'!$I$9,"Négligeable",(IF(AND(J29&gt;=$F29*(1-'Feuille de Donnée'!$E$12),J29&lt;=$F29*(1+'Feuille de Donnée'!$F$12)),'Feuille de Donnée'!$F$17,IF(J29&lt;$F29*(1-'Feuille de Donnée'!$E$12),'Feuille de Donnée'!$F$18,'Feuille de Donnée'!$F$16))&amp;""&amp;IF(AND(K29&gt;=$G29*(1-'Feuille de Donnée'!$E$27),K29&lt;=$G29*(1+'Feuille de Donnée'!$F$27)),'Feuille de Donnée'!$F$32,IF(K29&lt;$G29*(1-'Feuille de Donnée'!$E$27),'Feuille de Donnée'!$F$33,'Feuille de Donnée'!$F$31)))))</f>
        <v/>
      </c>
      <c r="Q29" s="138"/>
      <c r="R29" s="103"/>
      <c r="S29" s="27"/>
      <c r="T29" s="27"/>
      <c r="U29" s="27" t="str">
        <f t="shared" si="23"/>
        <v/>
      </c>
      <c r="V29" s="121" t="str">
        <f t="shared" si="24"/>
        <v/>
      </c>
      <c r="W29" s="121" t="str">
        <f t="shared" si="25"/>
        <v/>
      </c>
      <c r="X29" s="27" t="str">
        <f>IF(AND(ISBLANK(Z29),Y29=""),"",1+MAX(X$21:X28))</f>
        <v/>
      </c>
      <c r="Y29" s="137" t="str">
        <f>IF(OR(U29="",U29=0,$H29="",$H29=0,NOT(ISNUMBER($H29)),NOT(ISNUMBER(U29))),IF(AND($E29&lt;&gt;"",AND(OR(ISNUMBER(U29),U29=""),AND(ISNUMBER($H29),$H29&gt;0))),'Feuille de Donnée'!$K$13,""),IF(U29&lt;$H$168*'Feuille de Donnée'!$I$9,"Négligeable",(IF(AND(S29&gt;=$F29*(1-'Feuille de Donnée'!$E$12),S29&lt;=$F29*(1+'Feuille de Donnée'!$F$12)),'Feuille de Donnée'!$F$17,IF(S29&lt;$F29*(1-'Feuille de Donnée'!$E$12),'Feuille de Donnée'!$F$18,'Feuille de Donnée'!$F$16))&amp;""&amp;IF(AND(T29&gt;=$G29*(1-'Feuille de Donnée'!$E$27),T29&lt;=$G29*(1+'Feuille de Donnée'!$F$27)),'Feuille de Donnée'!$F$32,IF(T29&lt;$G29*(1-'Feuille de Donnée'!$E$27),'Feuille de Donnée'!$F$33,'Feuille de Donnée'!$F$31)))))</f>
        <v/>
      </c>
      <c r="Z29" s="138"/>
      <c r="AA29" s="103"/>
      <c r="AB29" s="27"/>
      <c r="AC29" s="27"/>
      <c r="AD29" s="27" t="str">
        <f t="shared" si="26"/>
        <v/>
      </c>
      <c r="AE29" s="121" t="str">
        <f t="shared" si="27"/>
        <v/>
      </c>
      <c r="AF29" s="121" t="str">
        <f t="shared" si="28"/>
        <v/>
      </c>
      <c r="AG29" s="27" t="str">
        <f>IF(AND(ISBLANK(AI29),AH29=""),"",1+MAX(AG$21:AG28))</f>
        <v/>
      </c>
      <c r="AH29" s="137" t="str">
        <f>IF(OR(AD29="",AD29=0,$H29="",$H29=0,NOT(ISNUMBER($H29)),NOT(ISNUMBER(AD29))),IF(AND($E29&lt;&gt;"",AND(OR(ISNUMBER(AD29),AD29=""),AND(ISNUMBER($H29),$H29&gt;0))),'Feuille de Donnée'!$K$13,""),IF(AD29&lt;$H$168*'Feuille de Donnée'!$I$9,"Négligeable",(IF(AND(AB29&gt;=$F29*(1-'Feuille de Donnée'!$E$12),AB29&lt;=$F29*(1+'Feuille de Donnée'!$F$12)),'Feuille de Donnée'!$F$17,IF(AB29&lt;$F29*(1-'Feuille de Donnée'!$E$12),'Feuille de Donnée'!$F$18,'Feuille de Donnée'!$F$16))&amp;""&amp;IF(AND(AC29&gt;=$G29*(1-'Feuille de Donnée'!$E$27),AC29&lt;=$G29*(1+'Feuille de Donnée'!$F$27)),'Feuille de Donnée'!$F$32,IF(AC29&lt;$G29*(1-'Feuille de Donnée'!$E$27),'Feuille de Donnée'!$F$33,'Feuille de Donnée'!$F$31)))))</f>
        <v/>
      </c>
      <c r="AI29" s="138"/>
      <c r="AJ29" s="103"/>
      <c r="AK29" s="27"/>
      <c r="AL29" s="27"/>
      <c r="AM29" s="27" t="str">
        <f t="shared" si="29"/>
        <v/>
      </c>
      <c r="AN29" s="121" t="str">
        <f t="shared" si="30"/>
        <v/>
      </c>
      <c r="AO29" s="121" t="str">
        <f t="shared" si="31"/>
        <v/>
      </c>
      <c r="AP29" s="27" t="str">
        <f>IF(AND(ISBLANK(AR29),AQ29=""),"",1+MAX(AP$21:AP28))</f>
        <v/>
      </c>
      <c r="AQ29" s="137" t="str">
        <f>IF(OR(AM29="",AM29=0,$H29="",$H29=0,NOT(ISNUMBER($H29)),NOT(ISNUMBER(AM29))),IF(AND($E29&lt;&gt;"",AND(OR(ISNUMBER(AM29),AM29=""),AND(ISNUMBER($H29),$H29&gt;0))),'Feuille de Donnée'!$K$13,""),IF(AM29&lt;$H$168*'Feuille de Donnée'!$I$9,"Négligeable",(IF(AND(AK29&gt;=$F29*(1-'Feuille de Donnée'!$E$12),AK29&lt;=$F29*(1+'Feuille de Donnée'!$F$12)),'Feuille de Donnée'!$F$17,IF(AK29&lt;$F29*(1-'Feuille de Donnée'!$E$12),'Feuille de Donnée'!$F$18,'Feuille de Donnée'!$F$16))&amp;""&amp;IF(AND(AL29&gt;=$G29*(1-'Feuille de Donnée'!$E$27),AL29&lt;=$G29*(1+'Feuille de Donnée'!$F$27)),'Feuille de Donnée'!$F$32,IF(AL29&lt;$G29*(1-'Feuille de Donnée'!$E$27),'Feuille de Donnée'!$F$33,'Feuille de Donnée'!$F$31)))))</f>
        <v/>
      </c>
      <c r="AR29" s="138"/>
      <c r="AS29" s="103"/>
      <c r="AT29" s="27"/>
      <c r="AU29" s="27"/>
      <c r="AV29" s="27" t="str">
        <f t="shared" si="32"/>
        <v/>
      </c>
      <c r="AW29" s="121" t="str">
        <f t="shared" si="33"/>
        <v/>
      </c>
      <c r="AX29" s="121" t="str">
        <f t="shared" si="34"/>
        <v/>
      </c>
      <c r="AY29" s="27" t="str">
        <f>IF(AND(ISBLANK(BA29),AZ29=""),"",1+MAX(AY$21:AY28))</f>
        <v/>
      </c>
      <c r="AZ29" s="137" t="str">
        <f>IF(OR(AV29="",AV29=0,$H29="",$H29=0,NOT(ISNUMBER($H29)),NOT(ISNUMBER(AV29))),IF(AND($E29&lt;&gt;"",AND(OR(ISNUMBER(AV29),AV29=""),AND(ISNUMBER($H29),$H29&gt;0))),'Feuille de Donnée'!$K$13,""),IF(AV29&lt;$H$168*'Feuille de Donnée'!$I$9,"Négligeable",(IF(AND(AT29&gt;=$F29*(1-'Feuille de Donnée'!$E$12),AT29&lt;=$F29*(1+'Feuille de Donnée'!$F$12)),'Feuille de Donnée'!$F$17,IF(AT29&lt;$F29*(1-'Feuille de Donnée'!$E$12),'Feuille de Donnée'!$F$18,'Feuille de Donnée'!$F$16))&amp;""&amp;IF(AND(AU29&gt;=$G29*(1-'Feuille de Donnée'!$E$27),AU29&lt;=$G29*(1+'Feuille de Donnée'!$F$27)),'Feuille de Donnée'!$F$32,IF(AU29&lt;$G29*(1-'Feuille de Donnée'!$E$27),'Feuille de Donnée'!$F$33,'Feuille de Donnée'!$F$31)))))</f>
        <v/>
      </c>
      <c r="BA29" s="138"/>
      <c r="BB29" s="103"/>
      <c r="BC29" s="27"/>
      <c r="BD29" s="27"/>
      <c r="BE29" s="27" t="str">
        <f t="shared" si="35"/>
        <v/>
      </c>
      <c r="BF29" s="121" t="str">
        <f t="shared" si="36"/>
        <v/>
      </c>
      <c r="BG29" s="121" t="str">
        <f t="shared" si="37"/>
        <v/>
      </c>
      <c r="BH29" s="27" t="str">
        <f>IF(AND(ISBLANK(BJ29),BI29=""),"",1+MAX(BH$21:BH28))</f>
        <v/>
      </c>
      <c r="BI29" s="137" t="str">
        <f>IF(OR(BE29="",BE29=0,$H29="",$H29=0,NOT(ISNUMBER($H29)),NOT(ISNUMBER(BE29))),IF(AND($E29&lt;&gt;"",AND(OR(ISNUMBER(BE29),BE29=""),AND(ISNUMBER($H29),$H29&gt;0))),'Feuille de Donnée'!$K$13,""),IF(BE29&lt;$H$168*'Feuille de Donnée'!$I$9,"Négligeable",(IF(AND(BC29&gt;=$F29*(1-'Feuille de Donnée'!$E$12),BC29&lt;=$F29*(1+'Feuille de Donnée'!$F$12)),'Feuille de Donnée'!$F$17,IF(BC29&lt;$F29*(1-'Feuille de Donnée'!$E$12),'Feuille de Donnée'!$F$18,'Feuille de Donnée'!$F$16))&amp;""&amp;IF(AND(BD29&gt;=$G29*(1-'Feuille de Donnée'!$E$27),BD29&lt;=$G29*(1+'Feuille de Donnée'!$F$27)),'Feuille de Donnée'!$F$32,IF(BD29&lt;$G29*(1-'Feuille de Donnée'!$E$27),'Feuille de Donnée'!$F$33,'Feuille de Donnée'!$F$31)))))</f>
        <v/>
      </c>
      <c r="BJ29" s="138"/>
      <c r="BK29" s="140"/>
    </row>
    <row r="30" spans="1:63" s="6" customFormat="1" x14ac:dyDescent="0.3">
      <c r="A30" s="23"/>
      <c r="B30" s="24"/>
      <c r="C30" s="24"/>
      <c r="D30" s="24"/>
      <c r="E30" s="22"/>
      <c r="F30" s="25"/>
      <c r="G30" s="26"/>
      <c r="H30" s="102" t="str">
        <f t="shared" si="19"/>
        <v/>
      </c>
      <c r="I30" s="103"/>
      <c r="J30" s="27"/>
      <c r="K30" s="27"/>
      <c r="L30" s="27" t="str">
        <f t="shared" si="20"/>
        <v/>
      </c>
      <c r="M30" s="121" t="str">
        <f t="shared" si="21"/>
        <v/>
      </c>
      <c r="N30" s="121" t="str">
        <f t="shared" si="22"/>
        <v/>
      </c>
      <c r="O30" s="27" t="str">
        <f>IF(AND(ISBLANK(Q30),P30=""),"",1+MAX(O$21:O29))</f>
        <v/>
      </c>
      <c r="P30" s="137" t="str">
        <f>IF(OR(L30="",L30=0,$H30="",$H30=0,NOT(ISNUMBER($H30)),NOT(ISNUMBER(L30))),IF(AND($E30&lt;&gt;"",AND(OR(ISNUMBER(L30),L30=""),AND(ISNUMBER($H30),$H30&gt;0))),'Feuille de Donnée'!$K$13,""),IF(L30&lt;$H$168*'Feuille de Donnée'!$I$9,"Négligeable",(IF(AND(J30&gt;=$F30*(1-'Feuille de Donnée'!$E$12),J30&lt;=$F30*(1+'Feuille de Donnée'!$F$12)),'Feuille de Donnée'!$F$17,IF(J30&lt;$F30*(1-'Feuille de Donnée'!$E$12),'Feuille de Donnée'!$F$18,'Feuille de Donnée'!$F$16))&amp;""&amp;IF(AND(K30&gt;=$G30*(1-'Feuille de Donnée'!$E$27),K30&lt;=$G30*(1+'Feuille de Donnée'!$F$27)),'Feuille de Donnée'!$F$32,IF(K30&lt;$G30*(1-'Feuille de Donnée'!$E$27),'Feuille de Donnée'!$F$33,'Feuille de Donnée'!$F$31)))))</f>
        <v/>
      </c>
      <c r="Q30" s="138"/>
      <c r="R30" s="103"/>
      <c r="S30" s="27"/>
      <c r="T30" s="27"/>
      <c r="U30" s="27" t="str">
        <f t="shared" si="23"/>
        <v/>
      </c>
      <c r="V30" s="121" t="str">
        <f t="shared" si="24"/>
        <v/>
      </c>
      <c r="W30" s="121" t="str">
        <f t="shared" si="25"/>
        <v/>
      </c>
      <c r="X30" s="27" t="str">
        <f>IF(AND(ISBLANK(Z30),Y30=""),"",1+MAX(X$21:X29))</f>
        <v/>
      </c>
      <c r="Y30" s="137" t="str">
        <f>IF(OR(U30="",U30=0,$H30="",$H30=0,NOT(ISNUMBER($H30)),NOT(ISNUMBER(U30))),IF(AND($E30&lt;&gt;"",AND(OR(ISNUMBER(U30),U30=""),AND(ISNUMBER($H30),$H30&gt;0))),'Feuille de Donnée'!$K$13,""),IF(U30&lt;$H$168*'Feuille de Donnée'!$I$9,"Négligeable",(IF(AND(S30&gt;=$F30*(1-'Feuille de Donnée'!$E$12),S30&lt;=$F30*(1+'Feuille de Donnée'!$F$12)),'Feuille de Donnée'!$F$17,IF(S30&lt;$F30*(1-'Feuille de Donnée'!$E$12),'Feuille de Donnée'!$F$18,'Feuille de Donnée'!$F$16))&amp;""&amp;IF(AND(T30&gt;=$G30*(1-'Feuille de Donnée'!$E$27),T30&lt;=$G30*(1+'Feuille de Donnée'!$F$27)),'Feuille de Donnée'!$F$32,IF(T30&lt;$G30*(1-'Feuille de Donnée'!$E$27),'Feuille de Donnée'!$F$33,'Feuille de Donnée'!$F$31)))))</f>
        <v/>
      </c>
      <c r="Z30" s="138"/>
      <c r="AA30" s="103"/>
      <c r="AB30" s="27"/>
      <c r="AC30" s="27"/>
      <c r="AD30" s="27" t="str">
        <f t="shared" si="26"/>
        <v/>
      </c>
      <c r="AE30" s="121" t="str">
        <f t="shared" si="27"/>
        <v/>
      </c>
      <c r="AF30" s="121" t="str">
        <f t="shared" si="28"/>
        <v/>
      </c>
      <c r="AG30" s="27" t="str">
        <f>IF(AND(ISBLANK(AI30),AH30=""),"",1+MAX(AG$21:AG29))</f>
        <v/>
      </c>
      <c r="AH30" s="137" t="str">
        <f>IF(OR(AD30="",AD30=0,$H30="",$H30=0,NOT(ISNUMBER($H30)),NOT(ISNUMBER(AD30))),IF(AND($E30&lt;&gt;"",AND(OR(ISNUMBER(AD30),AD30=""),AND(ISNUMBER($H30),$H30&gt;0))),'Feuille de Donnée'!$K$13,""),IF(AD30&lt;$H$168*'Feuille de Donnée'!$I$9,"Négligeable",(IF(AND(AB30&gt;=$F30*(1-'Feuille de Donnée'!$E$12),AB30&lt;=$F30*(1+'Feuille de Donnée'!$F$12)),'Feuille de Donnée'!$F$17,IF(AB30&lt;$F30*(1-'Feuille de Donnée'!$E$12),'Feuille de Donnée'!$F$18,'Feuille de Donnée'!$F$16))&amp;""&amp;IF(AND(AC30&gt;=$G30*(1-'Feuille de Donnée'!$E$27),AC30&lt;=$G30*(1+'Feuille de Donnée'!$F$27)),'Feuille de Donnée'!$F$32,IF(AC30&lt;$G30*(1-'Feuille de Donnée'!$E$27),'Feuille de Donnée'!$F$33,'Feuille de Donnée'!$F$31)))))</f>
        <v/>
      </c>
      <c r="AI30" s="138"/>
      <c r="AJ30" s="103"/>
      <c r="AK30" s="27"/>
      <c r="AL30" s="27"/>
      <c r="AM30" s="27" t="str">
        <f t="shared" si="29"/>
        <v/>
      </c>
      <c r="AN30" s="121" t="str">
        <f t="shared" si="30"/>
        <v/>
      </c>
      <c r="AO30" s="121" t="str">
        <f t="shared" si="31"/>
        <v/>
      </c>
      <c r="AP30" s="27" t="str">
        <f>IF(AND(ISBLANK(AR30),AQ30=""),"",1+MAX(AP$21:AP29))</f>
        <v/>
      </c>
      <c r="AQ30" s="137" t="str">
        <f>IF(OR(AM30="",AM30=0,$H30="",$H30=0,NOT(ISNUMBER($H30)),NOT(ISNUMBER(AM30))),IF(AND($E30&lt;&gt;"",AND(OR(ISNUMBER(AM30),AM30=""),AND(ISNUMBER($H30),$H30&gt;0))),'Feuille de Donnée'!$K$13,""),IF(AM30&lt;$H$168*'Feuille de Donnée'!$I$9,"Négligeable",(IF(AND(AK30&gt;=$F30*(1-'Feuille de Donnée'!$E$12),AK30&lt;=$F30*(1+'Feuille de Donnée'!$F$12)),'Feuille de Donnée'!$F$17,IF(AK30&lt;$F30*(1-'Feuille de Donnée'!$E$12),'Feuille de Donnée'!$F$18,'Feuille de Donnée'!$F$16))&amp;""&amp;IF(AND(AL30&gt;=$G30*(1-'Feuille de Donnée'!$E$27),AL30&lt;=$G30*(1+'Feuille de Donnée'!$F$27)),'Feuille de Donnée'!$F$32,IF(AL30&lt;$G30*(1-'Feuille de Donnée'!$E$27),'Feuille de Donnée'!$F$33,'Feuille de Donnée'!$F$31)))))</f>
        <v/>
      </c>
      <c r="AR30" s="138"/>
      <c r="AS30" s="103"/>
      <c r="AT30" s="27"/>
      <c r="AU30" s="27"/>
      <c r="AV30" s="27" t="str">
        <f t="shared" si="32"/>
        <v/>
      </c>
      <c r="AW30" s="121" t="str">
        <f t="shared" si="33"/>
        <v/>
      </c>
      <c r="AX30" s="121" t="str">
        <f t="shared" si="34"/>
        <v/>
      </c>
      <c r="AY30" s="27" t="str">
        <f>IF(AND(ISBLANK(BA30),AZ30=""),"",1+MAX(AY$21:AY29))</f>
        <v/>
      </c>
      <c r="AZ30" s="137" t="str">
        <f>IF(OR(AV30="",AV30=0,$H30="",$H30=0,NOT(ISNUMBER($H30)),NOT(ISNUMBER(AV30))),IF(AND($E30&lt;&gt;"",AND(OR(ISNUMBER(AV30),AV30=""),AND(ISNUMBER($H30),$H30&gt;0))),'Feuille de Donnée'!$K$13,""),IF(AV30&lt;$H$168*'Feuille de Donnée'!$I$9,"Négligeable",(IF(AND(AT30&gt;=$F30*(1-'Feuille de Donnée'!$E$12),AT30&lt;=$F30*(1+'Feuille de Donnée'!$F$12)),'Feuille de Donnée'!$F$17,IF(AT30&lt;$F30*(1-'Feuille de Donnée'!$E$12),'Feuille de Donnée'!$F$18,'Feuille de Donnée'!$F$16))&amp;""&amp;IF(AND(AU30&gt;=$G30*(1-'Feuille de Donnée'!$E$27),AU30&lt;=$G30*(1+'Feuille de Donnée'!$F$27)),'Feuille de Donnée'!$F$32,IF(AU30&lt;$G30*(1-'Feuille de Donnée'!$E$27),'Feuille de Donnée'!$F$33,'Feuille de Donnée'!$F$31)))))</f>
        <v/>
      </c>
      <c r="BA30" s="138"/>
      <c r="BB30" s="103"/>
      <c r="BC30" s="27"/>
      <c r="BD30" s="27"/>
      <c r="BE30" s="27" t="str">
        <f t="shared" si="35"/>
        <v/>
      </c>
      <c r="BF30" s="121" t="str">
        <f t="shared" si="36"/>
        <v/>
      </c>
      <c r="BG30" s="121" t="str">
        <f t="shared" si="37"/>
        <v/>
      </c>
      <c r="BH30" s="27" t="str">
        <f>IF(AND(ISBLANK(BJ30),BI30=""),"",1+MAX(BH$21:BH29))</f>
        <v/>
      </c>
      <c r="BI30" s="137" t="str">
        <f>IF(OR(BE30="",BE30=0,$H30="",$H30=0,NOT(ISNUMBER($H30)),NOT(ISNUMBER(BE30))),IF(AND($E30&lt;&gt;"",AND(OR(ISNUMBER(BE30),BE30=""),AND(ISNUMBER($H30),$H30&gt;0))),'Feuille de Donnée'!$K$13,""),IF(BE30&lt;$H$168*'Feuille de Donnée'!$I$9,"Négligeable",(IF(AND(BC30&gt;=$F30*(1-'Feuille de Donnée'!$E$12),BC30&lt;=$F30*(1+'Feuille de Donnée'!$F$12)),'Feuille de Donnée'!$F$17,IF(BC30&lt;$F30*(1-'Feuille de Donnée'!$E$12),'Feuille de Donnée'!$F$18,'Feuille de Donnée'!$F$16))&amp;""&amp;IF(AND(BD30&gt;=$G30*(1-'Feuille de Donnée'!$E$27),BD30&lt;=$G30*(1+'Feuille de Donnée'!$F$27)),'Feuille de Donnée'!$F$32,IF(BD30&lt;$G30*(1-'Feuille de Donnée'!$E$27),'Feuille de Donnée'!$F$33,'Feuille de Donnée'!$F$31)))))</f>
        <v/>
      </c>
      <c r="BJ30" s="138"/>
      <c r="BK30" s="140"/>
    </row>
    <row r="31" spans="1:63" s="6" customFormat="1" x14ac:dyDescent="0.3">
      <c r="A31" s="23"/>
      <c r="B31" s="24"/>
      <c r="C31" s="24"/>
      <c r="D31" s="24"/>
      <c r="E31" s="22"/>
      <c r="F31" s="25"/>
      <c r="G31" s="26"/>
      <c r="H31" s="102" t="str">
        <f t="shared" si="19"/>
        <v/>
      </c>
      <c r="I31" s="103"/>
      <c r="J31" s="27"/>
      <c r="K31" s="27"/>
      <c r="L31" s="27" t="str">
        <f t="shared" si="20"/>
        <v/>
      </c>
      <c r="M31" s="121" t="str">
        <f t="shared" si="21"/>
        <v/>
      </c>
      <c r="N31" s="121" t="str">
        <f t="shared" si="22"/>
        <v/>
      </c>
      <c r="O31" s="27" t="str">
        <f>IF(AND(ISBLANK(Q31),P31=""),"",1+MAX(O$21:O30))</f>
        <v/>
      </c>
      <c r="P31" s="137" t="str">
        <f>IF(OR(L31="",L31=0,$H31="",$H31=0,NOT(ISNUMBER($H31)),NOT(ISNUMBER(L31))),IF(AND($E31&lt;&gt;"",AND(OR(ISNUMBER(L31),L31=""),AND(ISNUMBER($H31),$H31&gt;0))),'Feuille de Donnée'!$K$13,""),IF(L31&lt;$H$168*'Feuille de Donnée'!$I$9,"Négligeable",(IF(AND(J31&gt;=$F31*(1-'Feuille de Donnée'!$E$12),J31&lt;=$F31*(1+'Feuille de Donnée'!$F$12)),'Feuille de Donnée'!$F$17,IF(J31&lt;$F31*(1-'Feuille de Donnée'!$E$12),'Feuille de Donnée'!$F$18,'Feuille de Donnée'!$F$16))&amp;""&amp;IF(AND(K31&gt;=$G31*(1-'Feuille de Donnée'!$E$27),K31&lt;=$G31*(1+'Feuille de Donnée'!$F$27)),'Feuille de Donnée'!$F$32,IF(K31&lt;$G31*(1-'Feuille de Donnée'!$E$27),'Feuille de Donnée'!$F$33,'Feuille de Donnée'!$F$31)))))</f>
        <v/>
      </c>
      <c r="Q31" s="138"/>
      <c r="R31" s="103"/>
      <c r="S31" s="27"/>
      <c r="T31" s="27"/>
      <c r="U31" s="27" t="str">
        <f t="shared" si="23"/>
        <v/>
      </c>
      <c r="V31" s="121" t="str">
        <f t="shared" si="24"/>
        <v/>
      </c>
      <c r="W31" s="121" t="str">
        <f t="shared" si="25"/>
        <v/>
      </c>
      <c r="X31" s="27" t="str">
        <f>IF(AND(ISBLANK(Z31),Y31=""),"",1+MAX(X$21:X30))</f>
        <v/>
      </c>
      <c r="Y31" s="137" t="str">
        <f>IF(OR(U31="",U31=0,$H31="",$H31=0,NOT(ISNUMBER($H31)),NOT(ISNUMBER(U31))),IF(AND($E31&lt;&gt;"",AND(OR(ISNUMBER(U31),U31=""),AND(ISNUMBER($H31),$H31&gt;0))),'Feuille de Donnée'!$K$13,""),IF(U31&lt;$H$168*'Feuille de Donnée'!$I$9,"Négligeable",(IF(AND(S31&gt;=$F31*(1-'Feuille de Donnée'!$E$12),S31&lt;=$F31*(1+'Feuille de Donnée'!$F$12)),'Feuille de Donnée'!$F$17,IF(S31&lt;$F31*(1-'Feuille de Donnée'!$E$12),'Feuille de Donnée'!$F$18,'Feuille de Donnée'!$F$16))&amp;""&amp;IF(AND(T31&gt;=$G31*(1-'Feuille de Donnée'!$E$27),T31&lt;=$G31*(1+'Feuille de Donnée'!$F$27)),'Feuille de Donnée'!$F$32,IF(T31&lt;$G31*(1-'Feuille de Donnée'!$E$27),'Feuille de Donnée'!$F$33,'Feuille de Donnée'!$F$31)))))</f>
        <v/>
      </c>
      <c r="Z31" s="138"/>
      <c r="AA31" s="103"/>
      <c r="AB31" s="27"/>
      <c r="AC31" s="27"/>
      <c r="AD31" s="27" t="str">
        <f t="shared" si="26"/>
        <v/>
      </c>
      <c r="AE31" s="121" t="str">
        <f t="shared" si="27"/>
        <v/>
      </c>
      <c r="AF31" s="121" t="str">
        <f t="shared" si="28"/>
        <v/>
      </c>
      <c r="AG31" s="27" t="str">
        <f>IF(AND(ISBLANK(AI31),AH31=""),"",1+MAX(AG$21:AG30))</f>
        <v/>
      </c>
      <c r="AH31" s="137" t="str">
        <f>IF(OR(AD31="",AD31=0,$H31="",$H31=0,NOT(ISNUMBER($H31)),NOT(ISNUMBER(AD31))),IF(AND($E31&lt;&gt;"",AND(OR(ISNUMBER(AD31),AD31=""),AND(ISNUMBER($H31),$H31&gt;0))),'Feuille de Donnée'!$K$13,""),IF(AD31&lt;$H$168*'Feuille de Donnée'!$I$9,"Négligeable",(IF(AND(AB31&gt;=$F31*(1-'Feuille de Donnée'!$E$12),AB31&lt;=$F31*(1+'Feuille de Donnée'!$F$12)),'Feuille de Donnée'!$F$17,IF(AB31&lt;$F31*(1-'Feuille de Donnée'!$E$12),'Feuille de Donnée'!$F$18,'Feuille de Donnée'!$F$16))&amp;""&amp;IF(AND(AC31&gt;=$G31*(1-'Feuille de Donnée'!$E$27),AC31&lt;=$G31*(1+'Feuille de Donnée'!$F$27)),'Feuille de Donnée'!$F$32,IF(AC31&lt;$G31*(1-'Feuille de Donnée'!$E$27),'Feuille de Donnée'!$F$33,'Feuille de Donnée'!$F$31)))))</f>
        <v/>
      </c>
      <c r="AI31" s="138"/>
      <c r="AJ31" s="103"/>
      <c r="AK31" s="27"/>
      <c r="AL31" s="27"/>
      <c r="AM31" s="27" t="str">
        <f t="shared" si="29"/>
        <v/>
      </c>
      <c r="AN31" s="121" t="str">
        <f t="shared" si="30"/>
        <v/>
      </c>
      <c r="AO31" s="121" t="str">
        <f t="shared" si="31"/>
        <v/>
      </c>
      <c r="AP31" s="27" t="str">
        <f>IF(AND(ISBLANK(AR31),AQ31=""),"",1+MAX(AP$21:AP30))</f>
        <v/>
      </c>
      <c r="AQ31" s="137" t="str">
        <f>IF(OR(AM31="",AM31=0,$H31="",$H31=0,NOT(ISNUMBER($H31)),NOT(ISNUMBER(AM31))),IF(AND($E31&lt;&gt;"",AND(OR(ISNUMBER(AM31),AM31=""),AND(ISNUMBER($H31),$H31&gt;0))),'Feuille de Donnée'!$K$13,""),IF(AM31&lt;$H$168*'Feuille de Donnée'!$I$9,"Négligeable",(IF(AND(AK31&gt;=$F31*(1-'Feuille de Donnée'!$E$12),AK31&lt;=$F31*(1+'Feuille de Donnée'!$F$12)),'Feuille de Donnée'!$F$17,IF(AK31&lt;$F31*(1-'Feuille de Donnée'!$E$12),'Feuille de Donnée'!$F$18,'Feuille de Donnée'!$F$16))&amp;""&amp;IF(AND(AL31&gt;=$G31*(1-'Feuille de Donnée'!$E$27),AL31&lt;=$G31*(1+'Feuille de Donnée'!$F$27)),'Feuille de Donnée'!$F$32,IF(AL31&lt;$G31*(1-'Feuille de Donnée'!$E$27),'Feuille de Donnée'!$F$33,'Feuille de Donnée'!$F$31)))))</f>
        <v/>
      </c>
      <c r="AR31" s="138"/>
      <c r="AS31" s="103"/>
      <c r="AT31" s="27"/>
      <c r="AU31" s="27"/>
      <c r="AV31" s="27" t="str">
        <f t="shared" si="32"/>
        <v/>
      </c>
      <c r="AW31" s="121" t="str">
        <f t="shared" si="33"/>
        <v/>
      </c>
      <c r="AX31" s="121" t="str">
        <f t="shared" si="34"/>
        <v/>
      </c>
      <c r="AY31" s="27" t="str">
        <f>IF(AND(ISBLANK(BA31),AZ31=""),"",1+MAX(AY$21:AY30))</f>
        <v/>
      </c>
      <c r="AZ31" s="137" t="str">
        <f>IF(OR(AV31="",AV31=0,$H31="",$H31=0,NOT(ISNUMBER($H31)),NOT(ISNUMBER(AV31))),IF(AND($E31&lt;&gt;"",AND(OR(ISNUMBER(AV31),AV31=""),AND(ISNUMBER($H31),$H31&gt;0))),'Feuille de Donnée'!$K$13,""),IF(AV31&lt;$H$168*'Feuille de Donnée'!$I$9,"Négligeable",(IF(AND(AT31&gt;=$F31*(1-'Feuille de Donnée'!$E$12),AT31&lt;=$F31*(1+'Feuille de Donnée'!$F$12)),'Feuille de Donnée'!$F$17,IF(AT31&lt;$F31*(1-'Feuille de Donnée'!$E$12),'Feuille de Donnée'!$F$18,'Feuille de Donnée'!$F$16))&amp;""&amp;IF(AND(AU31&gt;=$G31*(1-'Feuille de Donnée'!$E$27),AU31&lt;=$G31*(1+'Feuille de Donnée'!$F$27)),'Feuille de Donnée'!$F$32,IF(AU31&lt;$G31*(1-'Feuille de Donnée'!$E$27),'Feuille de Donnée'!$F$33,'Feuille de Donnée'!$F$31)))))</f>
        <v/>
      </c>
      <c r="BA31" s="138"/>
      <c r="BB31" s="103"/>
      <c r="BC31" s="27"/>
      <c r="BD31" s="27"/>
      <c r="BE31" s="27" t="str">
        <f t="shared" si="35"/>
        <v/>
      </c>
      <c r="BF31" s="121" t="str">
        <f t="shared" si="36"/>
        <v/>
      </c>
      <c r="BG31" s="121" t="str">
        <f t="shared" si="37"/>
        <v/>
      </c>
      <c r="BH31" s="27" t="str">
        <f>IF(AND(ISBLANK(BJ31),BI31=""),"",1+MAX(BH$21:BH30))</f>
        <v/>
      </c>
      <c r="BI31" s="137" t="str">
        <f>IF(OR(BE31="",BE31=0,$H31="",$H31=0,NOT(ISNUMBER($H31)),NOT(ISNUMBER(BE31))),IF(AND($E31&lt;&gt;"",AND(OR(ISNUMBER(BE31),BE31=""),AND(ISNUMBER($H31),$H31&gt;0))),'Feuille de Donnée'!$K$13,""),IF(BE31&lt;$H$168*'Feuille de Donnée'!$I$9,"Négligeable",(IF(AND(BC31&gt;=$F31*(1-'Feuille de Donnée'!$E$12),BC31&lt;=$F31*(1+'Feuille de Donnée'!$F$12)),'Feuille de Donnée'!$F$17,IF(BC31&lt;$F31*(1-'Feuille de Donnée'!$E$12),'Feuille de Donnée'!$F$18,'Feuille de Donnée'!$F$16))&amp;""&amp;IF(AND(BD31&gt;=$G31*(1-'Feuille de Donnée'!$E$27),BD31&lt;=$G31*(1+'Feuille de Donnée'!$F$27)),'Feuille de Donnée'!$F$32,IF(BD31&lt;$G31*(1-'Feuille de Donnée'!$E$27),'Feuille de Donnée'!$F$33,'Feuille de Donnée'!$F$31)))))</f>
        <v/>
      </c>
      <c r="BJ31" s="138"/>
      <c r="BK31" s="140"/>
    </row>
    <row r="32" spans="1:63" s="6" customFormat="1" x14ac:dyDescent="0.3">
      <c r="A32" s="23"/>
      <c r="B32" s="24"/>
      <c r="C32" s="24"/>
      <c r="D32" s="24"/>
      <c r="E32" s="22"/>
      <c r="F32" s="25"/>
      <c r="G32" s="26"/>
      <c r="H32" s="102" t="str">
        <f t="shared" si="19"/>
        <v/>
      </c>
      <c r="I32" s="103"/>
      <c r="J32" s="27"/>
      <c r="K32" s="27"/>
      <c r="L32" s="27" t="str">
        <f t="shared" si="20"/>
        <v/>
      </c>
      <c r="M32" s="121" t="str">
        <f t="shared" si="21"/>
        <v/>
      </c>
      <c r="N32" s="121" t="str">
        <f t="shared" si="22"/>
        <v/>
      </c>
      <c r="O32" s="27" t="str">
        <f>IF(AND(ISBLANK(Q32),P32=""),"",1+MAX(O$21:O31))</f>
        <v/>
      </c>
      <c r="P32" s="137" t="str">
        <f>IF(OR(L32="",L32=0,$H32="",$H32=0,NOT(ISNUMBER($H32)),NOT(ISNUMBER(L32))),IF(AND($E32&lt;&gt;"",AND(OR(ISNUMBER(L32),L32=""),AND(ISNUMBER($H32),$H32&gt;0))),'Feuille de Donnée'!$K$13,""),IF(L32&lt;$H$168*'Feuille de Donnée'!$I$9,"Négligeable",(IF(AND(J32&gt;=$F32*(1-'Feuille de Donnée'!$E$12),J32&lt;=$F32*(1+'Feuille de Donnée'!$F$12)),'Feuille de Donnée'!$F$17,IF(J32&lt;$F32*(1-'Feuille de Donnée'!$E$12),'Feuille de Donnée'!$F$18,'Feuille de Donnée'!$F$16))&amp;""&amp;IF(AND(K32&gt;=$G32*(1-'Feuille de Donnée'!$E$27),K32&lt;=$G32*(1+'Feuille de Donnée'!$F$27)),'Feuille de Donnée'!$F$32,IF(K32&lt;$G32*(1-'Feuille de Donnée'!$E$27),'Feuille de Donnée'!$F$33,'Feuille de Donnée'!$F$31)))))</f>
        <v/>
      </c>
      <c r="Q32" s="138"/>
      <c r="R32" s="103"/>
      <c r="S32" s="27"/>
      <c r="T32" s="27"/>
      <c r="U32" s="27" t="str">
        <f t="shared" si="23"/>
        <v/>
      </c>
      <c r="V32" s="121" t="str">
        <f t="shared" si="24"/>
        <v/>
      </c>
      <c r="W32" s="121" t="str">
        <f t="shared" si="25"/>
        <v/>
      </c>
      <c r="X32" s="27" t="str">
        <f>IF(AND(ISBLANK(Z32),Y32=""),"",1+MAX(X$21:X31))</f>
        <v/>
      </c>
      <c r="Y32" s="137" t="str">
        <f>IF(OR(U32="",U32=0,$H32="",$H32=0,NOT(ISNUMBER($H32)),NOT(ISNUMBER(U32))),IF(AND($E32&lt;&gt;"",AND(OR(ISNUMBER(U32),U32=""),AND(ISNUMBER($H32),$H32&gt;0))),'Feuille de Donnée'!$K$13,""),IF(U32&lt;$H$168*'Feuille de Donnée'!$I$9,"Négligeable",(IF(AND(S32&gt;=$F32*(1-'Feuille de Donnée'!$E$12),S32&lt;=$F32*(1+'Feuille de Donnée'!$F$12)),'Feuille de Donnée'!$F$17,IF(S32&lt;$F32*(1-'Feuille de Donnée'!$E$12),'Feuille de Donnée'!$F$18,'Feuille de Donnée'!$F$16))&amp;""&amp;IF(AND(T32&gt;=$G32*(1-'Feuille de Donnée'!$E$27),T32&lt;=$G32*(1+'Feuille de Donnée'!$F$27)),'Feuille de Donnée'!$F$32,IF(T32&lt;$G32*(1-'Feuille de Donnée'!$E$27),'Feuille de Donnée'!$F$33,'Feuille de Donnée'!$F$31)))))</f>
        <v/>
      </c>
      <c r="Z32" s="138"/>
      <c r="AA32" s="103"/>
      <c r="AB32" s="27"/>
      <c r="AC32" s="27"/>
      <c r="AD32" s="27" t="str">
        <f t="shared" si="26"/>
        <v/>
      </c>
      <c r="AE32" s="121" t="str">
        <f t="shared" si="27"/>
        <v/>
      </c>
      <c r="AF32" s="121" t="str">
        <f t="shared" si="28"/>
        <v/>
      </c>
      <c r="AG32" s="27" t="str">
        <f>IF(AND(ISBLANK(AI32),AH32=""),"",1+MAX(AG$21:AG31))</f>
        <v/>
      </c>
      <c r="AH32" s="137" t="str">
        <f>IF(OR(AD32="",AD32=0,$H32="",$H32=0,NOT(ISNUMBER($H32)),NOT(ISNUMBER(AD32))),IF(AND($E32&lt;&gt;"",AND(OR(ISNUMBER(AD32),AD32=""),AND(ISNUMBER($H32),$H32&gt;0))),'Feuille de Donnée'!$K$13,""),IF(AD32&lt;$H$168*'Feuille de Donnée'!$I$9,"Négligeable",(IF(AND(AB32&gt;=$F32*(1-'Feuille de Donnée'!$E$12),AB32&lt;=$F32*(1+'Feuille de Donnée'!$F$12)),'Feuille de Donnée'!$F$17,IF(AB32&lt;$F32*(1-'Feuille de Donnée'!$E$12),'Feuille de Donnée'!$F$18,'Feuille de Donnée'!$F$16))&amp;""&amp;IF(AND(AC32&gt;=$G32*(1-'Feuille de Donnée'!$E$27),AC32&lt;=$G32*(1+'Feuille de Donnée'!$F$27)),'Feuille de Donnée'!$F$32,IF(AC32&lt;$G32*(1-'Feuille de Donnée'!$E$27),'Feuille de Donnée'!$F$33,'Feuille de Donnée'!$F$31)))))</f>
        <v/>
      </c>
      <c r="AI32" s="138"/>
      <c r="AJ32" s="103"/>
      <c r="AK32" s="27"/>
      <c r="AL32" s="27"/>
      <c r="AM32" s="27" t="str">
        <f t="shared" si="29"/>
        <v/>
      </c>
      <c r="AN32" s="121" t="str">
        <f t="shared" si="30"/>
        <v/>
      </c>
      <c r="AO32" s="121" t="str">
        <f t="shared" si="31"/>
        <v/>
      </c>
      <c r="AP32" s="27" t="str">
        <f>IF(AND(ISBLANK(AR32),AQ32=""),"",1+MAX(AP$21:AP31))</f>
        <v/>
      </c>
      <c r="AQ32" s="137" t="str">
        <f>IF(OR(AM32="",AM32=0,$H32="",$H32=0,NOT(ISNUMBER($H32)),NOT(ISNUMBER(AM32))),IF(AND($E32&lt;&gt;"",AND(OR(ISNUMBER(AM32),AM32=""),AND(ISNUMBER($H32),$H32&gt;0))),'Feuille de Donnée'!$K$13,""),IF(AM32&lt;$H$168*'Feuille de Donnée'!$I$9,"Négligeable",(IF(AND(AK32&gt;=$F32*(1-'Feuille de Donnée'!$E$12),AK32&lt;=$F32*(1+'Feuille de Donnée'!$F$12)),'Feuille de Donnée'!$F$17,IF(AK32&lt;$F32*(1-'Feuille de Donnée'!$E$12),'Feuille de Donnée'!$F$18,'Feuille de Donnée'!$F$16))&amp;""&amp;IF(AND(AL32&gt;=$G32*(1-'Feuille de Donnée'!$E$27),AL32&lt;=$G32*(1+'Feuille de Donnée'!$F$27)),'Feuille de Donnée'!$F$32,IF(AL32&lt;$G32*(1-'Feuille de Donnée'!$E$27),'Feuille de Donnée'!$F$33,'Feuille de Donnée'!$F$31)))))</f>
        <v/>
      </c>
      <c r="AR32" s="138"/>
      <c r="AS32" s="103"/>
      <c r="AT32" s="27"/>
      <c r="AU32" s="27"/>
      <c r="AV32" s="27" t="str">
        <f t="shared" si="32"/>
        <v/>
      </c>
      <c r="AW32" s="121" t="str">
        <f t="shared" si="33"/>
        <v/>
      </c>
      <c r="AX32" s="121" t="str">
        <f t="shared" si="34"/>
        <v/>
      </c>
      <c r="AY32" s="27" t="str">
        <f>IF(AND(ISBLANK(BA32),AZ32=""),"",1+MAX(AY$21:AY31))</f>
        <v/>
      </c>
      <c r="AZ32" s="137" t="str">
        <f>IF(OR(AV32="",AV32=0,$H32="",$H32=0,NOT(ISNUMBER($H32)),NOT(ISNUMBER(AV32))),IF(AND($E32&lt;&gt;"",AND(OR(ISNUMBER(AV32),AV32=""),AND(ISNUMBER($H32),$H32&gt;0))),'Feuille de Donnée'!$K$13,""),IF(AV32&lt;$H$168*'Feuille de Donnée'!$I$9,"Négligeable",(IF(AND(AT32&gt;=$F32*(1-'Feuille de Donnée'!$E$12),AT32&lt;=$F32*(1+'Feuille de Donnée'!$F$12)),'Feuille de Donnée'!$F$17,IF(AT32&lt;$F32*(1-'Feuille de Donnée'!$E$12),'Feuille de Donnée'!$F$18,'Feuille de Donnée'!$F$16))&amp;""&amp;IF(AND(AU32&gt;=$G32*(1-'Feuille de Donnée'!$E$27),AU32&lt;=$G32*(1+'Feuille de Donnée'!$F$27)),'Feuille de Donnée'!$F$32,IF(AU32&lt;$G32*(1-'Feuille de Donnée'!$E$27),'Feuille de Donnée'!$F$33,'Feuille de Donnée'!$F$31)))))</f>
        <v/>
      </c>
      <c r="BA32" s="138"/>
      <c r="BB32" s="103"/>
      <c r="BC32" s="27"/>
      <c r="BD32" s="27"/>
      <c r="BE32" s="27" t="str">
        <f t="shared" si="35"/>
        <v/>
      </c>
      <c r="BF32" s="121" t="str">
        <f t="shared" si="36"/>
        <v/>
      </c>
      <c r="BG32" s="121" t="str">
        <f t="shared" si="37"/>
        <v/>
      </c>
      <c r="BH32" s="27" t="str">
        <f>IF(AND(ISBLANK(BJ32),BI32=""),"",1+MAX(BH$21:BH31))</f>
        <v/>
      </c>
      <c r="BI32" s="137" t="str">
        <f>IF(OR(BE32="",BE32=0,$H32="",$H32=0,NOT(ISNUMBER($H32)),NOT(ISNUMBER(BE32))),IF(AND($E32&lt;&gt;"",AND(OR(ISNUMBER(BE32),BE32=""),AND(ISNUMBER($H32),$H32&gt;0))),'Feuille de Donnée'!$K$13,""),IF(BE32&lt;$H$168*'Feuille de Donnée'!$I$9,"Négligeable",(IF(AND(BC32&gt;=$F32*(1-'Feuille de Donnée'!$E$12),BC32&lt;=$F32*(1+'Feuille de Donnée'!$F$12)),'Feuille de Donnée'!$F$17,IF(BC32&lt;$F32*(1-'Feuille de Donnée'!$E$12),'Feuille de Donnée'!$F$18,'Feuille de Donnée'!$F$16))&amp;""&amp;IF(AND(BD32&gt;=$G32*(1-'Feuille de Donnée'!$E$27),BD32&lt;=$G32*(1+'Feuille de Donnée'!$F$27)),'Feuille de Donnée'!$F$32,IF(BD32&lt;$G32*(1-'Feuille de Donnée'!$E$27),'Feuille de Donnée'!$F$33,'Feuille de Donnée'!$F$31)))))</f>
        <v/>
      </c>
      <c r="BJ32" s="138"/>
      <c r="BK32" s="140"/>
    </row>
    <row r="33" spans="1:63" s="6" customFormat="1" x14ac:dyDescent="0.3">
      <c r="A33" s="23"/>
      <c r="B33" s="24"/>
      <c r="C33" s="24"/>
      <c r="D33" s="24"/>
      <c r="E33" s="22"/>
      <c r="F33" s="25"/>
      <c r="G33" s="26"/>
      <c r="H33" s="102" t="str">
        <f t="shared" si="19"/>
        <v/>
      </c>
      <c r="I33" s="103"/>
      <c r="J33" s="27"/>
      <c r="K33" s="27"/>
      <c r="L33" s="27" t="str">
        <f t="shared" si="20"/>
        <v/>
      </c>
      <c r="M33" s="121" t="str">
        <f t="shared" si="21"/>
        <v/>
      </c>
      <c r="N33" s="121" t="str">
        <f t="shared" si="22"/>
        <v/>
      </c>
      <c r="O33" s="27" t="str">
        <f>IF(AND(ISBLANK(Q33),P33=""),"",1+MAX(O$21:O32))</f>
        <v/>
      </c>
      <c r="P33" s="137" t="str">
        <f>IF(OR(L33="",L33=0,$H33="",$H33=0,NOT(ISNUMBER($H33)),NOT(ISNUMBER(L33))),IF(AND($E33&lt;&gt;"",AND(OR(ISNUMBER(L33),L33=""),AND(ISNUMBER($H33),$H33&gt;0))),'Feuille de Donnée'!$K$13,""),IF(L33&lt;$H$168*'Feuille de Donnée'!$I$9,"Négligeable",(IF(AND(J33&gt;=$F33*(1-'Feuille de Donnée'!$E$12),J33&lt;=$F33*(1+'Feuille de Donnée'!$F$12)),'Feuille de Donnée'!$F$17,IF(J33&lt;$F33*(1-'Feuille de Donnée'!$E$12),'Feuille de Donnée'!$F$18,'Feuille de Donnée'!$F$16))&amp;""&amp;IF(AND(K33&gt;=$G33*(1-'Feuille de Donnée'!$E$27),K33&lt;=$G33*(1+'Feuille de Donnée'!$F$27)),'Feuille de Donnée'!$F$32,IF(K33&lt;$G33*(1-'Feuille de Donnée'!$E$27),'Feuille de Donnée'!$F$33,'Feuille de Donnée'!$F$31)))))</f>
        <v/>
      </c>
      <c r="Q33" s="138"/>
      <c r="R33" s="103"/>
      <c r="S33" s="27"/>
      <c r="T33" s="27"/>
      <c r="U33" s="27" t="str">
        <f t="shared" si="23"/>
        <v/>
      </c>
      <c r="V33" s="121" t="str">
        <f t="shared" si="24"/>
        <v/>
      </c>
      <c r="W33" s="121" t="str">
        <f t="shared" si="25"/>
        <v/>
      </c>
      <c r="X33" s="27" t="str">
        <f>IF(AND(ISBLANK(Z33),Y33=""),"",1+MAX(X$21:X32))</f>
        <v/>
      </c>
      <c r="Y33" s="137" t="str">
        <f>IF(OR(U33="",U33=0,$H33="",$H33=0,NOT(ISNUMBER($H33)),NOT(ISNUMBER(U33))),IF(AND($E33&lt;&gt;"",AND(OR(ISNUMBER(U33),U33=""),AND(ISNUMBER($H33),$H33&gt;0))),'Feuille de Donnée'!$K$13,""),IF(U33&lt;$H$168*'Feuille de Donnée'!$I$9,"Négligeable",(IF(AND(S33&gt;=$F33*(1-'Feuille de Donnée'!$E$12),S33&lt;=$F33*(1+'Feuille de Donnée'!$F$12)),'Feuille de Donnée'!$F$17,IF(S33&lt;$F33*(1-'Feuille de Donnée'!$E$12),'Feuille de Donnée'!$F$18,'Feuille de Donnée'!$F$16))&amp;""&amp;IF(AND(T33&gt;=$G33*(1-'Feuille de Donnée'!$E$27),T33&lt;=$G33*(1+'Feuille de Donnée'!$F$27)),'Feuille de Donnée'!$F$32,IF(T33&lt;$G33*(1-'Feuille de Donnée'!$E$27),'Feuille de Donnée'!$F$33,'Feuille de Donnée'!$F$31)))))</f>
        <v/>
      </c>
      <c r="Z33" s="138"/>
      <c r="AA33" s="103"/>
      <c r="AB33" s="27"/>
      <c r="AC33" s="27"/>
      <c r="AD33" s="27" t="str">
        <f t="shared" si="26"/>
        <v/>
      </c>
      <c r="AE33" s="121" t="str">
        <f t="shared" si="27"/>
        <v/>
      </c>
      <c r="AF33" s="121" t="str">
        <f t="shared" si="28"/>
        <v/>
      </c>
      <c r="AG33" s="27" t="str">
        <f>IF(AND(ISBLANK(AI33),AH33=""),"",1+MAX(AG$21:AG32))</f>
        <v/>
      </c>
      <c r="AH33" s="137" t="str">
        <f>IF(OR(AD33="",AD33=0,$H33="",$H33=0,NOT(ISNUMBER($H33)),NOT(ISNUMBER(AD33))),IF(AND($E33&lt;&gt;"",AND(OR(ISNUMBER(AD33),AD33=""),AND(ISNUMBER($H33),$H33&gt;0))),'Feuille de Donnée'!$K$13,""),IF(AD33&lt;$H$168*'Feuille de Donnée'!$I$9,"Négligeable",(IF(AND(AB33&gt;=$F33*(1-'Feuille de Donnée'!$E$12),AB33&lt;=$F33*(1+'Feuille de Donnée'!$F$12)),'Feuille de Donnée'!$F$17,IF(AB33&lt;$F33*(1-'Feuille de Donnée'!$E$12),'Feuille de Donnée'!$F$18,'Feuille de Donnée'!$F$16))&amp;""&amp;IF(AND(AC33&gt;=$G33*(1-'Feuille de Donnée'!$E$27),AC33&lt;=$G33*(1+'Feuille de Donnée'!$F$27)),'Feuille de Donnée'!$F$32,IF(AC33&lt;$G33*(1-'Feuille de Donnée'!$E$27),'Feuille de Donnée'!$F$33,'Feuille de Donnée'!$F$31)))))</f>
        <v/>
      </c>
      <c r="AI33" s="138"/>
      <c r="AJ33" s="103"/>
      <c r="AK33" s="27"/>
      <c r="AL33" s="27"/>
      <c r="AM33" s="27" t="str">
        <f t="shared" si="29"/>
        <v/>
      </c>
      <c r="AN33" s="121" t="str">
        <f t="shared" si="30"/>
        <v/>
      </c>
      <c r="AO33" s="121" t="str">
        <f t="shared" si="31"/>
        <v/>
      </c>
      <c r="AP33" s="27" t="str">
        <f>IF(AND(ISBLANK(AR33),AQ33=""),"",1+MAX(AP$21:AP32))</f>
        <v/>
      </c>
      <c r="AQ33" s="137" t="str">
        <f>IF(OR(AM33="",AM33=0,$H33="",$H33=0,NOT(ISNUMBER($H33)),NOT(ISNUMBER(AM33))),IF(AND($E33&lt;&gt;"",AND(OR(ISNUMBER(AM33),AM33=""),AND(ISNUMBER($H33),$H33&gt;0))),'Feuille de Donnée'!$K$13,""),IF(AM33&lt;$H$168*'Feuille de Donnée'!$I$9,"Négligeable",(IF(AND(AK33&gt;=$F33*(1-'Feuille de Donnée'!$E$12),AK33&lt;=$F33*(1+'Feuille de Donnée'!$F$12)),'Feuille de Donnée'!$F$17,IF(AK33&lt;$F33*(1-'Feuille de Donnée'!$E$12),'Feuille de Donnée'!$F$18,'Feuille de Donnée'!$F$16))&amp;""&amp;IF(AND(AL33&gt;=$G33*(1-'Feuille de Donnée'!$E$27),AL33&lt;=$G33*(1+'Feuille de Donnée'!$F$27)),'Feuille de Donnée'!$F$32,IF(AL33&lt;$G33*(1-'Feuille de Donnée'!$E$27),'Feuille de Donnée'!$F$33,'Feuille de Donnée'!$F$31)))))</f>
        <v/>
      </c>
      <c r="AR33" s="138"/>
      <c r="AS33" s="103"/>
      <c r="AT33" s="27"/>
      <c r="AU33" s="27"/>
      <c r="AV33" s="27" t="str">
        <f t="shared" si="32"/>
        <v/>
      </c>
      <c r="AW33" s="121" t="str">
        <f t="shared" si="33"/>
        <v/>
      </c>
      <c r="AX33" s="121" t="str">
        <f t="shared" si="34"/>
        <v/>
      </c>
      <c r="AY33" s="27" t="str">
        <f>IF(AND(ISBLANK(BA33),AZ33=""),"",1+MAX(AY$21:AY32))</f>
        <v/>
      </c>
      <c r="AZ33" s="137" t="str">
        <f>IF(OR(AV33="",AV33=0,$H33="",$H33=0,NOT(ISNUMBER($H33)),NOT(ISNUMBER(AV33))),IF(AND($E33&lt;&gt;"",AND(OR(ISNUMBER(AV33),AV33=""),AND(ISNUMBER($H33),$H33&gt;0))),'Feuille de Donnée'!$K$13,""),IF(AV33&lt;$H$168*'Feuille de Donnée'!$I$9,"Négligeable",(IF(AND(AT33&gt;=$F33*(1-'Feuille de Donnée'!$E$12),AT33&lt;=$F33*(1+'Feuille de Donnée'!$F$12)),'Feuille de Donnée'!$F$17,IF(AT33&lt;$F33*(1-'Feuille de Donnée'!$E$12),'Feuille de Donnée'!$F$18,'Feuille de Donnée'!$F$16))&amp;""&amp;IF(AND(AU33&gt;=$G33*(1-'Feuille de Donnée'!$E$27),AU33&lt;=$G33*(1+'Feuille de Donnée'!$F$27)),'Feuille de Donnée'!$F$32,IF(AU33&lt;$G33*(1-'Feuille de Donnée'!$E$27),'Feuille de Donnée'!$F$33,'Feuille de Donnée'!$F$31)))))</f>
        <v/>
      </c>
      <c r="BA33" s="138"/>
      <c r="BB33" s="103"/>
      <c r="BC33" s="27"/>
      <c r="BD33" s="27"/>
      <c r="BE33" s="27" t="str">
        <f t="shared" si="35"/>
        <v/>
      </c>
      <c r="BF33" s="121" t="str">
        <f t="shared" si="36"/>
        <v/>
      </c>
      <c r="BG33" s="121" t="str">
        <f t="shared" si="37"/>
        <v/>
      </c>
      <c r="BH33" s="27" t="str">
        <f>IF(AND(ISBLANK(BJ33),BI33=""),"",1+MAX(BH$21:BH32))</f>
        <v/>
      </c>
      <c r="BI33" s="137" t="str">
        <f>IF(OR(BE33="",BE33=0,$H33="",$H33=0,NOT(ISNUMBER($H33)),NOT(ISNUMBER(BE33))),IF(AND($E33&lt;&gt;"",AND(OR(ISNUMBER(BE33),BE33=""),AND(ISNUMBER($H33),$H33&gt;0))),'Feuille de Donnée'!$K$13,""),IF(BE33&lt;$H$168*'Feuille de Donnée'!$I$9,"Négligeable",(IF(AND(BC33&gt;=$F33*(1-'Feuille de Donnée'!$E$12),BC33&lt;=$F33*(1+'Feuille de Donnée'!$F$12)),'Feuille de Donnée'!$F$17,IF(BC33&lt;$F33*(1-'Feuille de Donnée'!$E$12),'Feuille de Donnée'!$F$18,'Feuille de Donnée'!$F$16))&amp;""&amp;IF(AND(BD33&gt;=$G33*(1-'Feuille de Donnée'!$E$27),BD33&lt;=$G33*(1+'Feuille de Donnée'!$F$27)),'Feuille de Donnée'!$F$32,IF(BD33&lt;$G33*(1-'Feuille de Donnée'!$E$27),'Feuille de Donnée'!$F$33,'Feuille de Donnée'!$F$31)))))</f>
        <v/>
      </c>
      <c r="BJ33" s="138"/>
      <c r="BK33" s="140"/>
    </row>
    <row r="34" spans="1:63" s="6" customFormat="1" x14ac:dyDescent="0.3">
      <c r="A34" s="23"/>
      <c r="B34" s="24"/>
      <c r="C34" s="24"/>
      <c r="D34" s="24"/>
      <c r="E34" s="22"/>
      <c r="F34" s="25"/>
      <c r="G34" s="26"/>
      <c r="H34" s="102" t="str">
        <f t="shared" si="19"/>
        <v/>
      </c>
      <c r="I34" s="103"/>
      <c r="J34" s="27"/>
      <c r="K34" s="27"/>
      <c r="L34" s="27" t="str">
        <f t="shared" si="20"/>
        <v/>
      </c>
      <c r="M34" s="121" t="str">
        <f t="shared" si="21"/>
        <v/>
      </c>
      <c r="N34" s="121" t="str">
        <f t="shared" si="22"/>
        <v/>
      </c>
      <c r="O34" s="27" t="str">
        <f>IF(AND(ISBLANK(Q34),P34=""),"",1+MAX(O$21:O33))</f>
        <v/>
      </c>
      <c r="P34" s="137" t="str">
        <f>IF(OR(L34="",L34=0,$H34="",$H34=0,NOT(ISNUMBER($H34)),NOT(ISNUMBER(L34))),IF(AND($E34&lt;&gt;"",AND(OR(ISNUMBER(L34),L34=""),AND(ISNUMBER($H34),$H34&gt;0))),'Feuille de Donnée'!$K$13,""),IF(L34&lt;$H$168*'Feuille de Donnée'!$I$9,"Négligeable",(IF(AND(J34&gt;=$F34*(1-'Feuille de Donnée'!$E$12),J34&lt;=$F34*(1+'Feuille de Donnée'!$F$12)),'Feuille de Donnée'!$F$17,IF(J34&lt;$F34*(1-'Feuille de Donnée'!$E$12),'Feuille de Donnée'!$F$18,'Feuille de Donnée'!$F$16))&amp;""&amp;IF(AND(K34&gt;=$G34*(1-'Feuille de Donnée'!$E$27),K34&lt;=$G34*(1+'Feuille de Donnée'!$F$27)),'Feuille de Donnée'!$F$32,IF(K34&lt;$G34*(1-'Feuille de Donnée'!$E$27),'Feuille de Donnée'!$F$33,'Feuille de Donnée'!$F$31)))))</f>
        <v/>
      </c>
      <c r="Q34" s="138"/>
      <c r="R34" s="103"/>
      <c r="S34" s="27"/>
      <c r="T34" s="27"/>
      <c r="U34" s="27" t="str">
        <f t="shared" si="23"/>
        <v/>
      </c>
      <c r="V34" s="121" t="str">
        <f t="shared" si="24"/>
        <v/>
      </c>
      <c r="W34" s="121" t="str">
        <f t="shared" si="25"/>
        <v/>
      </c>
      <c r="X34" s="27" t="str">
        <f>IF(AND(ISBLANK(Z34),Y34=""),"",1+MAX(X$21:X33))</f>
        <v/>
      </c>
      <c r="Y34" s="137" t="str">
        <f>IF(OR(U34="",U34=0,$H34="",$H34=0,NOT(ISNUMBER($H34)),NOT(ISNUMBER(U34))),IF(AND($E34&lt;&gt;"",AND(OR(ISNUMBER(U34),U34=""),AND(ISNUMBER($H34),$H34&gt;0))),'Feuille de Donnée'!$K$13,""),IF(U34&lt;$H$168*'Feuille de Donnée'!$I$9,"Négligeable",(IF(AND(S34&gt;=$F34*(1-'Feuille de Donnée'!$E$12),S34&lt;=$F34*(1+'Feuille de Donnée'!$F$12)),'Feuille de Donnée'!$F$17,IF(S34&lt;$F34*(1-'Feuille de Donnée'!$E$12),'Feuille de Donnée'!$F$18,'Feuille de Donnée'!$F$16))&amp;""&amp;IF(AND(T34&gt;=$G34*(1-'Feuille de Donnée'!$E$27),T34&lt;=$G34*(1+'Feuille de Donnée'!$F$27)),'Feuille de Donnée'!$F$32,IF(T34&lt;$G34*(1-'Feuille de Donnée'!$E$27),'Feuille de Donnée'!$F$33,'Feuille de Donnée'!$F$31)))))</f>
        <v/>
      </c>
      <c r="Z34" s="138"/>
      <c r="AA34" s="103"/>
      <c r="AB34" s="27"/>
      <c r="AC34" s="27"/>
      <c r="AD34" s="27" t="str">
        <f t="shared" si="26"/>
        <v/>
      </c>
      <c r="AE34" s="121" t="str">
        <f t="shared" si="27"/>
        <v/>
      </c>
      <c r="AF34" s="121" t="str">
        <f t="shared" si="28"/>
        <v/>
      </c>
      <c r="AG34" s="27" t="str">
        <f>IF(AND(ISBLANK(AI34),AH34=""),"",1+MAX(AG$21:AG33))</f>
        <v/>
      </c>
      <c r="AH34" s="137" t="str">
        <f>IF(OR(AD34="",AD34=0,$H34="",$H34=0,NOT(ISNUMBER($H34)),NOT(ISNUMBER(AD34))),IF(AND($E34&lt;&gt;"",AND(OR(ISNUMBER(AD34),AD34=""),AND(ISNUMBER($H34),$H34&gt;0))),'Feuille de Donnée'!$K$13,""),IF(AD34&lt;$H$168*'Feuille de Donnée'!$I$9,"Négligeable",(IF(AND(AB34&gt;=$F34*(1-'Feuille de Donnée'!$E$12),AB34&lt;=$F34*(1+'Feuille de Donnée'!$F$12)),'Feuille de Donnée'!$F$17,IF(AB34&lt;$F34*(1-'Feuille de Donnée'!$E$12),'Feuille de Donnée'!$F$18,'Feuille de Donnée'!$F$16))&amp;""&amp;IF(AND(AC34&gt;=$G34*(1-'Feuille de Donnée'!$E$27),AC34&lt;=$G34*(1+'Feuille de Donnée'!$F$27)),'Feuille de Donnée'!$F$32,IF(AC34&lt;$G34*(1-'Feuille de Donnée'!$E$27),'Feuille de Donnée'!$F$33,'Feuille de Donnée'!$F$31)))))</f>
        <v/>
      </c>
      <c r="AI34" s="138"/>
      <c r="AJ34" s="103"/>
      <c r="AK34" s="27"/>
      <c r="AL34" s="27"/>
      <c r="AM34" s="27" t="str">
        <f t="shared" si="29"/>
        <v/>
      </c>
      <c r="AN34" s="121" t="str">
        <f t="shared" si="30"/>
        <v/>
      </c>
      <c r="AO34" s="121" t="str">
        <f t="shared" si="31"/>
        <v/>
      </c>
      <c r="AP34" s="27" t="str">
        <f>IF(AND(ISBLANK(AR34),AQ34=""),"",1+MAX(AP$21:AP33))</f>
        <v/>
      </c>
      <c r="AQ34" s="137" t="str">
        <f>IF(OR(AM34="",AM34=0,$H34="",$H34=0,NOT(ISNUMBER($H34)),NOT(ISNUMBER(AM34))),IF(AND($E34&lt;&gt;"",AND(OR(ISNUMBER(AM34),AM34=""),AND(ISNUMBER($H34),$H34&gt;0))),'Feuille de Donnée'!$K$13,""),IF(AM34&lt;$H$168*'Feuille de Donnée'!$I$9,"Négligeable",(IF(AND(AK34&gt;=$F34*(1-'Feuille de Donnée'!$E$12),AK34&lt;=$F34*(1+'Feuille de Donnée'!$F$12)),'Feuille de Donnée'!$F$17,IF(AK34&lt;$F34*(1-'Feuille de Donnée'!$E$12),'Feuille de Donnée'!$F$18,'Feuille de Donnée'!$F$16))&amp;""&amp;IF(AND(AL34&gt;=$G34*(1-'Feuille de Donnée'!$E$27),AL34&lt;=$G34*(1+'Feuille de Donnée'!$F$27)),'Feuille de Donnée'!$F$32,IF(AL34&lt;$G34*(1-'Feuille de Donnée'!$E$27),'Feuille de Donnée'!$F$33,'Feuille de Donnée'!$F$31)))))</f>
        <v/>
      </c>
      <c r="AR34" s="138"/>
      <c r="AS34" s="103"/>
      <c r="AT34" s="27"/>
      <c r="AU34" s="27"/>
      <c r="AV34" s="27" t="str">
        <f t="shared" si="32"/>
        <v/>
      </c>
      <c r="AW34" s="121" t="str">
        <f t="shared" si="33"/>
        <v/>
      </c>
      <c r="AX34" s="121" t="str">
        <f t="shared" si="34"/>
        <v/>
      </c>
      <c r="AY34" s="27" t="str">
        <f>IF(AND(ISBLANK(BA34),AZ34=""),"",1+MAX(AY$21:AY33))</f>
        <v/>
      </c>
      <c r="AZ34" s="137" t="str">
        <f>IF(OR(AV34="",AV34=0,$H34="",$H34=0,NOT(ISNUMBER($H34)),NOT(ISNUMBER(AV34))),IF(AND($E34&lt;&gt;"",AND(OR(ISNUMBER(AV34),AV34=""),AND(ISNUMBER($H34),$H34&gt;0))),'Feuille de Donnée'!$K$13,""),IF(AV34&lt;$H$168*'Feuille de Donnée'!$I$9,"Négligeable",(IF(AND(AT34&gt;=$F34*(1-'Feuille de Donnée'!$E$12),AT34&lt;=$F34*(1+'Feuille de Donnée'!$F$12)),'Feuille de Donnée'!$F$17,IF(AT34&lt;$F34*(1-'Feuille de Donnée'!$E$12),'Feuille de Donnée'!$F$18,'Feuille de Donnée'!$F$16))&amp;""&amp;IF(AND(AU34&gt;=$G34*(1-'Feuille de Donnée'!$E$27),AU34&lt;=$G34*(1+'Feuille de Donnée'!$F$27)),'Feuille de Donnée'!$F$32,IF(AU34&lt;$G34*(1-'Feuille de Donnée'!$E$27),'Feuille de Donnée'!$F$33,'Feuille de Donnée'!$F$31)))))</f>
        <v/>
      </c>
      <c r="BA34" s="138"/>
      <c r="BB34" s="103"/>
      <c r="BC34" s="27"/>
      <c r="BD34" s="27"/>
      <c r="BE34" s="27" t="str">
        <f t="shared" si="35"/>
        <v/>
      </c>
      <c r="BF34" s="121" t="str">
        <f t="shared" si="36"/>
        <v/>
      </c>
      <c r="BG34" s="121" t="str">
        <f t="shared" si="37"/>
        <v/>
      </c>
      <c r="BH34" s="27" t="str">
        <f>IF(AND(ISBLANK(BJ34),BI34=""),"",1+MAX(BH$21:BH33))</f>
        <v/>
      </c>
      <c r="BI34" s="137" t="str">
        <f>IF(OR(BE34="",BE34=0,$H34="",$H34=0,NOT(ISNUMBER($H34)),NOT(ISNUMBER(BE34))),IF(AND($E34&lt;&gt;"",AND(OR(ISNUMBER(BE34),BE34=""),AND(ISNUMBER($H34),$H34&gt;0))),'Feuille de Donnée'!$K$13,""),IF(BE34&lt;$H$168*'Feuille de Donnée'!$I$9,"Négligeable",(IF(AND(BC34&gt;=$F34*(1-'Feuille de Donnée'!$E$12),BC34&lt;=$F34*(1+'Feuille de Donnée'!$F$12)),'Feuille de Donnée'!$F$17,IF(BC34&lt;$F34*(1-'Feuille de Donnée'!$E$12),'Feuille de Donnée'!$F$18,'Feuille de Donnée'!$F$16))&amp;""&amp;IF(AND(BD34&gt;=$G34*(1-'Feuille de Donnée'!$E$27),BD34&lt;=$G34*(1+'Feuille de Donnée'!$F$27)),'Feuille de Donnée'!$F$32,IF(BD34&lt;$G34*(1-'Feuille de Donnée'!$E$27),'Feuille de Donnée'!$F$33,'Feuille de Donnée'!$F$31)))))</f>
        <v/>
      </c>
      <c r="BJ34" s="138"/>
      <c r="BK34" s="140"/>
    </row>
    <row r="35" spans="1:63" s="6" customFormat="1" x14ac:dyDescent="0.3">
      <c r="A35" s="23"/>
      <c r="B35" s="24"/>
      <c r="C35" s="24"/>
      <c r="D35" s="24"/>
      <c r="E35" s="22"/>
      <c r="F35" s="25"/>
      <c r="G35" s="26"/>
      <c r="H35" s="102" t="str">
        <f t="shared" si="19"/>
        <v/>
      </c>
      <c r="I35" s="103"/>
      <c r="J35" s="27"/>
      <c r="K35" s="27"/>
      <c r="L35" s="27" t="str">
        <f t="shared" si="20"/>
        <v/>
      </c>
      <c r="M35" s="121" t="str">
        <f t="shared" si="21"/>
        <v/>
      </c>
      <c r="N35" s="121" t="str">
        <f t="shared" si="22"/>
        <v/>
      </c>
      <c r="O35" s="27" t="str">
        <f>IF(AND(ISBLANK(Q35),P35=""),"",1+MAX(O$21:O34))</f>
        <v/>
      </c>
      <c r="P35" s="137" t="str">
        <f>IF(OR(L35="",L35=0,$H35="",$H35=0,NOT(ISNUMBER($H35)),NOT(ISNUMBER(L35))),IF(AND($E35&lt;&gt;"",AND(OR(ISNUMBER(L35),L35=""),AND(ISNUMBER($H35),$H35&gt;0))),'Feuille de Donnée'!$K$13,""),IF(L35&lt;$H$168*'Feuille de Donnée'!$I$9,"Négligeable",(IF(AND(J35&gt;=$F35*(1-'Feuille de Donnée'!$E$12),J35&lt;=$F35*(1+'Feuille de Donnée'!$F$12)),'Feuille de Donnée'!$F$17,IF(J35&lt;$F35*(1-'Feuille de Donnée'!$E$12),'Feuille de Donnée'!$F$18,'Feuille de Donnée'!$F$16))&amp;""&amp;IF(AND(K35&gt;=$G35*(1-'Feuille de Donnée'!$E$27),K35&lt;=$G35*(1+'Feuille de Donnée'!$F$27)),'Feuille de Donnée'!$F$32,IF(K35&lt;$G35*(1-'Feuille de Donnée'!$E$27),'Feuille de Donnée'!$F$33,'Feuille de Donnée'!$F$31)))))</f>
        <v/>
      </c>
      <c r="Q35" s="138"/>
      <c r="R35" s="103"/>
      <c r="S35" s="27"/>
      <c r="T35" s="27"/>
      <c r="U35" s="27" t="str">
        <f t="shared" si="23"/>
        <v/>
      </c>
      <c r="V35" s="121" t="str">
        <f t="shared" si="24"/>
        <v/>
      </c>
      <c r="W35" s="121" t="str">
        <f t="shared" si="25"/>
        <v/>
      </c>
      <c r="X35" s="27" t="str">
        <f>IF(AND(ISBLANK(Z35),Y35=""),"",1+MAX(X$21:X34))</f>
        <v/>
      </c>
      <c r="Y35" s="137" t="str">
        <f>IF(OR(U35="",U35=0,$H35="",$H35=0,NOT(ISNUMBER($H35)),NOT(ISNUMBER(U35))),IF(AND($E35&lt;&gt;"",AND(OR(ISNUMBER(U35),U35=""),AND(ISNUMBER($H35),$H35&gt;0))),'Feuille de Donnée'!$K$13,""),IF(U35&lt;$H$168*'Feuille de Donnée'!$I$9,"Négligeable",(IF(AND(S35&gt;=$F35*(1-'Feuille de Donnée'!$E$12),S35&lt;=$F35*(1+'Feuille de Donnée'!$F$12)),'Feuille de Donnée'!$F$17,IF(S35&lt;$F35*(1-'Feuille de Donnée'!$E$12),'Feuille de Donnée'!$F$18,'Feuille de Donnée'!$F$16))&amp;""&amp;IF(AND(T35&gt;=$G35*(1-'Feuille de Donnée'!$E$27),T35&lt;=$G35*(1+'Feuille de Donnée'!$F$27)),'Feuille de Donnée'!$F$32,IF(T35&lt;$G35*(1-'Feuille de Donnée'!$E$27),'Feuille de Donnée'!$F$33,'Feuille de Donnée'!$F$31)))))</f>
        <v/>
      </c>
      <c r="Z35" s="138"/>
      <c r="AA35" s="103"/>
      <c r="AB35" s="27"/>
      <c r="AC35" s="27"/>
      <c r="AD35" s="27" t="str">
        <f t="shared" si="26"/>
        <v/>
      </c>
      <c r="AE35" s="121" t="str">
        <f t="shared" si="27"/>
        <v/>
      </c>
      <c r="AF35" s="121" t="str">
        <f t="shared" si="28"/>
        <v/>
      </c>
      <c r="AG35" s="27" t="str">
        <f>IF(AND(ISBLANK(AI35),AH35=""),"",1+MAX(AG$21:AG34))</f>
        <v/>
      </c>
      <c r="AH35" s="137" t="str">
        <f>IF(OR(AD35="",AD35=0,$H35="",$H35=0,NOT(ISNUMBER($H35)),NOT(ISNUMBER(AD35))),IF(AND($E35&lt;&gt;"",AND(OR(ISNUMBER(AD35),AD35=""),AND(ISNUMBER($H35),$H35&gt;0))),'Feuille de Donnée'!$K$13,""),IF(AD35&lt;$H$168*'Feuille de Donnée'!$I$9,"Négligeable",(IF(AND(AB35&gt;=$F35*(1-'Feuille de Donnée'!$E$12),AB35&lt;=$F35*(1+'Feuille de Donnée'!$F$12)),'Feuille de Donnée'!$F$17,IF(AB35&lt;$F35*(1-'Feuille de Donnée'!$E$12),'Feuille de Donnée'!$F$18,'Feuille de Donnée'!$F$16))&amp;""&amp;IF(AND(AC35&gt;=$G35*(1-'Feuille de Donnée'!$E$27),AC35&lt;=$G35*(1+'Feuille de Donnée'!$F$27)),'Feuille de Donnée'!$F$32,IF(AC35&lt;$G35*(1-'Feuille de Donnée'!$E$27),'Feuille de Donnée'!$F$33,'Feuille de Donnée'!$F$31)))))</f>
        <v/>
      </c>
      <c r="AI35" s="138"/>
      <c r="AJ35" s="103"/>
      <c r="AK35" s="27"/>
      <c r="AL35" s="27"/>
      <c r="AM35" s="27" t="str">
        <f t="shared" si="29"/>
        <v/>
      </c>
      <c r="AN35" s="121" t="str">
        <f t="shared" si="30"/>
        <v/>
      </c>
      <c r="AO35" s="121" t="str">
        <f t="shared" si="31"/>
        <v/>
      </c>
      <c r="AP35" s="27" t="str">
        <f>IF(AND(ISBLANK(AR35),AQ35=""),"",1+MAX(AP$21:AP34))</f>
        <v/>
      </c>
      <c r="AQ35" s="137" t="str">
        <f>IF(OR(AM35="",AM35=0,$H35="",$H35=0,NOT(ISNUMBER($H35)),NOT(ISNUMBER(AM35))),IF(AND($E35&lt;&gt;"",AND(OR(ISNUMBER(AM35),AM35=""),AND(ISNUMBER($H35),$H35&gt;0))),'Feuille de Donnée'!$K$13,""),IF(AM35&lt;$H$168*'Feuille de Donnée'!$I$9,"Négligeable",(IF(AND(AK35&gt;=$F35*(1-'Feuille de Donnée'!$E$12),AK35&lt;=$F35*(1+'Feuille de Donnée'!$F$12)),'Feuille de Donnée'!$F$17,IF(AK35&lt;$F35*(1-'Feuille de Donnée'!$E$12),'Feuille de Donnée'!$F$18,'Feuille de Donnée'!$F$16))&amp;""&amp;IF(AND(AL35&gt;=$G35*(1-'Feuille de Donnée'!$E$27),AL35&lt;=$G35*(1+'Feuille de Donnée'!$F$27)),'Feuille de Donnée'!$F$32,IF(AL35&lt;$G35*(1-'Feuille de Donnée'!$E$27),'Feuille de Donnée'!$F$33,'Feuille de Donnée'!$F$31)))))</f>
        <v/>
      </c>
      <c r="AR35" s="138"/>
      <c r="AS35" s="103"/>
      <c r="AT35" s="27"/>
      <c r="AU35" s="27"/>
      <c r="AV35" s="27" t="str">
        <f t="shared" si="32"/>
        <v/>
      </c>
      <c r="AW35" s="121" t="str">
        <f t="shared" si="33"/>
        <v/>
      </c>
      <c r="AX35" s="121" t="str">
        <f t="shared" si="34"/>
        <v/>
      </c>
      <c r="AY35" s="27" t="str">
        <f>IF(AND(ISBLANK(BA35),AZ35=""),"",1+MAX(AY$21:AY34))</f>
        <v/>
      </c>
      <c r="AZ35" s="137" t="str">
        <f>IF(OR(AV35="",AV35=0,$H35="",$H35=0,NOT(ISNUMBER($H35)),NOT(ISNUMBER(AV35))),IF(AND($E35&lt;&gt;"",AND(OR(ISNUMBER(AV35),AV35=""),AND(ISNUMBER($H35),$H35&gt;0))),'Feuille de Donnée'!$K$13,""),IF(AV35&lt;$H$168*'Feuille de Donnée'!$I$9,"Négligeable",(IF(AND(AT35&gt;=$F35*(1-'Feuille de Donnée'!$E$12),AT35&lt;=$F35*(1+'Feuille de Donnée'!$F$12)),'Feuille de Donnée'!$F$17,IF(AT35&lt;$F35*(1-'Feuille de Donnée'!$E$12),'Feuille de Donnée'!$F$18,'Feuille de Donnée'!$F$16))&amp;""&amp;IF(AND(AU35&gt;=$G35*(1-'Feuille de Donnée'!$E$27),AU35&lt;=$G35*(1+'Feuille de Donnée'!$F$27)),'Feuille de Donnée'!$F$32,IF(AU35&lt;$G35*(1-'Feuille de Donnée'!$E$27),'Feuille de Donnée'!$F$33,'Feuille de Donnée'!$F$31)))))</f>
        <v/>
      </c>
      <c r="BA35" s="138"/>
      <c r="BB35" s="103"/>
      <c r="BC35" s="27"/>
      <c r="BD35" s="27"/>
      <c r="BE35" s="27" t="str">
        <f t="shared" si="35"/>
        <v/>
      </c>
      <c r="BF35" s="121" t="str">
        <f t="shared" si="36"/>
        <v/>
      </c>
      <c r="BG35" s="121" t="str">
        <f t="shared" si="37"/>
        <v/>
      </c>
      <c r="BH35" s="27" t="str">
        <f>IF(AND(ISBLANK(BJ35),BI35=""),"",1+MAX(BH$21:BH34))</f>
        <v/>
      </c>
      <c r="BI35" s="137" t="str">
        <f>IF(OR(BE35="",BE35=0,$H35="",$H35=0,NOT(ISNUMBER($H35)),NOT(ISNUMBER(BE35))),IF(AND($E35&lt;&gt;"",AND(OR(ISNUMBER(BE35),BE35=""),AND(ISNUMBER($H35),$H35&gt;0))),'Feuille de Donnée'!$K$13,""),IF(BE35&lt;$H$168*'Feuille de Donnée'!$I$9,"Négligeable",(IF(AND(BC35&gt;=$F35*(1-'Feuille de Donnée'!$E$12),BC35&lt;=$F35*(1+'Feuille de Donnée'!$F$12)),'Feuille de Donnée'!$F$17,IF(BC35&lt;$F35*(1-'Feuille de Donnée'!$E$12),'Feuille de Donnée'!$F$18,'Feuille de Donnée'!$F$16))&amp;""&amp;IF(AND(BD35&gt;=$G35*(1-'Feuille de Donnée'!$E$27),BD35&lt;=$G35*(1+'Feuille de Donnée'!$F$27)),'Feuille de Donnée'!$F$32,IF(BD35&lt;$G35*(1-'Feuille de Donnée'!$E$27),'Feuille de Donnée'!$F$33,'Feuille de Donnée'!$F$31)))))</f>
        <v/>
      </c>
      <c r="BJ35" s="138"/>
      <c r="BK35" s="140"/>
    </row>
    <row r="36" spans="1:63" s="6" customFormat="1" x14ac:dyDescent="0.3">
      <c r="A36" s="23"/>
      <c r="B36" s="24"/>
      <c r="C36" s="24"/>
      <c r="D36" s="24"/>
      <c r="E36" s="22"/>
      <c r="F36" s="25"/>
      <c r="G36" s="26"/>
      <c r="H36" s="102" t="str">
        <f t="shared" si="19"/>
        <v/>
      </c>
      <c r="I36" s="103"/>
      <c r="J36" s="27"/>
      <c r="K36" s="27"/>
      <c r="L36" s="27" t="str">
        <f t="shared" si="20"/>
        <v/>
      </c>
      <c r="M36" s="121" t="str">
        <f t="shared" si="21"/>
        <v/>
      </c>
      <c r="N36" s="121" t="str">
        <f t="shared" si="22"/>
        <v/>
      </c>
      <c r="O36" s="27" t="str">
        <f>IF(AND(ISBLANK(Q36),P36=""),"",1+MAX(O$21:O35))</f>
        <v/>
      </c>
      <c r="P36" s="137" t="str">
        <f>IF(OR(L36="",L36=0,$H36="",$H36=0,NOT(ISNUMBER($H36)),NOT(ISNUMBER(L36))),IF(AND($E36&lt;&gt;"",AND(OR(ISNUMBER(L36),L36=""),AND(ISNUMBER($H36),$H36&gt;0))),'Feuille de Donnée'!$K$13,""),IF(L36&lt;$H$168*'Feuille de Donnée'!$I$9,"Négligeable",(IF(AND(J36&gt;=$F36*(1-'Feuille de Donnée'!$E$12),J36&lt;=$F36*(1+'Feuille de Donnée'!$F$12)),'Feuille de Donnée'!$F$17,IF(J36&lt;$F36*(1-'Feuille de Donnée'!$E$12),'Feuille de Donnée'!$F$18,'Feuille de Donnée'!$F$16))&amp;""&amp;IF(AND(K36&gt;=$G36*(1-'Feuille de Donnée'!$E$27),K36&lt;=$G36*(1+'Feuille de Donnée'!$F$27)),'Feuille de Donnée'!$F$32,IF(K36&lt;$G36*(1-'Feuille de Donnée'!$E$27),'Feuille de Donnée'!$F$33,'Feuille de Donnée'!$F$31)))))</f>
        <v/>
      </c>
      <c r="Q36" s="138"/>
      <c r="R36" s="103"/>
      <c r="S36" s="27"/>
      <c r="T36" s="27"/>
      <c r="U36" s="27" t="str">
        <f t="shared" si="23"/>
        <v/>
      </c>
      <c r="V36" s="121" t="str">
        <f t="shared" si="24"/>
        <v/>
      </c>
      <c r="W36" s="121" t="str">
        <f t="shared" si="25"/>
        <v/>
      </c>
      <c r="X36" s="27" t="str">
        <f>IF(AND(ISBLANK(Z36),Y36=""),"",1+MAX(X$21:X35))</f>
        <v/>
      </c>
      <c r="Y36" s="137" t="str">
        <f>IF(OR(U36="",U36=0,$H36="",$H36=0,NOT(ISNUMBER($H36)),NOT(ISNUMBER(U36))),IF(AND($E36&lt;&gt;"",AND(OR(ISNUMBER(U36),U36=""),AND(ISNUMBER($H36),$H36&gt;0))),'Feuille de Donnée'!$K$13,""),IF(U36&lt;$H$168*'Feuille de Donnée'!$I$9,"Négligeable",(IF(AND(S36&gt;=$F36*(1-'Feuille de Donnée'!$E$12),S36&lt;=$F36*(1+'Feuille de Donnée'!$F$12)),'Feuille de Donnée'!$F$17,IF(S36&lt;$F36*(1-'Feuille de Donnée'!$E$12),'Feuille de Donnée'!$F$18,'Feuille de Donnée'!$F$16))&amp;""&amp;IF(AND(T36&gt;=$G36*(1-'Feuille de Donnée'!$E$27),T36&lt;=$G36*(1+'Feuille de Donnée'!$F$27)),'Feuille de Donnée'!$F$32,IF(T36&lt;$G36*(1-'Feuille de Donnée'!$E$27),'Feuille de Donnée'!$F$33,'Feuille de Donnée'!$F$31)))))</f>
        <v/>
      </c>
      <c r="Z36" s="138"/>
      <c r="AA36" s="103"/>
      <c r="AB36" s="27"/>
      <c r="AC36" s="27"/>
      <c r="AD36" s="27" t="str">
        <f t="shared" si="26"/>
        <v/>
      </c>
      <c r="AE36" s="121" t="str">
        <f t="shared" si="27"/>
        <v/>
      </c>
      <c r="AF36" s="121" t="str">
        <f t="shared" si="28"/>
        <v/>
      </c>
      <c r="AG36" s="27" t="str">
        <f>IF(AND(ISBLANK(AI36),AH36=""),"",1+MAX(AG$21:AG35))</f>
        <v/>
      </c>
      <c r="AH36" s="137" t="str">
        <f>IF(OR(AD36="",AD36=0,$H36="",$H36=0,NOT(ISNUMBER($H36)),NOT(ISNUMBER(AD36))),IF(AND($E36&lt;&gt;"",AND(OR(ISNUMBER(AD36),AD36=""),AND(ISNUMBER($H36),$H36&gt;0))),'Feuille de Donnée'!$K$13,""),IF(AD36&lt;$H$168*'Feuille de Donnée'!$I$9,"Négligeable",(IF(AND(AB36&gt;=$F36*(1-'Feuille de Donnée'!$E$12),AB36&lt;=$F36*(1+'Feuille de Donnée'!$F$12)),'Feuille de Donnée'!$F$17,IF(AB36&lt;$F36*(1-'Feuille de Donnée'!$E$12),'Feuille de Donnée'!$F$18,'Feuille de Donnée'!$F$16))&amp;""&amp;IF(AND(AC36&gt;=$G36*(1-'Feuille de Donnée'!$E$27),AC36&lt;=$G36*(1+'Feuille de Donnée'!$F$27)),'Feuille de Donnée'!$F$32,IF(AC36&lt;$G36*(1-'Feuille de Donnée'!$E$27),'Feuille de Donnée'!$F$33,'Feuille de Donnée'!$F$31)))))</f>
        <v/>
      </c>
      <c r="AI36" s="138"/>
      <c r="AJ36" s="103"/>
      <c r="AK36" s="27"/>
      <c r="AL36" s="27"/>
      <c r="AM36" s="27" t="str">
        <f t="shared" si="29"/>
        <v/>
      </c>
      <c r="AN36" s="121" t="str">
        <f t="shared" si="30"/>
        <v/>
      </c>
      <c r="AO36" s="121" t="str">
        <f t="shared" si="31"/>
        <v/>
      </c>
      <c r="AP36" s="27" t="str">
        <f>IF(AND(ISBLANK(AR36),AQ36=""),"",1+MAX(AP$21:AP35))</f>
        <v/>
      </c>
      <c r="AQ36" s="137" t="str">
        <f>IF(OR(AM36="",AM36=0,$H36="",$H36=0,NOT(ISNUMBER($H36)),NOT(ISNUMBER(AM36))),IF(AND($E36&lt;&gt;"",AND(OR(ISNUMBER(AM36),AM36=""),AND(ISNUMBER($H36),$H36&gt;0))),'Feuille de Donnée'!$K$13,""),IF(AM36&lt;$H$168*'Feuille de Donnée'!$I$9,"Négligeable",(IF(AND(AK36&gt;=$F36*(1-'Feuille de Donnée'!$E$12),AK36&lt;=$F36*(1+'Feuille de Donnée'!$F$12)),'Feuille de Donnée'!$F$17,IF(AK36&lt;$F36*(1-'Feuille de Donnée'!$E$12),'Feuille de Donnée'!$F$18,'Feuille de Donnée'!$F$16))&amp;""&amp;IF(AND(AL36&gt;=$G36*(1-'Feuille de Donnée'!$E$27),AL36&lt;=$G36*(1+'Feuille de Donnée'!$F$27)),'Feuille de Donnée'!$F$32,IF(AL36&lt;$G36*(1-'Feuille de Donnée'!$E$27),'Feuille de Donnée'!$F$33,'Feuille de Donnée'!$F$31)))))</f>
        <v/>
      </c>
      <c r="AR36" s="138"/>
      <c r="AS36" s="103"/>
      <c r="AT36" s="27"/>
      <c r="AU36" s="27"/>
      <c r="AV36" s="27" t="str">
        <f t="shared" si="32"/>
        <v/>
      </c>
      <c r="AW36" s="121" t="str">
        <f t="shared" si="33"/>
        <v/>
      </c>
      <c r="AX36" s="121" t="str">
        <f t="shared" si="34"/>
        <v/>
      </c>
      <c r="AY36" s="27" t="str">
        <f>IF(AND(ISBLANK(BA36),AZ36=""),"",1+MAX(AY$21:AY35))</f>
        <v/>
      </c>
      <c r="AZ36" s="137" t="str">
        <f>IF(OR(AV36="",AV36=0,$H36="",$H36=0,NOT(ISNUMBER($H36)),NOT(ISNUMBER(AV36))),IF(AND($E36&lt;&gt;"",AND(OR(ISNUMBER(AV36),AV36=""),AND(ISNUMBER($H36),$H36&gt;0))),'Feuille de Donnée'!$K$13,""),IF(AV36&lt;$H$168*'Feuille de Donnée'!$I$9,"Négligeable",(IF(AND(AT36&gt;=$F36*(1-'Feuille de Donnée'!$E$12),AT36&lt;=$F36*(1+'Feuille de Donnée'!$F$12)),'Feuille de Donnée'!$F$17,IF(AT36&lt;$F36*(1-'Feuille de Donnée'!$E$12),'Feuille de Donnée'!$F$18,'Feuille de Donnée'!$F$16))&amp;""&amp;IF(AND(AU36&gt;=$G36*(1-'Feuille de Donnée'!$E$27),AU36&lt;=$G36*(1+'Feuille de Donnée'!$F$27)),'Feuille de Donnée'!$F$32,IF(AU36&lt;$G36*(1-'Feuille de Donnée'!$E$27),'Feuille de Donnée'!$F$33,'Feuille de Donnée'!$F$31)))))</f>
        <v/>
      </c>
      <c r="BA36" s="138"/>
      <c r="BB36" s="103"/>
      <c r="BC36" s="27"/>
      <c r="BD36" s="27"/>
      <c r="BE36" s="27" t="str">
        <f t="shared" si="35"/>
        <v/>
      </c>
      <c r="BF36" s="121" t="str">
        <f t="shared" si="36"/>
        <v/>
      </c>
      <c r="BG36" s="121" t="str">
        <f t="shared" si="37"/>
        <v/>
      </c>
      <c r="BH36" s="27" t="str">
        <f>IF(AND(ISBLANK(BJ36),BI36=""),"",1+MAX(BH$21:BH35))</f>
        <v/>
      </c>
      <c r="BI36" s="137" t="str">
        <f>IF(OR(BE36="",BE36=0,$H36="",$H36=0,NOT(ISNUMBER($H36)),NOT(ISNUMBER(BE36))),IF(AND($E36&lt;&gt;"",AND(OR(ISNUMBER(BE36),BE36=""),AND(ISNUMBER($H36),$H36&gt;0))),'Feuille de Donnée'!$K$13,""),IF(BE36&lt;$H$168*'Feuille de Donnée'!$I$9,"Négligeable",(IF(AND(BC36&gt;=$F36*(1-'Feuille de Donnée'!$E$12),BC36&lt;=$F36*(1+'Feuille de Donnée'!$F$12)),'Feuille de Donnée'!$F$17,IF(BC36&lt;$F36*(1-'Feuille de Donnée'!$E$12),'Feuille de Donnée'!$F$18,'Feuille de Donnée'!$F$16))&amp;""&amp;IF(AND(BD36&gt;=$G36*(1-'Feuille de Donnée'!$E$27),BD36&lt;=$G36*(1+'Feuille de Donnée'!$F$27)),'Feuille de Donnée'!$F$32,IF(BD36&lt;$G36*(1-'Feuille de Donnée'!$E$27),'Feuille de Donnée'!$F$33,'Feuille de Donnée'!$F$31)))))</f>
        <v/>
      </c>
      <c r="BJ36" s="138"/>
      <c r="BK36" s="140"/>
    </row>
    <row r="37" spans="1:63" s="6" customFormat="1" x14ac:dyDescent="0.3">
      <c r="A37" s="23"/>
      <c r="B37" s="24"/>
      <c r="C37" s="24"/>
      <c r="D37" s="24"/>
      <c r="E37" s="22"/>
      <c r="F37" s="25"/>
      <c r="G37" s="26"/>
      <c r="H37" s="102" t="str">
        <f t="shared" si="19"/>
        <v/>
      </c>
      <c r="I37" s="103"/>
      <c r="J37" s="27"/>
      <c r="K37" s="27"/>
      <c r="L37" s="27" t="str">
        <f t="shared" si="20"/>
        <v/>
      </c>
      <c r="M37" s="121" t="str">
        <f t="shared" si="21"/>
        <v/>
      </c>
      <c r="N37" s="121" t="str">
        <f t="shared" si="22"/>
        <v/>
      </c>
      <c r="O37" s="27" t="str">
        <f>IF(AND(ISBLANK(Q37),P37=""),"",1+MAX(O$21:O36))</f>
        <v/>
      </c>
      <c r="P37" s="137" t="str">
        <f>IF(OR(L37="",L37=0,$H37="",$H37=0,NOT(ISNUMBER($H37)),NOT(ISNUMBER(L37))),IF(AND($E37&lt;&gt;"",AND(OR(ISNUMBER(L37),L37=""),AND(ISNUMBER($H37),$H37&gt;0))),'Feuille de Donnée'!$K$13,""),IF(L37&lt;$H$168*'Feuille de Donnée'!$I$9,"Négligeable",(IF(AND(J37&gt;=$F37*(1-'Feuille de Donnée'!$E$12),J37&lt;=$F37*(1+'Feuille de Donnée'!$F$12)),'Feuille de Donnée'!$F$17,IF(J37&lt;$F37*(1-'Feuille de Donnée'!$E$12),'Feuille de Donnée'!$F$18,'Feuille de Donnée'!$F$16))&amp;""&amp;IF(AND(K37&gt;=$G37*(1-'Feuille de Donnée'!$E$27),K37&lt;=$G37*(1+'Feuille de Donnée'!$F$27)),'Feuille de Donnée'!$F$32,IF(K37&lt;$G37*(1-'Feuille de Donnée'!$E$27),'Feuille de Donnée'!$F$33,'Feuille de Donnée'!$F$31)))))</f>
        <v/>
      </c>
      <c r="Q37" s="138"/>
      <c r="R37" s="103"/>
      <c r="S37" s="27"/>
      <c r="T37" s="27"/>
      <c r="U37" s="27" t="str">
        <f t="shared" si="23"/>
        <v/>
      </c>
      <c r="V37" s="121" t="str">
        <f t="shared" si="24"/>
        <v/>
      </c>
      <c r="W37" s="121" t="str">
        <f t="shared" si="25"/>
        <v/>
      </c>
      <c r="X37" s="27" t="str">
        <f>IF(AND(ISBLANK(Z37),Y37=""),"",1+MAX(X$21:X36))</f>
        <v/>
      </c>
      <c r="Y37" s="137" t="str">
        <f>IF(OR(U37="",U37=0,$H37="",$H37=0,NOT(ISNUMBER($H37)),NOT(ISNUMBER(U37))),IF(AND($E37&lt;&gt;"",AND(OR(ISNUMBER(U37),U37=""),AND(ISNUMBER($H37),$H37&gt;0))),'Feuille de Donnée'!$K$13,""),IF(U37&lt;$H$168*'Feuille de Donnée'!$I$9,"Négligeable",(IF(AND(S37&gt;=$F37*(1-'Feuille de Donnée'!$E$12),S37&lt;=$F37*(1+'Feuille de Donnée'!$F$12)),'Feuille de Donnée'!$F$17,IF(S37&lt;$F37*(1-'Feuille de Donnée'!$E$12),'Feuille de Donnée'!$F$18,'Feuille de Donnée'!$F$16))&amp;""&amp;IF(AND(T37&gt;=$G37*(1-'Feuille de Donnée'!$E$27),T37&lt;=$G37*(1+'Feuille de Donnée'!$F$27)),'Feuille de Donnée'!$F$32,IF(T37&lt;$G37*(1-'Feuille de Donnée'!$E$27),'Feuille de Donnée'!$F$33,'Feuille de Donnée'!$F$31)))))</f>
        <v/>
      </c>
      <c r="Z37" s="138"/>
      <c r="AA37" s="103"/>
      <c r="AB37" s="27"/>
      <c r="AC37" s="27"/>
      <c r="AD37" s="27" t="str">
        <f t="shared" si="26"/>
        <v/>
      </c>
      <c r="AE37" s="121" t="str">
        <f t="shared" si="27"/>
        <v/>
      </c>
      <c r="AF37" s="121" t="str">
        <f t="shared" si="28"/>
        <v/>
      </c>
      <c r="AG37" s="27" t="str">
        <f>IF(AND(ISBLANK(AI37),AH37=""),"",1+MAX(AG$21:AG36))</f>
        <v/>
      </c>
      <c r="AH37" s="137" t="str">
        <f>IF(OR(AD37="",AD37=0,$H37="",$H37=0,NOT(ISNUMBER($H37)),NOT(ISNUMBER(AD37))),IF(AND($E37&lt;&gt;"",AND(OR(ISNUMBER(AD37),AD37=""),AND(ISNUMBER($H37),$H37&gt;0))),'Feuille de Donnée'!$K$13,""),IF(AD37&lt;$H$168*'Feuille de Donnée'!$I$9,"Négligeable",(IF(AND(AB37&gt;=$F37*(1-'Feuille de Donnée'!$E$12),AB37&lt;=$F37*(1+'Feuille de Donnée'!$F$12)),'Feuille de Donnée'!$F$17,IF(AB37&lt;$F37*(1-'Feuille de Donnée'!$E$12),'Feuille de Donnée'!$F$18,'Feuille de Donnée'!$F$16))&amp;""&amp;IF(AND(AC37&gt;=$G37*(1-'Feuille de Donnée'!$E$27),AC37&lt;=$G37*(1+'Feuille de Donnée'!$F$27)),'Feuille de Donnée'!$F$32,IF(AC37&lt;$G37*(1-'Feuille de Donnée'!$E$27),'Feuille de Donnée'!$F$33,'Feuille de Donnée'!$F$31)))))</f>
        <v/>
      </c>
      <c r="AI37" s="138"/>
      <c r="AJ37" s="103"/>
      <c r="AK37" s="27"/>
      <c r="AL37" s="27"/>
      <c r="AM37" s="27" t="str">
        <f t="shared" si="29"/>
        <v/>
      </c>
      <c r="AN37" s="121" t="str">
        <f t="shared" si="30"/>
        <v/>
      </c>
      <c r="AO37" s="121" t="str">
        <f t="shared" si="31"/>
        <v/>
      </c>
      <c r="AP37" s="27" t="str">
        <f>IF(AND(ISBLANK(AR37),AQ37=""),"",1+MAX(AP$21:AP36))</f>
        <v/>
      </c>
      <c r="AQ37" s="137" t="str">
        <f>IF(OR(AM37="",AM37=0,$H37="",$H37=0,NOT(ISNUMBER($H37)),NOT(ISNUMBER(AM37))),IF(AND($E37&lt;&gt;"",AND(OR(ISNUMBER(AM37),AM37=""),AND(ISNUMBER($H37),$H37&gt;0))),'Feuille de Donnée'!$K$13,""),IF(AM37&lt;$H$168*'Feuille de Donnée'!$I$9,"Négligeable",(IF(AND(AK37&gt;=$F37*(1-'Feuille de Donnée'!$E$12),AK37&lt;=$F37*(1+'Feuille de Donnée'!$F$12)),'Feuille de Donnée'!$F$17,IF(AK37&lt;$F37*(1-'Feuille de Donnée'!$E$12),'Feuille de Donnée'!$F$18,'Feuille de Donnée'!$F$16))&amp;""&amp;IF(AND(AL37&gt;=$G37*(1-'Feuille de Donnée'!$E$27),AL37&lt;=$G37*(1+'Feuille de Donnée'!$F$27)),'Feuille de Donnée'!$F$32,IF(AL37&lt;$G37*(1-'Feuille de Donnée'!$E$27),'Feuille de Donnée'!$F$33,'Feuille de Donnée'!$F$31)))))</f>
        <v/>
      </c>
      <c r="AR37" s="138"/>
      <c r="AS37" s="103"/>
      <c r="AT37" s="27"/>
      <c r="AU37" s="27"/>
      <c r="AV37" s="27" t="str">
        <f t="shared" si="32"/>
        <v/>
      </c>
      <c r="AW37" s="121" t="str">
        <f t="shared" si="33"/>
        <v/>
      </c>
      <c r="AX37" s="121" t="str">
        <f t="shared" si="34"/>
        <v/>
      </c>
      <c r="AY37" s="27" t="str">
        <f>IF(AND(ISBLANK(BA37),AZ37=""),"",1+MAX(AY$21:AY36))</f>
        <v/>
      </c>
      <c r="AZ37" s="137" t="str">
        <f>IF(OR(AV37="",AV37=0,$H37="",$H37=0,NOT(ISNUMBER($H37)),NOT(ISNUMBER(AV37))),IF(AND($E37&lt;&gt;"",AND(OR(ISNUMBER(AV37),AV37=""),AND(ISNUMBER($H37),$H37&gt;0))),'Feuille de Donnée'!$K$13,""),IF(AV37&lt;$H$168*'Feuille de Donnée'!$I$9,"Négligeable",(IF(AND(AT37&gt;=$F37*(1-'Feuille de Donnée'!$E$12),AT37&lt;=$F37*(1+'Feuille de Donnée'!$F$12)),'Feuille de Donnée'!$F$17,IF(AT37&lt;$F37*(1-'Feuille de Donnée'!$E$12),'Feuille de Donnée'!$F$18,'Feuille de Donnée'!$F$16))&amp;""&amp;IF(AND(AU37&gt;=$G37*(1-'Feuille de Donnée'!$E$27),AU37&lt;=$G37*(1+'Feuille de Donnée'!$F$27)),'Feuille de Donnée'!$F$32,IF(AU37&lt;$G37*(1-'Feuille de Donnée'!$E$27),'Feuille de Donnée'!$F$33,'Feuille de Donnée'!$F$31)))))</f>
        <v/>
      </c>
      <c r="BA37" s="138"/>
      <c r="BB37" s="103"/>
      <c r="BC37" s="27"/>
      <c r="BD37" s="27"/>
      <c r="BE37" s="27" t="str">
        <f t="shared" si="35"/>
        <v/>
      </c>
      <c r="BF37" s="121" t="str">
        <f t="shared" si="36"/>
        <v/>
      </c>
      <c r="BG37" s="121" t="str">
        <f t="shared" si="37"/>
        <v/>
      </c>
      <c r="BH37" s="27" t="str">
        <f>IF(AND(ISBLANK(BJ37),BI37=""),"",1+MAX(BH$21:BH36))</f>
        <v/>
      </c>
      <c r="BI37" s="137" t="str">
        <f>IF(OR(BE37="",BE37=0,$H37="",$H37=0,NOT(ISNUMBER($H37)),NOT(ISNUMBER(BE37))),IF(AND($E37&lt;&gt;"",AND(OR(ISNUMBER(BE37),BE37=""),AND(ISNUMBER($H37),$H37&gt;0))),'Feuille de Donnée'!$K$13,""),IF(BE37&lt;$H$168*'Feuille de Donnée'!$I$9,"Négligeable",(IF(AND(BC37&gt;=$F37*(1-'Feuille de Donnée'!$E$12),BC37&lt;=$F37*(1+'Feuille de Donnée'!$F$12)),'Feuille de Donnée'!$F$17,IF(BC37&lt;$F37*(1-'Feuille de Donnée'!$E$12),'Feuille de Donnée'!$F$18,'Feuille de Donnée'!$F$16))&amp;""&amp;IF(AND(BD37&gt;=$G37*(1-'Feuille de Donnée'!$E$27),BD37&lt;=$G37*(1+'Feuille de Donnée'!$F$27)),'Feuille de Donnée'!$F$32,IF(BD37&lt;$G37*(1-'Feuille de Donnée'!$E$27),'Feuille de Donnée'!$F$33,'Feuille de Donnée'!$F$31)))))</f>
        <v/>
      </c>
      <c r="BJ37" s="138"/>
      <c r="BK37" s="140"/>
    </row>
    <row r="38" spans="1:63" s="6" customFormat="1" x14ac:dyDescent="0.3">
      <c r="A38" s="23"/>
      <c r="B38" s="24"/>
      <c r="C38" s="24"/>
      <c r="D38" s="24"/>
      <c r="E38" s="22"/>
      <c r="F38" s="25"/>
      <c r="G38" s="26"/>
      <c r="H38" s="102" t="str">
        <f t="shared" si="19"/>
        <v/>
      </c>
      <c r="I38" s="103"/>
      <c r="J38" s="27"/>
      <c r="K38" s="27"/>
      <c r="L38" s="27" t="str">
        <f t="shared" si="20"/>
        <v/>
      </c>
      <c r="M38" s="121" t="str">
        <f t="shared" si="21"/>
        <v/>
      </c>
      <c r="N38" s="121" t="str">
        <f t="shared" si="22"/>
        <v/>
      </c>
      <c r="O38" s="27" t="str">
        <f>IF(AND(ISBLANK(Q38),P38=""),"",1+MAX(O$21:O37))</f>
        <v/>
      </c>
      <c r="P38" s="137" t="str">
        <f>IF(OR(L38="",L38=0,$H38="",$H38=0,NOT(ISNUMBER($H38)),NOT(ISNUMBER(L38))),IF(AND($E38&lt;&gt;"",AND(OR(ISNUMBER(L38),L38=""),AND(ISNUMBER($H38),$H38&gt;0))),'Feuille de Donnée'!$K$13,""),IF(L38&lt;$H$168*'Feuille de Donnée'!$I$9,"Négligeable",(IF(AND(J38&gt;=$F38*(1-'Feuille de Donnée'!$E$12),J38&lt;=$F38*(1+'Feuille de Donnée'!$F$12)),'Feuille de Donnée'!$F$17,IF(J38&lt;$F38*(1-'Feuille de Donnée'!$E$12),'Feuille de Donnée'!$F$18,'Feuille de Donnée'!$F$16))&amp;""&amp;IF(AND(K38&gt;=$G38*(1-'Feuille de Donnée'!$E$27),K38&lt;=$G38*(1+'Feuille de Donnée'!$F$27)),'Feuille de Donnée'!$F$32,IF(K38&lt;$G38*(1-'Feuille de Donnée'!$E$27),'Feuille de Donnée'!$F$33,'Feuille de Donnée'!$F$31)))))</f>
        <v/>
      </c>
      <c r="Q38" s="138"/>
      <c r="R38" s="103"/>
      <c r="S38" s="27"/>
      <c r="T38" s="27"/>
      <c r="U38" s="27" t="str">
        <f t="shared" si="23"/>
        <v/>
      </c>
      <c r="V38" s="121" t="str">
        <f t="shared" si="24"/>
        <v/>
      </c>
      <c r="W38" s="121" t="str">
        <f t="shared" si="25"/>
        <v/>
      </c>
      <c r="X38" s="27" t="str">
        <f>IF(AND(ISBLANK(Z38),Y38=""),"",1+MAX(X$21:X37))</f>
        <v/>
      </c>
      <c r="Y38" s="137" t="str">
        <f>IF(OR(U38="",U38=0,$H38="",$H38=0,NOT(ISNUMBER($H38)),NOT(ISNUMBER(U38))),IF(AND($E38&lt;&gt;"",AND(OR(ISNUMBER(U38),U38=""),AND(ISNUMBER($H38),$H38&gt;0))),'Feuille de Donnée'!$K$13,""),IF(U38&lt;$H$168*'Feuille de Donnée'!$I$9,"Négligeable",(IF(AND(S38&gt;=$F38*(1-'Feuille de Donnée'!$E$12),S38&lt;=$F38*(1+'Feuille de Donnée'!$F$12)),'Feuille de Donnée'!$F$17,IF(S38&lt;$F38*(1-'Feuille de Donnée'!$E$12),'Feuille de Donnée'!$F$18,'Feuille de Donnée'!$F$16))&amp;""&amp;IF(AND(T38&gt;=$G38*(1-'Feuille de Donnée'!$E$27),T38&lt;=$G38*(1+'Feuille de Donnée'!$F$27)),'Feuille de Donnée'!$F$32,IF(T38&lt;$G38*(1-'Feuille de Donnée'!$E$27),'Feuille de Donnée'!$F$33,'Feuille de Donnée'!$F$31)))))</f>
        <v/>
      </c>
      <c r="Z38" s="138"/>
      <c r="AA38" s="103"/>
      <c r="AB38" s="27"/>
      <c r="AC38" s="27"/>
      <c r="AD38" s="27" t="str">
        <f t="shared" si="26"/>
        <v/>
      </c>
      <c r="AE38" s="121" t="str">
        <f t="shared" si="27"/>
        <v/>
      </c>
      <c r="AF38" s="121" t="str">
        <f t="shared" si="28"/>
        <v/>
      </c>
      <c r="AG38" s="27" t="str">
        <f>IF(AND(ISBLANK(AI38),AH38=""),"",1+MAX(AG$21:AG37))</f>
        <v/>
      </c>
      <c r="AH38" s="137" t="str">
        <f>IF(OR(AD38="",AD38=0,$H38="",$H38=0,NOT(ISNUMBER($H38)),NOT(ISNUMBER(AD38))),IF(AND($E38&lt;&gt;"",AND(OR(ISNUMBER(AD38),AD38=""),AND(ISNUMBER($H38),$H38&gt;0))),'Feuille de Donnée'!$K$13,""),IF(AD38&lt;$H$168*'Feuille de Donnée'!$I$9,"Négligeable",(IF(AND(AB38&gt;=$F38*(1-'Feuille de Donnée'!$E$12),AB38&lt;=$F38*(1+'Feuille de Donnée'!$F$12)),'Feuille de Donnée'!$F$17,IF(AB38&lt;$F38*(1-'Feuille de Donnée'!$E$12),'Feuille de Donnée'!$F$18,'Feuille de Donnée'!$F$16))&amp;""&amp;IF(AND(AC38&gt;=$G38*(1-'Feuille de Donnée'!$E$27),AC38&lt;=$G38*(1+'Feuille de Donnée'!$F$27)),'Feuille de Donnée'!$F$32,IF(AC38&lt;$G38*(1-'Feuille de Donnée'!$E$27),'Feuille de Donnée'!$F$33,'Feuille de Donnée'!$F$31)))))</f>
        <v/>
      </c>
      <c r="AI38" s="138"/>
      <c r="AJ38" s="103"/>
      <c r="AK38" s="27"/>
      <c r="AL38" s="27"/>
      <c r="AM38" s="27" t="str">
        <f t="shared" si="29"/>
        <v/>
      </c>
      <c r="AN38" s="121" t="str">
        <f t="shared" si="30"/>
        <v/>
      </c>
      <c r="AO38" s="121" t="str">
        <f t="shared" si="31"/>
        <v/>
      </c>
      <c r="AP38" s="27" t="str">
        <f>IF(AND(ISBLANK(AR38),AQ38=""),"",1+MAX(AP$21:AP37))</f>
        <v/>
      </c>
      <c r="AQ38" s="137" t="str">
        <f>IF(OR(AM38="",AM38=0,$H38="",$H38=0,NOT(ISNUMBER($H38)),NOT(ISNUMBER(AM38))),IF(AND($E38&lt;&gt;"",AND(OR(ISNUMBER(AM38),AM38=""),AND(ISNUMBER($H38),$H38&gt;0))),'Feuille de Donnée'!$K$13,""),IF(AM38&lt;$H$168*'Feuille de Donnée'!$I$9,"Négligeable",(IF(AND(AK38&gt;=$F38*(1-'Feuille de Donnée'!$E$12),AK38&lt;=$F38*(1+'Feuille de Donnée'!$F$12)),'Feuille de Donnée'!$F$17,IF(AK38&lt;$F38*(1-'Feuille de Donnée'!$E$12),'Feuille de Donnée'!$F$18,'Feuille de Donnée'!$F$16))&amp;""&amp;IF(AND(AL38&gt;=$G38*(1-'Feuille de Donnée'!$E$27),AL38&lt;=$G38*(1+'Feuille de Donnée'!$F$27)),'Feuille de Donnée'!$F$32,IF(AL38&lt;$G38*(1-'Feuille de Donnée'!$E$27),'Feuille de Donnée'!$F$33,'Feuille de Donnée'!$F$31)))))</f>
        <v/>
      </c>
      <c r="AR38" s="138"/>
      <c r="AS38" s="103"/>
      <c r="AT38" s="27"/>
      <c r="AU38" s="27"/>
      <c r="AV38" s="27" t="str">
        <f t="shared" si="32"/>
        <v/>
      </c>
      <c r="AW38" s="121" t="str">
        <f t="shared" si="33"/>
        <v/>
      </c>
      <c r="AX38" s="121" t="str">
        <f t="shared" si="34"/>
        <v/>
      </c>
      <c r="AY38" s="27" t="str">
        <f>IF(AND(ISBLANK(BA38),AZ38=""),"",1+MAX(AY$21:AY37))</f>
        <v/>
      </c>
      <c r="AZ38" s="137" t="str">
        <f>IF(OR(AV38="",AV38=0,$H38="",$H38=0,NOT(ISNUMBER($H38)),NOT(ISNUMBER(AV38))),IF(AND($E38&lt;&gt;"",AND(OR(ISNUMBER(AV38),AV38=""),AND(ISNUMBER($H38),$H38&gt;0))),'Feuille de Donnée'!$K$13,""),IF(AV38&lt;$H$168*'Feuille de Donnée'!$I$9,"Négligeable",(IF(AND(AT38&gt;=$F38*(1-'Feuille de Donnée'!$E$12),AT38&lt;=$F38*(1+'Feuille de Donnée'!$F$12)),'Feuille de Donnée'!$F$17,IF(AT38&lt;$F38*(1-'Feuille de Donnée'!$E$12),'Feuille de Donnée'!$F$18,'Feuille de Donnée'!$F$16))&amp;""&amp;IF(AND(AU38&gt;=$G38*(1-'Feuille de Donnée'!$E$27),AU38&lt;=$G38*(1+'Feuille de Donnée'!$F$27)),'Feuille de Donnée'!$F$32,IF(AU38&lt;$G38*(1-'Feuille de Donnée'!$E$27),'Feuille de Donnée'!$F$33,'Feuille de Donnée'!$F$31)))))</f>
        <v/>
      </c>
      <c r="BA38" s="138"/>
      <c r="BB38" s="103"/>
      <c r="BC38" s="27"/>
      <c r="BD38" s="27"/>
      <c r="BE38" s="27" t="str">
        <f t="shared" si="35"/>
        <v/>
      </c>
      <c r="BF38" s="121" t="str">
        <f t="shared" si="36"/>
        <v/>
      </c>
      <c r="BG38" s="121" t="str">
        <f t="shared" si="37"/>
        <v/>
      </c>
      <c r="BH38" s="27" t="str">
        <f>IF(AND(ISBLANK(BJ38),BI38=""),"",1+MAX(BH$21:BH37))</f>
        <v/>
      </c>
      <c r="BI38" s="137" t="str">
        <f>IF(OR(BE38="",BE38=0,$H38="",$H38=0,NOT(ISNUMBER($H38)),NOT(ISNUMBER(BE38))),IF(AND($E38&lt;&gt;"",AND(OR(ISNUMBER(BE38),BE38=""),AND(ISNUMBER($H38),$H38&gt;0))),'Feuille de Donnée'!$K$13,""),IF(BE38&lt;$H$168*'Feuille de Donnée'!$I$9,"Négligeable",(IF(AND(BC38&gt;=$F38*(1-'Feuille de Donnée'!$E$12),BC38&lt;=$F38*(1+'Feuille de Donnée'!$F$12)),'Feuille de Donnée'!$F$17,IF(BC38&lt;$F38*(1-'Feuille de Donnée'!$E$12),'Feuille de Donnée'!$F$18,'Feuille de Donnée'!$F$16))&amp;""&amp;IF(AND(BD38&gt;=$G38*(1-'Feuille de Donnée'!$E$27),BD38&lt;=$G38*(1+'Feuille de Donnée'!$F$27)),'Feuille de Donnée'!$F$32,IF(BD38&lt;$G38*(1-'Feuille de Donnée'!$E$27),'Feuille de Donnée'!$F$33,'Feuille de Donnée'!$F$31)))))</f>
        <v/>
      </c>
      <c r="BJ38" s="138"/>
      <c r="BK38" s="140"/>
    </row>
    <row r="39" spans="1:63" s="6" customFormat="1" x14ac:dyDescent="0.3">
      <c r="A39" s="23"/>
      <c r="B39" s="24"/>
      <c r="C39" s="24"/>
      <c r="D39" s="24"/>
      <c r="E39" s="22"/>
      <c r="F39" s="25"/>
      <c r="G39" s="26"/>
      <c r="H39" s="102" t="str">
        <f t="shared" si="19"/>
        <v/>
      </c>
      <c r="I39" s="103"/>
      <c r="J39" s="27"/>
      <c r="K39" s="27"/>
      <c r="L39" s="27" t="str">
        <f t="shared" si="20"/>
        <v/>
      </c>
      <c r="M39" s="121" t="str">
        <f t="shared" si="21"/>
        <v/>
      </c>
      <c r="N39" s="121" t="str">
        <f t="shared" si="22"/>
        <v/>
      </c>
      <c r="O39" s="27" t="str">
        <f>IF(AND(ISBLANK(Q39),P39=""),"",1+MAX(O$21:O38))</f>
        <v/>
      </c>
      <c r="P39" s="137" t="str">
        <f>IF(OR(L39="",L39=0,$H39="",$H39=0,NOT(ISNUMBER($H39)),NOT(ISNUMBER(L39))),IF(AND($E39&lt;&gt;"",AND(OR(ISNUMBER(L39),L39=""),AND(ISNUMBER($H39),$H39&gt;0))),'Feuille de Donnée'!$K$13,""),IF(L39&lt;$H$168*'Feuille de Donnée'!$I$9,"Négligeable",(IF(AND(J39&gt;=$F39*(1-'Feuille de Donnée'!$E$12),J39&lt;=$F39*(1+'Feuille de Donnée'!$F$12)),'Feuille de Donnée'!$F$17,IF(J39&lt;$F39*(1-'Feuille de Donnée'!$E$12),'Feuille de Donnée'!$F$18,'Feuille de Donnée'!$F$16))&amp;""&amp;IF(AND(K39&gt;=$G39*(1-'Feuille de Donnée'!$E$27),K39&lt;=$G39*(1+'Feuille de Donnée'!$F$27)),'Feuille de Donnée'!$F$32,IF(K39&lt;$G39*(1-'Feuille de Donnée'!$E$27),'Feuille de Donnée'!$F$33,'Feuille de Donnée'!$F$31)))))</f>
        <v/>
      </c>
      <c r="Q39" s="138"/>
      <c r="R39" s="103"/>
      <c r="S39" s="27"/>
      <c r="T39" s="27"/>
      <c r="U39" s="27" t="str">
        <f t="shared" si="23"/>
        <v/>
      </c>
      <c r="V39" s="121" t="str">
        <f t="shared" si="24"/>
        <v/>
      </c>
      <c r="W39" s="121" t="str">
        <f t="shared" si="25"/>
        <v/>
      </c>
      <c r="X39" s="27" t="str">
        <f>IF(AND(ISBLANK(Z39),Y39=""),"",1+MAX(X$21:X38))</f>
        <v/>
      </c>
      <c r="Y39" s="137" t="str">
        <f>IF(OR(U39="",U39=0,$H39="",$H39=0,NOT(ISNUMBER($H39)),NOT(ISNUMBER(U39))),IF(AND($E39&lt;&gt;"",AND(OR(ISNUMBER(U39),U39=""),AND(ISNUMBER($H39),$H39&gt;0))),'Feuille de Donnée'!$K$13,""),IF(U39&lt;$H$168*'Feuille de Donnée'!$I$9,"Négligeable",(IF(AND(S39&gt;=$F39*(1-'Feuille de Donnée'!$E$12),S39&lt;=$F39*(1+'Feuille de Donnée'!$F$12)),'Feuille de Donnée'!$F$17,IF(S39&lt;$F39*(1-'Feuille de Donnée'!$E$12),'Feuille de Donnée'!$F$18,'Feuille de Donnée'!$F$16))&amp;""&amp;IF(AND(T39&gt;=$G39*(1-'Feuille de Donnée'!$E$27),T39&lt;=$G39*(1+'Feuille de Donnée'!$F$27)),'Feuille de Donnée'!$F$32,IF(T39&lt;$G39*(1-'Feuille de Donnée'!$E$27),'Feuille de Donnée'!$F$33,'Feuille de Donnée'!$F$31)))))</f>
        <v/>
      </c>
      <c r="Z39" s="138"/>
      <c r="AA39" s="103"/>
      <c r="AB39" s="27"/>
      <c r="AC39" s="27"/>
      <c r="AD39" s="27" t="str">
        <f t="shared" si="26"/>
        <v/>
      </c>
      <c r="AE39" s="121" t="str">
        <f t="shared" si="27"/>
        <v/>
      </c>
      <c r="AF39" s="121" t="str">
        <f t="shared" si="28"/>
        <v/>
      </c>
      <c r="AG39" s="27" t="str">
        <f>IF(AND(ISBLANK(AI39),AH39=""),"",1+MAX(AG$21:AG38))</f>
        <v/>
      </c>
      <c r="AH39" s="137" t="str">
        <f>IF(OR(AD39="",AD39=0,$H39="",$H39=0,NOT(ISNUMBER($H39)),NOT(ISNUMBER(AD39))),IF(AND($E39&lt;&gt;"",AND(OR(ISNUMBER(AD39),AD39=""),AND(ISNUMBER($H39),$H39&gt;0))),'Feuille de Donnée'!$K$13,""),IF(AD39&lt;$H$168*'Feuille de Donnée'!$I$9,"Négligeable",(IF(AND(AB39&gt;=$F39*(1-'Feuille de Donnée'!$E$12),AB39&lt;=$F39*(1+'Feuille de Donnée'!$F$12)),'Feuille de Donnée'!$F$17,IF(AB39&lt;$F39*(1-'Feuille de Donnée'!$E$12),'Feuille de Donnée'!$F$18,'Feuille de Donnée'!$F$16))&amp;""&amp;IF(AND(AC39&gt;=$G39*(1-'Feuille de Donnée'!$E$27),AC39&lt;=$G39*(1+'Feuille de Donnée'!$F$27)),'Feuille de Donnée'!$F$32,IF(AC39&lt;$G39*(1-'Feuille de Donnée'!$E$27),'Feuille de Donnée'!$F$33,'Feuille de Donnée'!$F$31)))))</f>
        <v/>
      </c>
      <c r="AI39" s="138"/>
      <c r="AJ39" s="103"/>
      <c r="AK39" s="27"/>
      <c r="AL39" s="27"/>
      <c r="AM39" s="27" t="str">
        <f t="shared" si="29"/>
        <v/>
      </c>
      <c r="AN39" s="121" t="str">
        <f t="shared" si="30"/>
        <v/>
      </c>
      <c r="AO39" s="121" t="str">
        <f t="shared" si="31"/>
        <v/>
      </c>
      <c r="AP39" s="27" t="str">
        <f>IF(AND(ISBLANK(AR39),AQ39=""),"",1+MAX(AP$21:AP38))</f>
        <v/>
      </c>
      <c r="AQ39" s="137" t="str">
        <f>IF(OR(AM39="",AM39=0,$H39="",$H39=0,NOT(ISNUMBER($H39)),NOT(ISNUMBER(AM39))),IF(AND($E39&lt;&gt;"",AND(OR(ISNUMBER(AM39),AM39=""),AND(ISNUMBER($H39),$H39&gt;0))),'Feuille de Donnée'!$K$13,""),IF(AM39&lt;$H$168*'Feuille de Donnée'!$I$9,"Négligeable",(IF(AND(AK39&gt;=$F39*(1-'Feuille de Donnée'!$E$12),AK39&lt;=$F39*(1+'Feuille de Donnée'!$F$12)),'Feuille de Donnée'!$F$17,IF(AK39&lt;$F39*(1-'Feuille de Donnée'!$E$12),'Feuille de Donnée'!$F$18,'Feuille de Donnée'!$F$16))&amp;""&amp;IF(AND(AL39&gt;=$G39*(1-'Feuille de Donnée'!$E$27),AL39&lt;=$G39*(1+'Feuille de Donnée'!$F$27)),'Feuille de Donnée'!$F$32,IF(AL39&lt;$G39*(1-'Feuille de Donnée'!$E$27),'Feuille de Donnée'!$F$33,'Feuille de Donnée'!$F$31)))))</f>
        <v/>
      </c>
      <c r="AR39" s="138"/>
      <c r="AS39" s="103"/>
      <c r="AT39" s="27"/>
      <c r="AU39" s="27"/>
      <c r="AV39" s="27" t="str">
        <f t="shared" si="32"/>
        <v/>
      </c>
      <c r="AW39" s="121" t="str">
        <f t="shared" si="33"/>
        <v/>
      </c>
      <c r="AX39" s="121" t="str">
        <f t="shared" si="34"/>
        <v/>
      </c>
      <c r="AY39" s="27" t="str">
        <f>IF(AND(ISBLANK(BA39),AZ39=""),"",1+MAX(AY$21:AY38))</f>
        <v/>
      </c>
      <c r="AZ39" s="137" t="str">
        <f>IF(OR(AV39="",AV39=0,$H39="",$H39=0,NOT(ISNUMBER($H39)),NOT(ISNUMBER(AV39))),IF(AND($E39&lt;&gt;"",AND(OR(ISNUMBER(AV39),AV39=""),AND(ISNUMBER($H39),$H39&gt;0))),'Feuille de Donnée'!$K$13,""),IF(AV39&lt;$H$168*'Feuille de Donnée'!$I$9,"Négligeable",(IF(AND(AT39&gt;=$F39*(1-'Feuille de Donnée'!$E$12),AT39&lt;=$F39*(1+'Feuille de Donnée'!$F$12)),'Feuille de Donnée'!$F$17,IF(AT39&lt;$F39*(1-'Feuille de Donnée'!$E$12),'Feuille de Donnée'!$F$18,'Feuille de Donnée'!$F$16))&amp;""&amp;IF(AND(AU39&gt;=$G39*(1-'Feuille de Donnée'!$E$27),AU39&lt;=$G39*(1+'Feuille de Donnée'!$F$27)),'Feuille de Donnée'!$F$32,IF(AU39&lt;$G39*(1-'Feuille de Donnée'!$E$27),'Feuille de Donnée'!$F$33,'Feuille de Donnée'!$F$31)))))</f>
        <v/>
      </c>
      <c r="BA39" s="138"/>
      <c r="BB39" s="103"/>
      <c r="BC39" s="27"/>
      <c r="BD39" s="27"/>
      <c r="BE39" s="27" t="str">
        <f t="shared" si="35"/>
        <v/>
      </c>
      <c r="BF39" s="121" t="str">
        <f t="shared" si="36"/>
        <v/>
      </c>
      <c r="BG39" s="121" t="str">
        <f t="shared" si="37"/>
        <v/>
      </c>
      <c r="BH39" s="27" t="str">
        <f>IF(AND(ISBLANK(BJ39),BI39=""),"",1+MAX(BH$21:BH38))</f>
        <v/>
      </c>
      <c r="BI39" s="137" t="str">
        <f>IF(OR(BE39="",BE39=0,$H39="",$H39=0,NOT(ISNUMBER($H39)),NOT(ISNUMBER(BE39))),IF(AND($E39&lt;&gt;"",AND(OR(ISNUMBER(BE39),BE39=""),AND(ISNUMBER($H39),$H39&gt;0))),'Feuille de Donnée'!$K$13,""),IF(BE39&lt;$H$168*'Feuille de Donnée'!$I$9,"Négligeable",(IF(AND(BC39&gt;=$F39*(1-'Feuille de Donnée'!$E$12),BC39&lt;=$F39*(1+'Feuille de Donnée'!$F$12)),'Feuille de Donnée'!$F$17,IF(BC39&lt;$F39*(1-'Feuille de Donnée'!$E$12),'Feuille de Donnée'!$F$18,'Feuille de Donnée'!$F$16))&amp;""&amp;IF(AND(BD39&gt;=$G39*(1-'Feuille de Donnée'!$E$27),BD39&lt;=$G39*(1+'Feuille de Donnée'!$F$27)),'Feuille de Donnée'!$F$32,IF(BD39&lt;$G39*(1-'Feuille de Donnée'!$E$27),'Feuille de Donnée'!$F$33,'Feuille de Donnée'!$F$31)))))</f>
        <v/>
      </c>
      <c r="BJ39" s="138"/>
      <c r="BK39" s="140"/>
    </row>
    <row r="40" spans="1:63" s="6" customFormat="1" x14ac:dyDescent="0.3">
      <c r="A40" s="23"/>
      <c r="B40" s="24"/>
      <c r="C40" s="24"/>
      <c r="D40" s="24"/>
      <c r="E40" s="22"/>
      <c r="F40" s="25"/>
      <c r="G40" s="26"/>
      <c r="H40" s="102" t="str">
        <f t="shared" si="19"/>
        <v/>
      </c>
      <c r="I40" s="103"/>
      <c r="J40" s="27"/>
      <c r="K40" s="27"/>
      <c r="L40" s="27" t="str">
        <f t="shared" si="20"/>
        <v/>
      </c>
      <c r="M40" s="121" t="str">
        <f t="shared" si="21"/>
        <v/>
      </c>
      <c r="N40" s="121" t="str">
        <f t="shared" si="22"/>
        <v/>
      </c>
      <c r="O40" s="27" t="str">
        <f>IF(AND(ISBLANK(Q40),P40=""),"",1+MAX(O$21:O39))</f>
        <v/>
      </c>
      <c r="P40" s="137" t="str">
        <f>IF(OR(L40="",L40=0,$H40="",$H40=0,NOT(ISNUMBER($H40)),NOT(ISNUMBER(L40))),IF(AND($E40&lt;&gt;"",AND(OR(ISNUMBER(L40),L40=""),AND(ISNUMBER($H40),$H40&gt;0))),'Feuille de Donnée'!$K$13,""),IF(L40&lt;$H$168*'Feuille de Donnée'!$I$9,"Négligeable",(IF(AND(J40&gt;=$F40*(1-'Feuille de Donnée'!$E$12),J40&lt;=$F40*(1+'Feuille de Donnée'!$F$12)),'Feuille de Donnée'!$F$17,IF(J40&lt;$F40*(1-'Feuille de Donnée'!$E$12),'Feuille de Donnée'!$F$18,'Feuille de Donnée'!$F$16))&amp;""&amp;IF(AND(K40&gt;=$G40*(1-'Feuille de Donnée'!$E$27),K40&lt;=$G40*(1+'Feuille de Donnée'!$F$27)),'Feuille de Donnée'!$F$32,IF(K40&lt;$G40*(1-'Feuille de Donnée'!$E$27),'Feuille de Donnée'!$F$33,'Feuille de Donnée'!$F$31)))))</f>
        <v/>
      </c>
      <c r="Q40" s="138"/>
      <c r="R40" s="103"/>
      <c r="S40" s="27"/>
      <c r="T40" s="27"/>
      <c r="U40" s="27" t="str">
        <f t="shared" si="23"/>
        <v/>
      </c>
      <c r="V40" s="121" t="str">
        <f t="shared" si="24"/>
        <v/>
      </c>
      <c r="W40" s="121" t="str">
        <f t="shared" si="25"/>
        <v/>
      </c>
      <c r="X40" s="27" t="str">
        <f>IF(AND(ISBLANK(Z40),Y40=""),"",1+MAX(X$21:X39))</f>
        <v/>
      </c>
      <c r="Y40" s="137" t="str">
        <f>IF(OR(U40="",U40=0,$H40="",$H40=0,NOT(ISNUMBER($H40)),NOT(ISNUMBER(U40))),IF(AND($E40&lt;&gt;"",AND(OR(ISNUMBER(U40),U40=""),AND(ISNUMBER($H40),$H40&gt;0))),'Feuille de Donnée'!$K$13,""),IF(U40&lt;$H$168*'Feuille de Donnée'!$I$9,"Négligeable",(IF(AND(S40&gt;=$F40*(1-'Feuille de Donnée'!$E$12),S40&lt;=$F40*(1+'Feuille de Donnée'!$F$12)),'Feuille de Donnée'!$F$17,IF(S40&lt;$F40*(1-'Feuille de Donnée'!$E$12),'Feuille de Donnée'!$F$18,'Feuille de Donnée'!$F$16))&amp;""&amp;IF(AND(T40&gt;=$G40*(1-'Feuille de Donnée'!$E$27),T40&lt;=$G40*(1+'Feuille de Donnée'!$F$27)),'Feuille de Donnée'!$F$32,IF(T40&lt;$G40*(1-'Feuille de Donnée'!$E$27),'Feuille de Donnée'!$F$33,'Feuille de Donnée'!$F$31)))))</f>
        <v/>
      </c>
      <c r="Z40" s="138"/>
      <c r="AA40" s="103"/>
      <c r="AB40" s="27"/>
      <c r="AC40" s="27"/>
      <c r="AD40" s="27" t="str">
        <f t="shared" si="26"/>
        <v/>
      </c>
      <c r="AE40" s="121" t="str">
        <f t="shared" si="27"/>
        <v/>
      </c>
      <c r="AF40" s="121" t="str">
        <f t="shared" si="28"/>
        <v/>
      </c>
      <c r="AG40" s="27" t="str">
        <f>IF(AND(ISBLANK(AI40),AH40=""),"",1+MAX(AG$21:AG39))</f>
        <v/>
      </c>
      <c r="AH40" s="137" t="str">
        <f>IF(OR(AD40="",AD40=0,$H40="",$H40=0,NOT(ISNUMBER($H40)),NOT(ISNUMBER(AD40))),IF(AND($E40&lt;&gt;"",AND(OR(ISNUMBER(AD40),AD40=""),AND(ISNUMBER($H40),$H40&gt;0))),'Feuille de Donnée'!$K$13,""),IF(AD40&lt;$H$168*'Feuille de Donnée'!$I$9,"Négligeable",(IF(AND(AB40&gt;=$F40*(1-'Feuille de Donnée'!$E$12),AB40&lt;=$F40*(1+'Feuille de Donnée'!$F$12)),'Feuille de Donnée'!$F$17,IF(AB40&lt;$F40*(1-'Feuille de Donnée'!$E$12),'Feuille de Donnée'!$F$18,'Feuille de Donnée'!$F$16))&amp;""&amp;IF(AND(AC40&gt;=$G40*(1-'Feuille de Donnée'!$E$27),AC40&lt;=$G40*(1+'Feuille de Donnée'!$F$27)),'Feuille de Donnée'!$F$32,IF(AC40&lt;$G40*(1-'Feuille de Donnée'!$E$27),'Feuille de Donnée'!$F$33,'Feuille de Donnée'!$F$31)))))</f>
        <v/>
      </c>
      <c r="AI40" s="138"/>
      <c r="AJ40" s="103"/>
      <c r="AK40" s="27"/>
      <c r="AL40" s="27"/>
      <c r="AM40" s="27" t="str">
        <f t="shared" si="29"/>
        <v/>
      </c>
      <c r="AN40" s="121" t="str">
        <f t="shared" si="30"/>
        <v/>
      </c>
      <c r="AO40" s="121" t="str">
        <f t="shared" si="31"/>
        <v/>
      </c>
      <c r="AP40" s="27" t="str">
        <f>IF(AND(ISBLANK(AR40),AQ40=""),"",1+MAX(AP$21:AP39))</f>
        <v/>
      </c>
      <c r="AQ40" s="137" t="str">
        <f>IF(OR(AM40="",AM40=0,$H40="",$H40=0,NOT(ISNUMBER($H40)),NOT(ISNUMBER(AM40))),IF(AND($E40&lt;&gt;"",AND(OR(ISNUMBER(AM40),AM40=""),AND(ISNUMBER($H40),$H40&gt;0))),'Feuille de Donnée'!$K$13,""),IF(AM40&lt;$H$168*'Feuille de Donnée'!$I$9,"Négligeable",(IF(AND(AK40&gt;=$F40*(1-'Feuille de Donnée'!$E$12),AK40&lt;=$F40*(1+'Feuille de Donnée'!$F$12)),'Feuille de Donnée'!$F$17,IF(AK40&lt;$F40*(1-'Feuille de Donnée'!$E$12),'Feuille de Donnée'!$F$18,'Feuille de Donnée'!$F$16))&amp;""&amp;IF(AND(AL40&gt;=$G40*(1-'Feuille de Donnée'!$E$27),AL40&lt;=$G40*(1+'Feuille de Donnée'!$F$27)),'Feuille de Donnée'!$F$32,IF(AL40&lt;$G40*(1-'Feuille de Donnée'!$E$27),'Feuille de Donnée'!$F$33,'Feuille de Donnée'!$F$31)))))</f>
        <v/>
      </c>
      <c r="AR40" s="138"/>
      <c r="AS40" s="103"/>
      <c r="AT40" s="27"/>
      <c r="AU40" s="27"/>
      <c r="AV40" s="27" t="str">
        <f t="shared" si="32"/>
        <v/>
      </c>
      <c r="AW40" s="121" t="str">
        <f t="shared" si="33"/>
        <v/>
      </c>
      <c r="AX40" s="121" t="str">
        <f t="shared" si="34"/>
        <v/>
      </c>
      <c r="AY40" s="27" t="str">
        <f>IF(AND(ISBLANK(BA40),AZ40=""),"",1+MAX(AY$21:AY39))</f>
        <v/>
      </c>
      <c r="AZ40" s="137" t="str">
        <f>IF(OR(AV40="",AV40=0,$H40="",$H40=0,NOT(ISNUMBER($H40)),NOT(ISNUMBER(AV40))),IF(AND($E40&lt;&gt;"",AND(OR(ISNUMBER(AV40),AV40=""),AND(ISNUMBER($H40),$H40&gt;0))),'Feuille de Donnée'!$K$13,""),IF(AV40&lt;$H$168*'Feuille de Donnée'!$I$9,"Négligeable",(IF(AND(AT40&gt;=$F40*(1-'Feuille de Donnée'!$E$12),AT40&lt;=$F40*(1+'Feuille de Donnée'!$F$12)),'Feuille de Donnée'!$F$17,IF(AT40&lt;$F40*(1-'Feuille de Donnée'!$E$12),'Feuille de Donnée'!$F$18,'Feuille de Donnée'!$F$16))&amp;""&amp;IF(AND(AU40&gt;=$G40*(1-'Feuille de Donnée'!$E$27),AU40&lt;=$G40*(1+'Feuille de Donnée'!$F$27)),'Feuille de Donnée'!$F$32,IF(AU40&lt;$G40*(1-'Feuille de Donnée'!$E$27),'Feuille de Donnée'!$F$33,'Feuille de Donnée'!$F$31)))))</f>
        <v/>
      </c>
      <c r="BA40" s="138"/>
      <c r="BB40" s="103"/>
      <c r="BC40" s="27"/>
      <c r="BD40" s="27"/>
      <c r="BE40" s="27" t="str">
        <f t="shared" si="35"/>
        <v/>
      </c>
      <c r="BF40" s="121" t="str">
        <f t="shared" si="36"/>
        <v/>
      </c>
      <c r="BG40" s="121" t="str">
        <f t="shared" si="37"/>
        <v/>
      </c>
      <c r="BH40" s="27" t="str">
        <f>IF(AND(ISBLANK(BJ40),BI40=""),"",1+MAX(BH$21:BH39))</f>
        <v/>
      </c>
      <c r="BI40" s="137" t="str">
        <f>IF(OR(BE40="",BE40=0,$H40="",$H40=0,NOT(ISNUMBER($H40)),NOT(ISNUMBER(BE40))),IF(AND($E40&lt;&gt;"",AND(OR(ISNUMBER(BE40),BE40=""),AND(ISNUMBER($H40),$H40&gt;0))),'Feuille de Donnée'!$K$13,""),IF(BE40&lt;$H$168*'Feuille de Donnée'!$I$9,"Négligeable",(IF(AND(BC40&gt;=$F40*(1-'Feuille de Donnée'!$E$12),BC40&lt;=$F40*(1+'Feuille de Donnée'!$F$12)),'Feuille de Donnée'!$F$17,IF(BC40&lt;$F40*(1-'Feuille de Donnée'!$E$12),'Feuille de Donnée'!$F$18,'Feuille de Donnée'!$F$16))&amp;""&amp;IF(AND(BD40&gt;=$G40*(1-'Feuille de Donnée'!$E$27),BD40&lt;=$G40*(1+'Feuille de Donnée'!$F$27)),'Feuille de Donnée'!$F$32,IF(BD40&lt;$G40*(1-'Feuille de Donnée'!$E$27),'Feuille de Donnée'!$F$33,'Feuille de Donnée'!$F$31)))))</f>
        <v/>
      </c>
      <c r="BJ40" s="138"/>
      <c r="BK40" s="140"/>
    </row>
    <row r="41" spans="1:63" s="6" customFormat="1" x14ac:dyDescent="0.3">
      <c r="A41" s="23"/>
      <c r="B41" s="24"/>
      <c r="C41" s="24"/>
      <c r="D41" s="24"/>
      <c r="E41" s="22"/>
      <c r="F41" s="25"/>
      <c r="G41" s="26"/>
      <c r="H41" s="102" t="str">
        <f t="shared" si="19"/>
        <v/>
      </c>
      <c r="I41" s="103"/>
      <c r="J41" s="27"/>
      <c r="K41" s="27"/>
      <c r="L41" s="27" t="str">
        <f t="shared" si="20"/>
        <v/>
      </c>
      <c r="M41" s="121" t="str">
        <f t="shared" si="21"/>
        <v/>
      </c>
      <c r="N41" s="121" t="str">
        <f t="shared" si="22"/>
        <v/>
      </c>
      <c r="O41" s="27" t="str">
        <f>IF(AND(ISBLANK(Q41),P41=""),"",1+MAX(O$21:O40))</f>
        <v/>
      </c>
      <c r="P41" s="137" t="str">
        <f>IF(OR(L41="",L41=0,$H41="",$H41=0,NOT(ISNUMBER($H41)),NOT(ISNUMBER(L41))),IF(AND($E41&lt;&gt;"",AND(OR(ISNUMBER(L41),L41=""),AND(ISNUMBER($H41),$H41&gt;0))),'Feuille de Donnée'!$K$13,""),IF(L41&lt;$H$168*'Feuille de Donnée'!$I$9,"Négligeable",(IF(AND(J41&gt;=$F41*(1-'Feuille de Donnée'!$E$12),J41&lt;=$F41*(1+'Feuille de Donnée'!$F$12)),'Feuille de Donnée'!$F$17,IF(J41&lt;$F41*(1-'Feuille de Donnée'!$E$12),'Feuille de Donnée'!$F$18,'Feuille de Donnée'!$F$16))&amp;""&amp;IF(AND(K41&gt;=$G41*(1-'Feuille de Donnée'!$E$27),K41&lt;=$G41*(1+'Feuille de Donnée'!$F$27)),'Feuille de Donnée'!$F$32,IF(K41&lt;$G41*(1-'Feuille de Donnée'!$E$27),'Feuille de Donnée'!$F$33,'Feuille de Donnée'!$F$31)))))</f>
        <v/>
      </c>
      <c r="Q41" s="138"/>
      <c r="R41" s="103"/>
      <c r="S41" s="27"/>
      <c r="T41" s="27"/>
      <c r="U41" s="27" t="str">
        <f t="shared" si="23"/>
        <v/>
      </c>
      <c r="V41" s="121" t="str">
        <f t="shared" si="24"/>
        <v/>
      </c>
      <c r="W41" s="121" t="str">
        <f t="shared" si="25"/>
        <v/>
      </c>
      <c r="X41" s="27" t="str">
        <f>IF(AND(ISBLANK(Z41),Y41=""),"",1+MAX(X$21:X40))</f>
        <v/>
      </c>
      <c r="Y41" s="137" t="str">
        <f>IF(OR(U41="",U41=0,$H41="",$H41=0,NOT(ISNUMBER($H41)),NOT(ISNUMBER(U41))),IF(AND($E41&lt;&gt;"",AND(OR(ISNUMBER(U41),U41=""),AND(ISNUMBER($H41),$H41&gt;0))),'Feuille de Donnée'!$K$13,""),IF(U41&lt;$H$168*'Feuille de Donnée'!$I$9,"Négligeable",(IF(AND(S41&gt;=$F41*(1-'Feuille de Donnée'!$E$12),S41&lt;=$F41*(1+'Feuille de Donnée'!$F$12)),'Feuille de Donnée'!$F$17,IF(S41&lt;$F41*(1-'Feuille de Donnée'!$E$12),'Feuille de Donnée'!$F$18,'Feuille de Donnée'!$F$16))&amp;""&amp;IF(AND(T41&gt;=$G41*(1-'Feuille de Donnée'!$E$27),T41&lt;=$G41*(1+'Feuille de Donnée'!$F$27)),'Feuille de Donnée'!$F$32,IF(T41&lt;$G41*(1-'Feuille de Donnée'!$E$27),'Feuille de Donnée'!$F$33,'Feuille de Donnée'!$F$31)))))</f>
        <v/>
      </c>
      <c r="Z41" s="138"/>
      <c r="AA41" s="103"/>
      <c r="AB41" s="27"/>
      <c r="AC41" s="27"/>
      <c r="AD41" s="27" t="str">
        <f t="shared" si="26"/>
        <v/>
      </c>
      <c r="AE41" s="121" t="str">
        <f t="shared" si="27"/>
        <v/>
      </c>
      <c r="AF41" s="121" t="str">
        <f t="shared" si="28"/>
        <v/>
      </c>
      <c r="AG41" s="27" t="str">
        <f>IF(AND(ISBLANK(AI41),AH41=""),"",1+MAX(AG$21:AG40))</f>
        <v/>
      </c>
      <c r="AH41" s="137" t="str">
        <f>IF(OR(AD41="",AD41=0,$H41="",$H41=0,NOT(ISNUMBER($H41)),NOT(ISNUMBER(AD41))),IF(AND($E41&lt;&gt;"",AND(OR(ISNUMBER(AD41),AD41=""),AND(ISNUMBER($H41),$H41&gt;0))),'Feuille de Donnée'!$K$13,""),IF(AD41&lt;$H$168*'Feuille de Donnée'!$I$9,"Négligeable",(IF(AND(AB41&gt;=$F41*(1-'Feuille de Donnée'!$E$12),AB41&lt;=$F41*(1+'Feuille de Donnée'!$F$12)),'Feuille de Donnée'!$F$17,IF(AB41&lt;$F41*(1-'Feuille de Donnée'!$E$12),'Feuille de Donnée'!$F$18,'Feuille de Donnée'!$F$16))&amp;""&amp;IF(AND(AC41&gt;=$G41*(1-'Feuille de Donnée'!$E$27),AC41&lt;=$G41*(1+'Feuille de Donnée'!$F$27)),'Feuille de Donnée'!$F$32,IF(AC41&lt;$G41*(1-'Feuille de Donnée'!$E$27),'Feuille de Donnée'!$F$33,'Feuille de Donnée'!$F$31)))))</f>
        <v/>
      </c>
      <c r="AI41" s="138"/>
      <c r="AJ41" s="103"/>
      <c r="AK41" s="27"/>
      <c r="AL41" s="27"/>
      <c r="AM41" s="27" t="str">
        <f t="shared" si="29"/>
        <v/>
      </c>
      <c r="AN41" s="121" t="str">
        <f t="shared" si="30"/>
        <v/>
      </c>
      <c r="AO41" s="121" t="str">
        <f t="shared" si="31"/>
        <v/>
      </c>
      <c r="AP41" s="27" t="str">
        <f>IF(AND(ISBLANK(AR41),AQ41=""),"",1+MAX(AP$21:AP40))</f>
        <v/>
      </c>
      <c r="AQ41" s="137" t="str">
        <f>IF(OR(AM41="",AM41=0,$H41="",$H41=0,NOT(ISNUMBER($H41)),NOT(ISNUMBER(AM41))),IF(AND($E41&lt;&gt;"",AND(OR(ISNUMBER(AM41),AM41=""),AND(ISNUMBER($H41),$H41&gt;0))),'Feuille de Donnée'!$K$13,""),IF(AM41&lt;$H$168*'Feuille de Donnée'!$I$9,"Négligeable",(IF(AND(AK41&gt;=$F41*(1-'Feuille de Donnée'!$E$12),AK41&lt;=$F41*(1+'Feuille de Donnée'!$F$12)),'Feuille de Donnée'!$F$17,IF(AK41&lt;$F41*(1-'Feuille de Donnée'!$E$12),'Feuille de Donnée'!$F$18,'Feuille de Donnée'!$F$16))&amp;""&amp;IF(AND(AL41&gt;=$G41*(1-'Feuille de Donnée'!$E$27),AL41&lt;=$G41*(1+'Feuille de Donnée'!$F$27)),'Feuille de Donnée'!$F$32,IF(AL41&lt;$G41*(1-'Feuille de Donnée'!$E$27),'Feuille de Donnée'!$F$33,'Feuille de Donnée'!$F$31)))))</f>
        <v/>
      </c>
      <c r="AR41" s="138"/>
      <c r="AS41" s="103"/>
      <c r="AT41" s="27"/>
      <c r="AU41" s="27"/>
      <c r="AV41" s="27" t="str">
        <f t="shared" si="32"/>
        <v/>
      </c>
      <c r="AW41" s="121" t="str">
        <f t="shared" si="33"/>
        <v/>
      </c>
      <c r="AX41" s="121" t="str">
        <f t="shared" si="34"/>
        <v/>
      </c>
      <c r="AY41" s="27" t="str">
        <f>IF(AND(ISBLANK(BA41),AZ41=""),"",1+MAX(AY$21:AY40))</f>
        <v/>
      </c>
      <c r="AZ41" s="137" t="str">
        <f>IF(OR(AV41="",AV41=0,$H41="",$H41=0,NOT(ISNUMBER($H41)),NOT(ISNUMBER(AV41))),IF(AND($E41&lt;&gt;"",AND(OR(ISNUMBER(AV41),AV41=""),AND(ISNUMBER($H41),$H41&gt;0))),'Feuille de Donnée'!$K$13,""),IF(AV41&lt;$H$168*'Feuille de Donnée'!$I$9,"Négligeable",(IF(AND(AT41&gt;=$F41*(1-'Feuille de Donnée'!$E$12),AT41&lt;=$F41*(1+'Feuille de Donnée'!$F$12)),'Feuille de Donnée'!$F$17,IF(AT41&lt;$F41*(1-'Feuille de Donnée'!$E$12),'Feuille de Donnée'!$F$18,'Feuille de Donnée'!$F$16))&amp;""&amp;IF(AND(AU41&gt;=$G41*(1-'Feuille de Donnée'!$E$27),AU41&lt;=$G41*(1+'Feuille de Donnée'!$F$27)),'Feuille de Donnée'!$F$32,IF(AU41&lt;$G41*(1-'Feuille de Donnée'!$E$27),'Feuille de Donnée'!$F$33,'Feuille de Donnée'!$F$31)))))</f>
        <v/>
      </c>
      <c r="BA41" s="138"/>
      <c r="BB41" s="103"/>
      <c r="BC41" s="27"/>
      <c r="BD41" s="27"/>
      <c r="BE41" s="27" t="str">
        <f t="shared" si="35"/>
        <v/>
      </c>
      <c r="BF41" s="121" t="str">
        <f t="shared" si="36"/>
        <v/>
      </c>
      <c r="BG41" s="121" t="str">
        <f t="shared" si="37"/>
        <v/>
      </c>
      <c r="BH41" s="27" t="str">
        <f>IF(AND(ISBLANK(BJ41),BI41=""),"",1+MAX(BH$21:BH40))</f>
        <v/>
      </c>
      <c r="BI41" s="137" t="str">
        <f>IF(OR(BE41="",BE41=0,$H41="",$H41=0,NOT(ISNUMBER($H41)),NOT(ISNUMBER(BE41))),IF(AND($E41&lt;&gt;"",AND(OR(ISNUMBER(BE41),BE41=""),AND(ISNUMBER($H41),$H41&gt;0))),'Feuille de Donnée'!$K$13,""),IF(BE41&lt;$H$168*'Feuille de Donnée'!$I$9,"Négligeable",(IF(AND(BC41&gt;=$F41*(1-'Feuille de Donnée'!$E$12),BC41&lt;=$F41*(1+'Feuille de Donnée'!$F$12)),'Feuille de Donnée'!$F$17,IF(BC41&lt;$F41*(1-'Feuille de Donnée'!$E$12),'Feuille de Donnée'!$F$18,'Feuille de Donnée'!$F$16))&amp;""&amp;IF(AND(BD41&gt;=$G41*(1-'Feuille de Donnée'!$E$27),BD41&lt;=$G41*(1+'Feuille de Donnée'!$F$27)),'Feuille de Donnée'!$F$32,IF(BD41&lt;$G41*(1-'Feuille de Donnée'!$E$27),'Feuille de Donnée'!$F$33,'Feuille de Donnée'!$F$31)))))</f>
        <v/>
      </c>
      <c r="BJ41" s="138"/>
      <c r="BK41" s="140"/>
    </row>
    <row r="42" spans="1:63" s="6" customFormat="1" x14ac:dyDescent="0.3">
      <c r="A42" s="23"/>
      <c r="B42" s="24"/>
      <c r="C42" s="24"/>
      <c r="D42" s="24"/>
      <c r="E42" s="22"/>
      <c r="F42" s="25"/>
      <c r="G42" s="26"/>
      <c r="H42" s="102" t="str">
        <f t="shared" si="19"/>
        <v/>
      </c>
      <c r="I42" s="103"/>
      <c r="J42" s="27"/>
      <c r="K42" s="27"/>
      <c r="L42" s="27" t="str">
        <f t="shared" si="20"/>
        <v/>
      </c>
      <c r="M42" s="121" t="str">
        <f t="shared" si="21"/>
        <v/>
      </c>
      <c r="N42" s="121" t="str">
        <f t="shared" si="22"/>
        <v/>
      </c>
      <c r="O42" s="27" t="str">
        <f>IF(AND(ISBLANK(Q42),P42=""),"",1+MAX(O$21:O41))</f>
        <v/>
      </c>
      <c r="P42" s="137" t="str">
        <f>IF(OR(L42="",L42=0,$H42="",$H42=0,NOT(ISNUMBER($H42)),NOT(ISNUMBER(L42))),IF(AND($E42&lt;&gt;"",AND(OR(ISNUMBER(L42),L42=""),AND(ISNUMBER($H42),$H42&gt;0))),'Feuille de Donnée'!$K$13,""),IF(L42&lt;$H$168*'Feuille de Donnée'!$I$9,"Négligeable",(IF(AND(J42&gt;=$F42*(1-'Feuille de Donnée'!$E$12),J42&lt;=$F42*(1+'Feuille de Donnée'!$F$12)),'Feuille de Donnée'!$F$17,IF(J42&lt;$F42*(1-'Feuille de Donnée'!$E$12),'Feuille de Donnée'!$F$18,'Feuille de Donnée'!$F$16))&amp;""&amp;IF(AND(K42&gt;=$G42*(1-'Feuille de Donnée'!$E$27),K42&lt;=$G42*(1+'Feuille de Donnée'!$F$27)),'Feuille de Donnée'!$F$32,IF(K42&lt;$G42*(1-'Feuille de Donnée'!$E$27),'Feuille de Donnée'!$F$33,'Feuille de Donnée'!$F$31)))))</f>
        <v/>
      </c>
      <c r="Q42" s="138"/>
      <c r="R42" s="103"/>
      <c r="S42" s="27"/>
      <c r="T42" s="27"/>
      <c r="U42" s="27" t="str">
        <f t="shared" si="23"/>
        <v/>
      </c>
      <c r="V42" s="121" t="str">
        <f t="shared" si="24"/>
        <v/>
      </c>
      <c r="W42" s="121" t="str">
        <f t="shared" si="25"/>
        <v/>
      </c>
      <c r="X42" s="27" t="str">
        <f>IF(AND(ISBLANK(Z42),Y42=""),"",1+MAX(X$21:X41))</f>
        <v/>
      </c>
      <c r="Y42" s="137" t="str">
        <f>IF(OR(U42="",U42=0,$H42="",$H42=0,NOT(ISNUMBER($H42)),NOT(ISNUMBER(U42))),IF(AND($E42&lt;&gt;"",AND(OR(ISNUMBER(U42),U42=""),AND(ISNUMBER($H42),$H42&gt;0))),'Feuille de Donnée'!$K$13,""),IF(U42&lt;$H$168*'Feuille de Donnée'!$I$9,"Négligeable",(IF(AND(S42&gt;=$F42*(1-'Feuille de Donnée'!$E$12),S42&lt;=$F42*(1+'Feuille de Donnée'!$F$12)),'Feuille de Donnée'!$F$17,IF(S42&lt;$F42*(1-'Feuille de Donnée'!$E$12),'Feuille de Donnée'!$F$18,'Feuille de Donnée'!$F$16))&amp;""&amp;IF(AND(T42&gt;=$G42*(1-'Feuille de Donnée'!$E$27),T42&lt;=$G42*(1+'Feuille de Donnée'!$F$27)),'Feuille de Donnée'!$F$32,IF(T42&lt;$G42*(1-'Feuille de Donnée'!$E$27),'Feuille de Donnée'!$F$33,'Feuille de Donnée'!$F$31)))))</f>
        <v/>
      </c>
      <c r="Z42" s="138"/>
      <c r="AA42" s="103"/>
      <c r="AB42" s="27"/>
      <c r="AC42" s="27"/>
      <c r="AD42" s="27" t="str">
        <f t="shared" si="26"/>
        <v/>
      </c>
      <c r="AE42" s="121" t="str">
        <f t="shared" si="27"/>
        <v/>
      </c>
      <c r="AF42" s="121" t="str">
        <f t="shared" si="28"/>
        <v/>
      </c>
      <c r="AG42" s="27" t="str">
        <f>IF(AND(ISBLANK(AI42),AH42=""),"",1+MAX(AG$21:AG41))</f>
        <v/>
      </c>
      <c r="AH42" s="137" t="str">
        <f>IF(OR(AD42="",AD42=0,$H42="",$H42=0,NOT(ISNUMBER($H42)),NOT(ISNUMBER(AD42))),IF(AND($E42&lt;&gt;"",AND(OR(ISNUMBER(AD42),AD42=""),AND(ISNUMBER($H42),$H42&gt;0))),'Feuille de Donnée'!$K$13,""),IF(AD42&lt;$H$168*'Feuille de Donnée'!$I$9,"Négligeable",(IF(AND(AB42&gt;=$F42*(1-'Feuille de Donnée'!$E$12),AB42&lt;=$F42*(1+'Feuille de Donnée'!$F$12)),'Feuille de Donnée'!$F$17,IF(AB42&lt;$F42*(1-'Feuille de Donnée'!$E$12),'Feuille de Donnée'!$F$18,'Feuille de Donnée'!$F$16))&amp;""&amp;IF(AND(AC42&gt;=$G42*(1-'Feuille de Donnée'!$E$27),AC42&lt;=$G42*(1+'Feuille de Donnée'!$F$27)),'Feuille de Donnée'!$F$32,IF(AC42&lt;$G42*(1-'Feuille de Donnée'!$E$27),'Feuille de Donnée'!$F$33,'Feuille de Donnée'!$F$31)))))</f>
        <v/>
      </c>
      <c r="AI42" s="138"/>
      <c r="AJ42" s="103"/>
      <c r="AK42" s="27"/>
      <c r="AL42" s="27"/>
      <c r="AM42" s="27" t="str">
        <f t="shared" si="29"/>
        <v/>
      </c>
      <c r="AN42" s="121" t="str">
        <f t="shared" si="30"/>
        <v/>
      </c>
      <c r="AO42" s="121" t="str">
        <f t="shared" si="31"/>
        <v/>
      </c>
      <c r="AP42" s="27" t="str">
        <f>IF(AND(ISBLANK(AR42),AQ42=""),"",1+MAX(AP$21:AP41))</f>
        <v/>
      </c>
      <c r="AQ42" s="137" t="str">
        <f>IF(OR(AM42="",AM42=0,$H42="",$H42=0,NOT(ISNUMBER($H42)),NOT(ISNUMBER(AM42))),IF(AND($E42&lt;&gt;"",AND(OR(ISNUMBER(AM42),AM42=""),AND(ISNUMBER($H42),$H42&gt;0))),'Feuille de Donnée'!$K$13,""),IF(AM42&lt;$H$168*'Feuille de Donnée'!$I$9,"Négligeable",(IF(AND(AK42&gt;=$F42*(1-'Feuille de Donnée'!$E$12),AK42&lt;=$F42*(1+'Feuille de Donnée'!$F$12)),'Feuille de Donnée'!$F$17,IF(AK42&lt;$F42*(1-'Feuille de Donnée'!$E$12),'Feuille de Donnée'!$F$18,'Feuille de Donnée'!$F$16))&amp;""&amp;IF(AND(AL42&gt;=$G42*(1-'Feuille de Donnée'!$E$27),AL42&lt;=$G42*(1+'Feuille de Donnée'!$F$27)),'Feuille de Donnée'!$F$32,IF(AL42&lt;$G42*(1-'Feuille de Donnée'!$E$27),'Feuille de Donnée'!$F$33,'Feuille de Donnée'!$F$31)))))</f>
        <v/>
      </c>
      <c r="AR42" s="138"/>
      <c r="AS42" s="103"/>
      <c r="AT42" s="27"/>
      <c r="AU42" s="27"/>
      <c r="AV42" s="27" t="str">
        <f t="shared" si="32"/>
        <v/>
      </c>
      <c r="AW42" s="121" t="str">
        <f t="shared" si="33"/>
        <v/>
      </c>
      <c r="AX42" s="121" t="str">
        <f t="shared" si="34"/>
        <v/>
      </c>
      <c r="AY42" s="27" t="str">
        <f>IF(AND(ISBLANK(BA42),AZ42=""),"",1+MAX(AY$21:AY41))</f>
        <v/>
      </c>
      <c r="AZ42" s="137" t="str">
        <f>IF(OR(AV42="",AV42=0,$H42="",$H42=0,NOT(ISNUMBER($H42)),NOT(ISNUMBER(AV42))),IF(AND($E42&lt;&gt;"",AND(OR(ISNUMBER(AV42),AV42=""),AND(ISNUMBER($H42),$H42&gt;0))),'Feuille de Donnée'!$K$13,""),IF(AV42&lt;$H$168*'Feuille de Donnée'!$I$9,"Négligeable",(IF(AND(AT42&gt;=$F42*(1-'Feuille de Donnée'!$E$12),AT42&lt;=$F42*(1+'Feuille de Donnée'!$F$12)),'Feuille de Donnée'!$F$17,IF(AT42&lt;$F42*(1-'Feuille de Donnée'!$E$12),'Feuille de Donnée'!$F$18,'Feuille de Donnée'!$F$16))&amp;""&amp;IF(AND(AU42&gt;=$G42*(1-'Feuille de Donnée'!$E$27),AU42&lt;=$G42*(1+'Feuille de Donnée'!$F$27)),'Feuille de Donnée'!$F$32,IF(AU42&lt;$G42*(1-'Feuille de Donnée'!$E$27),'Feuille de Donnée'!$F$33,'Feuille de Donnée'!$F$31)))))</f>
        <v/>
      </c>
      <c r="BA42" s="138"/>
      <c r="BB42" s="103"/>
      <c r="BC42" s="27"/>
      <c r="BD42" s="27"/>
      <c r="BE42" s="27" t="str">
        <f t="shared" si="35"/>
        <v/>
      </c>
      <c r="BF42" s="121" t="str">
        <f t="shared" si="36"/>
        <v/>
      </c>
      <c r="BG42" s="121" t="str">
        <f t="shared" si="37"/>
        <v/>
      </c>
      <c r="BH42" s="27" t="str">
        <f>IF(AND(ISBLANK(BJ42),BI42=""),"",1+MAX(BH$21:BH41))</f>
        <v/>
      </c>
      <c r="BI42" s="137" t="str">
        <f>IF(OR(BE42="",BE42=0,$H42="",$H42=0,NOT(ISNUMBER($H42)),NOT(ISNUMBER(BE42))),IF(AND($E42&lt;&gt;"",AND(OR(ISNUMBER(BE42),BE42=""),AND(ISNUMBER($H42),$H42&gt;0))),'Feuille de Donnée'!$K$13,""),IF(BE42&lt;$H$168*'Feuille de Donnée'!$I$9,"Négligeable",(IF(AND(BC42&gt;=$F42*(1-'Feuille de Donnée'!$E$12),BC42&lt;=$F42*(1+'Feuille de Donnée'!$F$12)),'Feuille de Donnée'!$F$17,IF(BC42&lt;$F42*(1-'Feuille de Donnée'!$E$12),'Feuille de Donnée'!$F$18,'Feuille de Donnée'!$F$16))&amp;""&amp;IF(AND(BD42&gt;=$G42*(1-'Feuille de Donnée'!$E$27),BD42&lt;=$G42*(1+'Feuille de Donnée'!$F$27)),'Feuille de Donnée'!$F$32,IF(BD42&lt;$G42*(1-'Feuille de Donnée'!$E$27),'Feuille de Donnée'!$F$33,'Feuille de Donnée'!$F$31)))))</f>
        <v/>
      </c>
      <c r="BJ42" s="138"/>
      <c r="BK42" s="140"/>
    </row>
    <row r="43" spans="1:63" s="6" customFormat="1" x14ac:dyDescent="0.3">
      <c r="A43" s="23"/>
      <c r="B43" s="24"/>
      <c r="C43" s="24"/>
      <c r="D43" s="24"/>
      <c r="E43" s="22"/>
      <c r="F43" s="25"/>
      <c r="G43" s="26"/>
      <c r="H43" s="102" t="str">
        <f t="shared" si="19"/>
        <v/>
      </c>
      <c r="I43" s="103"/>
      <c r="J43" s="27"/>
      <c r="K43" s="27"/>
      <c r="L43" s="27" t="str">
        <f t="shared" si="20"/>
        <v/>
      </c>
      <c r="M43" s="121" t="str">
        <f t="shared" si="21"/>
        <v/>
      </c>
      <c r="N43" s="121" t="str">
        <f t="shared" si="22"/>
        <v/>
      </c>
      <c r="O43" s="27" t="str">
        <f>IF(AND(ISBLANK(Q43),P43=""),"",1+MAX(O$21:O42))</f>
        <v/>
      </c>
      <c r="P43" s="137" t="str">
        <f>IF(OR(L43="",L43=0,$H43="",$H43=0,NOT(ISNUMBER($H43)),NOT(ISNUMBER(L43))),IF(AND($E43&lt;&gt;"",AND(OR(ISNUMBER(L43),L43=""),AND(ISNUMBER($H43),$H43&gt;0))),'Feuille de Donnée'!$K$13,""),IF(L43&lt;$H$168*'Feuille de Donnée'!$I$9,"Négligeable",(IF(AND(J43&gt;=$F43*(1-'Feuille de Donnée'!$E$12),J43&lt;=$F43*(1+'Feuille de Donnée'!$F$12)),'Feuille de Donnée'!$F$17,IF(J43&lt;$F43*(1-'Feuille de Donnée'!$E$12),'Feuille de Donnée'!$F$18,'Feuille de Donnée'!$F$16))&amp;""&amp;IF(AND(K43&gt;=$G43*(1-'Feuille de Donnée'!$E$27),K43&lt;=$G43*(1+'Feuille de Donnée'!$F$27)),'Feuille de Donnée'!$F$32,IF(K43&lt;$G43*(1-'Feuille de Donnée'!$E$27),'Feuille de Donnée'!$F$33,'Feuille de Donnée'!$F$31)))))</f>
        <v/>
      </c>
      <c r="Q43" s="138"/>
      <c r="R43" s="103"/>
      <c r="S43" s="27"/>
      <c r="T43" s="27"/>
      <c r="U43" s="27" t="str">
        <f t="shared" si="23"/>
        <v/>
      </c>
      <c r="V43" s="121" t="str">
        <f t="shared" si="24"/>
        <v/>
      </c>
      <c r="W43" s="121" t="str">
        <f t="shared" si="25"/>
        <v/>
      </c>
      <c r="X43" s="27" t="str">
        <f>IF(AND(ISBLANK(Z43),Y43=""),"",1+MAX(X$21:X42))</f>
        <v/>
      </c>
      <c r="Y43" s="137" t="str">
        <f>IF(OR(U43="",U43=0,$H43="",$H43=0,NOT(ISNUMBER($H43)),NOT(ISNUMBER(U43))),IF(AND($E43&lt;&gt;"",AND(OR(ISNUMBER(U43),U43=""),AND(ISNUMBER($H43),$H43&gt;0))),'Feuille de Donnée'!$K$13,""),IF(U43&lt;$H$168*'Feuille de Donnée'!$I$9,"Négligeable",(IF(AND(S43&gt;=$F43*(1-'Feuille de Donnée'!$E$12),S43&lt;=$F43*(1+'Feuille de Donnée'!$F$12)),'Feuille de Donnée'!$F$17,IF(S43&lt;$F43*(1-'Feuille de Donnée'!$E$12),'Feuille de Donnée'!$F$18,'Feuille de Donnée'!$F$16))&amp;""&amp;IF(AND(T43&gt;=$G43*(1-'Feuille de Donnée'!$E$27),T43&lt;=$G43*(1+'Feuille de Donnée'!$F$27)),'Feuille de Donnée'!$F$32,IF(T43&lt;$G43*(1-'Feuille de Donnée'!$E$27),'Feuille de Donnée'!$F$33,'Feuille de Donnée'!$F$31)))))</f>
        <v/>
      </c>
      <c r="Z43" s="138"/>
      <c r="AA43" s="103"/>
      <c r="AB43" s="27"/>
      <c r="AC43" s="27"/>
      <c r="AD43" s="27" t="str">
        <f t="shared" si="26"/>
        <v/>
      </c>
      <c r="AE43" s="121" t="str">
        <f t="shared" si="27"/>
        <v/>
      </c>
      <c r="AF43" s="121" t="str">
        <f t="shared" si="28"/>
        <v/>
      </c>
      <c r="AG43" s="27" t="str">
        <f>IF(AND(ISBLANK(AI43),AH43=""),"",1+MAX(AG$21:AG42))</f>
        <v/>
      </c>
      <c r="AH43" s="137" t="str">
        <f>IF(OR(AD43="",AD43=0,$H43="",$H43=0,NOT(ISNUMBER($H43)),NOT(ISNUMBER(AD43))),IF(AND($E43&lt;&gt;"",AND(OR(ISNUMBER(AD43),AD43=""),AND(ISNUMBER($H43),$H43&gt;0))),'Feuille de Donnée'!$K$13,""),IF(AD43&lt;$H$168*'Feuille de Donnée'!$I$9,"Négligeable",(IF(AND(AB43&gt;=$F43*(1-'Feuille de Donnée'!$E$12),AB43&lt;=$F43*(1+'Feuille de Donnée'!$F$12)),'Feuille de Donnée'!$F$17,IF(AB43&lt;$F43*(1-'Feuille de Donnée'!$E$12),'Feuille de Donnée'!$F$18,'Feuille de Donnée'!$F$16))&amp;""&amp;IF(AND(AC43&gt;=$G43*(1-'Feuille de Donnée'!$E$27),AC43&lt;=$G43*(1+'Feuille de Donnée'!$F$27)),'Feuille de Donnée'!$F$32,IF(AC43&lt;$G43*(1-'Feuille de Donnée'!$E$27),'Feuille de Donnée'!$F$33,'Feuille de Donnée'!$F$31)))))</f>
        <v/>
      </c>
      <c r="AI43" s="138"/>
      <c r="AJ43" s="103"/>
      <c r="AK43" s="27"/>
      <c r="AL43" s="27"/>
      <c r="AM43" s="27" t="str">
        <f t="shared" si="29"/>
        <v/>
      </c>
      <c r="AN43" s="121" t="str">
        <f t="shared" si="30"/>
        <v/>
      </c>
      <c r="AO43" s="121" t="str">
        <f t="shared" si="31"/>
        <v/>
      </c>
      <c r="AP43" s="27" t="str">
        <f>IF(AND(ISBLANK(AR43),AQ43=""),"",1+MAX(AP$21:AP42))</f>
        <v/>
      </c>
      <c r="AQ43" s="137" t="str">
        <f>IF(OR(AM43="",AM43=0,$H43="",$H43=0,NOT(ISNUMBER($H43)),NOT(ISNUMBER(AM43))),IF(AND($E43&lt;&gt;"",AND(OR(ISNUMBER(AM43),AM43=""),AND(ISNUMBER($H43),$H43&gt;0))),'Feuille de Donnée'!$K$13,""),IF(AM43&lt;$H$168*'Feuille de Donnée'!$I$9,"Négligeable",(IF(AND(AK43&gt;=$F43*(1-'Feuille de Donnée'!$E$12),AK43&lt;=$F43*(1+'Feuille de Donnée'!$F$12)),'Feuille de Donnée'!$F$17,IF(AK43&lt;$F43*(1-'Feuille de Donnée'!$E$12),'Feuille de Donnée'!$F$18,'Feuille de Donnée'!$F$16))&amp;""&amp;IF(AND(AL43&gt;=$G43*(1-'Feuille de Donnée'!$E$27),AL43&lt;=$G43*(1+'Feuille de Donnée'!$F$27)),'Feuille de Donnée'!$F$32,IF(AL43&lt;$G43*(1-'Feuille de Donnée'!$E$27),'Feuille de Donnée'!$F$33,'Feuille de Donnée'!$F$31)))))</f>
        <v/>
      </c>
      <c r="AR43" s="138"/>
      <c r="AS43" s="103"/>
      <c r="AT43" s="27"/>
      <c r="AU43" s="27"/>
      <c r="AV43" s="27" t="str">
        <f t="shared" si="32"/>
        <v/>
      </c>
      <c r="AW43" s="121" t="str">
        <f t="shared" si="33"/>
        <v/>
      </c>
      <c r="AX43" s="121" t="str">
        <f t="shared" si="34"/>
        <v/>
      </c>
      <c r="AY43" s="27" t="str">
        <f>IF(AND(ISBLANK(BA43),AZ43=""),"",1+MAX(AY$21:AY42))</f>
        <v/>
      </c>
      <c r="AZ43" s="137" t="str">
        <f>IF(OR(AV43="",AV43=0,$H43="",$H43=0,NOT(ISNUMBER($H43)),NOT(ISNUMBER(AV43))),IF(AND($E43&lt;&gt;"",AND(OR(ISNUMBER(AV43),AV43=""),AND(ISNUMBER($H43),$H43&gt;0))),'Feuille de Donnée'!$K$13,""),IF(AV43&lt;$H$168*'Feuille de Donnée'!$I$9,"Négligeable",(IF(AND(AT43&gt;=$F43*(1-'Feuille de Donnée'!$E$12),AT43&lt;=$F43*(1+'Feuille de Donnée'!$F$12)),'Feuille de Donnée'!$F$17,IF(AT43&lt;$F43*(1-'Feuille de Donnée'!$E$12),'Feuille de Donnée'!$F$18,'Feuille de Donnée'!$F$16))&amp;""&amp;IF(AND(AU43&gt;=$G43*(1-'Feuille de Donnée'!$E$27),AU43&lt;=$G43*(1+'Feuille de Donnée'!$F$27)),'Feuille de Donnée'!$F$32,IF(AU43&lt;$G43*(1-'Feuille de Donnée'!$E$27),'Feuille de Donnée'!$F$33,'Feuille de Donnée'!$F$31)))))</f>
        <v/>
      </c>
      <c r="BA43" s="138"/>
      <c r="BB43" s="103"/>
      <c r="BC43" s="27"/>
      <c r="BD43" s="27"/>
      <c r="BE43" s="27" t="str">
        <f t="shared" si="35"/>
        <v/>
      </c>
      <c r="BF43" s="121" t="str">
        <f t="shared" si="36"/>
        <v/>
      </c>
      <c r="BG43" s="121" t="str">
        <f t="shared" si="37"/>
        <v/>
      </c>
      <c r="BH43" s="27" t="str">
        <f>IF(AND(ISBLANK(BJ43),BI43=""),"",1+MAX(BH$21:BH42))</f>
        <v/>
      </c>
      <c r="BI43" s="137" t="str">
        <f>IF(OR(BE43="",BE43=0,$H43="",$H43=0,NOT(ISNUMBER($H43)),NOT(ISNUMBER(BE43))),IF(AND($E43&lt;&gt;"",AND(OR(ISNUMBER(BE43),BE43=""),AND(ISNUMBER($H43),$H43&gt;0))),'Feuille de Donnée'!$K$13,""),IF(BE43&lt;$H$168*'Feuille de Donnée'!$I$9,"Négligeable",(IF(AND(BC43&gt;=$F43*(1-'Feuille de Donnée'!$E$12),BC43&lt;=$F43*(1+'Feuille de Donnée'!$F$12)),'Feuille de Donnée'!$F$17,IF(BC43&lt;$F43*(1-'Feuille de Donnée'!$E$12),'Feuille de Donnée'!$F$18,'Feuille de Donnée'!$F$16))&amp;""&amp;IF(AND(BD43&gt;=$G43*(1-'Feuille de Donnée'!$E$27),BD43&lt;=$G43*(1+'Feuille de Donnée'!$F$27)),'Feuille de Donnée'!$F$32,IF(BD43&lt;$G43*(1-'Feuille de Donnée'!$E$27),'Feuille de Donnée'!$F$33,'Feuille de Donnée'!$F$31)))))</f>
        <v/>
      </c>
      <c r="BJ43" s="138"/>
      <c r="BK43" s="140"/>
    </row>
    <row r="44" spans="1:63" s="6" customFormat="1" x14ac:dyDescent="0.3">
      <c r="A44" s="23"/>
      <c r="B44" s="24"/>
      <c r="C44" s="24"/>
      <c r="D44" s="24"/>
      <c r="E44" s="22"/>
      <c r="F44" s="25"/>
      <c r="G44" s="26"/>
      <c r="H44" s="102" t="str">
        <f t="shared" si="19"/>
        <v/>
      </c>
      <c r="I44" s="103"/>
      <c r="J44" s="27"/>
      <c r="K44" s="27"/>
      <c r="L44" s="27" t="str">
        <f t="shared" si="20"/>
        <v/>
      </c>
      <c r="M44" s="121" t="str">
        <f t="shared" si="21"/>
        <v/>
      </c>
      <c r="N44" s="121" t="str">
        <f t="shared" si="22"/>
        <v/>
      </c>
      <c r="O44" s="27" t="str">
        <f>IF(AND(ISBLANK(Q44),P44=""),"",1+MAX(O$21:O43))</f>
        <v/>
      </c>
      <c r="P44" s="137" t="str">
        <f>IF(OR(L44="",L44=0,$H44="",$H44=0,NOT(ISNUMBER($H44)),NOT(ISNUMBER(L44))),IF(AND($E44&lt;&gt;"",AND(OR(ISNUMBER(L44),L44=""),AND(ISNUMBER($H44),$H44&gt;0))),'Feuille de Donnée'!$K$13,""),IF(L44&lt;$H$168*'Feuille de Donnée'!$I$9,"Négligeable",(IF(AND(J44&gt;=$F44*(1-'Feuille de Donnée'!$E$12),J44&lt;=$F44*(1+'Feuille de Donnée'!$F$12)),'Feuille de Donnée'!$F$17,IF(J44&lt;$F44*(1-'Feuille de Donnée'!$E$12),'Feuille de Donnée'!$F$18,'Feuille de Donnée'!$F$16))&amp;""&amp;IF(AND(K44&gt;=$G44*(1-'Feuille de Donnée'!$E$27),K44&lt;=$G44*(1+'Feuille de Donnée'!$F$27)),'Feuille de Donnée'!$F$32,IF(K44&lt;$G44*(1-'Feuille de Donnée'!$E$27),'Feuille de Donnée'!$F$33,'Feuille de Donnée'!$F$31)))))</f>
        <v/>
      </c>
      <c r="Q44" s="138"/>
      <c r="R44" s="103"/>
      <c r="S44" s="27"/>
      <c r="T44" s="27"/>
      <c r="U44" s="27" t="str">
        <f t="shared" si="23"/>
        <v/>
      </c>
      <c r="V44" s="121" t="str">
        <f t="shared" si="24"/>
        <v/>
      </c>
      <c r="W44" s="121" t="str">
        <f t="shared" si="25"/>
        <v/>
      </c>
      <c r="X44" s="27" t="str">
        <f>IF(AND(ISBLANK(Z44),Y44=""),"",1+MAX(X$21:X43))</f>
        <v/>
      </c>
      <c r="Y44" s="137" t="str">
        <f>IF(OR(U44="",U44=0,$H44="",$H44=0,NOT(ISNUMBER($H44)),NOT(ISNUMBER(U44))),IF(AND($E44&lt;&gt;"",AND(OR(ISNUMBER(U44),U44=""),AND(ISNUMBER($H44),$H44&gt;0))),'Feuille de Donnée'!$K$13,""),IF(U44&lt;$H$168*'Feuille de Donnée'!$I$9,"Négligeable",(IF(AND(S44&gt;=$F44*(1-'Feuille de Donnée'!$E$12),S44&lt;=$F44*(1+'Feuille de Donnée'!$F$12)),'Feuille de Donnée'!$F$17,IF(S44&lt;$F44*(1-'Feuille de Donnée'!$E$12),'Feuille de Donnée'!$F$18,'Feuille de Donnée'!$F$16))&amp;""&amp;IF(AND(T44&gt;=$G44*(1-'Feuille de Donnée'!$E$27),T44&lt;=$G44*(1+'Feuille de Donnée'!$F$27)),'Feuille de Donnée'!$F$32,IF(T44&lt;$G44*(1-'Feuille de Donnée'!$E$27),'Feuille de Donnée'!$F$33,'Feuille de Donnée'!$F$31)))))</f>
        <v/>
      </c>
      <c r="Z44" s="138"/>
      <c r="AA44" s="103"/>
      <c r="AB44" s="27"/>
      <c r="AC44" s="27"/>
      <c r="AD44" s="27" t="str">
        <f t="shared" si="26"/>
        <v/>
      </c>
      <c r="AE44" s="121" t="str">
        <f t="shared" si="27"/>
        <v/>
      </c>
      <c r="AF44" s="121" t="str">
        <f t="shared" si="28"/>
        <v/>
      </c>
      <c r="AG44" s="27" t="str">
        <f>IF(AND(ISBLANK(AI44),AH44=""),"",1+MAX(AG$21:AG43))</f>
        <v/>
      </c>
      <c r="AH44" s="137" t="str">
        <f>IF(OR(AD44="",AD44=0,$H44="",$H44=0,NOT(ISNUMBER($H44)),NOT(ISNUMBER(AD44))),IF(AND($E44&lt;&gt;"",AND(OR(ISNUMBER(AD44),AD44=""),AND(ISNUMBER($H44),$H44&gt;0))),'Feuille de Donnée'!$K$13,""),IF(AD44&lt;$H$168*'Feuille de Donnée'!$I$9,"Négligeable",(IF(AND(AB44&gt;=$F44*(1-'Feuille de Donnée'!$E$12),AB44&lt;=$F44*(1+'Feuille de Donnée'!$F$12)),'Feuille de Donnée'!$F$17,IF(AB44&lt;$F44*(1-'Feuille de Donnée'!$E$12),'Feuille de Donnée'!$F$18,'Feuille de Donnée'!$F$16))&amp;""&amp;IF(AND(AC44&gt;=$G44*(1-'Feuille de Donnée'!$E$27),AC44&lt;=$G44*(1+'Feuille de Donnée'!$F$27)),'Feuille de Donnée'!$F$32,IF(AC44&lt;$G44*(1-'Feuille de Donnée'!$E$27),'Feuille de Donnée'!$F$33,'Feuille de Donnée'!$F$31)))))</f>
        <v/>
      </c>
      <c r="AI44" s="138"/>
      <c r="AJ44" s="103"/>
      <c r="AK44" s="27"/>
      <c r="AL44" s="27"/>
      <c r="AM44" s="27" t="str">
        <f t="shared" si="29"/>
        <v/>
      </c>
      <c r="AN44" s="121" t="str">
        <f t="shared" si="30"/>
        <v/>
      </c>
      <c r="AO44" s="121" t="str">
        <f t="shared" si="31"/>
        <v/>
      </c>
      <c r="AP44" s="27" t="str">
        <f>IF(AND(ISBLANK(AR44),AQ44=""),"",1+MAX(AP$21:AP43))</f>
        <v/>
      </c>
      <c r="AQ44" s="137" t="str">
        <f>IF(OR(AM44="",AM44=0,$H44="",$H44=0,NOT(ISNUMBER($H44)),NOT(ISNUMBER(AM44))),IF(AND($E44&lt;&gt;"",AND(OR(ISNUMBER(AM44),AM44=""),AND(ISNUMBER($H44),$H44&gt;0))),'Feuille de Donnée'!$K$13,""),IF(AM44&lt;$H$168*'Feuille de Donnée'!$I$9,"Négligeable",(IF(AND(AK44&gt;=$F44*(1-'Feuille de Donnée'!$E$12),AK44&lt;=$F44*(1+'Feuille de Donnée'!$F$12)),'Feuille de Donnée'!$F$17,IF(AK44&lt;$F44*(1-'Feuille de Donnée'!$E$12),'Feuille de Donnée'!$F$18,'Feuille de Donnée'!$F$16))&amp;""&amp;IF(AND(AL44&gt;=$G44*(1-'Feuille de Donnée'!$E$27),AL44&lt;=$G44*(1+'Feuille de Donnée'!$F$27)),'Feuille de Donnée'!$F$32,IF(AL44&lt;$G44*(1-'Feuille de Donnée'!$E$27),'Feuille de Donnée'!$F$33,'Feuille de Donnée'!$F$31)))))</f>
        <v/>
      </c>
      <c r="AR44" s="138"/>
      <c r="AS44" s="103"/>
      <c r="AT44" s="27"/>
      <c r="AU44" s="27"/>
      <c r="AV44" s="27" t="str">
        <f t="shared" si="32"/>
        <v/>
      </c>
      <c r="AW44" s="121" t="str">
        <f t="shared" si="33"/>
        <v/>
      </c>
      <c r="AX44" s="121" t="str">
        <f t="shared" si="34"/>
        <v/>
      </c>
      <c r="AY44" s="27" t="str">
        <f>IF(AND(ISBLANK(BA44),AZ44=""),"",1+MAX(AY$21:AY43))</f>
        <v/>
      </c>
      <c r="AZ44" s="137" t="str">
        <f>IF(OR(AV44="",AV44=0,$H44="",$H44=0,NOT(ISNUMBER($H44)),NOT(ISNUMBER(AV44))),IF(AND($E44&lt;&gt;"",AND(OR(ISNUMBER(AV44),AV44=""),AND(ISNUMBER($H44),$H44&gt;0))),'Feuille de Donnée'!$K$13,""),IF(AV44&lt;$H$168*'Feuille de Donnée'!$I$9,"Négligeable",(IF(AND(AT44&gt;=$F44*(1-'Feuille de Donnée'!$E$12),AT44&lt;=$F44*(1+'Feuille de Donnée'!$F$12)),'Feuille de Donnée'!$F$17,IF(AT44&lt;$F44*(1-'Feuille de Donnée'!$E$12),'Feuille de Donnée'!$F$18,'Feuille de Donnée'!$F$16))&amp;""&amp;IF(AND(AU44&gt;=$G44*(1-'Feuille de Donnée'!$E$27),AU44&lt;=$G44*(1+'Feuille de Donnée'!$F$27)),'Feuille de Donnée'!$F$32,IF(AU44&lt;$G44*(1-'Feuille de Donnée'!$E$27),'Feuille de Donnée'!$F$33,'Feuille de Donnée'!$F$31)))))</f>
        <v/>
      </c>
      <c r="BA44" s="138"/>
      <c r="BB44" s="103"/>
      <c r="BC44" s="27"/>
      <c r="BD44" s="27"/>
      <c r="BE44" s="27" t="str">
        <f t="shared" si="35"/>
        <v/>
      </c>
      <c r="BF44" s="121" t="str">
        <f t="shared" si="36"/>
        <v/>
      </c>
      <c r="BG44" s="121" t="str">
        <f t="shared" si="37"/>
        <v/>
      </c>
      <c r="BH44" s="27" t="str">
        <f>IF(AND(ISBLANK(BJ44),BI44=""),"",1+MAX(BH$21:BH43))</f>
        <v/>
      </c>
      <c r="BI44" s="137" t="str">
        <f>IF(OR(BE44="",BE44=0,$H44="",$H44=0,NOT(ISNUMBER($H44)),NOT(ISNUMBER(BE44))),IF(AND($E44&lt;&gt;"",AND(OR(ISNUMBER(BE44),BE44=""),AND(ISNUMBER($H44),$H44&gt;0))),'Feuille de Donnée'!$K$13,""),IF(BE44&lt;$H$168*'Feuille de Donnée'!$I$9,"Négligeable",(IF(AND(BC44&gt;=$F44*(1-'Feuille de Donnée'!$E$12),BC44&lt;=$F44*(1+'Feuille de Donnée'!$F$12)),'Feuille de Donnée'!$F$17,IF(BC44&lt;$F44*(1-'Feuille de Donnée'!$E$12),'Feuille de Donnée'!$F$18,'Feuille de Donnée'!$F$16))&amp;""&amp;IF(AND(BD44&gt;=$G44*(1-'Feuille de Donnée'!$E$27),BD44&lt;=$G44*(1+'Feuille de Donnée'!$F$27)),'Feuille de Donnée'!$F$32,IF(BD44&lt;$G44*(1-'Feuille de Donnée'!$E$27),'Feuille de Donnée'!$F$33,'Feuille de Donnée'!$F$31)))))</f>
        <v/>
      </c>
      <c r="BJ44" s="138"/>
      <c r="BK44" s="140"/>
    </row>
    <row r="45" spans="1:63" s="6" customFormat="1" x14ac:dyDescent="0.3">
      <c r="A45" s="23"/>
      <c r="B45" s="24"/>
      <c r="C45" s="24"/>
      <c r="D45" s="24"/>
      <c r="E45" s="22"/>
      <c r="F45" s="25"/>
      <c r="G45" s="26"/>
      <c r="H45" s="102" t="str">
        <f t="shared" si="19"/>
        <v/>
      </c>
      <c r="I45" s="103"/>
      <c r="J45" s="27"/>
      <c r="K45" s="27"/>
      <c r="L45" s="27" t="str">
        <f t="shared" si="20"/>
        <v/>
      </c>
      <c r="M45" s="121" t="str">
        <f t="shared" si="21"/>
        <v/>
      </c>
      <c r="N45" s="121" t="str">
        <f t="shared" si="22"/>
        <v/>
      </c>
      <c r="O45" s="27" t="str">
        <f>IF(AND(ISBLANK(Q45),P45=""),"",1+MAX(O$21:O44))</f>
        <v/>
      </c>
      <c r="P45" s="137" t="str">
        <f>IF(OR(L45="",L45=0,$H45="",$H45=0,NOT(ISNUMBER($H45)),NOT(ISNUMBER(L45))),IF(AND($E45&lt;&gt;"",AND(OR(ISNUMBER(L45),L45=""),AND(ISNUMBER($H45),$H45&gt;0))),'Feuille de Donnée'!$K$13,""),IF(L45&lt;$H$168*'Feuille de Donnée'!$I$9,"Négligeable",(IF(AND(J45&gt;=$F45*(1-'Feuille de Donnée'!$E$12),J45&lt;=$F45*(1+'Feuille de Donnée'!$F$12)),'Feuille de Donnée'!$F$17,IF(J45&lt;$F45*(1-'Feuille de Donnée'!$E$12),'Feuille de Donnée'!$F$18,'Feuille de Donnée'!$F$16))&amp;""&amp;IF(AND(K45&gt;=$G45*(1-'Feuille de Donnée'!$E$27),K45&lt;=$G45*(1+'Feuille de Donnée'!$F$27)),'Feuille de Donnée'!$F$32,IF(K45&lt;$G45*(1-'Feuille de Donnée'!$E$27),'Feuille de Donnée'!$F$33,'Feuille de Donnée'!$F$31)))))</f>
        <v/>
      </c>
      <c r="Q45" s="138"/>
      <c r="R45" s="103"/>
      <c r="S45" s="27"/>
      <c r="T45" s="27"/>
      <c r="U45" s="27" t="str">
        <f t="shared" si="23"/>
        <v/>
      </c>
      <c r="V45" s="121" t="str">
        <f t="shared" si="24"/>
        <v/>
      </c>
      <c r="W45" s="121" t="str">
        <f t="shared" si="25"/>
        <v/>
      </c>
      <c r="X45" s="27" t="str">
        <f>IF(AND(ISBLANK(Z45),Y45=""),"",1+MAX(X$21:X44))</f>
        <v/>
      </c>
      <c r="Y45" s="137" t="str">
        <f>IF(OR(U45="",U45=0,$H45="",$H45=0,NOT(ISNUMBER($H45)),NOT(ISNUMBER(U45))),IF(AND($E45&lt;&gt;"",AND(OR(ISNUMBER(U45),U45=""),AND(ISNUMBER($H45),$H45&gt;0))),'Feuille de Donnée'!$K$13,""),IF(U45&lt;$H$168*'Feuille de Donnée'!$I$9,"Négligeable",(IF(AND(S45&gt;=$F45*(1-'Feuille de Donnée'!$E$12),S45&lt;=$F45*(1+'Feuille de Donnée'!$F$12)),'Feuille de Donnée'!$F$17,IF(S45&lt;$F45*(1-'Feuille de Donnée'!$E$12),'Feuille de Donnée'!$F$18,'Feuille de Donnée'!$F$16))&amp;""&amp;IF(AND(T45&gt;=$G45*(1-'Feuille de Donnée'!$E$27),T45&lt;=$G45*(1+'Feuille de Donnée'!$F$27)),'Feuille de Donnée'!$F$32,IF(T45&lt;$G45*(1-'Feuille de Donnée'!$E$27),'Feuille de Donnée'!$F$33,'Feuille de Donnée'!$F$31)))))</f>
        <v/>
      </c>
      <c r="Z45" s="138"/>
      <c r="AA45" s="103"/>
      <c r="AB45" s="27"/>
      <c r="AC45" s="27"/>
      <c r="AD45" s="27" t="str">
        <f t="shared" si="26"/>
        <v/>
      </c>
      <c r="AE45" s="121" t="str">
        <f t="shared" si="27"/>
        <v/>
      </c>
      <c r="AF45" s="121" t="str">
        <f t="shared" si="28"/>
        <v/>
      </c>
      <c r="AG45" s="27" t="str">
        <f>IF(AND(ISBLANK(AI45),AH45=""),"",1+MAX(AG$21:AG44))</f>
        <v/>
      </c>
      <c r="AH45" s="137" t="str">
        <f>IF(OR(AD45="",AD45=0,$H45="",$H45=0,NOT(ISNUMBER($H45)),NOT(ISNUMBER(AD45))),IF(AND($E45&lt;&gt;"",AND(OR(ISNUMBER(AD45),AD45=""),AND(ISNUMBER($H45),$H45&gt;0))),'Feuille de Donnée'!$K$13,""),IF(AD45&lt;$H$168*'Feuille de Donnée'!$I$9,"Négligeable",(IF(AND(AB45&gt;=$F45*(1-'Feuille de Donnée'!$E$12),AB45&lt;=$F45*(1+'Feuille de Donnée'!$F$12)),'Feuille de Donnée'!$F$17,IF(AB45&lt;$F45*(1-'Feuille de Donnée'!$E$12),'Feuille de Donnée'!$F$18,'Feuille de Donnée'!$F$16))&amp;""&amp;IF(AND(AC45&gt;=$G45*(1-'Feuille de Donnée'!$E$27),AC45&lt;=$G45*(1+'Feuille de Donnée'!$F$27)),'Feuille de Donnée'!$F$32,IF(AC45&lt;$G45*(1-'Feuille de Donnée'!$E$27),'Feuille de Donnée'!$F$33,'Feuille de Donnée'!$F$31)))))</f>
        <v/>
      </c>
      <c r="AI45" s="138"/>
      <c r="AJ45" s="103"/>
      <c r="AK45" s="27"/>
      <c r="AL45" s="27"/>
      <c r="AM45" s="27" t="str">
        <f t="shared" si="29"/>
        <v/>
      </c>
      <c r="AN45" s="121" t="str">
        <f t="shared" si="30"/>
        <v/>
      </c>
      <c r="AO45" s="121" t="str">
        <f t="shared" si="31"/>
        <v/>
      </c>
      <c r="AP45" s="27" t="str">
        <f>IF(AND(ISBLANK(AR45),AQ45=""),"",1+MAX(AP$21:AP44))</f>
        <v/>
      </c>
      <c r="AQ45" s="137" t="str">
        <f>IF(OR(AM45="",AM45=0,$H45="",$H45=0,NOT(ISNUMBER($H45)),NOT(ISNUMBER(AM45))),IF(AND($E45&lt;&gt;"",AND(OR(ISNUMBER(AM45),AM45=""),AND(ISNUMBER($H45),$H45&gt;0))),'Feuille de Donnée'!$K$13,""),IF(AM45&lt;$H$168*'Feuille de Donnée'!$I$9,"Négligeable",(IF(AND(AK45&gt;=$F45*(1-'Feuille de Donnée'!$E$12),AK45&lt;=$F45*(1+'Feuille de Donnée'!$F$12)),'Feuille de Donnée'!$F$17,IF(AK45&lt;$F45*(1-'Feuille de Donnée'!$E$12),'Feuille de Donnée'!$F$18,'Feuille de Donnée'!$F$16))&amp;""&amp;IF(AND(AL45&gt;=$G45*(1-'Feuille de Donnée'!$E$27),AL45&lt;=$G45*(1+'Feuille de Donnée'!$F$27)),'Feuille de Donnée'!$F$32,IF(AL45&lt;$G45*(1-'Feuille de Donnée'!$E$27),'Feuille de Donnée'!$F$33,'Feuille de Donnée'!$F$31)))))</f>
        <v/>
      </c>
      <c r="AR45" s="138"/>
      <c r="AS45" s="103"/>
      <c r="AT45" s="27"/>
      <c r="AU45" s="27"/>
      <c r="AV45" s="27" t="str">
        <f t="shared" si="32"/>
        <v/>
      </c>
      <c r="AW45" s="121" t="str">
        <f t="shared" si="33"/>
        <v/>
      </c>
      <c r="AX45" s="121" t="str">
        <f t="shared" si="34"/>
        <v/>
      </c>
      <c r="AY45" s="27" t="str">
        <f>IF(AND(ISBLANK(BA45),AZ45=""),"",1+MAX(AY$21:AY44))</f>
        <v/>
      </c>
      <c r="AZ45" s="137" t="str">
        <f>IF(OR(AV45="",AV45=0,$H45="",$H45=0,NOT(ISNUMBER($H45)),NOT(ISNUMBER(AV45))),IF(AND($E45&lt;&gt;"",AND(OR(ISNUMBER(AV45),AV45=""),AND(ISNUMBER($H45),$H45&gt;0))),'Feuille de Donnée'!$K$13,""),IF(AV45&lt;$H$168*'Feuille de Donnée'!$I$9,"Négligeable",(IF(AND(AT45&gt;=$F45*(1-'Feuille de Donnée'!$E$12),AT45&lt;=$F45*(1+'Feuille de Donnée'!$F$12)),'Feuille de Donnée'!$F$17,IF(AT45&lt;$F45*(1-'Feuille de Donnée'!$E$12),'Feuille de Donnée'!$F$18,'Feuille de Donnée'!$F$16))&amp;""&amp;IF(AND(AU45&gt;=$G45*(1-'Feuille de Donnée'!$E$27),AU45&lt;=$G45*(1+'Feuille de Donnée'!$F$27)),'Feuille de Donnée'!$F$32,IF(AU45&lt;$G45*(1-'Feuille de Donnée'!$E$27),'Feuille de Donnée'!$F$33,'Feuille de Donnée'!$F$31)))))</f>
        <v/>
      </c>
      <c r="BA45" s="138"/>
      <c r="BB45" s="103"/>
      <c r="BC45" s="27"/>
      <c r="BD45" s="27"/>
      <c r="BE45" s="27" t="str">
        <f t="shared" si="35"/>
        <v/>
      </c>
      <c r="BF45" s="121" t="str">
        <f t="shared" si="36"/>
        <v/>
      </c>
      <c r="BG45" s="121" t="str">
        <f t="shared" si="37"/>
        <v/>
      </c>
      <c r="BH45" s="27" t="str">
        <f>IF(AND(ISBLANK(BJ45),BI45=""),"",1+MAX(BH$21:BH44))</f>
        <v/>
      </c>
      <c r="BI45" s="137" t="str">
        <f>IF(OR(BE45="",BE45=0,$H45="",$H45=0,NOT(ISNUMBER($H45)),NOT(ISNUMBER(BE45))),IF(AND($E45&lt;&gt;"",AND(OR(ISNUMBER(BE45),BE45=""),AND(ISNUMBER($H45),$H45&gt;0))),'Feuille de Donnée'!$K$13,""),IF(BE45&lt;$H$168*'Feuille de Donnée'!$I$9,"Négligeable",(IF(AND(BC45&gt;=$F45*(1-'Feuille de Donnée'!$E$12),BC45&lt;=$F45*(1+'Feuille de Donnée'!$F$12)),'Feuille de Donnée'!$F$17,IF(BC45&lt;$F45*(1-'Feuille de Donnée'!$E$12),'Feuille de Donnée'!$F$18,'Feuille de Donnée'!$F$16))&amp;""&amp;IF(AND(BD45&gt;=$G45*(1-'Feuille de Donnée'!$E$27),BD45&lt;=$G45*(1+'Feuille de Donnée'!$F$27)),'Feuille de Donnée'!$F$32,IF(BD45&lt;$G45*(1-'Feuille de Donnée'!$E$27),'Feuille de Donnée'!$F$33,'Feuille de Donnée'!$F$31)))))</f>
        <v/>
      </c>
      <c r="BJ45" s="138"/>
      <c r="BK45" s="140"/>
    </row>
    <row r="46" spans="1:63" s="6" customFormat="1" x14ac:dyDescent="0.3">
      <c r="A46" s="23"/>
      <c r="B46" s="24"/>
      <c r="C46" s="24"/>
      <c r="D46" s="24"/>
      <c r="E46" s="22"/>
      <c r="F46" s="25"/>
      <c r="G46" s="26"/>
      <c r="H46" s="102" t="str">
        <f t="shared" si="19"/>
        <v/>
      </c>
      <c r="I46" s="103"/>
      <c r="J46" s="27"/>
      <c r="K46" s="27"/>
      <c r="L46" s="27" t="str">
        <f t="shared" si="20"/>
        <v/>
      </c>
      <c r="M46" s="121" t="str">
        <f t="shared" si="21"/>
        <v/>
      </c>
      <c r="N46" s="121" t="str">
        <f t="shared" si="22"/>
        <v/>
      </c>
      <c r="O46" s="27" t="str">
        <f>IF(AND(ISBLANK(Q46),P46=""),"",1+MAX(O$21:O45))</f>
        <v/>
      </c>
      <c r="P46" s="137" t="str">
        <f>IF(OR(L46="",L46=0,$H46="",$H46=0,NOT(ISNUMBER($H46)),NOT(ISNUMBER(L46))),IF(AND($E46&lt;&gt;"",AND(OR(ISNUMBER(L46),L46=""),AND(ISNUMBER($H46),$H46&gt;0))),'Feuille de Donnée'!$K$13,""),IF(L46&lt;$H$168*'Feuille de Donnée'!$I$9,"Négligeable",(IF(AND(J46&gt;=$F46*(1-'Feuille de Donnée'!$E$12),J46&lt;=$F46*(1+'Feuille de Donnée'!$F$12)),'Feuille de Donnée'!$F$17,IF(J46&lt;$F46*(1-'Feuille de Donnée'!$E$12),'Feuille de Donnée'!$F$18,'Feuille de Donnée'!$F$16))&amp;""&amp;IF(AND(K46&gt;=$G46*(1-'Feuille de Donnée'!$E$27),K46&lt;=$G46*(1+'Feuille de Donnée'!$F$27)),'Feuille de Donnée'!$F$32,IF(K46&lt;$G46*(1-'Feuille de Donnée'!$E$27),'Feuille de Donnée'!$F$33,'Feuille de Donnée'!$F$31)))))</f>
        <v/>
      </c>
      <c r="Q46" s="138"/>
      <c r="R46" s="103"/>
      <c r="S46" s="27"/>
      <c r="T46" s="27"/>
      <c r="U46" s="27" t="str">
        <f t="shared" si="23"/>
        <v/>
      </c>
      <c r="V46" s="121" t="str">
        <f t="shared" si="24"/>
        <v/>
      </c>
      <c r="W46" s="121" t="str">
        <f t="shared" si="25"/>
        <v/>
      </c>
      <c r="X46" s="27" t="str">
        <f>IF(AND(ISBLANK(Z46),Y46=""),"",1+MAX(X$21:X45))</f>
        <v/>
      </c>
      <c r="Y46" s="137" t="str">
        <f>IF(OR(U46="",U46=0,$H46="",$H46=0,NOT(ISNUMBER($H46)),NOT(ISNUMBER(U46))),IF(AND($E46&lt;&gt;"",AND(OR(ISNUMBER(U46),U46=""),AND(ISNUMBER($H46),$H46&gt;0))),'Feuille de Donnée'!$K$13,""),IF(U46&lt;$H$168*'Feuille de Donnée'!$I$9,"Négligeable",(IF(AND(S46&gt;=$F46*(1-'Feuille de Donnée'!$E$12),S46&lt;=$F46*(1+'Feuille de Donnée'!$F$12)),'Feuille de Donnée'!$F$17,IF(S46&lt;$F46*(1-'Feuille de Donnée'!$E$12),'Feuille de Donnée'!$F$18,'Feuille de Donnée'!$F$16))&amp;""&amp;IF(AND(T46&gt;=$G46*(1-'Feuille de Donnée'!$E$27),T46&lt;=$G46*(1+'Feuille de Donnée'!$F$27)),'Feuille de Donnée'!$F$32,IF(T46&lt;$G46*(1-'Feuille de Donnée'!$E$27),'Feuille de Donnée'!$F$33,'Feuille de Donnée'!$F$31)))))</f>
        <v/>
      </c>
      <c r="Z46" s="138"/>
      <c r="AA46" s="103"/>
      <c r="AB46" s="27"/>
      <c r="AC46" s="27"/>
      <c r="AD46" s="27" t="str">
        <f t="shared" si="26"/>
        <v/>
      </c>
      <c r="AE46" s="121" t="str">
        <f t="shared" si="27"/>
        <v/>
      </c>
      <c r="AF46" s="121" t="str">
        <f t="shared" si="28"/>
        <v/>
      </c>
      <c r="AG46" s="27" t="str">
        <f>IF(AND(ISBLANK(AI46),AH46=""),"",1+MAX(AG$21:AG45))</f>
        <v/>
      </c>
      <c r="AH46" s="137" t="str">
        <f>IF(OR(AD46="",AD46=0,$H46="",$H46=0,NOT(ISNUMBER($H46)),NOT(ISNUMBER(AD46))),IF(AND($E46&lt;&gt;"",AND(OR(ISNUMBER(AD46),AD46=""),AND(ISNUMBER($H46),$H46&gt;0))),'Feuille de Donnée'!$K$13,""),IF(AD46&lt;$H$168*'Feuille de Donnée'!$I$9,"Négligeable",(IF(AND(AB46&gt;=$F46*(1-'Feuille de Donnée'!$E$12),AB46&lt;=$F46*(1+'Feuille de Donnée'!$F$12)),'Feuille de Donnée'!$F$17,IF(AB46&lt;$F46*(1-'Feuille de Donnée'!$E$12),'Feuille de Donnée'!$F$18,'Feuille de Donnée'!$F$16))&amp;""&amp;IF(AND(AC46&gt;=$G46*(1-'Feuille de Donnée'!$E$27),AC46&lt;=$G46*(1+'Feuille de Donnée'!$F$27)),'Feuille de Donnée'!$F$32,IF(AC46&lt;$G46*(1-'Feuille de Donnée'!$E$27),'Feuille de Donnée'!$F$33,'Feuille de Donnée'!$F$31)))))</f>
        <v/>
      </c>
      <c r="AI46" s="138"/>
      <c r="AJ46" s="103"/>
      <c r="AK46" s="27"/>
      <c r="AL46" s="27"/>
      <c r="AM46" s="27" t="str">
        <f t="shared" si="29"/>
        <v/>
      </c>
      <c r="AN46" s="121" t="str">
        <f t="shared" si="30"/>
        <v/>
      </c>
      <c r="AO46" s="121" t="str">
        <f t="shared" si="31"/>
        <v/>
      </c>
      <c r="AP46" s="27" t="str">
        <f>IF(AND(ISBLANK(AR46),AQ46=""),"",1+MAX(AP$21:AP45))</f>
        <v/>
      </c>
      <c r="AQ46" s="137" t="str">
        <f>IF(OR(AM46="",AM46=0,$H46="",$H46=0,NOT(ISNUMBER($H46)),NOT(ISNUMBER(AM46))),IF(AND($E46&lt;&gt;"",AND(OR(ISNUMBER(AM46),AM46=""),AND(ISNUMBER($H46),$H46&gt;0))),'Feuille de Donnée'!$K$13,""),IF(AM46&lt;$H$168*'Feuille de Donnée'!$I$9,"Négligeable",(IF(AND(AK46&gt;=$F46*(1-'Feuille de Donnée'!$E$12),AK46&lt;=$F46*(1+'Feuille de Donnée'!$F$12)),'Feuille de Donnée'!$F$17,IF(AK46&lt;$F46*(1-'Feuille de Donnée'!$E$12),'Feuille de Donnée'!$F$18,'Feuille de Donnée'!$F$16))&amp;""&amp;IF(AND(AL46&gt;=$G46*(1-'Feuille de Donnée'!$E$27),AL46&lt;=$G46*(1+'Feuille de Donnée'!$F$27)),'Feuille de Donnée'!$F$32,IF(AL46&lt;$G46*(1-'Feuille de Donnée'!$E$27),'Feuille de Donnée'!$F$33,'Feuille de Donnée'!$F$31)))))</f>
        <v/>
      </c>
      <c r="AR46" s="138"/>
      <c r="AS46" s="103"/>
      <c r="AT46" s="27"/>
      <c r="AU46" s="27"/>
      <c r="AV46" s="27" t="str">
        <f t="shared" si="32"/>
        <v/>
      </c>
      <c r="AW46" s="121" t="str">
        <f t="shared" si="33"/>
        <v/>
      </c>
      <c r="AX46" s="121" t="str">
        <f t="shared" si="34"/>
        <v/>
      </c>
      <c r="AY46" s="27" t="str">
        <f>IF(AND(ISBLANK(BA46),AZ46=""),"",1+MAX(AY$21:AY45))</f>
        <v/>
      </c>
      <c r="AZ46" s="137" t="str">
        <f>IF(OR(AV46="",AV46=0,$H46="",$H46=0,NOT(ISNUMBER($H46)),NOT(ISNUMBER(AV46))),IF(AND($E46&lt;&gt;"",AND(OR(ISNUMBER(AV46),AV46=""),AND(ISNUMBER($H46),$H46&gt;0))),'Feuille de Donnée'!$K$13,""),IF(AV46&lt;$H$168*'Feuille de Donnée'!$I$9,"Négligeable",(IF(AND(AT46&gt;=$F46*(1-'Feuille de Donnée'!$E$12),AT46&lt;=$F46*(1+'Feuille de Donnée'!$F$12)),'Feuille de Donnée'!$F$17,IF(AT46&lt;$F46*(1-'Feuille de Donnée'!$E$12),'Feuille de Donnée'!$F$18,'Feuille de Donnée'!$F$16))&amp;""&amp;IF(AND(AU46&gt;=$G46*(1-'Feuille de Donnée'!$E$27),AU46&lt;=$G46*(1+'Feuille de Donnée'!$F$27)),'Feuille de Donnée'!$F$32,IF(AU46&lt;$G46*(1-'Feuille de Donnée'!$E$27),'Feuille de Donnée'!$F$33,'Feuille de Donnée'!$F$31)))))</f>
        <v/>
      </c>
      <c r="BA46" s="138"/>
      <c r="BB46" s="103"/>
      <c r="BC46" s="27"/>
      <c r="BD46" s="27"/>
      <c r="BE46" s="27" t="str">
        <f t="shared" si="35"/>
        <v/>
      </c>
      <c r="BF46" s="121" t="str">
        <f t="shared" si="36"/>
        <v/>
      </c>
      <c r="BG46" s="121" t="str">
        <f t="shared" si="37"/>
        <v/>
      </c>
      <c r="BH46" s="27" t="str">
        <f>IF(AND(ISBLANK(BJ46),BI46=""),"",1+MAX(BH$21:BH45))</f>
        <v/>
      </c>
      <c r="BI46" s="137" t="str">
        <f>IF(OR(BE46="",BE46=0,$H46="",$H46=0,NOT(ISNUMBER($H46)),NOT(ISNUMBER(BE46))),IF(AND($E46&lt;&gt;"",AND(OR(ISNUMBER(BE46),BE46=""),AND(ISNUMBER($H46),$H46&gt;0))),'Feuille de Donnée'!$K$13,""),IF(BE46&lt;$H$168*'Feuille de Donnée'!$I$9,"Négligeable",(IF(AND(BC46&gt;=$F46*(1-'Feuille de Donnée'!$E$12),BC46&lt;=$F46*(1+'Feuille de Donnée'!$F$12)),'Feuille de Donnée'!$F$17,IF(BC46&lt;$F46*(1-'Feuille de Donnée'!$E$12),'Feuille de Donnée'!$F$18,'Feuille de Donnée'!$F$16))&amp;""&amp;IF(AND(BD46&gt;=$G46*(1-'Feuille de Donnée'!$E$27),BD46&lt;=$G46*(1+'Feuille de Donnée'!$F$27)),'Feuille de Donnée'!$F$32,IF(BD46&lt;$G46*(1-'Feuille de Donnée'!$E$27),'Feuille de Donnée'!$F$33,'Feuille de Donnée'!$F$31)))))</f>
        <v/>
      </c>
      <c r="BJ46" s="138"/>
      <c r="BK46" s="140"/>
    </row>
    <row r="47" spans="1:63" s="6" customFormat="1" x14ac:dyDescent="0.3">
      <c r="A47" s="23"/>
      <c r="B47" s="24"/>
      <c r="C47" s="24"/>
      <c r="D47" s="24"/>
      <c r="E47" s="22"/>
      <c r="F47" s="25"/>
      <c r="G47" s="26"/>
      <c r="H47" s="102" t="str">
        <f t="shared" si="19"/>
        <v/>
      </c>
      <c r="I47" s="103"/>
      <c r="J47" s="27"/>
      <c r="K47" s="27"/>
      <c r="L47" s="27" t="str">
        <f t="shared" si="20"/>
        <v/>
      </c>
      <c r="M47" s="121" t="str">
        <f t="shared" si="21"/>
        <v/>
      </c>
      <c r="N47" s="121" t="str">
        <f t="shared" si="22"/>
        <v/>
      </c>
      <c r="O47" s="27" t="str">
        <f>IF(AND(ISBLANK(Q47),P47=""),"",1+MAX(O$21:O46))</f>
        <v/>
      </c>
      <c r="P47" s="137" t="str">
        <f>IF(OR(L47="",L47=0,$H47="",$H47=0,NOT(ISNUMBER($H47)),NOT(ISNUMBER(L47))),IF(AND($E47&lt;&gt;"",AND(OR(ISNUMBER(L47),L47=""),AND(ISNUMBER($H47),$H47&gt;0))),'Feuille de Donnée'!$K$13,""),IF(L47&lt;$H$168*'Feuille de Donnée'!$I$9,"Négligeable",(IF(AND(J47&gt;=$F47*(1-'Feuille de Donnée'!$E$12),J47&lt;=$F47*(1+'Feuille de Donnée'!$F$12)),'Feuille de Donnée'!$F$17,IF(J47&lt;$F47*(1-'Feuille de Donnée'!$E$12),'Feuille de Donnée'!$F$18,'Feuille de Donnée'!$F$16))&amp;""&amp;IF(AND(K47&gt;=$G47*(1-'Feuille de Donnée'!$E$27),K47&lt;=$G47*(1+'Feuille de Donnée'!$F$27)),'Feuille de Donnée'!$F$32,IF(K47&lt;$G47*(1-'Feuille de Donnée'!$E$27),'Feuille de Donnée'!$F$33,'Feuille de Donnée'!$F$31)))))</f>
        <v/>
      </c>
      <c r="Q47" s="138"/>
      <c r="R47" s="103"/>
      <c r="S47" s="27"/>
      <c r="T47" s="27"/>
      <c r="U47" s="27" t="str">
        <f t="shared" si="23"/>
        <v/>
      </c>
      <c r="V47" s="121" t="str">
        <f t="shared" si="24"/>
        <v/>
      </c>
      <c r="W47" s="121" t="str">
        <f t="shared" si="25"/>
        <v/>
      </c>
      <c r="X47" s="27" t="str">
        <f>IF(AND(ISBLANK(Z47),Y47=""),"",1+MAX(X$21:X46))</f>
        <v/>
      </c>
      <c r="Y47" s="137" t="str">
        <f>IF(OR(U47="",U47=0,$H47="",$H47=0,NOT(ISNUMBER($H47)),NOT(ISNUMBER(U47))),IF(AND($E47&lt;&gt;"",AND(OR(ISNUMBER(U47),U47=""),AND(ISNUMBER($H47),$H47&gt;0))),'Feuille de Donnée'!$K$13,""),IF(U47&lt;$H$168*'Feuille de Donnée'!$I$9,"Négligeable",(IF(AND(S47&gt;=$F47*(1-'Feuille de Donnée'!$E$12),S47&lt;=$F47*(1+'Feuille de Donnée'!$F$12)),'Feuille de Donnée'!$F$17,IF(S47&lt;$F47*(1-'Feuille de Donnée'!$E$12),'Feuille de Donnée'!$F$18,'Feuille de Donnée'!$F$16))&amp;""&amp;IF(AND(T47&gt;=$G47*(1-'Feuille de Donnée'!$E$27),T47&lt;=$G47*(1+'Feuille de Donnée'!$F$27)),'Feuille de Donnée'!$F$32,IF(T47&lt;$G47*(1-'Feuille de Donnée'!$E$27),'Feuille de Donnée'!$F$33,'Feuille de Donnée'!$F$31)))))</f>
        <v/>
      </c>
      <c r="Z47" s="138"/>
      <c r="AA47" s="103"/>
      <c r="AB47" s="27"/>
      <c r="AC47" s="27"/>
      <c r="AD47" s="27" t="str">
        <f t="shared" si="26"/>
        <v/>
      </c>
      <c r="AE47" s="121" t="str">
        <f t="shared" si="27"/>
        <v/>
      </c>
      <c r="AF47" s="121" t="str">
        <f t="shared" si="28"/>
        <v/>
      </c>
      <c r="AG47" s="27" t="str">
        <f>IF(AND(ISBLANK(AI47),AH47=""),"",1+MAX(AG$21:AG46))</f>
        <v/>
      </c>
      <c r="AH47" s="137" t="str">
        <f>IF(OR(AD47="",AD47=0,$H47="",$H47=0,NOT(ISNUMBER($H47)),NOT(ISNUMBER(AD47))),IF(AND($E47&lt;&gt;"",AND(OR(ISNUMBER(AD47),AD47=""),AND(ISNUMBER($H47),$H47&gt;0))),'Feuille de Donnée'!$K$13,""),IF(AD47&lt;$H$168*'Feuille de Donnée'!$I$9,"Négligeable",(IF(AND(AB47&gt;=$F47*(1-'Feuille de Donnée'!$E$12),AB47&lt;=$F47*(1+'Feuille de Donnée'!$F$12)),'Feuille de Donnée'!$F$17,IF(AB47&lt;$F47*(1-'Feuille de Donnée'!$E$12),'Feuille de Donnée'!$F$18,'Feuille de Donnée'!$F$16))&amp;""&amp;IF(AND(AC47&gt;=$G47*(1-'Feuille de Donnée'!$E$27),AC47&lt;=$G47*(1+'Feuille de Donnée'!$F$27)),'Feuille de Donnée'!$F$32,IF(AC47&lt;$G47*(1-'Feuille de Donnée'!$E$27),'Feuille de Donnée'!$F$33,'Feuille de Donnée'!$F$31)))))</f>
        <v/>
      </c>
      <c r="AI47" s="138"/>
      <c r="AJ47" s="103"/>
      <c r="AK47" s="27"/>
      <c r="AL47" s="27"/>
      <c r="AM47" s="27" t="str">
        <f t="shared" si="29"/>
        <v/>
      </c>
      <c r="AN47" s="121" t="str">
        <f t="shared" si="30"/>
        <v/>
      </c>
      <c r="AO47" s="121" t="str">
        <f t="shared" si="31"/>
        <v/>
      </c>
      <c r="AP47" s="27" t="str">
        <f>IF(AND(ISBLANK(AR47),AQ47=""),"",1+MAX(AP$21:AP46))</f>
        <v/>
      </c>
      <c r="AQ47" s="137" t="str">
        <f>IF(OR(AM47="",AM47=0,$H47="",$H47=0,NOT(ISNUMBER($H47)),NOT(ISNUMBER(AM47))),IF(AND($E47&lt;&gt;"",AND(OR(ISNUMBER(AM47),AM47=""),AND(ISNUMBER($H47),$H47&gt;0))),'Feuille de Donnée'!$K$13,""),IF(AM47&lt;$H$168*'Feuille de Donnée'!$I$9,"Négligeable",(IF(AND(AK47&gt;=$F47*(1-'Feuille de Donnée'!$E$12),AK47&lt;=$F47*(1+'Feuille de Donnée'!$F$12)),'Feuille de Donnée'!$F$17,IF(AK47&lt;$F47*(1-'Feuille de Donnée'!$E$12),'Feuille de Donnée'!$F$18,'Feuille de Donnée'!$F$16))&amp;""&amp;IF(AND(AL47&gt;=$G47*(1-'Feuille de Donnée'!$E$27),AL47&lt;=$G47*(1+'Feuille de Donnée'!$F$27)),'Feuille de Donnée'!$F$32,IF(AL47&lt;$G47*(1-'Feuille de Donnée'!$E$27),'Feuille de Donnée'!$F$33,'Feuille de Donnée'!$F$31)))))</f>
        <v/>
      </c>
      <c r="AR47" s="138"/>
      <c r="AS47" s="103"/>
      <c r="AT47" s="27"/>
      <c r="AU47" s="27"/>
      <c r="AV47" s="27" t="str">
        <f t="shared" si="32"/>
        <v/>
      </c>
      <c r="AW47" s="121" t="str">
        <f t="shared" si="33"/>
        <v/>
      </c>
      <c r="AX47" s="121" t="str">
        <f t="shared" si="34"/>
        <v/>
      </c>
      <c r="AY47" s="27" t="str">
        <f>IF(AND(ISBLANK(BA47),AZ47=""),"",1+MAX(AY$21:AY46))</f>
        <v/>
      </c>
      <c r="AZ47" s="137" t="str">
        <f>IF(OR(AV47="",AV47=0,$H47="",$H47=0,NOT(ISNUMBER($H47)),NOT(ISNUMBER(AV47))),IF(AND($E47&lt;&gt;"",AND(OR(ISNUMBER(AV47),AV47=""),AND(ISNUMBER($H47),$H47&gt;0))),'Feuille de Donnée'!$K$13,""),IF(AV47&lt;$H$168*'Feuille de Donnée'!$I$9,"Négligeable",(IF(AND(AT47&gt;=$F47*(1-'Feuille de Donnée'!$E$12),AT47&lt;=$F47*(1+'Feuille de Donnée'!$F$12)),'Feuille de Donnée'!$F$17,IF(AT47&lt;$F47*(1-'Feuille de Donnée'!$E$12),'Feuille de Donnée'!$F$18,'Feuille de Donnée'!$F$16))&amp;""&amp;IF(AND(AU47&gt;=$G47*(1-'Feuille de Donnée'!$E$27),AU47&lt;=$G47*(1+'Feuille de Donnée'!$F$27)),'Feuille de Donnée'!$F$32,IF(AU47&lt;$G47*(1-'Feuille de Donnée'!$E$27),'Feuille de Donnée'!$F$33,'Feuille de Donnée'!$F$31)))))</f>
        <v/>
      </c>
      <c r="BA47" s="138"/>
      <c r="BB47" s="103"/>
      <c r="BC47" s="27"/>
      <c r="BD47" s="27"/>
      <c r="BE47" s="27" t="str">
        <f t="shared" si="35"/>
        <v/>
      </c>
      <c r="BF47" s="121" t="str">
        <f t="shared" si="36"/>
        <v/>
      </c>
      <c r="BG47" s="121" t="str">
        <f t="shared" si="37"/>
        <v/>
      </c>
      <c r="BH47" s="27" t="str">
        <f>IF(AND(ISBLANK(BJ47),BI47=""),"",1+MAX(BH$21:BH46))</f>
        <v/>
      </c>
      <c r="BI47" s="137" t="str">
        <f>IF(OR(BE47="",BE47=0,$H47="",$H47=0,NOT(ISNUMBER($H47)),NOT(ISNUMBER(BE47))),IF(AND($E47&lt;&gt;"",AND(OR(ISNUMBER(BE47),BE47=""),AND(ISNUMBER($H47),$H47&gt;0))),'Feuille de Donnée'!$K$13,""),IF(BE47&lt;$H$168*'Feuille de Donnée'!$I$9,"Négligeable",(IF(AND(BC47&gt;=$F47*(1-'Feuille de Donnée'!$E$12),BC47&lt;=$F47*(1+'Feuille de Donnée'!$F$12)),'Feuille de Donnée'!$F$17,IF(BC47&lt;$F47*(1-'Feuille de Donnée'!$E$12),'Feuille de Donnée'!$F$18,'Feuille de Donnée'!$F$16))&amp;""&amp;IF(AND(BD47&gt;=$G47*(1-'Feuille de Donnée'!$E$27),BD47&lt;=$G47*(1+'Feuille de Donnée'!$F$27)),'Feuille de Donnée'!$F$32,IF(BD47&lt;$G47*(1-'Feuille de Donnée'!$E$27),'Feuille de Donnée'!$F$33,'Feuille de Donnée'!$F$31)))))</f>
        <v/>
      </c>
      <c r="BJ47" s="138"/>
      <c r="BK47" s="140"/>
    </row>
    <row r="48" spans="1:63" s="6" customFormat="1" x14ac:dyDescent="0.3">
      <c r="A48" s="23"/>
      <c r="B48" s="24"/>
      <c r="C48" s="24"/>
      <c r="D48" s="24"/>
      <c r="E48" s="22"/>
      <c r="F48" s="25"/>
      <c r="G48" s="26"/>
      <c r="H48" s="102" t="str">
        <f t="shared" si="19"/>
        <v/>
      </c>
      <c r="I48" s="103"/>
      <c r="J48" s="27"/>
      <c r="K48" s="27"/>
      <c r="L48" s="27" t="str">
        <f t="shared" si="20"/>
        <v/>
      </c>
      <c r="M48" s="121" t="str">
        <f t="shared" si="21"/>
        <v/>
      </c>
      <c r="N48" s="121" t="str">
        <f t="shared" si="22"/>
        <v/>
      </c>
      <c r="O48" s="27" t="str">
        <f>IF(AND(ISBLANK(Q48),P48=""),"",1+MAX(O$21:O47))</f>
        <v/>
      </c>
      <c r="P48" s="137" t="str">
        <f>IF(OR(L48="",L48=0,$H48="",$H48=0,NOT(ISNUMBER($H48)),NOT(ISNUMBER(L48))),IF(AND($E48&lt;&gt;"",AND(OR(ISNUMBER(L48),L48=""),AND(ISNUMBER($H48),$H48&gt;0))),'Feuille de Donnée'!$K$13,""),IF(L48&lt;$H$168*'Feuille de Donnée'!$I$9,"Négligeable",(IF(AND(J48&gt;=$F48*(1-'Feuille de Donnée'!$E$12),J48&lt;=$F48*(1+'Feuille de Donnée'!$F$12)),'Feuille de Donnée'!$F$17,IF(J48&lt;$F48*(1-'Feuille de Donnée'!$E$12),'Feuille de Donnée'!$F$18,'Feuille de Donnée'!$F$16))&amp;""&amp;IF(AND(K48&gt;=$G48*(1-'Feuille de Donnée'!$E$27),K48&lt;=$G48*(1+'Feuille de Donnée'!$F$27)),'Feuille de Donnée'!$F$32,IF(K48&lt;$G48*(1-'Feuille de Donnée'!$E$27),'Feuille de Donnée'!$F$33,'Feuille de Donnée'!$F$31)))))</f>
        <v/>
      </c>
      <c r="Q48" s="138"/>
      <c r="R48" s="103"/>
      <c r="S48" s="27"/>
      <c r="T48" s="27"/>
      <c r="U48" s="27" t="str">
        <f t="shared" si="23"/>
        <v/>
      </c>
      <c r="V48" s="121" t="str">
        <f t="shared" si="24"/>
        <v/>
      </c>
      <c r="W48" s="121" t="str">
        <f t="shared" si="25"/>
        <v/>
      </c>
      <c r="X48" s="27" t="str">
        <f>IF(AND(ISBLANK(Z48),Y48=""),"",1+MAX(X$21:X47))</f>
        <v/>
      </c>
      <c r="Y48" s="137" t="str">
        <f>IF(OR(U48="",U48=0,$H48="",$H48=0,NOT(ISNUMBER($H48)),NOT(ISNUMBER(U48))),IF(AND($E48&lt;&gt;"",AND(OR(ISNUMBER(U48),U48=""),AND(ISNUMBER($H48),$H48&gt;0))),'Feuille de Donnée'!$K$13,""),IF(U48&lt;$H$168*'Feuille de Donnée'!$I$9,"Négligeable",(IF(AND(S48&gt;=$F48*(1-'Feuille de Donnée'!$E$12),S48&lt;=$F48*(1+'Feuille de Donnée'!$F$12)),'Feuille de Donnée'!$F$17,IF(S48&lt;$F48*(1-'Feuille de Donnée'!$E$12),'Feuille de Donnée'!$F$18,'Feuille de Donnée'!$F$16))&amp;""&amp;IF(AND(T48&gt;=$G48*(1-'Feuille de Donnée'!$E$27),T48&lt;=$G48*(1+'Feuille de Donnée'!$F$27)),'Feuille de Donnée'!$F$32,IF(T48&lt;$G48*(1-'Feuille de Donnée'!$E$27),'Feuille de Donnée'!$F$33,'Feuille de Donnée'!$F$31)))))</f>
        <v/>
      </c>
      <c r="Z48" s="138"/>
      <c r="AA48" s="103"/>
      <c r="AB48" s="27"/>
      <c r="AC48" s="27"/>
      <c r="AD48" s="27" t="str">
        <f t="shared" si="26"/>
        <v/>
      </c>
      <c r="AE48" s="121" t="str">
        <f t="shared" si="27"/>
        <v/>
      </c>
      <c r="AF48" s="121" t="str">
        <f t="shared" si="28"/>
        <v/>
      </c>
      <c r="AG48" s="27" t="str">
        <f>IF(AND(ISBLANK(AI48),AH48=""),"",1+MAX(AG$21:AG47))</f>
        <v/>
      </c>
      <c r="AH48" s="137" t="str">
        <f>IF(OR(AD48="",AD48=0,$H48="",$H48=0,NOT(ISNUMBER($H48)),NOT(ISNUMBER(AD48))),IF(AND($E48&lt;&gt;"",AND(OR(ISNUMBER(AD48),AD48=""),AND(ISNUMBER($H48),$H48&gt;0))),'Feuille de Donnée'!$K$13,""),IF(AD48&lt;$H$168*'Feuille de Donnée'!$I$9,"Négligeable",(IF(AND(AB48&gt;=$F48*(1-'Feuille de Donnée'!$E$12),AB48&lt;=$F48*(1+'Feuille de Donnée'!$F$12)),'Feuille de Donnée'!$F$17,IF(AB48&lt;$F48*(1-'Feuille de Donnée'!$E$12),'Feuille de Donnée'!$F$18,'Feuille de Donnée'!$F$16))&amp;""&amp;IF(AND(AC48&gt;=$G48*(1-'Feuille de Donnée'!$E$27),AC48&lt;=$G48*(1+'Feuille de Donnée'!$F$27)),'Feuille de Donnée'!$F$32,IF(AC48&lt;$G48*(1-'Feuille de Donnée'!$E$27),'Feuille de Donnée'!$F$33,'Feuille de Donnée'!$F$31)))))</f>
        <v/>
      </c>
      <c r="AI48" s="138"/>
      <c r="AJ48" s="103"/>
      <c r="AK48" s="27"/>
      <c r="AL48" s="27"/>
      <c r="AM48" s="27" t="str">
        <f t="shared" si="29"/>
        <v/>
      </c>
      <c r="AN48" s="121" t="str">
        <f t="shared" si="30"/>
        <v/>
      </c>
      <c r="AO48" s="121" t="str">
        <f t="shared" si="31"/>
        <v/>
      </c>
      <c r="AP48" s="27" t="str">
        <f>IF(AND(ISBLANK(AR48),AQ48=""),"",1+MAX(AP$21:AP47))</f>
        <v/>
      </c>
      <c r="AQ48" s="137" t="str">
        <f>IF(OR(AM48="",AM48=0,$H48="",$H48=0,NOT(ISNUMBER($H48)),NOT(ISNUMBER(AM48))),IF(AND($E48&lt;&gt;"",AND(OR(ISNUMBER(AM48),AM48=""),AND(ISNUMBER($H48),$H48&gt;0))),'Feuille de Donnée'!$K$13,""),IF(AM48&lt;$H$168*'Feuille de Donnée'!$I$9,"Négligeable",(IF(AND(AK48&gt;=$F48*(1-'Feuille de Donnée'!$E$12),AK48&lt;=$F48*(1+'Feuille de Donnée'!$F$12)),'Feuille de Donnée'!$F$17,IF(AK48&lt;$F48*(1-'Feuille de Donnée'!$E$12),'Feuille de Donnée'!$F$18,'Feuille de Donnée'!$F$16))&amp;""&amp;IF(AND(AL48&gt;=$G48*(1-'Feuille de Donnée'!$E$27),AL48&lt;=$G48*(1+'Feuille de Donnée'!$F$27)),'Feuille de Donnée'!$F$32,IF(AL48&lt;$G48*(1-'Feuille de Donnée'!$E$27),'Feuille de Donnée'!$F$33,'Feuille de Donnée'!$F$31)))))</f>
        <v/>
      </c>
      <c r="AR48" s="138"/>
      <c r="AS48" s="103"/>
      <c r="AT48" s="27"/>
      <c r="AU48" s="27"/>
      <c r="AV48" s="27" t="str">
        <f t="shared" si="32"/>
        <v/>
      </c>
      <c r="AW48" s="121" t="str">
        <f t="shared" si="33"/>
        <v/>
      </c>
      <c r="AX48" s="121" t="str">
        <f t="shared" si="34"/>
        <v/>
      </c>
      <c r="AY48" s="27" t="str">
        <f>IF(AND(ISBLANK(BA48),AZ48=""),"",1+MAX(AY$21:AY47))</f>
        <v/>
      </c>
      <c r="AZ48" s="137" t="str">
        <f>IF(OR(AV48="",AV48=0,$H48="",$H48=0,NOT(ISNUMBER($H48)),NOT(ISNUMBER(AV48))),IF(AND($E48&lt;&gt;"",AND(OR(ISNUMBER(AV48),AV48=""),AND(ISNUMBER($H48),$H48&gt;0))),'Feuille de Donnée'!$K$13,""),IF(AV48&lt;$H$168*'Feuille de Donnée'!$I$9,"Négligeable",(IF(AND(AT48&gt;=$F48*(1-'Feuille de Donnée'!$E$12),AT48&lt;=$F48*(1+'Feuille de Donnée'!$F$12)),'Feuille de Donnée'!$F$17,IF(AT48&lt;$F48*(1-'Feuille de Donnée'!$E$12),'Feuille de Donnée'!$F$18,'Feuille de Donnée'!$F$16))&amp;""&amp;IF(AND(AU48&gt;=$G48*(1-'Feuille de Donnée'!$E$27),AU48&lt;=$G48*(1+'Feuille de Donnée'!$F$27)),'Feuille de Donnée'!$F$32,IF(AU48&lt;$G48*(1-'Feuille de Donnée'!$E$27),'Feuille de Donnée'!$F$33,'Feuille de Donnée'!$F$31)))))</f>
        <v/>
      </c>
      <c r="BA48" s="138"/>
      <c r="BB48" s="103"/>
      <c r="BC48" s="27"/>
      <c r="BD48" s="27"/>
      <c r="BE48" s="27" t="str">
        <f t="shared" si="35"/>
        <v/>
      </c>
      <c r="BF48" s="121" t="str">
        <f t="shared" si="36"/>
        <v/>
      </c>
      <c r="BG48" s="121" t="str">
        <f t="shared" si="37"/>
        <v/>
      </c>
      <c r="BH48" s="27" t="str">
        <f>IF(AND(ISBLANK(BJ48),BI48=""),"",1+MAX(BH$21:BH47))</f>
        <v/>
      </c>
      <c r="BI48" s="137" t="str">
        <f>IF(OR(BE48="",BE48=0,$H48="",$H48=0,NOT(ISNUMBER($H48)),NOT(ISNUMBER(BE48))),IF(AND($E48&lt;&gt;"",AND(OR(ISNUMBER(BE48),BE48=""),AND(ISNUMBER($H48),$H48&gt;0))),'Feuille de Donnée'!$K$13,""),IF(BE48&lt;$H$168*'Feuille de Donnée'!$I$9,"Négligeable",(IF(AND(BC48&gt;=$F48*(1-'Feuille de Donnée'!$E$12),BC48&lt;=$F48*(1+'Feuille de Donnée'!$F$12)),'Feuille de Donnée'!$F$17,IF(BC48&lt;$F48*(1-'Feuille de Donnée'!$E$12),'Feuille de Donnée'!$F$18,'Feuille de Donnée'!$F$16))&amp;""&amp;IF(AND(BD48&gt;=$G48*(1-'Feuille de Donnée'!$E$27),BD48&lt;=$G48*(1+'Feuille de Donnée'!$F$27)),'Feuille de Donnée'!$F$32,IF(BD48&lt;$G48*(1-'Feuille de Donnée'!$E$27),'Feuille de Donnée'!$F$33,'Feuille de Donnée'!$F$31)))))</f>
        <v/>
      </c>
      <c r="BJ48" s="138"/>
      <c r="BK48" s="140"/>
    </row>
    <row r="49" spans="1:63" s="6" customFormat="1" x14ac:dyDescent="0.3">
      <c r="A49" s="23"/>
      <c r="B49" s="24"/>
      <c r="C49" s="24"/>
      <c r="D49" s="24"/>
      <c r="E49" s="22"/>
      <c r="F49" s="25"/>
      <c r="G49" s="26"/>
      <c r="H49" s="102" t="str">
        <f t="shared" si="19"/>
        <v/>
      </c>
      <c r="I49" s="103"/>
      <c r="J49" s="27"/>
      <c r="K49" s="27"/>
      <c r="L49" s="27" t="str">
        <f t="shared" si="20"/>
        <v/>
      </c>
      <c r="M49" s="121" t="str">
        <f t="shared" si="21"/>
        <v/>
      </c>
      <c r="N49" s="121" t="str">
        <f t="shared" si="22"/>
        <v/>
      </c>
      <c r="O49" s="27" t="str">
        <f>IF(AND(ISBLANK(Q49),P49=""),"",1+MAX(O$21:O48))</f>
        <v/>
      </c>
      <c r="P49" s="137" t="str">
        <f>IF(OR(L49="",L49=0,$H49="",$H49=0,NOT(ISNUMBER($H49)),NOT(ISNUMBER(L49))),IF(AND($E49&lt;&gt;"",AND(OR(ISNUMBER(L49),L49=""),AND(ISNUMBER($H49),$H49&gt;0))),'Feuille de Donnée'!$K$13,""),IF(L49&lt;$H$168*'Feuille de Donnée'!$I$9,"Négligeable",(IF(AND(J49&gt;=$F49*(1-'Feuille de Donnée'!$E$12),J49&lt;=$F49*(1+'Feuille de Donnée'!$F$12)),'Feuille de Donnée'!$F$17,IF(J49&lt;$F49*(1-'Feuille de Donnée'!$E$12),'Feuille de Donnée'!$F$18,'Feuille de Donnée'!$F$16))&amp;""&amp;IF(AND(K49&gt;=$G49*(1-'Feuille de Donnée'!$E$27),K49&lt;=$G49*(1+'Feuille de Donnée'!$F$27)),'Feuille de Donnée'!$F$32,IF(K49&lt;$G49*(1-'Feuille de Donnée'!$E$27),'Feuille de Donnée'!$F$33,'Feuille de Donnée'!$F$31)))))</f>
        <v/>
      </c>
      <c r="Q49" s="138"/>
      <c r="R49" s="103"/>
      <c r="S49" s="27"/>
      <c r="T49" s="27"/>
      <c r="U49" s="27" t="str">
        <f t="shared" si="23"/>
        <v/>
      </c>
      <c r="V49" s="121" t="str">
        <f t="shared" si="24"/>
        <v/>
      </c>
      <c r="W49" s="121" t="str">
        <f t="shared" si="25"/>
        <v/>
      </c>
      <c r="X49" s="27" t="str">
        <f>IF(AND(ISBLANK(Z49),Y49=""),"",1+MAX(X$21:X48))</f>
        <v/>
      </c>
      <c r="Y49" s="137" t="str">
        <f>IF(OR(U49="",U49=0,$H49="",$H49=0,NOT(ISNUMBER($H49)),NOT(ISNUMBER(U49))),IF(AND($E49&lt;&gt;"",AND(OR(ISNUMBER(U49),U49=""),AND(ISNUMBER($H49),$H49&gt;0))),'Feuille de Donnée'!$K$13,""),IF(U49&lt;$H$168*'Feuille de Donnée'!$I$9,"Négligeable",(IF(AND(S49&gt;=$F49*(1-'Feuille de Donnée'!$E$12),S49&lt;=$F49*(1+'Feuille de Donnée'!$F$12)),'Feuille de Donnée'!$F$17,IF(S49&lt;$F49*(1-'Feuille de Donnée'!$E$12),'Feuille de Donnée'!$F$18,'Feuille de Donnée'!$F$16))&amp;""&amp;IF(AND(T49&gt;=$G49*(1-'Feuille de Donnée'!$E$27),T49&lt;=$G49*(1+'Feuille de Donnée'!$F$27)),'Feuille de Donnée'!$F$32,IF(T49&lt;$G49*(1-'Feuille de Donnée'!$E$27),'Feuille de Donnée'!$F$33,'Feuille de Donnée'!$F$31)))))</f>
        <v/>
      </c>
      <c r="Z49" s="138"/>
      <c r="AA49" s="103"/>
      <c r="AB49" s="27"/>
      <c r="AC49" s="27"/>
      <c r="AD49" s="27" t="str">
        <f t="shared" si="26"/>
        <v/>
      </c>
      <c r="AE49" s="121" t="str">
        <f t="shared" si="27"/>
        <v/>
      </c>
      <c r="AF49" s="121" t="str">
        <f t="shared" si="28"/>
        <v/>
      </c>
      <c r="AG49" s="27" t="str">
        <f>IF(AND(ISBLANK(AI49),AH49=""),"",1+MAX(AG$21:AG48))</f>
        <v/>
      </c>
      <c r="AH49" s="137" t="str">
        <f>IF(OR(AD49="",AD49=0,$H49="",$H49=0,NOT(ISNUMBER($H49)),NOT(ISNUMBER(AD49))),IF(AND($E49&lt;&gt;"",AND(OR(ISNUMBER(AD49),AD49=""),AND(ISNUMBER($H49),$H49&gt;0))),'Feuille de Donnée'!$K$13,""),IF(AD49&lt;$H$168*'Feuille de Donnée'!$I$9,"Négligeable",(IF(AND(AB49&gt;=$F49*(1-'Feuille de Donnée'!$E$12),AB49&lt;=$F49*(1+'Feuille de Donnée'!$F$12)),'Feuille de Donnée'!$F$17,IF(AB49&lt;$F49*(1-'Feuille de Donnée'!$E$12),'Feuille de Donnée'!$F$18,'Feuille de Donnée'!$F$16))&amp;""&amp;IF(AND(AC49&gt;=$G49*(1-'Feuille de Donnée'!$E$27),AC49&lt;=$G49*(1+'Feuille de Donnée'!$F$27)),'Feuille de Donnée'!$F$32,IF(AC49&lt;$G49*(1-'Feuille de Donnée'!$E$27),'Feuille de Donnée'!$F$33,'Feuille de Donnée'!$F$31)))))</f>
        <v/>
      </c>
      <c r="AI49" s="138"/>
      <c r="AJ49" s="103"/>
      <c r="AK49" s="27"/>
      <c r="AL49" s="27"/>
      <c r="AM49" s="27" t="str">
        <f t="shared" si="29"/>
        <v/>
      </c>
      <c r="AN49" s="121" t="str">
        <f t="shared" si="30"/>
        <v/>
      </c>
      <c r="AO49" s="121" t="str">
        <f t="shared" si="31"/>
        <v/>
      </c>
      <c r="AP49" s="27" t="str">
        <f>IF(AND(ISBLANK(AR49),AQ49=""),"",1+MAX(AP$21:AP48))</f>
        <v/>
      </c>
      <c r="AQ49" s="137" t="str">
        <f>IF(OR(AM49="",AM49=0,$H49="",$H49=0,NOT(ISNUMBER($H49)),NOT(ISNUMBER(AM49))),IF(AND($E49&lt;&gt;"",AND(OR(ISNUMBER(AM49),AM49=""),AND(ISNUMBER($H49),$H49&gt;0))),'Feuille de Donnée'!$K$13,""),IF(AM49&lt;$H$168*'Feuille de Donnée'!$I$9,"Négligeable",(IF(AND(AK49&gt;=$F49*(1-'Feuille de Donnée'!$E$12),AK49&lt;=$F49*(1+'Feuille de Donnée'!$F$12)),'Feuille de Donnée'!$F$17,IF(AK49&lt;$F49*(1-'Feuille de Donnée'!$E$12),'Feuille de Donnée'!$F$18,'Feuille de Donnée'!$F$16))&amp;""&amp;IF(AND(AL49&gt;=$G49*(1-'Feuille de Donnée'!$E$27),AL49&lt;=$G49*(1+'Feuille de Donnée'!$F$27)),'Feuille de Donnée'!$F$32,IF(AL49&lt;$G49*(1-'Feuille de Donnée'!$E$27),'Feuille de Donnée'!$F$33,'Feuille de Donnée'!$F$31)))))</f>
        <v/>
      </c>
      <c r="AR49" s="138"/>
      <c r="AS49" s="103"/>
      <c r="AT49" s="27"/>
      <c r="AU49" s="27"/>
      <c r="AV49" s="27" t="str">
        <f t="shared" si="32"/>
        <v/>
      </c>
      <c r="AW49" s="121" t="str">
        <f t="shared" si="33"/>
        <v/>
      </c>
      <c r="AX49" s="121" t="str">
        <f t="shared" si="34"/>
        <v/>
      </c>
      <c r="AY49" s="27" t="str">
        <f>IF(AND(ISBLANK(BA49),AZ49=""),"",1+MAX(AY$21:AY48))</f>
        <v/>
      </c>
      <c r="AZ49" s="137" t="str">
        <f>IF(OR(AV49="",AV49=0,$H49="",$H49=0,NOT(ISNUMBER($H49)),NOT(ISNUMBER(AV49))),IF(AND($E49&lt;&gt;"",AND(OR(ISNUMBER(AV49),AV49=""),AND(ISNUMBER($H49),$H49&gt;0))),'Feuille de Donnée'!$K$13,""),IF(AV49&lt;$H$168*'Feuille de Donnée'!$I$9,"Négligeable",(IF(AND(AT49&gt;=$F49*(1-'Feuille de Donnée'!$E$12),AT49&lt;=$F49*(1+'Feuille de Donnée'!$F$12)),'Feuille de Donnée'!$F$17,IF(AT49&lt;$F49*(1-'Feuille de Donnée'!$E$12),'Feuille de Donnée'!$F$18,'Feuille de Donnée'!$F$16))&amp;""&amp;IF(AND(AU49&gt;=$G49*(1-'Feuille de Donnée'!$E$27),AU49&lt;=$G49*(1+'Feuille de Donnée'!$F$27)),'Feuille de Donnée'!$F$32,IF(AU49&lt;$G49*(1-'Feuille de Donnée'!$E$27),'Feuille de Donnée'!$F$33,'Feuille de Donnée'!$F$31)))))</f>
        <v/>
      </c>
      <c r="BA49" s="138"/>
      <c r="BB49" s="103"/>
      <c r="BC49" s="27"/>
      <c r="BD49" s="27"/>
      <c r="BE49" s="27" t="str">
        <f t="shared" si="35"/>
        <v/>
      </c>
      <c r="BF49" s="121" t="str">
        <f t="shared" si="36"/>
        <v/>
      </c>
      <c r="BG49" s="121" t="str">
        <f t="shared" si="37"/>
        <v/>
      </c>
      <c r="BH49" s="27" t="str">
        <f>IF(AND(ISBLANK(BJ49),BI49=""),"",1+MAX(BH$21:BH48))</f>
        <v/>
      </c>
      <c r="BI49" s="137" t="str">
        <f>IF(OR(BE49="",BE49=0,$H49="",$H49=0,NOT(ISNUMBER($H49)),NOT(ISNUMBER(BE49))),IF(AND($E49&lt;&gt;"",AND(OR(ISNUMBER(BE49),BE49=""),AND(ISNUMBER($H49),$H49&gt;0))),'Feuille de Donnée'!$K$13,""),IF(BE49&lt;$H$168*'Feuille de Donnée'!$I$9,"Négligeable",(IF(AND(BC49&gt;=$F49*(1-'Feuille de Donnée'!$E$12),BC49&lt;=$F49*(1+'Feuille de Donnée'!$F$12)),'Feuille de Donnée'!$F$17,IF(BC49&lt;$F49*(1-'Feuille de Donnée'!$E$12),'Feuille de Donnée'!$F$18,'Feuille de Donnée'!$F$16))&amp;""&amp;IF(AND(BD49&gt;=$G49*(1-'Feuille de Donnée'!$E$27),BD49&lt;=$G49*(1+'Feuille de Donnée'!$F$27)),'Feuille de Donnée'!$F$32,IF(BD49&lt;$G49*(1-'Feuille de Donnée'!$E$27),'Feuille de Donnée'!$F$33,'Feuille de Donnée'!$F$31)))))</f>
        <v/>
      </c>
      <c r="BJ49" s="138"/>
      <c r="BK49" s="140"/>
    </row>
    <row r="50" spans="1:63" s="6" customFormat="1" x14ac:dyDescent="0.3">
      <c r="A50" s="23"/>
      <c r="B50" s="24"/>
      <c r="C50" s="24"/>
      <c r="D50" s="24"/>
      <c r="E50" s="22"/>
      <c r="F50" s="25"/>
      <c r="G50" s="26"/>
      <c r="H50" s="102" t="str">
        <f t="shared" si="19"/>
        <v/>
      </c>
      <c r="I50" s="103"/>
      <c r="J50" s="27"/>
      <c r="K50" s="27"/>
      <c r="L50" s="27" t="str">
        <f t="shared" si="20"/>
        <v/>
      </c>
      <c r="M50" s="121" t="str">
        <f t="shared" si="21"/>
        <v/>
      </c>
      <c r="N50" s="121" t="str">
        <f t="shared" si="22"/>
        <v/>
      </c>
      <c r="O50" s="27" t="str">
        <f>IF(AND(ISBLANK(Q50),P50=""),"",1+MAX(O$21:O49))</f>
        <v/>
      </c>
      <c r="P50" s="137" t="str">
        <f>IF(OR(L50="",L50=0,$H50="",$H50=0,NOT(ISNUMBER($H50)),NOT(ISNUMBER(L50))),IF(AND($E50&lt;&gt;"",AND(OR(ISNUMBER(L50),L50=""),AND(ISNUMBER($H50),$H50&gt;0))),'Feuille de Donnée'!$K$13,""),IF(L50&lt;$H$168*'Feuille de Donnée'!$I$9,"Négligeable",(IF(AND(J50&gt;=$F50*(1-'Feuille de Donnée'!$E$12),J50&lt;=$F50*(1+'Feuille de Donnée'!$F$12)),'Feuille de Donnée'!$F$17,IF(J50&lt;$F50*(1-'Feuille de Donnée'!$E$12),'Feuille de Donnée'!$F$18,'Feuille de Donnée'!$F$16))&amp;""&amp;IF(AND(K50&gt;=$G50*(1-'Feuille de Donnée'!$E$27),K50&lt;=$G50*(1+'Feuille de Donnée'!$F$27)),'Feuille de Donnée'!$F$32,IF(K50&lt;$G50*(1-'Feuille de Donnée'!$E$27),'Feuille de Donnée'!$F$33,'Feuille de Donnée'!$F$31)))))</f>
        <v/>
      </c>
      <c r="Q50" s="138"/>
      <c r="R50" s="103"/>
      <c r="S50" s="27"/>
      <c r="T50" s="27"/>
      <c r="U50" s="27" t="str">
        <f t="shared" si="23"/>
        <v/>
      </c>
      <c r="V50" s="121" t="str">
        <f t="shared" si="24"/>
        <v/>
      </c>
      <c r="W50" s="121" t="str">
        <f t="shared" si="25"/>
        <v/>
      </c>
      <c r="X50" s="27" t="str">
        <f>IF(AND(ISBLANK(Z50),Y50=""),"",1+MAX(X$21:X49))</f>
        <v/>
      </c>
      <c r="Y50" s="137" t="str">
        <f>IF(OR(U50="",U50=0,$H50="",$H50=0,NOT(ISNUMBER($H50)),NOT(ISNUMBER(U50))),IF(AND($E50&lt;&gt;"",AND(OR(ISNUMBER(U50),U50=""),AND(ISNUMBER($H50),$H50&gt;0))),'Feuille de Donnée'!$K$13,""),IF(U50&lt;$H$168*'Feuille de Donnée'!$I$9,"Négligeable",(IF(AND(S50&gt;=$F50*(1-'Feuille de Donnée'!$E$12),S50&lt;=$F50*(1+'Feuille de Donnée'!$F$12)),'Feuille de Donnée'!$F$17,IF(S50&lt;$F50*(1-'Feuille de Donnée'!$E$12),'Feuille de Donnée'!$F$18,'Feuille de Donnée'!$F$16))&amp;""&amp;IF(AND(T50&gt;=$G50*(1-'Feuille de Donnée'!$E$27),T50&lt;=$G50*(1+'Feuille de Donnée'!$F$27)),'Feuille de Donnée'!$F$32,IF(T50&lt;$G50*(1-'Feuille de Donnée'!$E$27),'Feuille de Donnée'!$F$33,'Feuille de Donnée'!$F$31)))))</f>
        <v/>
      </c>
      <c r="Z50" s="138"/>
      <c r="AA50" s="103"/>
      <c r="AB50" s="27"/>
      <c r="AC50" s="27"/>
      <c r="AD50" s="27" t="str">
        <f t="shared" si="26"/>
        <v/>
      </c>
      <c r="AE50" s="121" t="str">
        <f t="shared" si="27"/>
        <v/>
      </c>
      <c r="AF50" s="121" t="str">
        <f t="shared" si="28"/>
        <v/>
      </c>
      <c r="AG50" s="27" t="str">
        <f>IF(AND(ISBLANK(AI50),AH50=""),"",1+MAX(AG$21:AG49))</f>
        <v/>
      </c>
      <c r="AH50" s="137" t="str">
        <f>IF(OR(AD50="",AD50=0,$H50="",$H50=0,NOT(ISNUMBER($H50)),NOT(ISNUMBER(AD50))),IF(AND($E50&lt;&gt;"",AND(OR(ISNUMBER(AD50),AD50=""),AND(ISNUMBER($H50),$H50&gt;0))),'Feuille de Donnée'!$K$13,""),IF(AD50&lt;$H$168*'Feuille de Donnée'!$I$9,"Négligeable",(IF(AND(AB50&gt;=$F50*(1-'Feuille de Donnée'!$E$12),AB50&lt;=$F50*(1+'Feuille de Donnée'!$F$12)),'Feuille de Donnée'!$F$17,IF(AB50&lt;$F50*(1-'Feuille de Donnée'!$E$12),'Feuille de Donnée'!$F$18,'Feuille de Donnée'!$F$16))&amp;""&amp;IF(AND(AC50&gt;=$G50*(1-'Feuille de Donnée'!$E$27),AC50&lt;=$G50*(1+'Feuille de Donnée'!$F$27)),'Feuille de Donnée'!$F$32,IF(AC50&lt;$G50*(1-'Feuille de Donnée'!$E$27),'Feuille de Donnée'!$F$33,'Feuille de Donnée'!$F$31)))))</f>
        <v/>
      </c>
      <c r="AI50" s="138"/>
      <c r="AJ50" s="103"/>
      <c r="AK50" s="27"/>
      <c r="AL50" s="27"/>
      <c r="AM50" s="27" t="str">
        <f t="shared" si="29"/>
        <v/>
      </c>
      <c r="AN50" s="121" t="str">
        <f t="shared" si="30"/>
        <v/>
      </c>
      <c r="AO50" s="121" t="str">
        <f t="shared" si="31"/>
        <v/>
      </c>
      <c r="AP50" s="27" t="str">
        <f>IF(AND(ISBLANK(AR50),AQ50=""),"",1+MAX(AP$21:AP49))</f>
        <v/>
      </c>
      <c r="AQ50" s="137" t="str">
        <f>IF(OR(AM50="",AM50=0,$H50="",$H50=0,NOT(ISNUMBER($H50)),NOT(ISNUMBER(AM50))),IF(AND($E50&lt;&gt;"",AND(OR(ISNUMBER(AM50),AM50=""),AND(ISNUMBER($H50),$H50&gt;0))),'Feuille de Donnée'!$K$13,""),IF(AM50&lt;$H$168*'Feuille de Donnée'!$I$9,"Négligeable",(IF(AND(AK50&gt;=$F50*(1-'Feuille de Donnée'!$E$12),AK50&lt;=$F50*(1+'Feuille de Donnée'!$F$12)),'Feuille de Donnée'!$F$17,IF(AK50&lt;$F50*(1-'Feuille de Donnée'!$E$12),'Feuille de Donnée'!$F$18,'Feuille de Donnée'!$F$16))&amp;""&amp;IF(AND(AL50&gt;=$G50*(1-'Feuille de Donnée'!$E$27),AL50&lt;=$G50*(1+'Feuille de Donnée'!$F$27)),'Feuille de Donnée'!$F$32,IF(AL50&lt;$G50*(1-'Feuille de Donnée'!$E$27),'Feuille de Donnée'!$F$33,'Feuille de Donnée'!$F$31)))))</f>
        <v/>
      </c>
      <c r="AR50" s="138"/>
      <c r="AS50" s="103"/>
      <c r="AT50" s="27"/>
      <c r="AU50" s="27"/>
      <c r="AV50" s="27" t="str">
        <f t="shared" si="32"/>
        <v/>
      </c>
      <c r="AW50" s="121" t="str">
        <f t="shared" si="33"/>
        <v/>
      </c>
      <c r="AX50" s="121" t="str">
        <f t="shared" si="34"/>
        <v/>
      </c>
      <c r="AY50" s="27" t="str">
        <f>IF(AND(ISBLANK(BA50),AZ50=""),"",1+MAX(AY$21:AY49))</f>
        <v/>
      </c>
      <c r="AZ50" s="137" t="str">
        <f>IF(OR(AV50="",AV50=0,$H50="",$H50=0,NOT(ISNUMBER($H50)),NOT(ISNUMBER(AV50))),IF(AND($E50&lt;&gt;"",AND(OR(ISNUMBER(AV50),AV50=""),AND(ISNUMBER($H50),$H50&gt;0))),'Feuille de Donnée'!$K$13,""),IF(AV50&lt;$H$168*'Feuille de Donnée'!$I$9,"Négligeable",(IF(AND(AT50&gt;=$F50*(1-'Feuille de Donnée'!$E$12),AT50&lt;=$F50*(1+'Feuille de Donnée'!$F$12)),'Feuille de Donnée'!$F$17,IF(AT50&lt;$F50*(1-'Feuille de Donnée'!$E$12),'Feuille de Donnée'!$F$18,'Feuille de Donnée'!$F$16))&amp;""&amp;IF(AND(AU50&gt;=$G50*(1-'Feuille de Donnée'!$E$27),AU50&lt;=$G50*(1+'Feuille de Donnée'!$F$27)),'Feuille de Donnée'!$F$32,IF(AU50&lt;$G50*(1-'Feuille de Donnée'!$E$27),'Feuille de Donnée'!$F$33,'Feuille de Donnée'!$F$31)))))</f>
        <v/>
      </c>
      <c r="BA50" s="138"/>
      <c r="BB50" s="103"/>
      <c r="BC50" s="27"/>
      <c r="BD50" s="27"/>
      <c r="BE50" s="27" t="str">
        <f t="shared" si="35"/>
        <v/>
      </c>
      <c r="BF50" s="121" t="str">
        <f t="shared" si="36"/>
        <v/>
      </c>
      <c r="BG50" s="121" t="str">
        <f t="shared" si="37"/>
        <v/>
      </c>
      <c r="BH50" s="27" t="str">
        <f>IF(AND(ISBLANK(BJ50),BI50=""),"",1+MAX(BH$21:BH49))</f>
        <v/>
      </c>
      <c r="BI50" s="137" t="str">
        <f>IF(OR(BE50="",BE50=0,$H50="",$H50=0,NOT(ISNUMBER($H50)),NOT(ISNUMBER(BE50))),IF(AND($E50&lt;&gt;"",AND(OR(ISNUMBER(BE50),BE50=""),AND(ISNUMBER($H50),$H50&gt;0))),'Feuille de Donnée'!$K$13,""),IF(BE50&lt;$H$168*'Feuille de Donnée'!$I$9,"Négligeable",(IF(AND(BC50&gt;=$F50*(1-'Feuille de Donnée'!$E$12),BC50&lt;=$F50*(1+'Feuille de Donnée'!$F$12)),'Feuille de Donnée'!$F$17,IF(BC50&lt;$F50*(1-'Feuille de Donnée'!$E$12),'Feuille de Donnée'!$F$18,'Feuille de Donnée'!$F$16))&amp;""&amp;IF(AND(BD50&gt;=$G50*(1-'Feuille de Donnée'!$E$27),BD50&lt;=$G50*(1+'Feuille de Donnée'!$F$27)),'Feuille de Donnée'!$F$32,IF(BD50&lt;$G50*(1-'Feuille de Donnée'!$E$27),'Feuille de Donnée'!$F$33,'Feuille de Donnée'!$F$31)))))</f>
        <v/>
      </c>
      <c r="BJ50" s="138"/>
      <c r="BK50" s="140"/>
    </row>
    <row r="51" spans="1:63" s="6" customFormat="1" x14ac:dyDescent="0.3">
      <c r="A51" s="23"/>
      <c r="B51" s="24"/>
      <c r="C51" s="24"/>
      <c r="D51" s="24"/>
      <c r="E51" s="22"/>
      <c r="F51" s="25"/>
      <c r="G51" s="26"/>
      <c r="H51" s="102" t="str">
        <f t="shared" si="19"/>
        <v/>
      </c>
      <c r="I51" s="103"/>
      <c r="J51" s="27"/>
      <c r="K51" s="27"/>
      <c r="L51" s="27" t="str">
        <f t="shared" si="20"/>
        <v/>
      </c>
      <c r="M51" s="121" t="str">
        <f t="shared" si="21"/>
        <v/>
      </c>
      <c r="N51" s="121" t="str">
        <f t="shared" si="22"/>
        <v/>
      </c>
      <c r="O51" s="27" t="str">
        <f>IF(AND(ISBLANK(Q51),P51=""),"",1+MAX(O$21:O50))</f>
        <v/>
      </c>
      <c r="P51" s="137" t="str">
        <f>IF(OR(L51="",L51=0,$H51="",$H51=0,NOT(ISNUMBER($H51)),NOT(ISNUMBER(L51))),IF(AND($E51&lt;&gt;"",AND(OR(ISNUMBER(L51),L51=""),AND(ISNUMBER($H51),$H51&gt;0))),'Feuille de Donnée'!$K$13,""),IF(L51&lt;$H$168*'Feuille de Donnée'!$I$9,"Négligeable",(IF(AND(J51&gt;=$F51*(1-'Feuille de Donnée'!$E$12),J51&lt;=$F51*(1+'Feuille de Donnée'!$F$12)),'Feuille de Donnée'!$F$17,IF(J51&lt;$F51*(1-'Feuille de Donnée'!$E$12),'Feuille de Donnée'!$F$18,'Feuille de Donnée'!$F$16))&amp;""&amp;IF(AND(K51&gt;=$G51*(1-'Feuille de Donnée'!$E$27),K51&lt;=$G51*(1+'Feuille de Donnée'!$F$27)),'Feuille de Donnée'!$F$32,IF(K51&lt;$G51*(1-'Feuille de Donnée'!$E$27),'Feuille de Donnée'!$F$33,'Feuille de Donnée'!$F$31)))))</f>
        <v/>
      </c>
      <c r="Q51" s="138"/>
      <c r="R51" s="103"/>
      <c r="S51" s="27"/>
      <c r="T51" s="27"/>
      <c r="U51" s="27" t="str">
        <f t="shared" si="23"/>
        <v/>
      </c>
      <c r="V51" s="121" t="str">
        <f t="shared" si="24"/>
        <v/>
      </c>
      <c r="W51" s="121" t="str">
        <f t="shared" si="25"/>
        <v/>
      </c>
      <c r="X51" s="27" t="str">
        <f>IF(AND(ISBLANK(Z51),Y51=""),"",1+MAX(X$21:X50))</f>
        <v/>
      </c>
      <c r="Y51" s="137" t="str">
        <f>IF(OR(U51="",U51=0,$H51="",$H51=0,NOT(ISNUMBER($H51)),NOT(ISNUMBER(U51))),IF(AND($E51&lt;&gt;"",AND(OR(ISNUMBER(U51),U51=""),AND(ISNUMBER($H51),$H51&gt;0))),'Feuille de Donnée'!$K$13,""),IF(U51&lt;$H$168*'Feuille de Donnée'!$I$9,"Négligeable",(IF(AND(S51&gt;=$F51*(1-'Feuille de Donnée'!$E$12),S51&lt;=$F51*(1+'Feuille de Donnée'!$F$12)),'Feuille de Donnée'!$F$17,IF(S51&lt;$F51*(1-'Feuille de Donnée'!$E$12),'Feuille de Donnée'!$F$18,'Feuille de Donnée'!$F$16))&amp;""&amp;IF(AND(T51&gt;=$G51*(1-'Feuille de Donnée'!$E$27),T51&lt;=$G51*(1+'Feuille de Donnée'!$F$27)),'Feuille de Donnée'!$F$32,IF(T51&lt;$G51*(1-'Feuille de Donnée'!$E$27),'Feuille de Donnée'!$F$33,'Feuille de Donnée'!$F$31)))))</f>
        <v/>
      </c>
      <c r="Z51" s="138"/>
      <c r="AA51" s="103"/>
      <c r="AB51" s="27"/>
      <c r="AC51" s="27"/>
      <c r="AD51" s="27" t="str">
        <f t="shared" si="26"/>
        <v/>
      </c>
      <c r="AE51" s="121" t="str">
        <f t="shared" si="27"/>
        <v/>
      </c>
      <c r="AF51" s="121" t="str">
        <f t="shared" si="28"/>
        <v/>
      </c>
      <c r="AG51" s="27" t="str">
        <f>IF(AND(ISBLANK(AI51),AH51=""),"",1+MAX(AG$21:AG50))</f>
        <v/>
      </c>
      <c r="AH51" s="137" t="str">
        <f>IF(OR(AD51="",AD51=0,$H51="",$H51=0,NOT(ISNUMBER($H51)),NOT(ISNUMBER(AD51))),IF(AND($E51&lt;&gt;"",AND(OR(ISNUMBER(AD51),AD51=""),AND(ISNUMBER($H51),$H51&gt;0))),'Feuille de Donnée'!$K$13,""),IF(AD51&lt;$H$168*'Feuille de Donnée'!$I$9,"Négligeable",(IF(AND(AB51&gt;=$F51*(1-'Feuille de Donnée'!$E$12),AB51&lt;=$F51*(1+'Feuille de Donnée'!$F$12)),'Feuille de Donnée'!$F$17,IF(AB51&lt;$F51*(1-'Feuille de Donnée'!$E$12),'Feuille de Donnée'!$F$18,'Feuille de Donnée'!$F$16))&amp;""&amp;IF(AND(AC51&gt;=$G51*(1-'Feuille de Donnée'!$E$27),AC51&lt;=$G51*(1+'Feuille de Donnée'!$F$27)),'Feuille de Donnée'!$F$32,IF(AC51&lt;$G51*(1-'Feuille de Donnée'!$E$27),'Feuille de Donnée'!$F$33,'Feuille de Donnée'!$F$31)))))</f>
        <v/>
      </c>
      <c r="AI51" s="138"/>
      <c r="AJ51" s="103"/>
      <c r="AK51" s="27"/>
      <c r="AL51" s="27"/>
      <c r="AM51" s="27" t="str">
        <f t="shared" si="29"/>
        <v/>
      </c>
      <c r="AN51" s="121" t="str">
        <f t="shared" si="30"/>
        <v/>
      </c>
      <c r="AO51" s="121" t="str">
        <f t="shared" si="31"/>
        <v/>
      </c>
      <c r="AP51" s="27" t="str">
        <f>IF(AND(ISBLANK(AR51),AQ51=""),"",1+MAX(AP$21:AP50))</f>
        <v/>
      </c>
      <c r="AQ51" s="137" t="str">
        <f>IF(OR(AM51="",AM51=0,$H51="",$H51=0,NOT(ISNUMBER($H51)),NOT(ISNUMBER(AM51))),IF(AND($E51&lt;&gt;"",AND(OR(ISNUMBER(AM51),AM51=""),AND(ISNUMBER($H51),$H51&gt;0))),'Feuille de Donnée'!$K$13,""),IF(AM51&lt;$H$168*'Feuille de Donnée'!$I$9,"Négligeable",(IF(AND(AK51&gt;=$F51*(1-'Feuille de Donnée'!$E$12),AK51&lt;=$F51*(1+'Feuille de Donnée'!$F$12)),'Feuille de Donnée'!$F$17,IF(AK51&lt;$F51*(1-'Feuille de Donnée'!$E$12),'Feuille de Donnée'!$F$18,'Feuille de Donnée'!$F$16))&amp;""&amp;IF(AND(AL51&gt;=$G51*(1-'Feuille de Donnée'!$E$27),AL51&lt;=$G51*(1+'Feuille de Donnée'!$F$27)),'Feuille de Donnée'!$F$32,IF(AL51&lt;$G51*(1-'Feuille de Donnée'!$E$27),'Feuille de Donnée'!$F$33,'Feuille de Donnée'!$F$31)))))</f>
        <v/>
      </c>
      <c r="AR51" s="138"/>
      <c r="AS51" s="103"/>
      <c r="AT51" s="27"/>
      <c r="AU51" s="27"/>
      <c r="AV51" s="27" t="str">
        <f t="shared" si="32"/>
        <v/>
      </c>
      <c r="AW51" s="121" t="str">
        <f t="shared" si="33"/>
        <v/>
      </c>
      <c r="AX51" s="121" t="str">
        <f t="shared" si="34"/>
        <v/>
      </c>
      <c r="AY51" s="27" t="str">
        <f>IF(AND(ISBLANK(BA51),AZ51=""),"",1+MAX(AY$21:AY50))</f>
        <v/>
      </c>
      <c r="AZ51" s="137" t="str">
        <f>IF(OR(AV51="",AV51=0,$H51="",$H51=0,NOT(ISNUMBER($H51)),NOT(ISNUMBER(AV51))),IF(AND($E51&lt;&gt;"",AND(OR(ISNUMBER(AV51),AV51=""),AND(ISNUMBER($H51),$H51&gt;0))),'Feuille de Donnée'!$K$13,""),IF(AV51&lt;$H$168*'Feuille de Donnée'!$I$9,"Négligeable",(IF(AND(AT51&gt;=$F51*(1-'Feuille de Donnée'!$E$12),AT51&lt;=$F51*(1+'Feuille de Donnée'!$F$12)),'Feuille de Donnée'!$F$17,IF(AT51&lt;$F51*(1-'Feuille de Donnée'!$E$12),'Feuille de Donnée'!$F$18,'Feuille de Donnée'!$F$16))&amp;""&amp;IF(AND(AU51&gt;=$G51*(1-'Feuille de Donnée'!$E$27),AU51&lt;=$G51*(1+'Feuille de Donnée'!$F$27)),'Feuille de Donnée'!$F$32,IF(AU51&lt;$G51*(1-'Feuille de Donnée'!$E$27),'Feuille de Donnée'!$F$33,'Feuille de Donnée'!$F$31)))))</f>
        <v/>
      </c>
      <c r="BA51" s="138"/>
      <c r="BB51" s="103"/>
      <c r="BC51" s="27"/>
      <c r="BD51" s="27"/>
      <c r="BE51" s="27" t="str">
        <f t="shared" si="35"/>
        <v/>
      </c>
      <c r="BF51" s="121" t="str">
        <f t="shared" si="36"/>
        <v/>
      </c>
      <c r="BG51" s="121" t="str">
        <f t="shared" si="37"/>
        <v/>
      </c>
      <c r="BH51" s="27" t="str">
        <f>IF(AND(ISBLANK(BJ51),BI51=""),"",1+MAX(BH$21:BH50))</f>
        <v/>
      </c>
      <c r="BI51" s="137" t="str">
        <f>IF(OR(BE51="",BE51=0,$H51="",$H51=0,NOT(ISNUMBER($H51)),NOT(ISNUMBER(BE51))),IF(AND($E51&lt;&gt;"",AND(OR(ISNUMBER(BE51),BE51=""),AND(ISNUMBER($H51),$H51&gt;0))),'Feuille de Donnée'!$K$13,""),IF(BE51&lt;$H$168*'Feuille de Donnée'!$I$9,"Négligeable",(IF(AND(BC51&gt;=$F51*(1-'Feuille de Donnée'!$E$12),BC51&lt;=$F51*(1+'Feuille de Donnée'!$F$12)),'Feuille de Donnée'!$F$17,IF(BC51&lt;$F51*(1-'Feuille de Donnée'!$E$12),'Feuille de Donnée'!$F$18,'Feuille de Donnée'!$F$16))&amp;""&amp;IF(AND(BD51&gt;=$G51*(1-'Feuille de Donnée'!$E$27),BD51&lt;=$G51*(1+'Feuille de Donnée'!$F$27)),'Feuille de Donnée'!$F$32,IF(BD51&lt;$G51*(1-'Feuille de Donnée'!$E$27),'Feuille de Donnée'!$F$33,'Feuille de Donnée'!$F$31)))))</f>
        <v/>
      </c>
      <c r="BJ51" s="138"/>
      <c r="BK51" s="140"/>
    </row>
    <row r="52" spans="1:63" s="6" customFormat="1" x14ac:dyDescent="0.3">
      <c r="A52" s="23"/>
      <c r="B52" s="24"/>
      <c r="C52" s="24"/>
      <c r="D52" s="24"/>
      <c r="E52" s="22"/>
      <c r="F52" s="25"/>
      <c r="G52" s="26"/>
      <c r="H52" s="102" t="str">
        <f t="shared" si="19"/>
        <v/>
      </c>
      <c r="I52" s="103"/>
      <c r="J52" s="27"/>
      <c r="K52" s="27"/>
      <c r="L52" s="27" t="str">
        <f t="shared" si="20"/>
        <v/>
      </c>
      <c r="M52" s="121" t="str">
        <f t="shared" si="21"/>
        <v/>
      </c>
      <c r="N52" s="121" t="str">
        <f t="shared" si="22"/>
        <v/>
      </c>
      <c r="O52" s="27" t="str">
        <f>IF(AND(ISBLANK(Q52),P52=""),"",1+MAX(O$21:O51))</f>
        <v/>
      </c>
      <c r="P52" s="137" t="str">
        <f>IF(OR(L52="",L52=0,$H52="",$H52=0,NOT(ISNUMBER($H52)),NOT(ISNUMBER(L52))),IF(AND($E52&lt;&gt;"",AND(OR(ISNUMBER(L52),L52=""),AND(ISNUMBER($H52),$H52&gt;0))),'Feuille de Donnée'!$K$13,""),IF(L52&lt;$H$168*'Feuille de Donnée'!$I$9,"Négligeable",(IF(AND(J52&gt;=$F52*(1-'Feuille de Donnée'!$E$12),J52&lt;=$F52*(1+'Feuille de Donnée'!$F$12)),'Feuille de Donnée'!$F$17,IF(J52&lt;$F52*(1-'Feuille de Donnée'!$E$12),'Feuille de Donnée'!$F$18,'Feuille de Donnée'!$F$16))&amp;""&amp;IF(AND(K52&gt;=$G52*(1-'Feuille de Donnée'!$E$27),K52&lt;=$G52*(1+'Feuille de Donnée'!$F$27)),'Feuille de Donnée'!$F$32,IF(K52&lt;$G52*(1-'Feuille de Donnée'!$E$27),'Feuille de Donnée'!$F$33,'Feuille de Donnée'!$F$31)))))</f>
        <v/>
      </c>
      <c r="Q52" s="138"/>
      <c r="R52" s="103"/>
      <c r="S52" s="27"/>
      <c r="T52" s="27"/>
      <c r="U52" s="27" t="str">
        <f t="shared" si="23"/>
        <v/>
      </c>
      <c r="V52" s="121" t="str">
        <f t="shared" si="24"/>
        <v/>
      </c>
      <c r="W52" s="121" t="str">
        <f t="shared" si="25"/>
        <v/>
      </c>
      <c r="X52" s="27" t="str">
        <f>IF(AND(ISBLANK(Z52),Y52=""),"",1+MAX(X$21:X51))</f>
        <v/>
      </c>
      <c r="Y52" s="137" t="str">
        <f>IF(OR(U52="",U52=0,$H52="",$H52=0,NOT(ISNUMBER($H52)),NOT(ISNUMBER(U52))),IF(AND($E52&lt;&gt;"",AND(OR(ISNUMBER(U52),U52=""),AND(ISNUMBER($H52),$H52&gt;0))),'Feuille de Donnée'!$K$13,""),IF(U52&lt;$H$168*'Feuille de Donnée'!$I$9,"Négligeable",(IF(AND(S52&gt;=$F52*(1-'Feuille de Donnée'!$E$12),S52&lt;=$F52*(1+'Feuille de Donnée'!$F$12)),'Feuille de Donnée'!$F$17,IF(S52&lt;$F52*(1-'Feuille de Donnée'!$E$12),'Feuille de Donnée'!$F$18,'Feuille de Donnée'!$F$16))&amp;""&amp;IF(AND(T52&gt;=$G52*(1-'Feuille de Donnée'!$E$27),T52&lt;=$G52*(1+'Feuille de Donnée'!$F$27)),'Feuille de Donnée'!$F$32,IF(T52&lt;$G52*(1-'Feuille de Donnée'!$E$27),'Feuille de Donnée'!$F$33,'Feuille de Donnée'!$F$31)))))</f>
        <v/>
      </c>
      <c r="Z52" s="138"/>
      <c r="AA52" s="103"/>
      <c r="AB52" s="27"/>
      <c r="AC52" s="27"/>
      <c r="AD52" s="27" t="str">
        <f t="shared" si="26"/>
        <v/>
      </c>
      <c r="AE52" s="121" t="str">
        <f t="shared" si="27"/>
        <v/>
      </c>
      <c r="AF52" s="121" t="str">
        <f t="shared" si="28"/>
        <v/>
      </c>
      <c r="AG52" s="27" t="str">
        <f>IF(AND(ISBLANK(AI52),AH52=""),"",1+MAX(AG$21:AG51))</f>
        <v/>
      </c>
      <c r="AH52" s="137" t="str">
        <f>IF(OR(AD52="",AD52=0,$H52="",$H52=0,NOT(ISNUMBER($H52)),NOT(ISNUMBER(AD52))),IF(AND($E52&lt;&gt;"",AND(OR(ISNUMBER(AD52),AD52=""),AND(ISNUMBER($H52),$H52&gt;0))),'Feuille de Donnée'!$K$13,""),IF(AD52&lt;$H$168*'Feuille de Donnée'!$I$9,"Négligeable",(IF(AND(AB52&gt;=$F52*(1-'Feuille de Donnée'!$E$12),AB52&lt;=$F52*(1+'Feuille de Donnée'!$F$12)),'Feuille de Donnée'!$F$17,IF(AB52&lt;$F52*(1-'Feuille de Donnée'!$E$12),'Feuille de Donnée'!$F$18,'Feuille de Donnée'!$F$16))&amp;""&amp;IF(AND(AC52&gt;=$G52*(1-'Feuille de Donnée'!$E$27),AC52&lt;=$G52*(1+'Feuille de Donnée'!$F$27)),'Feuille de Donnée'!$F$32,IF(AC52&lt;$G52*(1-'Feuille de Donnée'!$E$27),'Feuille de Donnée'!$F$33,'Feuille de Donnée'!$F$31)))))</f>
        <v/>
      </c>
      <c r="AI52" s="138"/>
      <c r="AJ52" s="103"/>
      <c r="AK52" s="27"/>
      <c r="AL52" s="27"/>
      <c r="AM52" s="27" t="str">
        <f t="shared" si="29"/>
        <v/>
      </c>
      <c r="AN52" s="121" t="str">
        <f t="shared" si="30"/>
        <v/>
      </c>
      <c r="AO52" s="121" t="str">
        <f t="shared" si="31"/>
        <v/>
      </c>
      <c r="AP52" s="27" t="str">
        <f>IF(AND(ISBLANK(AR52),AQ52=""),"",1+MAX(AP$21:AP51))</f>
        <v/>
      </c>
      <c r="AQ52" s="137" t="str">
        <f>IF(OR(AM52="",AM52=0,$H52="",$H52=0,NOT(ISNUMBER($H52)),NOT(ISNUMBER(AM52))),IF(AND($E52&lt;&gt;"",AND(OR(ISNUMBER(AM52),AM52=""),AND(ISNUMBER($H52),$H52&gt;0))),'Feuille de Donnée'!$K$13,""),IF(AM52&lt;$H$168*'Feuille de Donnée'!$I$9,"Négligeable",(IF(AND(AK52&gt;=$F52*(1-'Feuille de Donnée'!$E$12),AK52&lt;=$F52*(1+'Feuille de Donnée'!$F$12)),'Feuille de Donnée'!$F$17,IF(AK52&lt;$F52*(1-'Feuille de Donnée'!$E$12),'Feuille de Donnée'!$F$18,'Feuille de Donnée'!$F$16))&amp;""&amp;IF(AND(AL52&gt;=$G52*(1-'Feuille de Donnée'!$E$27),AL52&lt;=$G52*(1+'Feuille de Donnée'!$F$27)),'Feuille de Donnée'!$F$32,IF(AL52&lt;$G52*(1-'Feuille de Donnée'!$E$27),'Feuille de Donnée'!$F$33,'Feuille de Donnée'!$F$31)))))</f>
        <v/>
      </c>
      <c r="AR52" s="138"/>
      <c r="AS52" s="103"/>
      <c r="AT52" s="27"/>
      <c r="AU52" s="27"/>
      <c r="AV52" s="27" t="str">
        <f t="shared" si="32"/>
        <v/>
      </c>
      <c r="AW52" s="121" t="str">
        <f t="shared" si="33"/>
        <v/>
      </c>
      <c r="AX52" s="121" t="str">
        <f t="shared" si="34"/>
        <v/>
      </c>
      <c r="AY52" s="27" t="str">
        <f>IF(AND(ISBLANK(BA52),AZ52=""),"",1+MAX(AY$21:AY51))</f>
        <v/>
      </c>
      <c r="AZ52" s="137" t="str">
        <f>IF(OR(AV52="",AV52=0,$H52="",$H52=0,NOT(ISNUMBER($H52)),NOT(ISNUMBER(AV52))),IF(AND($E52&lt;&gt;"",AND(OR(ISNUMBER(AV52),AV52=""),AND(ISNUMBER($H52),$H52&gt;0))),'Feuille de Donnée'!$K$13,""),IF(AV52&lt;$H$168*'Feuille de Donnée'!$I$9,"Négligeable",(IF(AND(AT52&gt;=$F52*(1-'Feuille de Donnée'!$E$12),AT52&lt;=$F52*(1+'Feuille de Donnée'!$F$12)),'Feuille de Donnée'!$F$17,IF(AT52&lt;$F52*(1-'Feuille de Donnée'!$E$12),'Feuille de Donnée'!$F$18,'Feuille de Donnée'!$F$16))&amp;""&amp;IF(AND(AU52&gt;=$G52*(1-'Feuille de Donnée'!$E$27),AU52&lt;=$G52*(1+'Feuille de Donnée'!$F$27)),'Feuille de Donnée'!$F$32,IF(AU52&lt;$G52*(1-'Feuille de Donnée'!$E$27),'Feuille de Donnée'!$F$33,'Feuille de Donnée'!$F$31)))))</f>
        <v/>
      </c>
      <c r="BA52" s="138"/>
      <c r="BB52" s="103"/>
      <c r="BC52" s="27"/>
      <c r="BD52" s="27"/>
      <c r="BE52" s="27" t="str">
        <f t="shared" si="35"/>
        <v/>
      </c>
      <c r="BF52" s="121" t="str">
        <f t="shared" si="36"/>
        <v/>
      </c>
      <c r="BG52" s="121" t="str">
        <f t="shared" si="37"/>
        <v/>
      </c>
      <c r="BH52" s="27" t="str">
        <f>IF(AND(ISBLANK(BJ52),BI52=""),"",1+MAX(BH$21:BH51))</f>
        <v/>
      </c>
      <c r="BI52" s="137" t="str">
        <f>IF(OR(BE52="",BE52=0,$H52="",$H52=0,NOT(ISNUMBER($H52)),NOT(ISNUMBER(BE52))),IF(AND($E52&lt;&gt;"",AND(OR(ISNUMBER(BE52),BE52=""),AND(ISNUMBER($H52),$H52&gt;0))),'Feuille de Donnée'!$K$13,""),IF(BE52&lt;$H$168*'Feuille de Donnée'!$I$9,"Négligeable",(IF(AND(BC52&gt;=$F52*(1-'Feuille de Donnée'!$E$12),BC52&lt;=$F52*(1+'Feuille de Donnée'!$F$12)),'Feuille de Donnée'!$F$17,IF(BC52&lt;$F52*(1-'Feuille de Donnée'!$E$12),'Feuille de Donnée'!$F$18,'Feuille de Donnée'!$F$16))&amp;""&amp;IF(AND(BD52&gt;=$G52*(1-'Feuille de Donnée'!$E$27),BD52&lt;=$G52*(1+'Feuille de Donnée'!$F$27)),'Feuille de Donnée'!$F$32,IF(BD52&lt;$G52*(1-'Feuille de Donnée'!$E$27),'Feuille de Donnée'!$F$33,'Feuille de Donnée'!$F$31)))))</f>
        <v/>
      </c>
      <c r="BJ52" s="138"/>
      <c r="BK52" s="140"/>
    </row>
    <row r="53" spans="1:63" s="6" customFormat="1" x14ac:dyDescent="0.3">
      <c r="A53" s="23"/>
      <c r="B53" s="24"/>
      <c r="C53" s="24"/>
      <c r="D53" s="24"/>
      <c r="E53" s="22"/>
      <c r="F53" s="25"/>
      <c r="G53" s="26"/>
      <c r="H53" s="102" t="str">
        <f t="shared" si="19"/>
        <v/>
      </c>
      <c r="I53" s="103"/>
      <c r="J53" s="27"/>
      <c r="K53" s="27"/>
      <c r="L53" s="27" t="str">
        <f t="shared" si="20"/>
        <v/>
      </c>
      <c r="M53" s="121" t="str">
        <f t="shared" si="21"/>
        <v/>
      </c>
      <c r="N53" s="121" t="str">
        <f t="shared" si="22"/>
        <v/>
      </c>
      <c r="O53" s="27" t="str">
        <f>IF(AND(ISBLANK(Q53),P53=""),"",1+MAX(O$21:O52))</f>
        <v/>
      </c>
      <c r="P53" s="137" t="str">
        <f>IF(OR(L53="",L53=0,$H53="",$H53=0,NOT(ISNUMBER($H53)),NOT(ISNUMBER(L53))),IF(AND($E53&lt;&gt;"",AND(OR(ISNUMBER(L53),L53=""),AND(ISNUMBER($H53),$H53&gt;0))),'Feuille de Donnée'!$K$13,""),IF(L53&lt;$H$168*'Feuille de Donnée'!$I$9,"Négligeable",(IF(AND(J53&gt;=$F53*(1-'Feuille de Donnée'!$E$12),J53&lt;=$F53*(1+'Feuille de Donnée'!$F$12)),'Feuille de Donnée'!$F$17,IF(J53&lt;$F53*(1-'Feuille de Donnée'!$E$12),'Feuille de Donnée'!$F$18,'Feuille de Donnée'!$F$16))&amp;""&amp;IF(AND(K53&gt;=$G53*(1-'Feuille de Donnée'!$E$27),K53&lt;=$G53*(1+'Feuille de Donnée'!$F$27)),'Feuille de Donnée'!$F$32,IF(K53&lt;$G53*(1-'Feuille de Donnée'!$E$27),'Feuille de Donnée'!$F$33,'Feuille de Donnée'!$F$31)))))</f>
        <v/>
      </c>
      <c r="Q53" s="138"/>
      <c r="R53" s="103"/>
      <c r="S53" s="27"/>
      <c r="T53" s="27"/>
      <c r="U53" s="27" t="str">
        <f t="shared" si="23"/>
        <v/>
      </c>
      <c r="V53" s="121" t="str">
        <f t="shared" si="24"/>
        <v/>
      </c>
      <c r="W53" s="121" t="str">
        <f t="shared" si="25"/>
        <v/>
      </c>
      <c r="X53" s="27" t="str">
        <f>IF(AND(ISBLANK(Z53),Y53=""),"",1+MAX(X$21:X52))</f>
        <v/>
      </c>
      <c r="Y53" s="137" t="str">
        <f>IF(OR(U53="",U53=0,$H53="",$H53=0,NOT(ISNUMBER($H53)),NOT(ISNUMBER(U53))),IF(AND($E53&lt;&gt;"",AND(OR(ISNUMBER(U53),U53=""),AND(ISNUMBER($H53),$H53&gt;0))),'Feuille de Donnée'!$K$13,""),IF(U53&lt;$H$168*'Feuille de Donnée'!$I$9,"Négligeable",(IF(AND(S53&gt;=$F53*(1-'Feuille de Donnée'!$E$12),S53&lt;=$F53*(1+'Feuille de Donnée'!$F$12)),'Feuille de Donnée'!$F$17,IF(S53&lt;$F53*(1-'Feuille de Donnée'!$E$12),'Feuille de Donnée'!$F$18,'Feuille de Donnée'!$F$16))&amp;""&amp;IF(AND(T53&gt;=$G53*(1-'Feuille de Donnée'!$E$27),T53&lt;=$G53*(1+'Feuille de Donnée'!$F$27)),'Feuille de Donnée'!$F$32,IF(T53&lt;$G53*(1-'Feuille de Donnée'!$E$27),'Feuille de Donnée'!$F$33,'Feuille de Donnée'!$F$31)))))</f>
        <v/>
      </c>
      <c r="Z53" s="138"/>
      <c r="AA53" s="103"/>
      <c r="AB53" s="27"/>
      <c r="AC53" s="27"/>
      <c r="AD53" s="27" t="str">
        <f t="shared" si="26"/>
        <v/>
      </c>
      <c r="AE53" s="121" t="str">
        <f t="shared" si="27"/>
        <v/>
      </c>
      <c r="AF53" s="121" t="str">
        <f t="shared" si="28"/>
        <v/>
      </c>
      <c r="AG53" s="27" t="str">
        <f>IF(AND(ISBLANK(AI53),AH53=""),"",1+MAX(AG$21:AG52))</f>
        <v/>
      </c>
      <c r="AH53" s="137" t="str">
        <f>IF(OR(AD53="",AD53=0,$H53="",$H53=0,NOT(ISNUMBER($H53)),NOT(ISNUMBER(AD53))),IF(AND($E53&lt;&gt;"",AND(OR(ISNUMBER(AD53),AD53=""),AND(ISNUMBER($H53),$H53&gt;0))),'Feuille de Donnée'!$K$13,""),IF(AD53&lt;$H$168*'Feuille de Donnée'!$I$9,"Négligeable",(IF(AND(AB53&gt;=$F53*(1-'Feuille de Donnée'!$E$12),AB53&lt;=$F53*(1+'Feuille de Donnée'!$F$12)),'Feuille de Donnée'!$F$17,IF(AB53&lt;$F53*(1-'Feuille de Donnée'!$E$12),'Feuille de Donnée'!$F$18,'Feuille de Donnée'!$F$16))&amp;""&amp;IF(AND(AC53&gt;=$G53*(1-'Feuille de Donnée'!$E$27),AC53&lt;=$G53*(1+'Feuille de Donnée'!$F$27)),'Feuille de Donnée'!$F$32,IF(AC53&lt;$G53*(1-'Feuille de Donnée'!$E$27),'Feuille de Donnée'!$F$33,'Feuille de Donnée'!$F$31)))))</f>
        <v/>
      </c>
      <c r="AI53" s="138"/>
      <c r="AJ53" s="103"/>
      <c r="AK53" s="27"/>
      <c r="AL53" s="27"/>
      <c r="AM53" s="27" t="str">
        <f t="shared" si="29"/>
        <v/>
      </c>
      <c r="AN53" s="121" t="str">
        <f t="shared" si="30"/>
        <v/>
      </c>
      <c r="AO53" s="121" t="str">
        <f t="shared" si="31"/>
        <v/>
      </c>
      <c r="AP53" s="27" t="str">
        <f>IF(AND(ISBLANK(AR53),AQ53=""),"",1+MAX(AP$21:AP52))</f>
        <v/>
      </c>
      <c r="AQ53" s="137" t="str">
        <f>IF(OR(AM53="",AM53=0,$H53="",$H53=0,NOT(ISNUMBER($H53)),NOT(ISNUMBER(AM53))),IF(AND($E53&lt;&gt;"",AND(OR(ISNUMBER(AM53),AM53=""),AND(ISNUMBER($H53),$H53&gt;0))),'Feuille de Donnée'!$K$13,""),IF(AM53&lt;$H$168*'Feuille de Donnée'!$I$9,"Négligeable",(IF(AND(AK53&gt;=$F53*(1-'Feuille de Donnée'!$E$12),AK53&lt;=$F53*(1+'Feuille de Donnée'!$F$12)),'Feuille de Donnée'!$F$17,IF(AK53&lt;$F53*(1-'Feuille de Donnée'!$E$12),'Feuille de Donnée'!$F$18,'Feuille de Donnée'!$F$16))&amp;""&amp;IF(AND(AL53&gt;=$G53*(1-'Feuille de Donnée'!$E$27),AL53&lt;=$G53*(1+'Feuille de Donnée'!$F$27)),'Feuille de Donnée'!$F$32,IF(AL53&lt;$G53*(1-'Feuille de Donnée'!$E$27),'Feuille de Donnée'!$F$33,'Feuille de Donnée'!$F$31)))))</f>
        <v/>
      </c>
      <c r="AR53" s="138"/>
      <c r="AS53" s="103"/>
      <c r="AT53" s="27"/>
      <c r="AU53" s="27"/>
      <c r="AV53" s="27" t="str">
        <f t="shared" si="32"/>
        <v/>
      </c>
      <c r="AW53" s="121" t="str">
        <f t="shared" si="33"/>
        <v/>
      </c>
      <c r="AX53" s="121" t="str">
        <f t="shared" si="34"/>
        <v/>
      </c>
      <c r="AY53" s="27" t="str">
        <f>IF(AND(ISBLANK(BA53),AZ53=""),"",1+MAX(AY$21:AY52))</f>
        <v/>
      </c>
      <c r="AZ53" s="137" t="str">
        <f>IF(OR(AV53="",AV53=0,$H53="",$H53=0,NOT(ISNUMBER($H53)),NOT(ISNUMBER(AV53))),IF(AND($E53&lt;&gt;"",AND(OR(ISNUMBER(AV53),AV53=""),AND(ISNUMBER($H53),$H53&gt;0))),'Feuille de Donnée'!$K$13,""),IF(AV53&lt;$H$168*'Feuille de Donnée'!$I$9,"Négligeable",(IF(AND(AT53&gt;=$F53*(1-'Feuille de Donnée'!$E$12),AT53&lt;=$F53*(1+'Feuille de Donnée'!$F$12)),'Feuille de Donnée'!$F$17,IF(AT53&lt;$F53*(1-'Feuille de Donnée'!$E$12),'Feuille de Donnée'!$F$18,'Feuille de Donnée'!$F$16))&amp;""&amp;IF(AND(AU53&gt;=$G53*(1-'Feuille de Donnée'!$E$27),AU53&lt;=$G53*(1+'Feuille de Donnée'!$F$27)),'Feuille de Donnée'!$F$32,IF(AU53&lt;$G53*(1-'Feuille de Donnée'!$E$27),'Feuille de Donnée'!$F$33,'Feuille de Donnée'!$F$31)))))</f>
        <v/>
      </c>
      <c r="BA53" s="138"/>
      <c r="BB53" s="103"/>
      <c r="BC53" s="27"/>
      <c r="BD53" s="27"/>
      <c r="BE53" s="27" t="str">
        <f t="shared" si="35"/>
        <v/>
      </c>
      <c r="BF53" s="121" t="str">
        <f t="shared" si="36"/>
        <v/>
      </c>
      <c r="BG53" s="121" t="str">
        <f t="shared" si="37"/>
        <v/>
      </c>
      <c r="BH53" s="27" t="str">
        <f>IF(AND(ISBLANK(BJ53),BI53=""),"",1+MAX(BH$21:BH52))</f>
        <v/>
      </c>
      <c r="BI53" s="137" t="str">
        <f>IF(OR(BE53="",BE53=0,$H53="",$H53=0,NOT(ISNUMBER($H53)),NOT(ISNUMBER(BE53))),IF(AND($E53&lt;&gt;"",AND(OR(ISNUMBER(BE53),BE53=""),AND(ISNUMBER($H53),$H53&gt;0))),'Feuille de Donnée'!$K$13,""),IF(BE53&lt;$H$168*'Feuille de Donnée'!$I$9,"Négligeable",(IF(AND(BC53&gt;=$F53*(1-'Feuille de Donnée'!$E$12),BC53&lt;=$F53*(1+'Feuille de Donnée'!$F$12)),'Feuille de Donnée'!$F$17,IF(BC53&lt;$F53*(1-'Feuille de Donnée'!$E$12),'Feuille de Donnée'!$F$18,'Feuille de Donnée'!$F$16))&amp;""&amp;IF(AND(BD53&gt;=$G53*(1-'Feuille de Donnée'!$E$27),BD53&lt;=$G53*(1+'Feuille de Donnée'!$F$27)),'Feuille de Donnée'!$F$32,IF(BD53&lt;$G53*(1-'Feuille de Donnée'!$E$27),'Feuille de Donnée'!$F$33,'Feuille de Donnée'!$F$31)))))</f>
        <v/>
      </c>
      <c r="BJ53" s="138"/>
      <c r="BK53" s="140"/>
    </row>
    <row r="54" spans="1:63" s="6" customFormat="1" x14ac:dyDescent="0.3">
      <c r="A54" s="23"/>
      <c r="B54" s="24"/>
      <c r="C54" s="24"/>
      <c r="D54" s="24"/>
      <c r="E54" s="22"/>
      <c r="F54" s="25"/>
      <c r="G54" s="26"/>
      <c r="H54" s="102" t="str">
        <f t="shared" si="19"/>
        <v/>
      </c>
      <c r="I54" s="103"/>
      <c r="J54" s="27"/>
      <c r="K54" s="27"/>
      <c r="L54" s="27" t="str">
        <f t="shared" si="20"/>
        <v/>
      </c>
      <c r="M54" s="121" t="str">
        <f t="shared" si="21"/>
        <v/>
      </c>
      <c r="N54" s="121" t="str">
        <f t="shared" si="22"/>
        <v/>
      </c>
      <c r="O54" s="27" t="str">
        <f>IF(AND(ISBLANK(Q54),P54=""),"",1+MAX(O$21:O53))</f>
        <v/>
      </c>
      <c r="P54" s="137" t="str">
        <f>IF(OR(L54="",L54=0,$H54="",$H54=0,NOT(ISNUMBER($H54)),NOT(ISNUMBER(L54))),IF(AND($E54&lt;&gt;"",AND(OR(ISNUMBER(L54),L54=""),AND(ISNUMBER($H54),$H54&gt;0))),'Feuille de Donnée'!$K$13,""),IF(L54&lt;$H$168*'Feuille de Donnée'!$I$9,"Négligeable",(IF(AND(J54&gt;=$F54*(1-'Feuille de Donnée'!$E$12),J54&lt;=$F54*(1+'Feuille de Donnée'!$F$12)),'Feuille de Donnée'!$F$17,IF(J54&lt;$F54*(1-'Feuille de Donnée'!$E$12),'Feuille de Donnée'!$F$18,'Feuille de Donnée'!$F$16))&amp;""&amp;IF(AND(K54&gt;=$G54*(1-'Feuille de Donnée'!$E$27),K54&lt;=$G54*(1+'Feuille de Donnée'!$F$27)),'Feuille de Donnée'!$F$32,IF(K54&lt;$G54*(1-'Feuille de Donnée'!$E$27),'Feuille de Donnée'!$F$33,'Feuille de Donnée'!$F$31)))))</f>
        <v/>
      </c>
      <c r="Q54" s="138"/>
      <c r="R54" s="103"/>
      <c r="S54" s="27"/>
      <c r="T54" s="27"/>
      <c r="U54" s="27" t="str">
        <f t="shared" si="23"/>
        <v/>
      </c>
      <c r="V54" s="121" t="str">
        <f t="shared" si="24"/>
        <v/>
      </c>
      <c r="W54" s="121" t="str">
        <f t="shared" si="25"/>
        <v/>
      </c>
      <c r="X54" s="27" t="str">
        <f>IF(AND(ISBLANK(Z54),Y54=""),"",1+MAX(X$21:X53))</f>
        <v/>
      </c>
      <c r="Y54" s="137" t="str">
        <f>IF(OR(U54="",U54=0,$H54="",$H54=0,NOT(ISNUMBER($H54)),NOT(ISNUMBER(U54))),IF(AND($E54&lt;&gt;"",AND(OR(ISNUMBER(U54),U54=""),AND(ISNUMBER($H54),$H54&gt;0))),'Feuille de Donnée'!$K$13,""),IF(U54&lt;$H$168*'Feuille de Donnée'!$I$9,"Négligeable",(IF(AND(S54&gt;=$F54*(1-'Feuille de Donnée'!$E$12),S54&lt;=$F54*(1+'Feuille de Donnée'!$F$12)),'Feuille de Donnée'!$F$17,IF(S54&lt;$F54*(1-'Feuille de Donnée'!$E$12),'Feuille de Donnée'!$F$18,'Feuille de Donnée'!$F$16))&amp;""&amp;IF(AND(T54&gt;=$G54*(1-'Feuille de Donnée'!$E$27),T54&lt;=$G54*(1+'Feuille de Donnée'!$F$27)),'Feuille de Donnée'!$F$32,IF(T54&lt;$G54*(1-'Feuille de Donnée'!$E$27),'Feuille de Donnée'!$F$33,'Feuille de Donnée'!$F$31)))))</f>
        <v/>
      </c>
      <c r="Z54" s="138"/>
      <c r="AA54" s="103"/>
      <c r="AB54" s="27"/>
      <c r="AC54" s="27"/>
      <c r="AD54" s="27" t="str">
        <f t="shared" si="26"/>
        <v/>
      </c>
      <c r="AE54" s="121" t="str">
        <f t="shared" si="27"/>
        <v/>
      </c>
      <c r="AF54" s="121" t="str">
        <f t="shared" si="28"/>
        <v/>
      </c>
      <c r="AG54" s="27" t="str">
        <f>IF(AND(ISBLANK(AI54),AH54=""),"",1+MAX(AG$21:AG53))</f>
        <v/>
      </c>
      <c r="AH54" s="137" t="str">
        <f>IF(OR(AD54="",AD54=0,$H54="",$H54=0,NOT(ISNUMBER($H54)),NOT(ISNUMBER(AD54))),IF(AND($E54&lt;&gt;"",AND(OR(ISNUMBER(AD54),AD54=""),AND(ISNUMBER($H54),$H54&gt;0))),'Feuille de Donnée'!$K$13,""),IF(AD54&lt;$H$168*'Feuille de Donnée'!$I$9,"Négligeable",(IF(AND(AB54&gt;=$F54*(1-'Feuille de Donnée'!$E$12),AB54&lt;=$F54*(1+'Feuille de Donnée'!$F$12)),'Feuille de Donnée'!$F$17,IF(AB54&lt;$F54*(1-'Feuille de Donnée'!$E$12),'Feuille de Donnée'!$F$18,'Feuille de Donnée'!$F$16))&amp;""&amp;IF(AND(AC54&gt;=$G54*(1-'Feuille de Donnée'!$E$27),AC54&lt;=$G54*(1+'Feuille de Donnée'!$F$27)),'Feuille de Donnée'!$F$32,IF(AC54&lt;$G54*(1-'Feuille de Donnée'!$E$27),'Feuille de Donnée'!$F$33,'Feuille de Donnée'!$F$31)))))</f>
        <v/>
      </c>
      <c r="AI54" s="138"/>
      <c r="AJ54" s="103"/>
      <c r="AK54" s="27"/>
      <c r="AL54" s="27"/>
      <c r="AM54" s="27" t="str">
        <f t="shared" si="29"/>
        <v/>
      </c>
      <c r="AN54" s="121" t="str">
        <f t="shared" si="30"/>
        <v/>
      </c>
      <c r="AO54" s="121" t="str">
        <f t="shared" si="31"/>
        <v/>
      </c>
      <c r="AP54" s="27" t="str">
        <f>IF(AND(ISBLANK(AR54),AQ54=""),"",1+MAX(AP$21:AP53))</f>
        <v/>
      </c>
      <c r="AQ54" s="137" t="str">
        <f>IF(OR(AM54="",AM54=0,$H54="",$H54=0,NOT(ISNUMBER($H54)),NOT(ISNUMBER(AM54))),IF(AND($E54&lt;&gt;"",AND(OR(ISNUMBER(AM54),AM54=""),AND(ISNUMBER($H54),$H54&gt;0))),'Feuille de Donnée'!$K$13,""),IF(AM54&lt;$H$168*'Feuille de Donnée'!$I$9,"Négligeable",(IF(AND(AK54&gt;=$F54*(1-'Feuille de Donnée'!$E$12),AK54&lt;=$F54*(1+'Feuille de Donnée'!$F$12)),'Feuille de Donnée'!$F$17,IF(AK54&lt;$F54*(1-'Feuille de Donnée'!$E$12),'Feuille de Donnée'!$F$18,'Feuille de Donnée'!$F$16))&amp;""&amp;IF(AND(AL54&gt;=$G54*(1-'Feuille de Donnée'!$E$27),AL54&lt;=$G54*(1+'Feuille de Donnée'!$F$27)),'Feuille de Donnée'!$F$32,IF(AL54&lt;$G54*(1-'Feuille de Donnée'!$E$27),'Feuille de Donnée'!$F$33,'Feuille de Donnée'!$F$31)))))</f>
        <v/>
      </c>
      <c r="AR54" s="138"/>
      <c r="AS54" s="103"/>
      <c r="AT54" s="27"/>
      <c r="AU54" s="27"/>
      <c r="AV54" s="27" t="str">
        <f t="shared" si="32"/>
        <v/>
      </c>
      <c r="AW54" s="121" t="str">
        <f t="shared" si="33"/>
        <v/>
      </c>
      <c r="AX54" s="121" t="str">
        <f t="shared" si="34"/>
        <v/>
      </c>
      <c r="AY54" s="27" t="str">
        <f>IF(AND(ISBLANK(BA54),AZ54=""),"",1+MAX(AY$21:AY53))</f>
        <v/>
      </c>
      <c r="AZ54" s="137" t="str">
        <f>IF(OR(AV54="",AV54=0,$H54="",$H54=0,NOT(ISNUMBER($H54)),NOT(ISNUMBER(AV54))),IF(AND($E54&lt;&gt;"",AND(OR(ISNUMBER(AV54),AV54=""),AND(ISNUMBER($H54),$H54&gt;0))),'Feuille de Donnée'!$K$13,""),IF(AV54&lt;$H$168*'Feuille de Donnée'!$I$9,"Négligeable",(IF(AND(AT54&gt;=$F54*(1-'Feuille de Donnée'!$E$12),AT54&lt;=$F54*(1+'Feuille de Donnée'!$F$12)),'Feuille de Donnée'!$F$17,IF(AT54&lt;$F54*(1-'Feuille de Donnée'!$E$12),'Feuille de Donnée'!$F$18,'Feuille de Donnée'!$F$16))&amp;""&amp;IF(AND(AU54&gt;=$G54*(1-'Feuille de Donnée'!$E$27),AU54&lt;=$G54*(1+'Feuille de Donnée'!$F$27)),'Feuille de Donnée'!$F$32,IF(AU54&lt;$G54*(1-'Feuille de Donnée'!$E$27),'Feuille de Donnée'!$F$33,'Feuille de Donnée'!$F$31)))))</f>
        <v/>
      </c>
      <c r="BA54" s="138"/>
      <c r="BB54" s="103"/>
      <c r="BC54" s="27"/>
      <c r="BD54" s="27"/>
      <c r="BE54" s="27" t="str">
        <f t="shared" si="35"/>
        <v/>
      </c>
      <c r="BF54" s="121" t="str">
        <f t="shared" si="36"/>
        <v/>
      </c>
      <c r="BG54" s="121" t="str">
        <f t="shared" si="37"/>
        <v/>
      </c>
      <c r="BH54" s="27" t="str">
        <f>IF(AND(ISBLANK(BJ54),BI54=""),"",1+MAX(BH$21:BH53))</f>
        <v/>
      </c>
      <c r="BI54" s="137" t="str">
        <f>IF(OR(BE54="",BE54=0,$H54="",$H54=0,NOT(ISNUMBER($H54)),NOT(ISNUMBER(BE54))),IF(AND($E54&lt;&gt;"",AND(OR(ISNUMBER(BE54),BE54=""),AND(ISNUMBER($H54),$H54&gt;0))),'Feuille de Donnée'!$K$13,""),IF(BE54&lt;$H$168*'Feuille de Donnée'!$I$9,"Négligeable",(IF(AND(BC54&gt;=$F54*(1-'Feuille de Donnée'!$E$12),BC54&lt;=$F54*(1+'Feuille de Donnée'!$F$12)),'Feuille de Donnée'!$F$17,IF(BC54&lt;$F54*(1-'Feuille de Donnée'!$E$12),'Feuille de Donnée'!$F$18,'Feuille de Donnée'!$F$16))&amp;""&amp;IF(AND(BD54&gt;=$G54*(1-'Feuille de Donnée'!$E$27),BD54&lt;=$G54*(1+'Feuille de Donnée'!$F$27)),'Feuille de Donnée'!$F$32,IF(BD54&lt;$G54*(1-'Feuille de Donnée'!$E$27),'Feuille de Donnée'!$F$33,'Feuille de Donnée'!$F$31)))))</f>
        <v/>
      </c>
      <c r="BJ54" s="138"/>
      <c r="BK54" s="140"/>
    </row>
    <row r="55" spans="1:63" s="6" customFormat="1" x14ac:dyDescent="0.3">
      <c r="A55" s="23"/>
      <c r="B55" s="24"/>
      <c r="C55" s="24"/>
      <c r="D55" s="24"/>
      <c r="E55" s="22"/>
      <c r="F55" s="25"/>
      <c r="G55" s="26"/>
      <c r="H55" s="102" t="str">
        <f t="shared" si="19"/>
        <v/>
      </c>
      <c r="I55" s="103"/>
      <c r="J55" s="27"/>
      <c r="K55" s="27"/>
      <c r="L55" s="27" t="str">
        <f t="shared" si="20"/>
        <v/>
      </c>
      <c r="M55" s="121" t="str">
        <f t="shared" si="21"/>
        <v/>
      </c>
      <c r="N55" s="121" t="str">
        <f t="shared" si="22"/>
        <v/>
      </c>
      <c r="O55" s="27" t="str">
        <f>IF(AND(ISBLANK(Q55),P55=""),"",1+MAX(O$21:O54))</f>
        <v/>
      </c>
      <c r="P55" s="137" t="str">
        <f>IF(OR(L55="",L55=0,$H55="",$H55=0,NOT(ISNUMBER($H55)),NOT(ISNUMBER(L55))),IF(AND($E55&lt;&gt;"",AND(OR(ISNUMBER(L55),L55=""),AND(ISNUMBER($H55),$H55&gt;0))),'Feuille de Donnée'!$K$13,""),IF(L55&lt;$H$168*'Feuille de Donnée'!$I$9,"Négligeable",(IF(AND(J55&gt;=$F55*(1-'Feuille de Donnée'!$E$12),J55&lt;=$F55*(1+'Feuille de Donnée'!$F$12)),'Feuille de Donnée'!$F$17,IF(J55&lt;$F55*(1-'Feuille de Donnée'!$E$12),'Feuille de Donnée'!$F$18,'Feuille de Donnée'!$F$16))&amp;""&amp;IF(AND(K55&gt;=$G55*(1-'Feuille de Donnée'!$E$27),K55&lt;=$G55*(1+'Feuille de Donnée'!$F$27)),'Feuille de Donnée'!$F$32,IF(K55&lt;$G55*(1-'Feuille de Donnée'!$E$27),'Feuille de Donnée'!$F$33,'Feuille de Donnée'!$F$31)))))</f>
        <v/>
      </c>
      <c r="Q55" s="138"/>
      <c r="R55" s="103"/>
      <c r="S55" s="27"/>
      <c r="T55" s="27"/>
      <c r="U55" s="27" t="str">
        <f t="shared" si="23"/>
        <v/>
      </c>
      <c r="V55" s="121" t="str">
        <f t="shared" si="24"/>
        <v/>
      </c>
      <c r="W55" s="121" t="str">
        <f t="shared" si="25"/>
        <v/>
      </c>
      <c r="X55" s="27" t="str">
        <f>IF(AND(ISBLANK(Z55),Y55=""),"",1+MAX(X$21:X54))</f>
        <v/>
      </c>
      <c r="Y55" s="137" t="str">
        <f>IF(OR(U55="",U55=0,$H55="",$H55=0,NOT(ISNUMBER($H55)),NOT(ISNUMBER(U55))),IF(AND($E55&lt;&gt;"",AND(OR(ISNUMBER(U55),U55=""),AND(ISNUMBER($H55),$H55&gt;0))),'Feuille de Donnée'!$K$13,""),IF(U55&lt;$H$168*'Feuille de Donnée'!$I$9,"Négligeable",(IF(AND(S55&gt;=$F55*(1-'Feuille de Donnée'!$E$12),S55&lt;=$F55*(1+'Feuille de Donnée'!$F$12)),'Feuille de Donnée'!$F$17,IF(S55&lt;$F55*(1-'Feuille de Donnée'!$E$12),'Feuille de Donnée'!$F$18,'Feuille de Donnée'!$F$16))&amp;""&amp;IF(AND(T55&gt;=$G55*(1-'Feuille de Donnée'!$E$27),T55&lt;=$G55*(1+'Feuille de Donnée'!$F$27)),'Feuille de Donnée'!$F$32,IF(T55&lt;$G55*(1-'Feuille de Donnée'!$E$27),'Feuille de Donnée'!$F$33,'Feuille de Donnée'!$F$31)))))</f>
        <v/>
      </c>
      <c r="Z55" s="138"/>
      <c r="AA55" s="103"/>
      <c r="AB55" s="27"/>
      <c r="AC55" s="27"/>
      <c r="AD55" s="27" t="str">
        <f t="shared" si="26"/>
        <v/>
      </c>
      <c r="AE55" s="121" t="str">
        <f t="shared" si="27"/>
        <v/>
      </c>
      <c r="AF55" s="121" t="str">
        <f t="shared" si="28"/>
        <v/>
      </c>
      <c r="AG55" s="27" t="str">
        <f>IF(AND(ISBLANK(AI55),AH55=""),"",1+MAX(AG$21:AG54))</f>
        <v/>
      </c>
      <c r="AH55" s="137" t="str">
        <f>IF(OR(AD55="",AD55=0,$H55="",$H55=0,NOT(ISNUMBER($H55)),NOT(ISNUMBER(AD55))),IF(AND($E55&lt;&gt;"",AND(OR(ISNUMBER(AD55),AD55=""),AND(ISNUMBER($H55),$H55&gt;0))),'Feuille de Donnée'!$K$13,""),IF(AD55&lt;$H$168*'Feuille de Donnée'!$I$9,"Négligeable",(IF(AND(AB55&gt;=$F55*(1-'Feuille de Donnée'!$E$12),AB55&lt;=$F55*(1+'Feuille de Donnée'!$F$12)),'Feuille de Donnée'!$F$17,IF(AB55&lt;$F55*(1-'Feuille de Donnée'!$E$12),'Feuille de Donnée'!$F$18,'Feuille de Donnée'!$F$16))&amp;""&amp;IF(AND(AC55&gt;=$G55*(1-'Feuille de Donnée'!$E$27),AC55&lt;=$G55*(1+'Feuille de Donnée'!$F$27)),'Feuille de Donnée'!$F$32,IF(AC55&lt;$G55*(1-'Feuille de Donnée'!$E$27),'Feuille de Donnée'!$F$33,'Feuille de Donnée'!$F$31)))))</f>
        <v/>
      </c>
      <c r="AI55" s="138"/>
      <c r="AJ55" s="103"/>
      <c r="AK55" s="27"/>
      <c r="AL55" s="27"/>
      <c r="AM55" s="27" t="str">
        <f t="shared" si="29"/>
        <v/>
      </c>
      <c r="AN55" s="121" t="str">
        <f t="shared" si="30"/>
        <v/>
      </c>
      <c r="AO55" s="121" t="str">
        <f t="shared" si="31"/>
        <v/>
      </c>
      <c r="AP55" s="27" t="str">
        <f>IF(AND(ISBLANK(AR55),AQ55=""),"",1+MAX(AP$21:AP54))</f>
        <v/>
      </c>
      <c r="AQ55" s="137" t="str">
        <f>IF(OR(AM55="",AM55=0,$H55="",$H55=0,NOT(ISNUMBER($H55)),NOT(ISNUMBER(AM55))),IF(AND($E55&lt;&gt;"",AND(OR(ISNUMBER(AM55),AM55=""),AND(ISNUMBER($H55),$H55&gt;0))),'Feuille de Donnée'!$K$13,""),IF(AM55&lt;$H$168*'Feuille de Donnée'!$I$9,"Négligeable",(IF(AND(AK55&gt;=$F55*(1-'Feuille de Donnée'!$E$12),AK55&lt;=$F55*(1+'Feuille de Donnée'!$F$12)),'Feuille de Donnée'!$F$17,IF(AK55&lt;$F55*(1-'Feuille de Donnée'!$E$12),'Feuille de Donnée'!$F$18,'Feuille de Donnée'!$F$16))&amp;""&amp;IF(AND(AL55&gt;=$G55*(1-'Feuille de Donnée'!$E$27),AL55&lt;=$G55*(1+'Feuille de Donnée'!$F$27)),'Feuille de Donnée'!$F$32,IF(AL55&lt;$G55*(1-'Feuille de Donnée'!$E$27),'Feuille de Donnée'!$F$33,'Feuille de Donnée'!$F$31)))))</f>
        <v/>
      </c>
      <c r="AR55" s="138"/>
      <c r="AS55" s="103"/>
      <c r="AT55" s="27"/>
      <c r="AU55" s="27"/>
      <c r="AV55" s="27" t="str">
        <f t="shared" si="32"/>
        <v/>
      </c>
      <c r="AW55" s="121" t="str">
        <f t="shared" si="33"/>
        <v/>
      </c>
      <c r="AX55" s="121" t="str">
        <f t="shared" si="34"/>
        <v/>
      </c>
      <c r="AY55" s="27" t="str">
        <f>IF(AND(ISBLANK(BA55),AZ55=""),"",1+MAX(AY$21:AY54))</f>
        <v/>
      </c>
      <c r="AZ55" s="137" t="str">
        <f>IF(OR(AV55="",AV55=0,$H55="",$H55=0,NOT(ISNUMBER($H55)),NOT(ISNUMBER(AV55))),IF(AND($E55&lt;&gt;"",AND(OR(ISNUMBER(AV55),AV55=""),AND(ISNUMBER($H55),$H55&gt;0))),'Feuille de Donnée'!$K$13,""),IF(AV55&lt;$H$168*'Feuille de Donnée'!$I$9,"Négligeable",(IF(AND(AT55&gt;=$F55*(1-'Feuille de Donnée'!$E$12),AT55&lt;=$F55*(1+'Feuille de Donnée'!$F$12)),'Feuille de Donnée'!$F$17,IF(AT55&lt;$F55*(1-'Feuille de Donnée'!$E$12),'Feuille de Donnée'!$F$18,'Feuille de Donnée'!$F$16))&amp;""&amp;IF(AND(AU55&gt;=$G55*(1-'Feuille de Donnée'!$E$27),AU55&lt;=$G55*(1+'Feuille de Donnée'!$F$27)),'Feuille de Donnée'!$F$32,IF(AU55&lt;$G55*(1-'Feuille de Donnée'!$E$27),'Feuille de Donnée'!$F$33,'Feuille de Donnée'!$F$31)))))</f>
        <v/>
      </c>
      <c r="BA55" s="138"/>
      <c r="BB55" s="103"/>
      <c r="BC55" s="27"/>
      <c r="BD55" s="27"/>
      <c r="BE55" s="27" t="str">
        <f t="shared" si="35"/>
        <v/>
      </c>
      <c r="BF55" s="121" t="str">
        <f t="shared" si="36"/>
        <v/>
      </c>
      <c r="BG55" s="121" t="str">
        <f t="shared" si="37"/>
        <v/>
      </c>
      <c r="BH55" s="27" t="str">
        <f>IF(AND(ISBLANK(BJ55),BI55=""),"",1+MAX(BH$21:BH54))</f>
        <v/>
      </c>
      <c r="BI55" s="137" t="str">
        <f>IF(OR(BE55="",BE55=0,$H55="",$H55=0,NOT(ISNUMBER($H55)),NOT(ISNUMBER(BE55))),IF(AND($E55&lt;&gt;"",AND(OR(ISNUMBER(BE55),BE55=""),AND(ISNUMBER($H55),$H55&gt;0))),'Feuille de Donnée'!$K$13,""),IF(BE55&lt;$H$168*'Feuille de Donnée'!$I$9,"Négligeable",(IF(AND(BC55&gt;=$F55*(1-'Feuille de Donnée'!$E$12),BC55&lt;=$F55*(1+'Feuille de Donnée'!$F$12)),'Feuille de Donnée'!$F$17,IF(BC55&lt;$F55*(1-'Feuille de Donnée'!$E$12),'Feuille de Donnée'!$F$18,'Feuille de Donnée'!$F$16))&amp;""&amp;IF(AND(BD55&gt;=$G55*(1-'Feuille de Donnée'!$E$27),BD55&lt;=$G55*(1+'Feuille de Donnée'!$F$27)),'Feuille de Donnée'!$F$32,IF(BD55&lt;$G55*(1-'Feuille de Donnée'!$E$27),'Feuille de Donnée'!$F$33,'Feuille de Donnée'!$F$31)))))</f>
        <v/>
      </c>
      <c r="BJ55" s="138"/>
      <c r="BK55" s="140"/>
    </row>
    <row r="56" spans="1:63" s="6" customFormat="1" x14ac:dyDescent="0.3">
      <c r="A56" s="23"/>
      <c r="B56" s="24"/>
      <c r="C56" s="24"/>
      <c r="D56" s="24"/>
      <c r="E56" s="22"/>
      <c r="F56" s="25"/>
      <c r="G56" s="26"/>
      <c r="H56" s="102" t="str">
        <f t="shared" si="19"/>
        <v/>
      </c>
      <c r="I56" s="103"/>
      <c r="J56" s="27"/>
      <c r="K56" s="27"/>
      <c r="L56" s="27" t="str">
        <f t="shared" si="20"/>
        <v/>
      </c>
      <c r="M56" s="121" t="str">
        <f t="shared" si="21"/>
        <v/>
      </c>
      <c r="N56" s="121" t="str">
        <f t="shared" si="22"/>
        <v/>
      </c>
      <c r="O56" s="27" t="str">
        <f>IF(AND(ISBLANK(Q56),P56=""),"",1+MAX(O$21:O55))</f>
        <v/>
      </c>
      <c r="P56" s="137" t="str">
        <f>IF(OR(L56="",L56=0,$H56="",$H56=0,NOT(ISNUMBER($H56)),NOT(ISNUMBER(L56))),IF(AND($E56&lt;&gt;"",AND(OR(ISNUMBER(L56),L56=""),AND(ISNUMBER($H56),$H56&gt;0))),'Feuille de Donnée'!$K$13,""),IF(L56&lt;$H$168*'Feuille de Donnée'!$I$9,"Négligeable",(IF(AND(J56&gt;=$F56*(1-'Feuille de Donnée'!$E$12),J56&lt;=$F56*(1+'Feuille de Donnée'!$F$12)),'Feuille de Donnée'!$F$17,IF(J56&lt;$F56*(1-'Feuille de Donnée'!$E$12),'Feuille de Donnée'!$F$18,'Feuille de Donnée'!$F$16))&amp;""&amp;IF(AND(K56&gt;=$G56*(1-'Feuille de Donnée'!$E$27),K56&lt;=$G56*(1+'Feuille de Donnée'!$F$27)),'Feuille de Donnée'!$F$32,IF(K56&lt;$G56*(1-'Feuille de Donnée'!$E$27),'Feuille de Donnée'!$F$33,'Feuille de Donnée'!$F$31)))))</f>
        <v/>
      </c>
      <c r="Q56" s="138"/>
      <c r="R56" s="103"/>
      <c r="S56" s="27"/>
      <c r="T56" s="27"/>
      <c r="U56" s="27" t="str">
        <f t="shared" si="23"/>
        <v/>
      </c>
      <c r="V56" s="121" t="str">
        <f t="shared" si="24"/>
        <v/>
      </c>
      <c r="W56" s="121" t="str">
        <f t="shared" si="25"/>
        <v/>
      </c>
      <c r="X56" s="27" t="str">
        <f>IF(AND(ISBLANK(Z56),Y56=""),"",1+MAX(X$21:X55))</f>
        <v/>
      </c>
      <c r="Y56" s="137" t="str">
        <f>IF(OR(U56="",U56=0,$H56="",$H56=0,NOT(ISNUMBER($H56)),NOT(ISNUMBER(U56))),IF(AND($E56&lt;&gt;"",AND(OR(ISNUMBER(U56),U56=""),AND(ISNUMBER($H56),$H56&gt;0))),'Feuille de Donnée'!$K$13,""),IF(U56&lt;$H$168*'Feuille de Donnée'!$I$9,"Négligeable",(IF(AND(S56&gt;=$F56*(1-'Feuille de Donnée'!$E$12),S56&lt;=$F56*(1+'Feuille de Donnée'!$F$12)),'Feuille de Donnée'!$F$17,IF(S56&lt;$F56*(1-'Feuille de Donnée'!$E$12),'Feuille de Donnée'!$F$18,'Feuille de Donnée'!$F$16))&amp;""&amp;IF(AND(T56&gt;=$G56*(1-'Feuille de Donnée'!$E$27),T56&lt;=$G56*(1+'Feuille de Donnée'!$F$27)),'Feuille de Donnée'!$F$32,IF(T56&lt;$G56*(1-'Feuille de Donnée'!$E$27),'Feuille de Donnée'!$F$33,'Feuille de Donnée'!$F$31)))))</f>
        <v/>
      </c>
      <c r="Z56" s="138"/>
      <c r="AA56" s="103"/>
      <c r="AB56" s="27"/>
      <c r="AC56" s="27"/>
      <c r="AD56" s="27" t="str">
        <f t="shared" si="26"/>
        <v/>
      </c>
      <c r="AE56" s="121" t="str">
        <f t="shared" si="27"/>
        <v/>
      </c>
      <c r="AF56" s="121" t="str">
        <f t="shared" si="28"/>
        <v/>
      </c>
      <c r="AG56" s="27" t="str">
        <f>IF(AND(ISBLANK(AI56),AH56=""),"",1+MAX(AG$21:AG55))</f>
        <v/>
      </c>
      <c r="AH56" s="137" t="str">
        <f>IF(OR(AD56="",AD56=0,$H56="",$H56=0,NOT(ISNUMBER($H56)),NOT(ISNUMBER(AD56))),IF(AND($E56&lt;&gt;"",AND(OR(ISNUMBER(AD56),AD56=""),AND(ISNUMBER($H56),$H56&gt;0))),'Feuille de Donnée'!$K$13,""),IF(AD56&lt;$H$168*'Feuille de Donnée'!$I$9,"Négligeable",(IF(AND(AB56&gt;=$F56*(1-'Feuille de Donnée'!$E$12),AB56&lt;=$F56*(1+'Feuille de Donnée'!$F$12)),'Feuille de Donnée'!$F$17,IF(AB56&lt;$F56*(1-'Feuille de Donnée'!$E$12),'Feuille de Donnée'!$F$18,'Feuille de Donnée'!$F$16))&amp;""&amp;IF(AND(AC56&gt;=$G56*(1-'Feuille de Donnée'!$E$27),AC56&lt;=$G56*(1+'Feuille de Donnée'!$F$27)),'Feuille de Donnée'!$F$32,IF(AC56&lt;$G56*(1-'Feuille de Donnée'!$E$27),'Feuille de Donnée'!$F$33,'Feuille de Donnée'!$F$31)))))</f>
        <v/>
      </c>
      <c r="AI56" s="138"/>
      <c r="AJ56" s="103"/>
      <c r="AK56" s="27"/>
      <c r="AL56" s="27"/>
      <c r="AM56" s="27" t="str">
        <f t="shared" si="29"/>
        <v/>
      </c>
      <c r="AN56" s="121" t="str">
        <f t="shared" si="30"/>
        <v/>
      </c>
      <c r="AO56" s="121" t="str">
        <f t="shared" si="31"/>
        <v/>
      </c>
      <c r="AP56" s="27" t="str">
        <f>IF(AND(ISBLANK(AR56),AQ56=""),"",1+MAX(AP$21:AP55))</f>
        <v/>
      </c>
      <c r="AQ56" s="137" t="str">
        <f>IF(OR(AM56="",AM56=0,$H56="",$H56=0,NOT(ISNUMBER($H56)),NOT(ISNUMBER(AM56))),IF(AND($E56&lt;&gt;"",AND(OR(ISNUMBER(AM56),AM56=""),AND(ISNUMBER($H56),$H56&gt;0))),'Feuille de Donnée'!$K$13,""),IF(AM56&lt;$H$168*'Feuille de Donnée'!$I$9,"Négligeable",(IF(AND(AK56&gt;=$F56*(1-'Feuille de Donnée'!$E$12),AK56&lt;=$F56*(1+'Feuille de Donnée'!$F$12)),'Feuille de Donnée'!$F$17,IF(AK56&lt;$F56*(1-'Feuille de Donnée'!$E$12),'Feuille de Donnée'!$F$18,'Feuille de Donnée'!$F$16))&amp;""&amp;IF(AND(AL56&gt;=$G56*(1-'Feuille de Donnée'!$E$27),AL56&lt;=$G56*(1+'Feuille de Donnée'!$F$27)),'Feuille de Donnée'!$F$32,IF(AL56&lt;$G56*(1-'Feuille de Donnée'!$E$27),'Feuille de Donnée'!$F$33,'Feuille de Donnée'!$F$31)))))</f>
        <v/>
      </c>
      <c r="AR56" s="138"/>
      <c r="AS56" s="103"/>
      <c r="AT56" s="27"/>
      <c r="AU56" s="27"/>
      <c r="AV56" s="27" t="str">
        <f t="shared" si="32"/>
        <v/>
      </c>
      <c r="AW56" s="121" t="str">
        <f t="shared" si="33"/>
        <v/>
      </c>
      <c r="AX56" s="121" t="str">
        <f t="shared" si="34"/>
        <v/>
      </c>
      <c r="AY56" s="27" t="str">
        <f>IF(AND(ISBLANK(BA56),AZ56=""),"",1+MAX(AY$21:AY55))</f>
        <v/>
      </c>
      <c r="AZ56" s="137" t="str">
        <f>IF(OR(AV56="",AV56=0,$H56="",$H56=0,NOT(ISNUMBER($H56)),NOT(ISNUMBER(AV56))),IF(AND($E56&lt;&gt;"",AND(OR(ISNUMBER(AV56),AV56=""),AND(ISNUMBER($H56),$H56&gt;0))),'Feuille de Donnée'!$K$13,""),IF(AV56&lt;$H$168*'Feuille de Donnée'!$I$9,"Négligeable",(IF(AND(AT56&gt;=$F56*(1-'Feuille de Donnée'!$E$12),AT56&lt;=$F56*(1+'Feuille de Donnée'!$F$12)),'Feuille de Donnée'!$F$17,IF(AT56&lt;$F56*(1-'Feuille de Donnée'!$E$12),'Feuille de Donnée'!$F$18,'Feuille de Donnée'!$F$16))&amp;""&amp;IF(AND(AU56&gt;=$G56*(1-'Feuille de Donnée'!$E$27),AU56&lt;=$G56*(1+'Feuille de Donnée'!$F$27)),'Feuille de Donnée'!$F$32,IF(AU56&lt;$G56*(1-'Feuille de Donnée'!$E$27),'Feuille de Donnée'!$F$33,'Feuille de Donnée'!$F$31)))))</f>
        <v/>
      </c>
      <c r="BA56" s="138"/>
      <c r="BB56" s="103"/>
      <c r="BC56" s="27"/>
      <c r="BD56" s="27"/>
      <c r="BE56" s="27" t="str">
        <f t="shared" si="35"/>
        <v/>
      </c>
      <c r="BF56" s="121" t="str">
        <f t="shared" si="36"/>
        <v/>
      </c>
      <c r="BG56" s="121" t="str">
        <f t="shared" si="37"/>
        <v/>
      </c>
      <c r="BH56" s="27" t="str">
        <f>IF(AND(ISBLANK(BJ56),BI56=""),"",1+MAX(BH$21:BH55))</f>
        <v/>
      </c>
      <c r="BI56" s="137" t="str">
        <f>IF(OR(BE56="",BE56=0,$H56="",$H56=0,NOT(ISNUMBER($H56)),NOT(ISNUMBER(BE56))),IF(AND($E56&lt;&gt;"",AND(OR(ISNUMBER(BE56),BE56=""),AND(ISNUMBER($H56),$H56&gt;0))),'Feuille de Donnée'!$K$13,""),IF(BE56&lt;$H$168*'Feuille de Donnée'!$I$9,"Négligeable",(IF(AND(BC56&gt;=$F56*(1-'Feuille de Donnée'!$E$12),BC56&lt;=$F56*(1+'Feuille de Donnée'!$F$12)),'Feuille de Donnée'!$F$17,IF(BC56&lt;$F56*(1-'Feuille de Donnée'!$E$12),'Feuille de Donnée'!$F$18,'Feuille de Donnée'!$F$16))&amp;""&amp;IF(AND(BD56&gt;=$G56*(1-'Feuille de Donnée'!$E$27),BD56&lt;=$G56*(1+'Feuille de Donnée'!$F$27)),'Feuille de Donnée'!$F$32,IF(BD56&lt;$G56*(1-'Feuille de Donnée'!$E$27),'Feuille de Donnée'!$F$33,'Feuille de Donnée'!$F$31)))))</f>
        <v/>
      </c>
      <c r="BJ56" s="138"/>
      <c r="BK56" s="140"/>
    </row>
    <row r="57" spans="1:63" s="6" customFormat="1" x14ac:dyDescent="0.3">
      <c r="A57" s="23"/>
      <c r="B57" s="24"/>
      <c r="C57" s="24"/>
      <c r="D57" s="24"/>
      <c r="E57" s="22"/>
      <c r="F57" s="25"/>
      <c r="G57" s="26"/>
      <c r="H57" s="102" t="str">
        <f t="shared" si="19"/>
        <v/>
      </c>
      <c r="I57" s="103"/>
      <c r="J57" s="27"/>
      <c r="K57" s="27"/>
      <c r="L57" s="27" t="str">
        <f t="shared" si="20"/>
        <v/>
      </c>
      <c r="M57" s="121" t="str">
        <f t="shared" si="21"/>
        <v/>
      </c>
      <c r="N57" s="121" t="str">
        <f t="shared" si="22"/>
        <v/>
      </c>
      <c r="O57" s="27" t="str">
        <f>IF(AND(ISBLANK(Q57),P57=""),"",1+MAX(O$21:O56))</f>
        <v/>
      </c>
      <c r="P57" s="137" t="str">
        <f>IF(OR(L57="",L57=0,$H57="",$H57=0,NOT(ISNUMBER($H57)),NOT(ISNUMBER(L57))),IF(AND($E57&lt;&gt;"",AND(OR(ISNUMBER(L57),L57=""),AND(ISNUMBER($H57),$H57&gt;0))),'Feuille de Donnée'!$K$13,""),IF(L57&lt;$H$168*'Feuille de Donnée'!$I$9,"Négligeable",(IF(AND(J57&gt;=$F57*(1-'Feuille de Donnée'!$E$12),J57&lt;=$F57*(1+'Feuille de Donnée'!$F$12)),'Feuille de Donnée'!$F$17,IF(J57&lt;$F57*(1-'Feuille de Donnée'!$E$12),'Feuille de Donnée'!$F$18,'Feuille de Donnée'!$F$16))&amp;""&amp;IF(AND(K57&gt;=$G57*(1-'Feuille de Donnée'!$E$27),K57&lt;=$G57*(1+'Feuille de Donnée'!$F$27)),'Feuille de Donnée'!$F$32,IF(K57&lt;$G57*(1-'Feuille de Donnée'!$E$27),'Feuille de Donnée'!$F$33,'Feuille de Donnée'!$F$31)))))</f>
        <v/>
      </c>
      <c r="Q57" s="138"/>
      <c r="R57" s="103"/>
      <c r="S57" s="27"/>
      <c r="T57" s="27"/>
      <c r="U57" s="27" t="str">
        <f t="shared" si="23"/>
        <v/>
      </c>
      <c r="V57" s="121" t="str">
        <f t="shared" si="24"/>
        <v/>
      </c>
      <c r="W57" s="121" t="str">
        <f t="shared" si="25"/>
        <v/>
      </c>
      <c r="X57" s="27" t="str">
        <f>IF(AND(ISBLANK(Z57),Y57=""),"",1+MAX(X$21:X56))</f>
        <v/>
      </c>
      <c r="Y57" s="137" t="str">
        <f>IF(OR(U57="",U57=0,$H57="",$H57=0,NOT(ISNUMBER($H57)),NOT(ISNUMBER(U57))),IF(AND($E57&lt;&gt;"",AND(OR(ISNUMBER(U57),U57=""),AND(ISNUMBER($H57),$H57&gt;0))),'Feuille de Donnée'!$K$13,""),IF(U57&lt;$H$168*'Feuille de Donnée'!$I$9,"Négligeable",(IF(AND(S57&gt;=$F57*(1-'Feuille de Donnée'!$E$12),S57&lt;=$F57*(1+'Feuille de Donnée'!$F$12)),'Feuille de Donnée'!$F$17,IF(S57&lt;$F57*(1-'Feuille de Donnée'!$E$12),'Feuille de Donnée'!$F$18,'Feuille de Donnée'!$F$16))&amp;""&amp;IF(AND(T57&gt;=$G57*(1-'Feuille de Donnée'!$E$27),T57&lt;=$G57*(1+'Feuille de Donnée'!$F$27)),'Feuille de Donnée'!$F$32,IF(T57&lt;$G57*(1-'Feuille de Donnée'!$E$27),'Feuille de Donnée'!$F$33,'Feuille de Donnée'!$F$31)))))</f>
        <v/>
      </c>
      <c r="Z57" s="138"/>
      <c r="AA57" s="103"/>
      <c r="AB57" s="27"/>
      <c r="AC57" s="27"/>
      <c r="AD57" s="27" t="str">
        <f t="shared" si="26"/>
        <v/>
      </c>
      <c r="AE57" s="121" t="str">
        <f t="shared" si="27"/>
        <v/>
      </c>
      <c r="AF57" s="121" t="str">
        <f t="shared" si="28"/>
        <v/>
      </c>
      <c r="AG57" s="27" t="str">
        <f>IF(AND(ISBLANK(AI57),AH57=""),"",1+MAX(AG$21:AG56))</f>
        <v/>
      </c>
      <c r="AH57" s="137" t="str">
        <f>IF(OR(AD57="",AD57=0,$H57="",$H57=0,NOT(ISNUMBER($H57)),NOT(ISNUMBER(AD57))),IF(AND($E57&lt;&gt;"",AND(OR(ISNUMBER(AD57),AD57=""),AND(ISNUMBER($H57),$H57&gt;0))),'Feuille de Donnée'!$K$13,""),IF(AD57&lt;$H$168*'Feuille de Donnée'!$I$9,"Négligeable",(IF(AND(AB57&gt;=$F57*(1-'Feuille de Donnée'!$E$12),AB57&lt;=$F57*(1+'Feuille de Donnée'!$F$12)),'Feuille de Donnée'!$F$17,IF(AB57&lt;$F57*(1-'Feuille de Donnée'!$E$12),'Feuille de Donnée'!$F$18,'Feuille de Donnée'!$F$16))&amp;""&amp;IF(AND(AC57&gt;=$G57*(1-'Feuille de Donnée'!$E$27),AC57&lt;=$G57*(1+'Feuille de Donnée'!$F$27)),'Feuille de Donnée'!$F$32,IF(AC57&lt;$G57*(1-'Feuille de Donnée'!$E$27),'Feuille de Donnée'!$F$33,'Feuille de Donnée'!$F$31)))))</f>
        <v/>
      </c>
      <c r="AI57" s="138"/>
      <c r="AJ57" s="103"/>
      <c r="AK57" s="27"/>
      <c r="AL57" s="27"/>
      <c r="AM57" s="27" t="str">
        <f t="shared" si="29"/>
        <v/>
      </c>
      <c r="AN57" s="121" t="str">
        <f t="shared" si="30"/>
        <v/>
      </c>
      <c r="AO57" s="121" t="str">
        <f t="shared" si="31"/>
        <v/>
      </c>
      <c r="AP57" s="27" t="str">
        <f>IF(AND(ISBLANK(AR57),AQ57=""),"",1+MAX(AP$21:AP56))</f>
        <v/>
      </c>
      <c r="AQ57" s="137" t="str">
        <f>IF(OR(AM57="",AM57=0,$H57="",$H57=0,NOT(ISNUMBER($H57)),NOT(ISNUMBER(AM57))),IF(AND($E57&lt;&gt;"",AND(OR(ISNUMBER(AM57),AM57=""),AND(ISNUMBER($H57),$H57&gt;0))),'Feuille de Donnée'!$K$13,""),IF(AM57&lt;$H$168*'Feuille de Donnée'!$I$9,"Négligeable",(IF(AND(AK57&gt;=$F57*(1-'Feuille de Donnée'!$E$12),AK57&lt;=$F57*(1+'Feuille de Donnée'!$F$12)),'Feuille de Donnée'!$F$17,IF(AK57&lt;$F57*(1-'Feuille de Donnée'!$E$12),'Feuille de Donnée'!$F$18,'Feuille de Donnée'!$F$16))&amp;""&amp;IF(AND(AL57&gt;=$G57*(1-'Feuille de Donnée'!$E$27),AL57&lt;=$G57*(1+'Feuille de Donnée'!$F$27)),'Feuille de Donnée'!$F$32,IF(AL57&lt;$G57*(1-'Feuille de Donnée'!$E$27),'Feuille de Donnée'!$F$33,'Feuille de Donnée'!$F$31)))))</f>
        <v/>
      </c>
      <c r="AR57" s="138"/>
      <c r="AS57" s="103"/>
      <c r="AT57" s="27"/>
      <c r="AU57" s="27"/>
      <c r="AV57" s="27" t="str">
        <f t="shared" si="32"/>
        <v/>
      </c>
      <c r="AW57" s="121" t="str">
        <f t="shared" si="33"/>
        <v/>
      </c>
      <c r="AX57" s="121" t="str">
        <f t="shared" si="34"/>
        <v/>
      </c>
      <c r="AY57" s="27" t="str">
        <f>IF(AND(ISBLANK(BA57),AZ57=""),"",1+MAX(AY$21:AY56))</f>
        <v/>
      </c>
      <c r="AZ57" s="137" t="str">
        <f>IF(OR(AV57="",AV57=0,$H57="",$H57=0,NOT(ISNUMBER($H57)),NOT(ISNUMBER(AV57))),IF(AND($E57&lt;&gt;"",AND(OR(ISNUMBER(AV57),AV57=""),AND(ISNUMBER($H57),$H57&gt;0))),'Feuille de Donnée'!$K$13,""),IF(AV57&lt;$H$168*'Feuille de Donnée'!$I$9,"Négligeable",(IF(AND(AT57&gt;=$F57*(1-'Feuille de Donnée'!$E$12),AT57&lt;=$F57*(1+'Feuille de Donnée'!$F$12)),'Feuille de Donnée'!$F$17,IF(AT57&lt;$F57*(1-'Feuille de Donnée'!$E$12),'Feuille de Donnée'!$F$18,'Feuille de Donnée'!$F$16))&amp;""&amp;IF(AND(AU57&gt;=$G57*(1-'Feuille de Donnée'!$E$27),AU57&lt;=$G57*(1+'Feuille de Donnée'!$F$27)),'Feuille de Donnée'!$F$32,IF(AU57&lt;$G57*(1-'Feuille de Donnée'!$E$27),'Feuille de Donnée'!$F$33,'Feuille de Donnée'!$F$31)))))</f>
        <v/>
      </c>
      <c r="BA57" s="138"/>
      <c r="BB57" s="103"/>
      <c r="BC57" s="27"/>
      <c r="BD57" s="27"/>
      <c r="BE57" s="27" t="str">
        <f t="shared" si="35"/>
        <v/>
      </c>
      <c r="BF57" s="121" t="str">
        <f t="shared" si="36"/>
        <v/>
      </c>
      <c r="BG57" s="121" t="str">
        <f t="shared" si="37"/>
        <v/>
      </c>
      <c r="BH57" s="27" t="str">
        <f>IF(AND(ISBLANK(BJ57),BI57=""),"",1+MAX(BH$21:BH56))</f>
        <v/>
      </c>
      <c r="BI57" s="137" t="str">
        <f>IF(OR(BE57="",BE57=0,$H57="",$H57=0,NOT(ISNUMBER($H57)),NOT(ISNUMBER(BE57))),IF(AND($E57&lt;&gt;"",AND(OR(ISNUMBER(BE57),BE57=""),AND(ISNUMBER($H57),$H57&gt;0))),'Feuille de Donnée'!$K$13,""),IF(BE57&lt;$H$168*'Feuille de Donnée'!$I$9,"Négligeable",(IF(AND(BC57&gt;=$F57*(1-'Feuille de Donnée'!$E$12),BC57&lt;=$F57*(1+'Feuille de Donnée'!$F$12)),'Feuille de Donnée'!$F$17,IF(BC57&lt;$F57*(1-'Feuille de Donnée'!$E$12),'Feuille de Donnée'!$F$18,'Feuille de Donnée'!$F$16))&amp;""&amp;IF(AND(BD57&gt;=$G57*(1-'Feuille de Donnée'!$E$27),BD57&lt;=$G57*(1+'Feuille de Donnée'!$F$27)),'Feuille de Donnée'!$F$32,IF(BD57&lt;$G57*(1-'Feuille de Donnée'!$E$27),'Feuille de Donnée'!$F$33,'Feuille de Donnée'!$F$31)))))</f>
        <v/>
      </c>
      <c r="BJ57" s="138"/>
      <c r="BK57" s="140"/>
    </row>
    <row r="58" spans="1:63" s="6" customFormat="1" x14ac:dyDescent="0.3">
      <c r="A58" s="23"/>
      <c r="B58" s="24"/>
      <c r="C58" s="24"/>
      <c r="D58" s="24"/>
      <c r="E58" s="22"/>
      <c r="F58" s="25"/>
      <c r="G58" s="26"/>
      <c r="H58" s="102" t="str">
        <f t="shared" si="19"/>
        <v/>
      </c>
      <c r="I58" s="103"/>
      <c r="J58" s="27"/>
      <c r="K58" s="27"/>
      <c r="L58" s="27" t="str">
        <f t="shared" si="20"/>
        <v/>
      </c>
      <c r="M58" s="121" t="str">
        <f t="shared" si="21"/>
        <v/>
      </c>
      <c r="N58" s="121" t="str">
        <f t="shared" si="22"/>
        <v/>
      </c>
      <c r="O58" s="27" t="str">
        <f>IF(AND(ISBLANK(Q58),P58=""),"",1+MAX(O$21:O57))</f>
        <v/>
      </c>
      <c r="P58" s="137" t="str">
        <f>IF(OR(L58="",L58=0,$H58="",$H58=0,NOT(ISNUMBER($H58)),NOT(ISNUMBER(L58))),IF(AND($E58&lt;&gt;"",AND(OR(ISNUMBER(L58),L58=""),AND(ISNUMBER($H58),$H58&gt;0))),'Feuille de Donnée'!$K$13,""),IF(L58&lt;$H$168*'Feuille de Donnée'!$I$9,"Négligeable",(IF(AND(J58&gt;=$F58*(1-'Feuille de Donnée'!$E$12),J58&lt;=$F58*(1+'Feuille de Donnée'!$F$12)),'Feuille de Donnée'!$F$17,IF(J58&lt;$F58*(1-'Feuille de Donnée'!$E$12),'Feuille de Donnée'!$F$18,'Feuille de Donnée'!$F$16))&amp;""&amp;IF(AND(K58&gt;=$G58*(1-'Feuille de Donnée'!$E$27),K58&lt;=$G58*(1+'Feuille de Donnée'!$F$27)),'Feuille de Donnée'!$F$32,IF(K58&lt;$G58*(1-'Feuille de Donnée'!$E$27),'Feuille de Donnée'!$F$33,'Feuille de Donnée'!$F$31)))))</f>
        <v/>
      </c>
      <c r="Q58" s="138"/>
      <c r="R58" s="103"/>
      <c r="S58" s="27"/>
      <c r="T58" s="27"/>
      <c r="U58" s="27" t="str">
        <f t="shared" si="23"/>
        <v/>
      </c>
      <c r="V58" s="121" t="str">
        <f t="shared" si="24"/>
        <v/>
      </c>
      <c r="W58" s="121" t="str">
        <f t="shared" si="25"/>
        <v/>
      </c>
      <c r="X58" s="27" t="str">
        <f>IF(AND(ISBLANK(Z58),Y58=""),"",1+MAX(X$21:X57))</f>
        <v/>
      </c>
      <c r="Y58" s="137" t="str">
        <f>IF(OR(U58="",U58=0,$H58="",$H58=0,NOT(ISNUMBER($H58)),NOT(ISNUMBER(U58))),IF(AND($E58&lt;&gt;"",AND(OR(ISNUMBER(U58),U58=""),AND(ISNUMBER($H58),$H58&gt;0))),'Feuille de Donnée'!$K$13,""),IF(U58&lt;$H$168*'Feuille de Donnée'!$I$9,"Négligeable",(IF(AND(S58&gt;=$F58*(1-'Feuille de Donnée'!$E$12),S58&lt;=$F58*(1+'Feuille de Donnée'!$F$12)),'Feuille de Donnée'!$F$17,IF(S58&lt;$F58*(1-'Feuille de Donnée'!$E$12),'Feuille de Donnée'!$F$18,'Feuille de Donnée'!$F$16))&amp;""&amp;IF(AND(T58&gt;=$G58*(1-'Feuille de Donnée'!$E$27),T58&lt;=$G58*(1+'Feuille de Donnée'!$F$27)),'Feuille de Donnée'!$F$32,IF(T58&lt;$G58*(1-'Feuille de Donnée'!$E$27),'Feuille de Donnée'!$F$33,'Feuille de Donnée'!$F$31)))))</f>
        <v/>
      </c>
      <c r="Z58" s="138"/>
      <c r="AA58" s="103"/>
      <c r="AB58" s="27"/>
      <c r="AC58" s="27"/>
      <c r="AD58" s="27" t="str">
        <f t="shared" si="26"/>
        <v/>
      </c>
      <c r="AE58" s="121" t="str">
        <f t="shared" si="27"/>
        <v/>
      </c>
      <c r="AF58" s="121" t="str">
        <f t="shared" si="28"/>
        <v/>
      </c>
      <c r="AG58" s="27" t="str">
        <f>IF(AND(ISBLANK(AI58),AH58=""),"",1+MAX(AG$21:AG57))</f>
        <v/>
      </c>
      <c r="AH58" s="137" t="str">
        <f>IF(OR(AD58="",AD58=0,$H58="",$H58=0,NOT(ISNUMBER($H58)),NOT(ISNUMBER(AD58))),IF(AND($E58&lt;&gt;"",AND(OR(ISNUMBER(AD58),AD58=""),AND(ISNUMBER($H58),$H58&gt;0))),'Feuille de Donnée'!$K$13,""),IF(AD58&lt;$H$168*'Feuille de Donnée'!$I$9,"Négligeable",(IF(AND(AB58&gt;=$F58*(1-'Feuille de Donnée'!$E$12),AB58&lt;=$F58*(1+'Feuille de Donnée'!$F$12)),'Feuille de Donnée'!$F$17,IF(AB58&lt;$F58*(1-'Feuille de Donnée'!$E$12),'Feuille de Donnée'!$F$18,'Feuille de Donnée'!$F$16))&amp;""&amp;IF(AND(AC58&gt;=$G58*(1-'Feuille de Donnée'!$E$27),AC58&lt;=$G58*(1+'Feuille de Donnée'!$F$27)),'Feuille de Donnée'!$F$32,IF(AC58&lt;$G58*(1-'Feuille de Donnée'!$E$27),'Feuille de Donnée'!$F$33,'Feuille de Donnée'!$F$31)))))</f>
        <v/>
      </c>
      <c r="AI58" s="138"/>
      <c r="AJ58" s="103"/>
      <c r="AK58" s="27"/>
      <c r="AL58" s="27"/>
      <c r="AM58" s="27" t="str">
        <f t="shared" si="29"/>
        <v/>
      </c>
      <c r="AN58" s="121" t="str">
        <f t="shared" si="30"/>
        <v/>
      </c>
      <c r="AO58" s="121" t="str">
        <f t="shared" si="31"/>
        <v/>
      </c>
      <c r="AP58" s="27" t="str">
        <f>IF(AND(ISBLANK(AR58),AQ58=""),"",1+MAX(AP$21:AP57))</f>
        <v/>
      </c>
      <c r="AQ58" s="137" t="str">
        <f>IF(OR(AM58="",AM58=0,$H58="",$H58=0,NOT(ISNUMBER($H58)),NOT(ISNUMBER(AM58))),IF(AND($E58&lt;&gt;"",AND(OR(ISNUMBER(AM58),AM58=""),AND(ISNUMBER($H58),$H58&gt;0))),'Feuille de Donnée'!$K$13,""),IF(AM58&lt;$H$168*'Feuille de Donnée'!$I$9,"Négligeable",(IF(AND(AK58&gt;=$F58*(1-'Feuille de Donnée'!$E$12),AK58&lt;=$F58*(1+'Feuille de Donnée'!$F$12)),'Feuille de Donnée'!$F$17,IF(AK58&lt;$F58*(1-'Feuille de Donnée'!$E$12),'Feuille de Donnée'!$F$18,'Feuille de Donnée'!$F$16))&amp;""&amp;IF(AND(AL58&gt;=$G58*(1-'Feuille de Donnée'!$E$27),AL58&lt;=$G58*(1+'Feuille de Donnée'!$F$27)),'Feuille de Donnée'!$F$32,IF(AL58&lt;$G58*(1-'Feuille de Donnée'!$E$27),'Feuille de Donnée'!$F$33,'Feuille de Donnée'!$F$31)))))</f>
        <v/>
      </c>
      <c r="AR58" s="138"/>
      <c r="AS58" s="103"/>
      <c r="AT58" s="27"/>
      <c r="AU58" s="27"/>
      <c r="AV58" s="27" t="str">
        <f t="shared" si="32"/>
        <v/>
      </c>
      <c r="AW58" s="121" t="str">
        <f t="shared" si="33"/>
        <v/>
      </c>
      <c r="AX58" s="121" t="str">
        <f t="shared" si="34"/>
        <v/>
      </c>
      <c r="AY58" s="27" t="str">
        <f>IF(AND(ISBLANK(BA58),AZ58=""),"",1+MAX(AY$21:AY57))</f>
        <v/>
      </c>
      <c r="AZ58" s="137" t="str">
        <f>IF(OR(AV58="",AV58=0,$H58="",$H58=0,NOT(ISNUMBER($H58)),NOT(ISNUMBER(AV58))),IF(AND($E58&lt;&gt;"",AND(OR(ISNUMBER(AV58),AV58=""),AND(ISNUMBER($H58),$H58&gt;0))),'Feuille de Donnée'!$K$13,""),IF(AV58&lt;$H$168*'Feuille de Donnée'!$I$9,"Négligeable",(IF(AND(AT58&gt;=$F58*(1-'Feuille de Donnée'!$E$12),AT58&lt;=$F58*(1+'Feuille de Donnée'!$F$12)),'Feuille de Donnée'!$F$17,IF(AT58&lt;$F58*(1-'Feuille de Donnée'!$E$12),'Feuille de Donnée'!$F$18,'Feuille de Donnée'!$F$16))&amp;""&amp;IF(AND(AU58&gt;=$G58*(1-'Feuille de Donnée'!$E$27),AU58&lt;=$G58*(1+'Feuille de Donnée'!$F$27)),'Feuille de Donnée'!$F$32,IF(AU58&lt;$G58*(1-'Feuille de Donnée'!$E$27),'Feuille de Donnée'!$F$33,'Feuille de Donnée'!$F$31)))))</f>
        <v/>
      </c>
      <c r="BA58" s="138"/>
      <c r="BB58" s="103"/>
      <c r="BC58" s="27"/>
      <c r="BD58" s="27"/>
      <c r="BE58" s="27" t="str">
        <f t="shared" si="35"/>
        <v/>
      </c>
      <c r="BF58" s="121" t="str">
        <f t="shared" si="36"/>
        <v/>
      </c>
      <c r="BG58" s="121" t="str">
        <f t="shared" si="37"/>
        <v/>
      </c>
      <c r="BH58" s="27" t="str">
        <f>IF(AND(ISBLANK(BJ58),BI58=""),"",1+MAX(BH$21:BH57))</f>
        <v/>
      </c>
      <c r="BI58" s="137" t="str">
        <f>IF(OR(BE58="",BE58=0,$H58="",$H58=0,NOT(ISNUMBER($H58)),NOT(ISNUMBER(BE58))),IF(AND($E58&lt;&gt;"",AND(OR(ISNUMBER(BE58),BE58=""),AND(ISNUMBER($H58),$H58&gt;0))),'Feuille de Donnée'!$K$13,""),IF(BE58&lt;$H$168*'Feuille de Donnée'!$I$9,"Négligeable",(IF(AND(BC58&gt;=$F58*(1-'Feuille de Donnée'!$E$12),BC58&lt;=$F58*(1+'Feuille de Donnée'!$F$12)),'Feuille de Donnée'!$F$17,IF(BC58&lt;$F58*(1-'Feuille de Donnée'!$E$12),'Feuille de Donnée'!$F$18,'Feuille de Donnée'!$F$16))&amp;""&amp;IF(AND(BD58&gt;=$G58*(1-'Feuille de Donnée'!$E$27),BD58&lt;=$G58*(1+'Feuille de Donnée'!$F$27)),'Feuille de Donnée'!$F$32,IF(BD58&lt;$G58*(1-'Feuille de Donnée'!$E$27),'Feuille de Donnée'!$F$33,'Feuille de Donnée'!$F$31)))))</f>
        <v/>
      </c>
      <c r="BJ58" s="138"/>
      <c r="BK58" s="140"/>
    </row>
    <row r="59" spans="1:63" s="6" customFormat="1" x14ac:dyDescent="0.3">
      <c r="A59" s="23"/>
      <c r="B59" s="24"/>
      <c r="C59" s="24"/>
      <c r="D59" s="24"/>
      <c r="E59" s="22"/>
      <c r="F59" s="25"/>
      <c r="G59" s="26"/>
      <c r="H59" s="102" t="str">
        <f t="shared" si="19"/>
        <v/>
      </c>
      <c r="I59" s="103"/>
      <c r="J59" s="27"/>
      <c r="K59" s="27"/>
      <c r="L59" s="27" t="str">
        <f t="shared" si="20"/>
        <v/>
      </c>
      <c r="M59" s="121" t="str">
        <f t="shared" si="21"/>
        <v/>
      </c>
      <c r="N59" s="121" t="str">
        <f t="shared" si="22"/>
        <v/>
      </c>
      <c r="O59" s="27" t="str">
        <f>IF(AND(ISBLANK(Q59),P59=""),"",1+MAX(O$21:O58))</f>
        <v/>
      </c>
      <c r="P59" s="137" t="str">
        <f>IF(OR(L59="",L59=0,$H59="",$H59=0,NOT(ISNUMBER($H59)),NOT(ISNUMBER(L59))),IF(AND($E59&lt;&gt;"",AND(OR(ISNUMBER(L59),L59=""),AND(ISNUMBER($H59),$H59&gt;0))),'Feuille de Donnée'!$K$13,""),IF(L59&lt;$H$168*'Feuille de Donnée'!$I$9,"Négligeable",(IF(AND(J59&gt;=$F59*(1-'Feuille de Donnée'!$E$12),J59&lt;=$F59*(1+'Feuille de Donnée'!$F$12)),'Feuille de Donnée'!$F$17,IF(J59&lt;$F59*(1-'Feuille de Donnée'!$E$12),'Feuille de Donnée'!$F$18,'Feuille de Donnée'!$F$16))&amp;""&amp;IF(AND(K59&gt;=$G59*(1-'Feuille de Donnée'!$E$27),K59&lt;=$G59*(1+'Feuille de Donnée'!$F$27)),'Feuille de Donnée'!$F$32,IF(K59&lt;$G59*(1-'Feuille de Donnée'!$E$27),'Feuille de Donnée'!$F$33,'Feuille de Donnée'!$F$31)))))</f>
        <v/>
      </c>
      <c r="Q59" s="138"/>
      <c r="R59" s="103"/>
      <c r="S59" s="27"/>
      <c r="T59" s="27"/>
      <c r="U59" s="27" t="str">
        <f t="shared" si="23"/>
        <v/>
      </c>
      <c r="V59" s="121" t="str">
        <f t="shared" si="24"/>
        <v/>
      </c>
      <c r="W59" s="121" t="str">
        <f t="shared" si="25"/>
        <v/>
      </c>
      <c r="X59" s="27" t="str">
        <f>IF(AND(ISBLANK(Z59),Y59=""),"",1+MAX(X$21:X58))</f>
        <v/>
      </c>
      <c r="Y59" s="137" t="str">
        <f>IF(OR(U59="",U59=0,$H59="",$H59=0,NOT(ISNUMBER($H59)),NOT(ISNUMBER(U59))),IF(AND($E59&lt;&gt;"",AND(OR(ISNUMBER(U59),U59=""),AND(ISNUMBER($H59),$H59&gt;0))),'Feuille de Donnée'!$K$13,""),IF(U59&lt;$H$168*'Feuille de Donnée'!$I$9,"Négligeable",(IF(AND(S59&gt;=$F59*(1-'Feuille de Donnée'!$E$12),S59&lt;=$F59*(1+'Feuille de Donnée'!$F$12)),'Feuille de Donnée'!$F$17,IF(S59&lt;$F59*(1-'Feuille de Donnée'!$E$12),'Feuille de Donnée'!$F$18,'Feuille de Donnée'!$F$16))&amp;""&amp;IF(AND(T59&gt;=$G59*(1-'Feuille de Donnée'!$E$27),T59&lt;=$G59*(1+'Feuille de Donnée'!$F$27)),'Feuille de Donnée'!$F$32,IF(T59&lt;$G59*(1-'Feuille de Donnée'!$E$27),'Feuille de Donnée'!$F$33,'Feuille de Donnée'!$F$31)))))</f>
        <v/>
      </c>
      <c r="Z59" s="138"/>
      <c r="AA59" s="103"/>
      <c r="AB59" s="27"/>
      <c r="AC59" s="27"/>
      <c r="AD59" s="27" t="str">
        <f t="shared" si="26"/>
        <v/>
      </c>
      <c r="AE59" s="121" t="str">
        <f t="shared" si="27"/>
        <v/>
      </c>
      <c r="AF59" s="121" t="str">
        <f t="shared" si="28"/>
        <v/>
      </c>
      <c r="AG59" s="27" t="str">
        <f>IF(AND(ISBLANK(AI59),AH59=""),"",1+MAX(AG$21:AG58))</f>
        <v/>
      </c>
      <c r="AH59" s="137" t="str">
        <f>IF(OR(AD59="",AD59=0,$H59="",$H59=0,NOT(ISNUMBER($H59)),NOT(ISNUMBER(AD59))),IF(AND($E59&lt;&gt;"",AND(OR(ISNUMBER(AD59),AD59=""),AND(ISNUMBER($H59),$H59&gt;0))),'Feuille de Donnée'!$K$13,""),IF(AD59&lt;$H$168*'Feuille de Donnée'!$I$9,"Négligeable",(IF(AND(AB59&gt;=$F59*(1-'Feuille de Donnée'!$E$12),AB59&lt;=$F59*(1+'Feuille de Donnée'!$F$12)),'Feuille de Donnée'!$F$17,IF(AB59&lt;$F59*(1-'Feuille de Donnée'!$E$12),'Feuille de Donnée'!$F$18,'Feuille de Donnée'!$F$16))&amp;""&amp;IF(AND(AC59&gt;=$G59*(1-'Feuille de Donnée'!$E$27),AC59&lt;=$G59*(1+'Feuille de Donnée'!$F$27)),'Feuille de Donnée'!$F$32,IF(AC59&lt;$G59*(1-'Feuille de Donnée'!$E$27),'Feuille de Donnée'!$F$33,'Feuille de Donnée'!$F$31)))))</f>
        <v/>
      </c>
      <c r="AI59" s="138"/>
      <c r="AJ59" s="103"/>
      <c r="AK59" s="27"/>
      <c r="AL59" s="27"/>
      <c r="AM59" s="27" t="str">
        <f t="shared" si="29"/>
        <v/>
      </c>
      <c r="AN59" s="121" t="str">
        <f t="shared" si="30"/>
        <v/>
      </c>
      <c r="AO59" s="121" t="str">
        <f t="shared" si="31"/>
        <v/>
      </c>
      <c r="AP59" s="27" t="str">
        <f>IF(AND(ISBLANK(AR59),AQ59=""),"",1+MAX(AP$21:AP58))</f>
        <v/>
      </c>
      <c r="AQ59" s="137" t="str">
        <f>IF(OR(AM59="",AM59=0,$H59="",$H59=0,NOT(ISNUMBER($H59)),NOT(ISNUMBER(AM59))),IF(AND($E59&lt;&gt;"",AND(OR(ISNUMBER(AM59),AM59=""),AND(ISNUMBER($H59),$H59&gt;0))),'Feuille de Donnée'!$K$13,""),IF(AM59&lt;$H$168*'Feuille de Donnée'!$I$9,"Négligeable",(IF(AND(AK59&gt;=$F59*(1-'Feuille de Donnée'!$E$12),AK59&lt;=$F59*(1+'Feuille de Donnée'!$F$12)),'Feuille de Donnée'!$F$17,IF(AK59&lt;$F59*(1-'Feuille de Donnée'!$E$12),'Feuille de Donnée'!$F$18,'Feuille de Donnée'!$F$16))&amp;""&amp;IF(AND(AL59&gt;=$G59*(1-'Feuille de Donnée'!$E$27),AL59&lt;=$G59*(1+'Feuille de Donnée'!$F$27)),'Feuille de Donnée'!$F$32,IF(AL59&lt;$G59*(1-'Feuille de Donnée'!$E$27),'Feuille de Donnée'!$F$33,'Feuille de Donnée'!$F$31)))))</f>
        <v/>
      </c>
      <c r="AR59" s="138"/>
      <c r="AS59" s="103"/>
      <c r="AT59" s="27"/>
      <c r="AU59" s="27"/>
      <c r="AV59" s="27" t="str">
        <f t="shared" si="32"/>
        <v/>
      </c>
      <c r="AW59" s="121" t="str">
        <f t="shared" si="33"/>
        <v/>
      </c>
      <c r="AX59" s="121" t="str">
        <f t="shared" si="34"/>
        <v/>
      </c>
      <c r="AY59" s="27" t="str">
        <f>IF(AND(ISBLANK(BA59),AZ59=""),"",1+MAX(AY$21:AY58))</f>
        <v/>
      </c>
      <c r="AZ59" s="137" t="str">
        <f>IF(OR(AV59="",AV59=0,$H59="",$H59=0,NOT(ISNUMBER($H59)),NOT(ISNUMBER(AV59))),IF(AND($E59&lt;&gt;"",AND(OR(ISNUMBER(AV59),AV59=""),AND(ISNUMBER($H59),$H59&gt;0))),'Feuille de Donnée'!$K$13,""),IF(AV59&lt;$H$168*'Feuille de Donnée'!$I$9,"Négligeable",(IF(AND(AT59&gt;=$F59*(1-'Feuille de Donnée'!$E$12),AT59&lt;=$F59*(1+'Feuille de Donnée'!$F$12)),'Feuille de Donnée'!$F$17,IF(AT59&lt;$F59*(1-'Feuille de Donnée'!$E$12),'Feuille de Donnée'!$F$18,'Feuille de Donnée'!$F$16))&amp;""&amp;IF(AND(AU59&gt;=$G59*(1-'Feuille de Donnée'!$E$27),AU59&lt;=$G59*(1+'Feuille de Donnée'!$F$27)),'Feuille de Donnée'!$F$32,IF(AU59&lt;$G59*(1-'Feuille de Donnée'!$E$27),'Feuille de Donnée'!$F$33,'Feuille de Donnée'!$F$31)))))</f>
        <v/>
      </c>
      <c r="BA59" s="138"/>
      <c r="BB59" s="103"/>
      <c r="BC59" s="27"/>
      <c r="BD59" s="27"/>
      <c r="BE59" s="27" t="str">
        <f t="shared" si="35"/>
        <v/>
      </c>
      <c r="BF59" s="121" t="str">
        <f t="shared" si="36"/>
        <v/>
      </c>
      <c r="BG59" s="121" t="str">
        <f t="shared" si="37"/>
        <v/>
      </c>
      <c r="BH59" s="27" t="str">
        <f>IF(AND(ISBLANK(BJ59),BI59=""),"",1+MAX(BH$21:BH58))</f>
        <v/>
      </c>
      <c r="BI59" s="137" t="str">
        <f>IF(OR(BE59="",BE59=0,$H59="",$H59=0,NOT(ISNUMBER($H59)),NOT(ISNUMBER(BE59))),IF(AND($E59&lt;&gt;"",AND(OR(ISNUMBER(BE59),BE59=""),AND(ISNUMBER($H59),$H59&gt;0))),'Feuille de Donnée'!$K$13,""),IF(BE59&lt;$H$168*'Feuille de Donnée'!$I$9,"Négligeable",(IF(AND(BC59&gt;=$F59*(1-'Feuille de Donnée'!$E$12),BC59&lt;=$F59*(1+'Feuille de Donnée'!$F$12)),'Feuille de Donnée'!$F$17,IF(BC59&lt;$F59*(1-'Feuille de Donnée'!$E$12),'Feuille de Donnée'!$F$18,'Feuille de Donnée'!$F$16))&amp;""&amp;IF(AND(BD59&gt;=$G59*(1-'Feuille de Donnée'!$E$27),BD59&lt;=$G59*(1+'Feuille de Donnée'!$F$27)),'Feuille de Donnée'!$F$32,IF(BD59&lt;$G59*(1-'Feuille de Donnée'!$E$27),'Feuille de Donnée'!$F$33,'Feuille de Donnée'!$F$31)))))</f>
        <v/>
      </c>
      <c r="BJ59" s="138"/>
      <c r="BK59" s="140"/>
    </row>
    <row r="60" spans="1:63" s="6" customFormat="1" x14ac:dyDescent="0.3">
      <c r="A60" s="23"/>
      <c r="B60" s="24"/>
      <c r="C60" s="24"/>
      <c r="D60" s="24"/>
      <c r="E60" s="22"/>
      <c r="F60" s="25"/>
      <c r="G60" s="26"/>
      <c r="H60" s="102" t="str">
        <f t="shared" si="19"/>
        <v/>
      </c>
      <c r="I60" s="103"/>
      <c r="J60" s="27"/>
      <c r="K60" s="27"/>
      <c r="L60" s="27" t="str">
        <f t="shared" si="20"/>
        <v/>
      </c>
      <c r="M60" s="121" t="str">
        <f t="shared" si="21"/>
        <v/>
      </c>
      <c r="N60" s="121" t="str">
        <f t="shared" si="22"/>
        <v/>
      </c>
      <c r="O60" s="27" t="str">
        <f>IF(AND(ISBLANK(Q60),P60=""),"",1+MAX(O$21:O59))</f>
        <v/>
      </c>
      <c r="P60" s="137" t="str">
        <f>IF(OR(L60="",L60=0,$H60="",$H60=0,NOT(ISNUMBER($H60)),NOT(ISNUMBER(L60))),IF(AND($E60&lt;&gt;"",AND(OR(ISNUMBER(L60),L60=""),AND(ISNUMBER($H60),$H60&gt;0))),'Feuille de Donnée'!$K$13,""),IF(L60&lt;$H$168*'Feuille de Donnée'!$I$9,"Négligeable",(IF(AND(J60&gt;=$F60*(1-'Feuille de Donnée'!$E$12),J60&lt;=$F60*(1+'Feuille de Donnée'!$F$12)),'Feuille de Donnée'!$F$17,IF(J60&lt;$F60*(1-'Feuille de Donnée'!$E$12),'Feuille de Donnée'!$F$18,'Feuille de Donnée'!$F$16))&amp;""&amp;IF(AND(K60&gt;=$G60*(1-'Feuille de Donnée'!$E$27),K60&lt;=$G60*(1+'Feuille de Donnée'!$F$27)),'Feuille de Donnée'!$F$32,IF(K60&lt;$G60*(1-'Feuille de Donnée'!$E$27),'Feuille de Donnée'!$F$33,'Feuille de Donnée'!$F$31)))))</f>
        <v/>
      </c>
      <c r="Q60" s="138"/>
      <c r="R60" s="103"/>
      <c r="S60" s="27"/>
      <c r="T60" s="27"/>
      <c r="U60" s="27" t="str">
        <f t="shared" si="23"/>
        <v/>
      </c>
      <c r="V60" s="121" t="str">
        <f t="shared" si="24"/>
        <v/>
      </c>
      <c r="W60" s="121" t="str">
        <f t="shared" si="25"/>
        <v/>
      </c>
      <c r="X60" s="27" t="str">
        <f>IF(AND(ISBLANK(Z60),Y60=""),"",1+MAX(X$21:X59))</f>
        <v/>
      </c>
      <c r="Y60" s="137" t="str">
        <f>IF(OR(U60="",U60=0,$H60="",$H60=0,NOT(ISNUMBER($H60)),NOT(ISNUMBER(U60))),IF(AND($E60&lt;&gt;"",AND(OR(ISNUMBER(U60),U60=""),AND(ISNUMBER($H60),$H60&gt;0))),'Feuille de Donnée'!$K$13,""),IF(U60&lt;$H$168*'Feuille de Donnée'!$I$9,"Négligeable",(IF(AND(S60&gt;=$F60*(1-'Feuille de Donnée'!$E$12),S60&lt;=$F60*(1+'Feuille de Donnée'!$F$12)),'Feuille de Donnée'!$F$17,IF(S60&lt;$F60*(1-'Feuille de Donnée'!$E$12),'Feuille de Donnée'!$F$18,'Feuille de Donnée'!$F$16))&amp;""&amp;IF(AND(T60&gt;=$G60*(1-'Feuille de Donnée'!$E$27),T60&lt;=$G60*(1+'Feuille de Donnée'!$F$27)),'Feuille de Donnée'!$F$32,IF(T60&lt;$G60*(1-'Feuille de Donnée'!$E$27),'Feuille de Donnée'!$F$33,'Feuille de Donnée'!$F$31)))))</f>
        <v/>
      </c>
      <c r="Z60" s="138"/>
      <c r="AA60" s="103"/>
      <c r="AB60" s="27"/>
      <c r="AC60" s="27"/>
      <c r="AD60" s="27" t="str">
        <f t="shared" si="26"/>
        <v/>
      </c>
      <c r="AE60" s="121" t="str">
        <f t="shared" si="27"/>
        <v/>
      </c>
      <c r="AF60" s="121" t="str">
        <f t="shared" si="28"/>
        <v/>
      </c>
      <c r="AG60" s="27" t="str">
        <f>IF(AND(ISBLANK(AI60),AH60=""),"",1+MAX(AG$21:AG59))</f>
        <v/>
      </c>
      <c r="AH60" s="137" t="str">
        <f>IF(OR(AD60="",AD60=0,$H60="",$H60=0,NOT(ISNUMBER($H60)),NOT(ISNUMBER(AD60))),IF(AND($E60&lt;&gt;"",AND(OR(ISNUMBER(AD60),AD60=""),AND(ISNUMBER($H60),$H60&gt;0))),'Feuille de Donnée'!$K$13,""),IF(AD60&lt;$H$168*'Feuille de Donnée'!$I$9,"Négligeable",(IF(AND(AB60&gt;=$F60*(1-'Feuille de Donnée'!$E$12),AB60&lt;=$F60*(1+'Feuille de Donnée'!$F$12)),'Feuille de Donnée'!$F$17,IF(AB60&lt;$F60*(1-'Feuille de Donnée'!$E$12),'Feuille de Donnée'!$F$18,'Feuille de Donnée'!$F$16))&amp;""&amp;IF(AND(AC60&gt;=$G60*(1-'Feuille de Donnée'!$E$27),AC60&lt;=$G60*(1+'Feuille de Donnée'!$F$27)),'Feuille de Donnée'!$F$32,IF(AC60&lt;$G60*(1-'Feuille de Donnée'!$E$27),'Feuille de Donnée'!$F$33,'Feuille de Donnée'!$F$31)))))</f>
        <v/>
      </c>
      <c r="AI60" s="138"/>
      <c r="AJ60" s="103"/>
      <c r="AK60" s="27"/>
      <c r="AL60" s="27"/>
      <c r="AM60" s="27" t="str">
        <f t="shared" si="29"/>
        <v/>
      </c>
      <c r="AN60" s="121" t="str">
        <f t="shared" si="30"/>
        <v/>
      </c>
      <c r="AO60" s="121" t="str">
        <f t="shared" si="31"/>
        <v/>
      </c>
      <c r="AP60" s="27" t="str">
        <f>IF(AND(ISBLANK(AR60),AQ60=""),"",1+MAX(AP$21:AP59))</f>
        <v/>
      </c>
      <c r="AQ60" s="137" t="str">
        <f>IF(OR(AM60="",AM60=0,$H60="",$H60=0,NOT(ISNUMBER($H60)),NOT(ISNUMBER(AM60))),IF(AND($E60&lt;&gt;"",AND(OR(ISNUMBER(AM60),AM60=""),AND(ISNUMBER($H60),$H60&gt;0))),'Feuille de Donnée'!$K$13,""),IF(AM60&lt;$H$168*'Feuille de Donnée'!$I$9,"Négligeable",(IF(AND(AK60&gt;=$F60*(1-'Feuille de Donnée'!$E$12),AK60&lt;=$F60*(1+'Feuille de Donnée'!$F$12)),'Feuille de Donnée'!$F$17,IF(AK60&lt;$F60*(1-'Feuille de Donnée'!$E$12),'Feuille de Donnée'!$F$18,'Feuille de Donnée'!$F$16))&amp;""&amp;IF(AND(AL60&gt;=$G60*(1-'Feuille de Donnée'!$E$27),AL60&lt;=$G60*(1+'Feuille de Donnée'!$F$27)),'Feuille de Donnée'!$F$32,IF(AL60&lt;$G60*(1-'Feuille de Donnée'!$E$27),'Feuille de Donnée'!$F$33,'Feuille de Donnée'!$F$31)))))</f>
        <v/>
      </c>
      <c r="AR60" s="138"/>
      <c r="AS60" s="103"/>
      <c r="AT60" s="27"/>
      <c r="AU60" s="27"/>
      <c r="AV60" s="27" t="str">
        <f t="shared" si="32"/>
        <v/>
      </c>
      <c r="AW60" s="121" t="str">
        <f t="shared" si="33"/>
        <v/>
      </c>
      <c r="AX60" s="121" t="str">
        <f t="shared" si="34"/>
        <v/>
      </c>
      <c r="AY60" s="27" t="str">
        <f>IF(AND(ISBLANK(BA60),AZ60=""),"",1+MAX(AY$21:AY59))</f>
        <v/>
      </c>
      <c r="AZ60" s="137" t="str">
        <f>IF(OR(AV60="",AV60=0,$H60="",$H60=0,NOT(ISNUMBER($H60)),NOT(ISNUMBER(AV60))),IF(AND($E60&lt;&gt;"",AND(OR(ISNUMBER(AV60),AV60=""),AND(ISNUMBER($H60),$H60&gt;0))),'Feuille de Donnée'!$K$13,""),IF(AV60&lt;$H$168*'Feuille de Donnée'!$I$9,"Négligeable",(IF(AND(AT60&gt;=$F60*(1-'Feuille de Donnée'!$E$12),AT60&lt;=$F60*(1+'Feuille de Donnée'!$F$12)),'Feuille de Donnée'!$F$17,IF(AT60&lt;$F60*(1-'Feuille de Donnée'!$E$12),'Feuille de Donnée'!$F$18,'Feuille de Donnée'!$F$16))&amp;""&amp;IF(AND(AU60&gt;=$G60*(1-'Feuille de Donnée'!$E$27),AU60&lt;=$G60*(1+'Feuille de Donnée'!$F$27)),'Feuille de Donnée'!$F$32,IF(AU60&lt;$G60*(1-'Feuille de Donnée'!$E$27),'Feuille de Donnée'!$F$33,'Feuille de Donnée'!$F$31)))))</f>
        <v/>
      </c>
      <c r="BA60" s="138"/>
      <c r="BB60" s="103"/>
      <c r="BC60" s="27"/>
      <c r="BD60" s="27"/>
      <c r="BE60" s="27" t="str">
        <f t="shared" si="35"/>
        <v/>
      </c>
      <c r="BF60" s="121" t="str">
        <f t="shared" si="36"/>
        <v/>
      </c>
      <c r="BG60" s="121" t="str">
        <f t="shared" si="37"/>
        <v/>
      </c>
      <c r="BH60" s="27" t="str">
        <f>IF(AND(ISBLANK(BJ60),BI60=""),"",1+MAX(BH$21:BH59))</f>
        <v/>
      </c>
      <c r="BI60" s="137" t="str">
        <f>IF(OR(BE60="",BE60=0,$H60="",$H60=0,NOT(ISNUMBER($H60)),NOT(ISNUMBER(BE60))),IF(AND($E60&lt;&gt;"",AND(OR(ISNUMBER(BE60),BE60=""),AND(ISNUMBER($H60),$H60&gt;0))),'Feuille de Donnée'!$K$13,""),IF(BE60&lt;$H$168*'Feuille de Donnée'!$I$9,"Négligeable",(IF(AND(BC60&gt;=$F60*(1-'Feuille de Donnée'!$E$12),BC60&lt;=$F60*(1+'Feuille de Donnée'!$F$12)),'Feuille de Donnée'!$F$17,IF(BC60&lt;$F60*(1-'Feuille de Donnée'!$E$12),'Feuille de Donnée'!$F$18,'Feuille de Donnée'!$F$16))&amp;""&amp;IF(AND(BD60&gt;=$G60*(1-'Feuille de Donnée'!$E$27),BD60&lt;=$G60*(1+'Feuille de Donnée'!$F$27)),'Feuille de Donnée'!$F$32,IF(BD60&lt;$G60*(1-'Feuille de Donnée'!$E$27),'Feuille de Donnée'!$F$33,'Feuille de Donnée'!$F$31)))))</f>
        <v/>
      </c>
      <c r="BJ60" s="138"/>
      <c r="BK60" s="140"/>
    </row>
    <row r="61" spans="1:63" s="6" customFormat="1" x14ac:dyDescent="0.3">
      <c r="A61" s="23"/>
      <c r="B61" s="24"/>
      <c r="C61" s="24"/>
      <c r="D61" s="24"/>
      <c r="E61" s="22"/>
      <c r="F61" s="25"/>
      <c r="G61" s="26"/>
      <c r="H61" s="102" t="str">
        <f t="shared" si="19"/>
        <v/>
      </c>
      <c r="I61" s="103"/>
      <c r="J61" s="27"/>
      <c r="K61" s="27"/>
      <c r="L61" s="27" t="str">
        <f t="shared" si="20"/>
        <v/>
      </c>
      <c r="M61" s="121" t="str">
        <f t="shared" si="21"/>
        <v/>
      </c>
      <c r="N61" s="121" t="str">
        <f t="shared" si="22"/>
        <v/>
      </c>
      <c r="O61" s="27" t="str">
        <f>IF(AND(ISBLANK(Q61),P61=""),"",1+MAX(O$21:O60))</f>
        <v/>
      </c>
      <c r="P61" s="137" t="str">
        <f>IF(OR(L61="",L61=0,$H61="",$H61=0,NOT(ISNUMBER($H61)),NOT(ISNUMBER(L61))),IF(AND($E61&lt;&gt;"",AND(OR(ISNUMBER(L61),L61=""),AND(ISNUMBER($H61),$H61&gt;0))),'Feuille de Donnée'!$K$13,""),IF(L61&lt;$H$168*'Feuille de Donnée'!$I$9,"Négligeable",(IF(AND(J61&gt;=$F61*(1-'Feuille de Donnée'!$E$12),J61&lt;=$F61*(1+'Feuille de Donnée'!$F$12)),'Feuille de Donnée'!$F$17,IF(J61&lt;$F61*(1-'Feuille de Donnée'!$E$12),'Feuille de Donnée'!$F$18,'Feuille de Donnée'!$F$16))&amp;""&amp;IF(AND(K61&gt;=$G61*(1-'Feuille de Donnée'!$E$27),K61&lt;=$G61*(1+'Feuille de Donnée'!$F$27)),'Feuille de Donnée'!$F$32,IF(K61&lt;$G61*(1-'Feuille de Donnée'!$E$27),'Feuille de Donnée'!$F$33,'Feuille de Donnée'!$F$31)))))</f>
        <v/>
      </c>
      <c r="Q61" s="138"/>
      <c r="R61" s="103"/>
      <c r="S61" s="27"/>
      <c r="T61" s="27"/>
      <c r="U61" s="27" t="str">
        <f t="shared" si="23"/>
        <v/>
      </c>
      <c r="V61" s="121" t="str">
        <f t="shared" si="24"/>
        <v/>
      </c>
      <c r="W61" s="121" t="str">
        <f t="shared" si="25"/>
        <v/>
      </c>
      <c r="X61" s="27" t="str">
        <f>IF(AND(ISBLANK(Z61),Y61=""),"",1+MAX(X$21:X60))</f>
        <v/>
      </c>
      <c r="Y61" s="137" t="str">
        <f>IF(OR(U61="",U61=0,$H61="",$H61=0,NOT(ISNUMBER($H61)),NOT(ISNUMBER(U61))),IF(AND($E61&lt;&gt;"",AND(OR(ISNUMBER(U61),U61=""),AND(ISNUMBER($H61),$H61&gt;0))),'Feuille de Donnée'!$K$13,""),IF(U61&lt;$H$168*'Feuille de Donnée'!$I$9,"Négligeable",(IF(AND(S61&gt;=$F61*(1-'Feuille de Donnée'!$E$12),S61&lt;=$F61*(1+'Feuille de Donnée'!$F$12)),'Feuille de Donnée'!$F$17,IF(S61&lt;$F61*(1-'Feuille de Donnée'!$E$12),'Feuille de Donnée'!$F$18,'Feuille de Donnée'!$F$16))&amp;""&amp;IF(AND(T61&gt;=$G61*(1-'Feuille de Donnée'!$E$27),T61&lt;=$G61*(1+'Feuille de Donnée'!$F$27)),'Feuille de Donnée'!$F$32,IF(T61&lt;$G61*(1-'Feuille de Donnée'!$E$27),'Feuille de Donnée'!$F$33,'Feuille de Donnée'!$F$31)))))</f>
        <v/>
      </c>
      <c r="Z61" s="138"/>
      <c r="AA61" s="103"/>
      <c r="AB61" s="27"/>
      <c r="AC61" s="27"/>
      <c r="AD61" s="27" t="str">
        <f t="shared" si="26"/>
        <v/>
      </c>
      <c r="AE61" s="121" t="str">
        <f t="shared" si="27"/>
        <v/>
      </c>
      <c r="AF61" s="121" t="str">
        <f t="shared" si="28"/>
        <v/>
      </c>
      <c r="AG61" s="27" t="str">
        <f>IF(AND(ISBLANK(AI61),AH61=""),"",1+MAX(AG$21:AG60))</f>
        <v/>
      </c>
      <c r="AH61" s="137" t="str">
        <f>IF(OR(AD61="",AD61=0,$H61="",$H61=0,NOT(ISNUMBER($H61)),NOT(ISNUMBER(AD61))),IF(AND($E61&lt;&gt;"",AND(OR(ISNUMBER(AD61),AD61=""),AND(ISNUMBER($H61),$H61&gt;0))),'Feuille de Donnée'!$K$13,""),IF(AD61&lt;$H$168*'Feuille de Donnée'!$I$9,"Négligeable",(IF(AND(AB61&gt;=$F61*(1-'Feuille de Donnée'!$E$12),AB61&lt;=$F61*(1+'Feuille de Donnée'!$F$12)),'Feuille de Donnée'!$F$17,IF(AB61&lt;$F61*(1-'Feuille de Donnée'!$E$12),'Feuille de Donnée'!$F$18,'Feuille de Donnée'!$F$16))&amp;""&amp;IF(AND(AC61&gt;=$G61*(1-'Feuille de Donnée'!$E$27),AC61&lt;=$G61*(1+'Feuille de Donnée'!$F$27)),'Feuille de Donnée'!$F$32,IF(AC61&lt;$G61*(1-'Feuille de Donnée'!$E$27),'Feuille de Donnée'!$F$33,'Feuille de Donnée'!$F$31)))))</f>
        <v/>
      </c>
      <c r="AI61" s="138"/>
      <c r="AJ61" s="103"/>
      <c r="AK61" s="27"/>
      <c r="AL61" s="27"/>
      <c r="AM61" s="27" t="str">
        <f t="shared" si="29"/>
        <v/>
      </c>
      <c r="AN61" s="121" t="str">
        <f t="shared" si="30"/>
        <v/>
      </c>
      <c r="AO61" s="121" t="str">
        <f t="shared" si="31"/>
        <v/>
      </c>
      <c r="AP61" s="27" t="str">
        <f>IF(AND(ISBLANK(AR61),AQ61=""),"",1+MAX(AP$21:AP60))</f>
        <v/>
      </c>
      <c r="AQ61" s="137" t="str">
        <f>IF(OR(AM61="",AM61=0,$H61="",$H61=0,NOT(ISNUMBER($H61)),NOT(ISNUMBER(AM61))),IF(AND($E61&lt;&gt;"",AND(OR(ISNUMBER(AM61),AM61=""),AND(ISNUMBER($H61),$H61&gt;0))),'Feuille de Donnée'!$K$13,""),IF(AM61&lt;$H$168*'Feuille de Donnée'!$I$9,"Négligeable",(IF(AND(AK61&gt;=$F61*(1-'Feuille de Donnée'!$E$12),AK61&lt;=$F61*(1+'Feuille de Donnée'!$F$12)),'Feuille de Donnée'!$F$17,IF(AK61&lt;$F61*(1-'Feuille de Donnée'!$E$12),'Feuille de Donnée'!$F$18,'Feuille de Donnée'!$F$16))&amp;""&amp;IF(AND(AL61&gt;=$G61*(1-'Feuille de Donnée'!$E$27),AL61&lt;=$G61*(1+'Feuille de Donnée'!$F$27)),'Feuille de Donnée'!$F$32,IF(AL61&lt;$G61*(1-'Feuille de Donnée'!$E$27),'Feuille de Donnée'!$F$33,'Feuille de Donnée'!$F$31)))))</f>
        <v/>
      </c>
      <c r="AR61" s="138"/>
      <c r="AS61" s="103"/>
      <c r="AT61" s="27"/>
      <c r="AU61" s="27"/>
      <c r="AV61" s="27" t="str">
        <f t="shared" si="32"/>
        <v/>
      </c>
      <c r="AW61" s="121" t="str">
        <f t="shared" si="33"/>
        <v/>
      </c>
      <c r="AX61" s="121" t="str">
        <f t="shared" si="34"/>
        <v/>
      </c>
      <c r="AY61" s="27" t="str">
        <f>IF(AND(ISBLANK(BA61),AZ61=""),"",1+MAX(AY$21:AY60))</f>
        <v/>
      </c>
      <c r="AZ61" s="137" t="str">
        <f>IF(OR(AV61="",AV61=0,$H61="",$H61=0,NOT(ISNUMBER($H61)),NOT(ISNUMBER(AV61))),IF(AND($E61&lt;&gt;"",AND(OR(ISNUMBER(AV61),AV61=""),AND(ISNUMBER($H61),$H61&gt;0))),'Feuille de Donnée'!$K$13,""),IF(AV61&lt;$H$168*'Feuille de Donnée'!$I$9,"Négligeable",(IF(AND(AT61&gt;=$F61*(1-'Feuille de Donnée'!$E$12),AT61&lt;=$F61*(1+'Feuille de Donnée'!$F$12)),'Feuille de Donnée'!$F$17,IF(AT61&lt;$F61*(1-'Feuille de Donnée'!$E$12),'Feuille de Donnée'!$F$18,'Feuille de Donnée'!$F$16))&amp;""&amp;IF(AND(AU61&gt;=$G61*(1-'Feuille de Donnée'!$E$27),AU61&lt;=$G61*(1+'Feuille de Donnée'!$F$27)),'Feuille de Donnée'!$F$32,IF(AU61&lt;$G61*(1-'Feuille de Donnée'!$E$27),'Feuille de Donnée'!$F$33,'Feuille de Donnée'!$F$31)))))</f>
        <v/>
      </c>
      <c r="BA61" s="138"/>
      <c r="BB61" s="103"/>
      <c r="BC61" s="27"/>
      <c r="BD61" s="27"/>
      <c r="BE61" s="27" t="str">
        <f t="shared" si="35"/>
        <v/>
      </c>
      <c r="BF61" s="121" t="str">
        <f t="shared" si="36"/>
        <v/>
      </c>
      <c r="BG61" s="121" t="str">
        <f t="shared" si="37"/>
        <v/>
      </c>
      <c r="BH61" s="27" t="str">
        <f>IF(AND(ISBLANK(BJ61),BI61=""),"",1+MAX(BH$21:BH60))</f>
        <v/>
      </c>
      <c r="BI61" s="137" t="str">
        <f>IF(OR(BE61="",BE61=0,$H61="",$H61=0,NOT(ISNUMBER($H61)),NOT(ISNUMBER(BE61))),IF(AND($E61&lt;&gt;"",AND(OR(ISNUMBER(BE61),BE61=""),AND(ISNUMBER($H61),$H61&gt;0))),'Feuille de Donnée'!$K$13,""),IF(BE61&lt;$H$168*'Feuille de Donnée'!$I$9,"Négligeable",(IF(AND(BC61&gt;=$F61*(1-'Feuille de Donnée'!$E$12),BC61&lt;=$F61*(1+'Feuille de Donnée'!$F$12)),'Feuille de Donnée'!$F$17,IF(BC61&lt;$F61*(1-'Feuille de Donnée'!$E$12),'Feuille de Donnée'!$F$18,'Feuille de Donnée'!$F$16))&amp;""&amp;IF(AND(BD61&gt;=$G61*(1-'Feuille de Donnée'!$E$27),BD61&lt;=$G61*(1+'Feuille de Donnée'!$F$27)),'Feuille de Donnée'!$F$32,IF(BD61&lt;$G61*(1-'Feuille de Donnée'!$E$27),'Feuille de Donnée'!$F$33,'Feuille de Donnée'!$F$31)))))</f>
        <v/>
      </c>
      <c r="BJ61" s="138"/>
      <c r="BK61" s="140"/>
    </row>
    <row r="62" spans="1:63" s="6" customFormat="1" x14ac:dyDescent="0.3">
      <c r="A62" s="23"/>
      <c r="B62" s="24"/>
      <c r="C62" s="24"/>
      <c r="D62" s="24"/>
      <c r="E62" s="22"/>
      <c r="F62" s="25"/>
      <c r="G62" s="26"/>
      <c r="H62" s="102" t="str">
        <f t="shared" si="19"/>
        <v/>
      </c>
      <c r="I62" s="103"/>
      <c r="J62" s="27"/>
      <c r="K62" s="27"/>
      <c r="L62" s="27" t="str">
        <f t="shared" si="20"/>
        <v/>
      </c>
      <c r="M62" s="121" t="str">
        <f t="shared" si="21"/>
        <v/>
      </c>
      <c r="N62" s="121" t="str">
        <f t="shared" si="22"/>
        <v/>
      </c>
      <c r="O62" s="27" t="str">
        <f>IF(AND(ISBLANK(Q62),P62=""),"",1+MAX(O$21:O61))</f>
        <v/>
      </c>
      <c r="P62" s="137" t="str">
        <f>IF(OR(L62="",L62=0,$H62="",$H62=0,NOT(ISNUMBER($H62)),NOT(ISNUMBER(L62))),IF(AND($E62&lt;&gt;"",AND(OR(ISNUMBER(L62),L62=""),AND(ISNUMBER($H62),$H62&gt;0))),'Feuille de Donnée'!$K$13,""),IF(L62&lt;$H$168*'Feuille de Donnée'!$I$9,"Négligeable",(IF(AND(J62&gt;=$F62*(1-'Feuille de Donnée'!$E$12),J62&lt;=$F62*(1+'Feuille de Donnée'!$F$12)),'Feuille de Donnée'!$F$17,IF(J62&lt;$F62*(1-'Feuille de Donnée'!$E$12),'Feuille de Donnée'!$F$18,'Feuille de Donnée'!$F$16))&amp;""&amp;IF(AND(K62&gt;=$G62*(1-'Feuille de Donnée'!$E$27),K62&lt;=$G62*(1+'Feuille de Donnée'!$F$27)),'Feuille de Donnée'!$F$32,IF(K62&lt;$G62*(1-'Feuille de Donnée'!$E$27),'Feuille de Donnée'!$F$33,'Feuille de Donnée'!$F$31)))))</f>
        <v/>
      </c>
      <c r="Q62" s="138"/>
      <c r="R62" s="103"/>
      <c r="S62" s="27"/>
      <c r="T62" s="27"/>
      <c r="U62" s="27" t="str">
        <f t="shared" si="23"/>
        <v/>
      </c>
      <c r="V62" s="121" t="str">
        <f t="shared" si="24"/>
        <v/>
      </c>
      <c r="W62" s="121" t="str">
        <f t="shared" si="25"/>
        <v/>
      </c>
      <c r="X62" s="27" t="str">
        <f>IF(AND(ISBLANK(Z62),Y62=""),"",1+MAX(X$21:X61))</f>
        <v/>
      </c>
      <c r="Y62" s="137" t="str">
        <f>IF(OR(U62="",U62=0,$H62="",$H62=0,NOT(ISNUMBER($H62)),NOT(ISNUMBER(U62))),IF(AND($E62&lt;&gt;"",AND(OR(ISNUMBER(U62),U62=""),AND(ISNUMBER($H62),$H62&gt;0))),'Feuille de Donnée'!$K$13,""),IF(U62&lt;$H$168*'Feuille de Donnée'!$I$9,"Négligeable",(IF(AND(S62&gt;=$F62*(1-'Feuille de Donnée'!$E$12),S62&lt;=$F62*(1+'Feuille de Donnée'!$F$12)),'Feuille de Donnée'!$F$17,IF(S62&lt;$F62*(1-'Feuille de Donnée'!$E$12),'Feuille de Donnée'!$F$18,'Feuille de Donnée'!$F$16))&amp;""&amp;IF(AND(T62&gt;=$G62*(1-'Feuille de Donnée'!$E$27),T62&lt;=$G62*(1+'Feuille de Donnée'!$F$27)),'Feuille de Donnée'!$F$32,IF(T62&lt;$G62*(1-'Feuille de Donnée'!$E$27),'Feuille de Donnée'!$F$33,'Feuille de Donnée'!$F$31)))))</f>
        <v/>
      </c>
      <c r="Z62" s="138"/>
      <c r="AA62" s="103"/>
      <c r="AB62" s="27"/>
      <c r="AC62" s="27"/>
      <c r="AD62" s="27" t="str">
        <f t="shared" si="26"/>
        <v/>
      </c>
      <c r="AE62" s="121" t="str">
        <f t="shared" si="27"/>
        <v/>
      </c>
      <c r="AF62" s="121" t="str">
        <f t="shared" si="28"/>
        <v/>
      </c>
      <c r="AG62" s="27" t="str">
        <f>IF(AND(ISBLANK(AI62),AH62=""),"",1+MAX(AG$21:AG61))</f>
        <v/>
      </c>
      <c r="AH62" s="137" t="str">
        <f>IF(OR(AD62="",AD62=0,$H62="",$H62=0,NOT(ISNUMBER($H62)),NOT(ISNUMBER(AD62))),IF(AND($E62&lt;&gt;"",AND(OR(ISNUMBER(AD62),AD62=""),AND(ISNUMBER($H62),$H62&gt;0))),'Feuille de Donnée'!$K$13,""),IF(AD62&lt;$H$168*'Feuille de Donnée'!$I$9,"Négligeable",(IF(AND(AB62&gt;=$F62*(1-'Feuille de Donnée'!$E$12),AB62&lt;=$F62*(1+'Feuille de Donnée'!$F$12)),'Feuille de Donnée'!$F$17,IF(AB62&lt;$F62*(1-'Feuille de Donnée'!$E$12),'Feuille de Donnée'!$F$18,'Feuille de Donnée'!$F$16))&amp;""&amp;IF(AND(AC62&gt;=$G62*(1-'Feuille de Donnée'!$E$27),AC62&lt;=$G62*(1+'Feuille de Donnée'!$F$27)),'Feuille de Donnée'!$F$32,IF(AC62&lt;$G62*(1-'Feuille de Donnée'!$E$27),'Feuille de Donnée'!$F$33,'Feuille de Donnée'!$F$31)))))</f>
        <v/>
      </c>
      <c r="AI62" s="138"/>
      <c r="AJ62" s="103"/>
      <c r="AK62" s="27"/>
      <c r="AL62" s="27"/>
      <c r="AM62" s="27" t="str">
        <f t="shared" si="29"/>
        <v/>
      </c>
      <c r="AN62" s="121" t="str">
        <f t="shared" si="30"/>
        <v/>
      </c>
      <c r="AO62" s="121" t="str">
        <f t="shared" si="31"/>
        <v/>
      </c>
      <c r="AP62" s="27" t="str">
        <f>IF(AND(ISBLANK(AR62),AQ62=""),"",1+MAX(AP$21:AP61))</f>
        <v/>
      </c>
      <c r="AQ62" s="137" t="str">
        <f>IF(OR(AM62="",AM62=0,$H62="",$H62=0,NOT(ISNUMBER($H62)),NOT(ISNUMBER(AM62))),IF(AND($E62&lt;&gt;"",AND(OR(ISNUMBER(AM62),AM62=""),AND(ISNUMBER($H62),$H62&gt;0))),'Feuille de Donnée'!$K$13,""),IF(AM62&lt;$H$168*'Feuille de Donnée'!$I$9,"Négligeable",(IF(AND(AK62&gt;=$F62*(1-'Feuille de Donnée'!$E$12),AK62&lt;=$F62*(1+'Feuille de Donnée'!$F$12)),'Feuille de Donnée'!$F$17,IF(AK62&lt;$F62*(1-'Feuille de Donnée'!$E$12),'Feuille de Donnée'!$F$18,'Feuille de Donnée'!$F$16))&amp;""&amp;IF(AND(AL62&gt;=$G62*(1-'Feuille de Donnée'!$E$27),AL62&lt;=$G62*(1+'Feuille de Donnée'!$F$27)),'Feuille de Donnée'!$F$32,IF(AL62&lt;$G62*(1-'Feuille de Donnée'!$E$27),'Feuille de Donnée'!$F$33,'Feuille de Donnée'!$F$31)))))</f>
        <v/>
      </c>
      <c r="AR62" s="138"/>
      <c r="AS62" s="103"/>
      <c r="AT62" s="27"/>
      <c r="AU62" s="27"/>
      <c r="AV62" s="27" t="str">
        <f t="shared" si="32"/>
        <v/>
      </c>
      <c r="AW62" s="121" t="str">
        <f t="shared" si="33"/>
        <v/>
      </c>
      <c r="AX62" s="121" t="str">
        <f t="shared" si="34"/>
        <v/>
      </c>
      <c r="AY62" s="27" t="str">
        <f>IF(AND(ISBLANK(BA62),AZ62=""),"",1+MAX(AY$21:AY61))</f>
        <v/>
      </c>
      <c r="AZ62" s="137" t="str">
        <f>IF(OR(AV62="",AV62=0,$H62="",$H62=0,NOT(ISNUMBER($H62)),NOT(ISNUMBER(AV62))),IF(AND($E62&lt;&gt;"",AND(OR(ISNUMBER(AV62),AV62=""),AND(ISNUMBER($H62),$H62&gt;0))),'Feuille de Donnée'!$K$13,""),IF(AV62&lt;$H$168*'Feuille de Donnée'!$I$9,"Négligeable",(IF(AND(AT62&gt;=$F62*(1-'Feuille de Donnée'!$E$12),AT62&lt;=$F62*(1+'Feuille de Donnée'!$F$12)),'Feuille de Donnée'!$F$17,IF(AT62&lt;$F62*(1-'Feuille de Donnée'!$E$12),'Feuille de Donnée'!$F$18,'Feuille de Donnée'!$F$16))&amp;""&amp;IF(AND(AU62&gt;=$G62*(1-'Feuille de Donnée'!$E$27),AU62&lt;=$G62*(1+'Feuille de Donnée'!$F$27)),'Feuille de Donnée'!$F$32,IF(AU62&lt;$G62*(1-'Feuille de Donnée'!$E$27),'Feuille de Donnée'!$F$33,'Feuille de Donnée'!$F$31)))))</f>
        <v/>
      </c>
      <c r="BA62" s="138"/>
      <c r="BB62" s="103"/>
      <c r="BC62" s="27"/>
      <c r="BD62" s="27"/>
      <c r="BE62" s="27" t="str">
        <f t="shared" si="35"/>
        <v/>
      </c>
      <c r="BF62" s="121" t="str">
        <f t="shared" si="36"/>
        <v/>
      </c>
      <c r="BG62" s="121" t="str">
        <f t="shared" si="37"/>
        <v/>
      </c>
      <c r="BH62" s="27" t="str">
        <f>IF(AND(ISBLANK(BJ62),BI62=""),"",1+MAX(BH$21:BH61))</f>
        <v/>
      </c>
      <c r="BI62" s="137" t="str">
        <f>IF(OR(BE62="",BE62=0,$H62="",$H62=0,NOT(ISNUMBER($H62)),NOT(ISNUMBER(BE62))),IF(AND($E62&lt;&gt;"",AND(OR(ISNUMBER(BE62),BE62=""),AND(ISNUMBER($H62),$H62&gt;0))),'Feuille de Donnée'!$K$13,""),IF(BE62&lt;$H$168*'Feuille de Donnée'!$I$9,"Négligeable",(IF(AND(BC62&gt;=$F62*(1-'Feuille de Donnée'!$E$12),BC62&lt;=$F62*(1+'Feuille de Donnée'!$F$12)),'Feuille de Donnée'!$F$17,IF(BC62&lt;$F62*(1-'Feuille de Donnée'!$E$12),'Feuille de Donnée'!$F$18,'Feuille de Donnée'!$F$16))&amp;""&amp;IF(AND(BD62&gt;=$G62*(1-'Feuille de Donnée'!$E$27),BD62&lt;=$G62*(1+'Feuille de Donnée'!$F$27)),'Feuille de Donnée'!$F$32,IF(BD62&lt;$G62*(1-'Feuille de Donnée'!$E$27),'Feuille de Donnée'!$F$33,'Feuille de Donnée'!$F$31)))))</f>
        <v/>
      </c>
      <c r="BJ62" s="138"/>
      <c r="BK62" s="140"/>
    </row>
    <row r="63" spans="1:63" s="6" customFormat="1" x14ac:dyDescent="0.3">
      <c r="A63" s="23"/>
      <c r="B63" s="24"/>
      <c r="C63" s="24"/>
      <c r="D63" s="24"/>
      <c r="E63" s="22"/>
      <c r="F63" s="25"/>
      <c r="G63" s="26"/>
      <c r="H63" s="102" t="str">
        <f t="shared" si="19"/>
        <v/>
      </c>
      <c r="I63" s="103"/>
      <c r="J63" s="27"/>
      <c r="K63" s="27"/>
      <c r="L63" s="27" t="str">
        <f t="shared" si="20"/>
        <v/>
      </c>
      <c r="M63" s="121" t="str">
        <f t="shared" si="21"/>
        <v/>
      </c>
      <c r="N63" s="121" t="str">
        <f t="shared" si="22"/>
        <v/>
      </c>
      <c r="O63" s="27" t="str">
        <f>IF(AND(ISBLANK(Q63),P63=""),"",1+MAX(O$21:O62))</f>
        <v/>
      </c>
      <c r="P63" s="137" t="str">
        <f>IF(OR(L63="",L63=0,$H63="",$H63=0,NOT(ISNUMBER($H63)),NOT(ISNUMBER(L63))),IF(AND($E63&lt;&gt;"",AND(OR(ISNUMBER(L63),L63=""),AND(ISNUMBER($H63),$H63&gt;0))),'Feuille de Donnée'!$K$13,""),IF(L63&lt;$H$168*'Feuille de Donnée'!$I$9,"Négligeable",(IF(AND(J63&gt;=$F63*(1-'Feuille de Donnée'!$E$12),J63&lt;=$F63*(1+'Feuille de Donnée'!$F$12)),'Feuille de Donnée'!$F$17,IF(J63&lt;$F63*(1-'Feuille de Donnée'!$E$12),'Feuille de Donnée'!$F$18,'Feuille de Donnée'!$F$16))&amp;""&amp;IF(AND(K63&gt;=$G63*(1-'Feuille de Donnée'!$E$27),K63&lt;=$G63*(1+'Feuille de Donnée'!$F$27)),'Feuille de Donnée'!$F$32,IF(K63&lt;$G63*(1-'Feuille de Donnée'!$E$27),'Feuille de Donnée'!$F$33,'Feuille de Donnée'!$F$31)))))</f>
        <v/>
      </c>
      <c r="Q63" s="138"/>
      <c r="R63" s="103"/>
      <c r="S63" s="27"/>
      <c r="T63" s="27"/>
      <c r="U63" s="27" t="str">
        <f t="shared" si="23"/>
        <v/>
      </c>
      <c r="V63" s="121" t="str">
        <f t="shared" si="24"/>
        <v/>
      </c>
      <c r="W63" s="121" t="str">
        <f t="shared" si="25"/>
        <v/>
      </c>
      <c r="X63" s="27" t="str">
        <f>IF(AND(ISBLANK(Z63),Y63=""),"",1+MAX(X$21:X62))</f>
        <v/>
      </c>
      <c r="Y63" s="137" t="str">
        <f>IF(OR(U63="",U63=0,$H63="",$H63=0,NOT(ISNUMBER($H63)),NOT(ISNUMBER(U63))),IF(AND($E63&lt;&gt;"",AND(OR(ISNUMBER(U63),U63=""),AND(ISNUMBER($H63),$H63&gt;0))),'Feuille de Donnée'!$K$13,""),IF(U63&lt;$H$168*'Feuille de Donnée'!$I$9,"Négligeable",(IF(AND(S63&gt;=$F63*(1-'Feuille de Donnée'!$E$12),S63&lt;=$F63*(1+'Feuille de Donnée'!$F$12)),'Feuille de Donnée'!$F$17,IF(S63&lt;$F63*(1-'Feuille de Donnée'!$E$12),'Feuille de Donnée'!$F$18,'Feuille de Donnée'!$F$16))&amp;""&amp;IF(AND(T63&gt;=$G63*(1-'Feuille de Donnée'!$E$27),T63&lt;=$G63*(1+'Feuille de Donnée'!$F$27)),'Feuille de Donnée'!$F$32,IF(T63&lt;$G63*(1-'Feuille de Donnée'!$E$27),'Feuille de Donnée'!$F$33,'Feuille de Donnée'!$F$31)))))</f>
        <v/>
      </c>
      <c r="Z63" s="138"/>
      <c r="AA63" s="103"/>
      <c r="AB63" s="27"/>
      <c r="AC63" s="27"/>
      <c r="AD63" s="27" t="str">
        <f t="shared" si="26"/>
        <v/>
      </c>
      <c r="AE63" s="121" t="str">
        <f t="shared" si="27"/>
        <v/>
      </c>
      <c r="AF63" s="121" t="str">
        <f t="shared" si="28"/>
        <v/>
      </c>
      <c r="AG63" s="27" t="str">
        <f>IF(AND(ISBLANK(AI63),AH63=""),"",1+MAX(AG$21:AG62))</f>
        <v/>
      </c>
      <c r="AH63" s="137" t="str">
        <f>IF(OR(AD63="",AD63=0,$H63="",$H63=0,NOT(ISNUMBER($H63)),NOT(ISNUMBER(AD63))),IF(AND($E63&lt;&gt;"",AND(OR(ISNUMBER(AD63),AD63=""),AND(ISNUMBER($H63),$H63&gt;0))),'Feuille de Donnée'!$K$13,""),IF(AD63&lt;$H$168*'Feuille de Donnée'!$I$9,"Négligeable",(IF(AND(AB63&gt;=$F63*(1-'Feuille de Donnée'!$E$12),AB63&lt;=$F63*(1+'Feuille de Donnée'!$F$12)),'Feuille de Donnée'!$F$17,IF(AB63&lt;$F63*(1-'Feuille de Donnée'!$E$12),'Feuille de Donnée'!$F$18,'Feuille de Donnée'!$F$16))&amp;""&amp;IF(AND(AC63&gt;=$G63*(1-'Feuille de Donnée'!$E$27),AC63&lt;=$G63*(1+'Feuille de Donnée'!$F$27)),'Feuille de Donnée'!$F$32,IF(AC63&lt;$G63*(1-'Feuille de Donnée'!$E$27),'Feuille de Donnée'!$F$33,'Feuille de Donnée'!$F$31)))))</f>
        <v/>
      </c>
      <c r="AI63" s="138"/>
      <c r="AJ63" s="103"/>
      <c r="AK63" s="27"/>
      <c r="AL63" s="27"/>
      <c r="AM63" s="27" t="str">
        <f t="shared" si="29"/>
        <v/>
      </c>
      <c r="AN63" s="121" t="str">
        <f t="shared" si="30"/>
        <v/>
      </c>
      <c r="AO63" s="121" t="str">
        <f t="shared" si="31"/>
        <v/>
      </c>
      <c r="AP63" s="27" t="str">
        <f>IF(AND(ISBLANK(AR63),AQ63=""),"",1+MAX(AP$21:AP62))</f>
        <v/>
      </c>
      <c r="AQ63" s="137" t="str">
        <f>IF(OR(AM63="",AM63=0,$H63="",$H63=0,NOT(ISNUMBER($H63)),NOT(ISNUMBER(AM63))),IF(AND($E63&lt;&gt;"",AND(OR(ISNUMBER(AM63),AM63=""),AND(ISNUMBER($H63),$H63&gt;0))),'Feuille de Donnée'!$K$13,""),IF(AM63&lt;$H$168*'Feuille de Donnée'!$I$9,"Négligeable",(IF(AND(AK63&gt;=$F63*(1-'Feuille de Donnée'!$E$12),AK63&lt;=$F63*(1+'Feuille de Donnée'!$F$12)),'Feuille de Donnée'!$F$17,IF(AK63&lt;$F63*(1-'Feuille de Donnée'!$E$12),'Feuille de Donnée'!$F$18,'Feuille de Donnée'!$F$16))&amp;""&amp;IF(AND(AL63&gt;=$G63*(1-'Feuille de Donnée'!$E$27),AL63&lt;=$G63*(1+'Feuille de Donnée'!$F$27)),'Feuille de Donnée'!$F$32,IF(AL63&lt;$G63*(1-'Feuille de Donnée'!$E$27),'Feuille de Donnée'!$F$33,'Feuille de Donnée'!$F$31)))))</f>
        <v/>
      </c>
      <c r="AR63" s="138"/>
      <c r="AS63" s="103"/>
      <c r="AT63" s="27"/>
      <c r="AU63" s="27"/>
      <c r="AV63" s="27" t="str">
        <f t="shared" si="32"/>
        <v/>
      </c>
      <c r="AW63" s="121" t="str">
        <f t="shared" si="33"/>
        <v/>
      </c>
      <c r="AX63" s="121" t="str">
        <f t="shared" si="34"/>
        <v/>
      </c>
      <c r="AY63" s="27" t="str">
        <f>IF(AND(ISBLANK(BA63),AZ63=""),"",1+MAX(AY$21:AY62))</f>
        <v/>
      </c>
      <c r="AZ63" s="137" t="str">
        <f>IF(OR(AV63="",AV63=0,$H63="",$H63=0,NOT(ISNUMBER($H63)),NOT(ISNUMBER(AV63))),IF(AND($E63&lt;&gt;"",AND(OR(ISNUMBER(AV63),AV63=""),AND(ISNUMBER($H63),$H63&gt;0))),'Feuille de Donnée'!$K$13,""),IF(AV63&lt;$H$168*'Feuille de Donnée'!$I$9,"Négligeable",(IF(AND(AT63&gt;=$F63*(1-'Feuille de Donnée'!$E$12),AT63&lt;=$F63*(1+'Feuille de Donnée'!$F$12)),'Feuille de Donnée'!$F$17,IF(AT63&lt;$F63*(1-'Feuille de Donnée'!$E$12),'Feuille de Donnée'!$F$18,'Feuille de Donnée'!$F$16))&amp;""&amp;IF(AND(AU63&gt;=$G63*(1-'Feuille de Donnée'!$E$27),AU63&lt;=$G63*(1+'Feuille de Donnée'!$F$27)),'Feuille de Donnée'!$F$32,IF(AU63&lt;$G63*(1-'Feuille de Donnée'!$E$27),'Feuille de Donnée'!$F$33,'Feuille de Donnée'!$F$31)))))</f>
        <v/>
      </c>
      <c r="BA63" s="138"/>
      <c r="BB63" s="103"/>
      <c r="BC63" s="27"/>
      <c r="BD63" s="27"/>
      <c r="BE63" s="27" t="str">
        <f t="shared" si="35"/>
        <v/>
      </c>
      <c r="BF63" s="121" t="str">
        <f t="shared" si="36"/>
        <v/>
      </c>
      <c r="BG63" s="121" t="str">
        <f t="shared" si="37"/>
        <v/>
      </c>
      <c r="BH63" s="27" t="str">
        <f>IF(AND(ISBLANK(BJ63),BI63=""),"",1+MAX(BH$21:BH62))</f>
        <v/>
      </c>
      <c r="BI63" s="137" t="str">
        <f>IF(OR(BE63="",BE63=0,$H63="",$H63=0,NOT(ISNUMBER($H63)),NOT(ISNUMBER(BE63))),IF(AND($E63&lt;&gt;"",AND(OR(ISNUMBER(BE63),BE63=""),AND(ISNUMBER($H63),$H63&gt;0))),'Feuille de Donnée'!$K$13,""),IF(BE63&lt;$H$168*'Feuille de Donnée'!$I$9,"Négligeable",(IF(AND(BC63&gt;=$F63*(1-'Feuille de Donnée'!$E$12),BC63&lt;=$F63*(1+'Feuille de Donnée'!$F$12)),'Feuille de Donnée'!$F$17,IF(BC63&lt;$F63*(1-'Feuille de Donnée'!$E$12),'Feuille de Donnée'!$F$18,'Feuille de Donnée'!$F$16))&amp;""&amp;IF(AND(BD63&gt;=$G63*(1-'Feuille de Donnée'!$E$27),BD63&lt;=$G63*(1+'Feuille de Donnée'!$F$27)),'Feuille de Donnée'!$F$32,IF(BD63&lt;$G63*(1-'Feuille de Donnée'!$E$27),'Feuille de Donnée'!$F$33,'Feuille de Donnée'!$F$31)))))</f>
        <v/>
      </c>
      <c r="BJ63" s="138"/>
      <c r="BK63" s="140"/>
    </row>
    <row r="64" spans="1:63" s="6" customFormat="1" x14ac:dyDescent="0.3">
      <c r="A64" s="23"/>
      <c r="B64" s="24"/>
      <c r="C64" s="24"/>
      <c r="D64" s="24"/>
      <c r="E64" s="22"/>
      <c r="F64" s="25"/>
      <c r="G64" s="26"/>
      <c r="H64" s="102" t="str">
        <f t="shared" si="19"/>
        <v/>
      </c>
      <c r="I64" s="103"/>
      <c r="J64" s="27"/>
      <c r="K64" s="27"/>
      <c r="L64" s="27" t="str">
        <f t="shared" si="20"/>
        <v/>
      </c>
      <c r="M64" s="121" t="str">
        <f t="shared" si="21"/>
        <v/>
      </c>
      <c r="N64" s="121" t="str">
        <f t="shared" si="22"/>
        <v/>
      </c>
      <c r="O64" s="27" t="str">
        <f>IF(AND(ISBLANK(Q64),P64=""),"",1+MAX(O$21:O63))</f>
        <v/>
      </c>
      <c r="P64" s="137" t="str">
        <f>IF(OR(L64="",L64=0,$H64="",$H64=0,NOT(ISNUMBER($H64)),NOT(ISNUMBER(L64))),IF(AND($E64&lt;&gt;"",AND(OR(ISNUMBER(L64),L64=""),AND(ISNUMBER($H64),$H64&gt;0))),'Feuille de Donnée'!$K$13,""),IF(L64&lt;$H$168*'Feuille de Donnée'!$I$9,"Négligeable",(IF(AND(J64&gt;=$F64*(1-'Feuille de Donnée'!$E$12),J64&lt;=$F64*(1+'Feuille de Donnée'!$F$12)),'Feuille de Donnée'!$F$17,IF(J64&lt;$F64*(1-'Feuille de Donnée'!$E$12),'Feuille de Donnée'!$F$18,'Feuille de Donnée'!$F$16))&amp;""&amp;IF(AND(K64&gt;=$G64*(1-'Feuille de Donnée'!$E$27),K64&lt;=$G64*(1+'Feuille de Donnée'!$F$27)),'Feuille de Donnée'!$F$32,IF(K64&lt;$G64*(1-'Feuille de Donnée'!$E$27),'Feuille de Donnée'!$F$33,'Feuille de Donnée'!$F$31)))))</f>
        <v/>
      </c>
      <c r="Q64" s="138"/>
      <c r="R64" s="103"/>
      <c r="S64" s="27"/>
      <c r="T64" s="27"/>
      <c r="U64" s="27" t="str">
        <f t="shared" si="23"/>
        <v/>
      </c>
      <c r="V64" s="121" t="str">
        <f t="shared" si="24"/>
        <v/>
      </c>
      <c r="W64" s="121" t="str">
        <f t="shared" si="25"/>
        <v/>
      </c>
      <c r="X64" s="27" t="str">
        <f>IF(AND(ISBLANK(Z64),Y64=""),"",1+MAX(X$21:X63))</f>
        <v/>
      </c>
      <c r="Y64" s="137" t="str">
        <f>IF(OR(U64="",U64=0,$H64="",$H64=0,NOT(ISNUMBER($H64)),NOT(ISNUMBER(U64))),IF(AND($E64&lt;&gt;"",AND(OR(ISNUMBER(U64),U64=""),AND(ISNUMBER($H64),$H64&gt;0))),'Feuille de Donnée'!$K$13,""),IF(U64&lt;$H$168*'Feuille de Donnée'!$I$9,"Négligeable",(IF(AND(S64&gt;=$F64*(1-'Feuille de Donnée'!$E$12),S64&lt;=$F64*(1+'Feuille de Donnée'!$F$12)),'Feuille de Donnée'!$F$17,IF(S64&lt;$F64*(1-'Feuille de Donnée'!$E$12),'Feuille de Donnée'!$F$18,'Feuille de Donnée'!$F$16))&amp;""&amp;IF(AND(T64&gt;=$G64*(1-'Feuille de Donnée'!$E$27),T64&lt;=$G64*(1+'Feuille de Donnée'!$F$27)),'Feuille de Donnée'!$F$32,IF(T64&lt;$G64*(1-'Feuille de Donnée'!$E$27),'Feuille de Donnée'!$F$33,'Feuille de Donnée'!$F$31)))))</f>
        <v/>
      </c>
      <c r="Z64" s="138"/>
      <c r="AA64" s="103"/>
      <c r="AB64" s="27"/>
      <c r="AC64" s="27"/>
      <c r="AD64" s="27" t="str">
        <f t="shared" si="26"/>
        <v/>
      </c>
      <c r="AE64" s="121" t="str">
        <f t="shared" si="27"/>
        <v/>
      </c>
      <c r="AF64" s="121" t="str">
        <f t="shared" si="28"/>
        <v/>
      </c>
      <c r="AG64" s="27" t="str">
        <f>IF(AND(ISBLANK(AI64),AH64=""),"",1+MAX(AG$21:AG63))</f>
        <v/>
      </c>
      <c r="AH64" s="137" t="str">
        <f>IF(OR(AD64="",AD64=0,$H64="",$H64=0,NOT(ISNUMBER($H64)),NOT(ISNUMBER(AD64))),IF(AND($E64&lt;&gt;"",AND(OR(ISNUMBER(AD64),AD64=""),AND(ISNUMBER($H64),$H64&gt;0))),'Feuille de Donnée'!$K$13,""),IF(AD64&lt;$H$168*'Feuille de Donnée'!$I$9,"Négligeable",(IF(AND(AB64&gt;=$F64*(1-'Feuille de Donnée'!$E$12),AB64&lt;=$F64*(1+'Feuille de Donnée'!$F$12)),'Feuille de Donnée'!$F$17,IF(AB64&lt;$F64*(1-'Feuille de Donnée'!$E$12),'Feuille de Donnée'!$F$18,'Feuille de Donnée'!$F$16))&amp;""&amp;IF(AND(AC64&gt;=$G64*(1-'Feuille de Donnée'!$E$27),AC64&lt;=$G64*(1+'Feuille de Donnée'!$F$27)),'Feuille de Donnée'!$F$32,IF(AC64&lt;$G64*(1-'Feuille de Donnée'!$E$27),'Feuille de Donnée'!$F$33,'Feuille de Donnée'!$F$31)))))</f>
        <v/>
      </c>
      <c r="AI64" s="138"/>
      <c r="AJ64" s="103"/>
      <c r="AK64" s="27"/>
      <c r="AL64" s="27"/>
      <c r="AM64" s="27" t="str">
        <f t="shared" si="29"/>
        <v/>
      </c>
      <c r="AN64" s="121" t="str">
        <f t="shared" si="30"/>
        <v/>
      </c>
      <c r="AO64" s="121" t="str">
        <f t="shared" si="31"/>
        <v/>
      </c>
      <c r="AP64" s="27" t="str">
        <f>IF(AND(ISBLANK(AR64),AQ64=""),"",1+MAX(AP$21:AP63))</f>
        <v/>
      </c>
      <c r="AQ64" s="137" t="str">
        <f>IF(OR(AM64="",AM64=0,$H64="",$H64=0,NOT(ISNUMBER($H64)),NOT(ISNUMBER(AM64))),IF(AND($E64&lt;&gt;"",AND(OR(ISNUMBER(AM64),AM64=""),AND(ISNUMBER($H64),$H64&gt;0))),'Feuille de Donnée'!$K$13,""),IF(AM64&lt;$H$168*'Feuille de Donnée'!$I$9,"Négligeable",(IF(AND(AK64&gt;=$F64*(1-'Feuille de Donnée'!$E$12),AK64&lt;=$F64*(1+'Feuille de Donnée'!$F$12)),'Feuille de Donnée'!$F$17,IF(AK64&lt;$F64*(1-'Feuille de Donnée'!$E$12),'Feuille de Donnée'!$F$18,'Feuille de Donnée'!$F$16))&amp;""&amp;IF(AND(AL64&gt;=$G64*(1-'Feuille de Donnée'!$E$27),AL64&lt;=$G64*(1+'Feuille de Donnée'!$F$27)),'Feuille de Donnée'!$F$32,IF(AL64&lt;$G64*(1-'Feuille de Donnée'!$E$27),'Feuille de Donnée'!$F$33,'Feuille de Donnée'!$F$31)))))</f>
        <v/>
      </c>
      <c r="AR64" s="138"/>
      <c r="AS64" s="103"/>
      <c r="AT64" s="27"/>
      <c r="AU64" s="27"/>
      <c r="AV64" s="27" t="str">
        <f t="shared" si="32"/>
        <v/>
      </c>
      <c r="AW64" s="121" t="str">
        <f t="shared" si="33"/>
        <v/>
      </c>
      <c r="AX64" s="121" t="str">
        <f t="shared" si="34"/>
        <v/>
      </c>
      <c r="AY64" s="27" t="str">
        <f>IF(AND(ISBLANK(BA64),AZ64=""),"",1+MAX(AY$21:AY63))</f>
        <v/>
      </c>
      <c r="AZ64" s="137" t="str">
        <f>IF(OR(AV64="",AV64=0,$H64="",$H64=0,NOT(ISNUMBER($H64)),NOT(ISNUMBER(AV64))),IF(AND($E64&lt;&gt;"",AND(OR(ISNUMBER(AV64),AV64=""),AND(ISNUMBER($H64),$H64&gt;0))),'Feuille de Donnée'!$K$13,""),IF(AV64&lt;$H$168*'Feuille de Donnée'!$I$9,"Négligeable",(IF(AND(AT64&gt;=$F64*(1-'Feuille de Donnée'!$E$12),AT64&lt;=$F64*(1+'Feuille de Donnée'!$F$12)),'Feuille de Donnée'!$F$17,IF(AT64&lt;$F64*(1-'Feuille de Donnée'!$E$12),'Feuille de Donnée'!$F$18,'Feuille de Donnée'!$F$16))&amp;""&amp;IF(AND(AU64&gt;=$G64*(1-'Feuille de Donnée'!$E$27),AU64&lt;=$G64*(1+'Feuille de Donnée'!$F$27)),'Feuille de Donnée'!$F$32,IF(AU64&lt;$G64*(1-'Feuille de Donnée'!$E$27),'Feuille de Donnée'!$F$33,'Feuille de Donnée'!$F$31)))))</f>
        <v/>
      </c>
      <c r="BA64" s="138"/>
      <c r="BB64" s="103"/>
      <c r="BC64" s="27"/>
      <c r="BD64" s="27"/>
      <c r="BE64" s="27" t="str">
        <f t="shared" si="35"/>
        <v/>
      </c>
      <c r="BF64" s="121" t="str">
        <f t="shared" si="36"/>
        <v/>
      </c>
      <c r="BG64" s="121" t="str">
        <f t="shared" si="37"/>
        <v/>
      </c>
      <c r="BH64" s="27" t="str">
        <f>IF(AND(ISBLANK(BJ64),BI64=""),"",1+MAX(BH$21:BH63))</f>
        <v/>
      </c>
      <c r="BI64" s="137" t="str">
        <f>IF(OR(BE64="",BE64=0,$H64="",$H64=0,NOT(ISNUMBER($H64)),NOT(ISNUMBER(BE64))),IF(AND($E64&lt;&gt;"",AND(OR(ISNUMBER(BE64),BE64=""),AND(ISNUMBER($H64),$H64&gt;0))),'Feuille de Donnée'!$K$13,""),IF(BE64&lt;$H$168*'Feuille de Donnée'!$I$9,"Négligeable",(IF(AND(BC64&gt;=$F64*(1-'Feuille de Donnée'!$E$12),BC64&lt;=$F64*(1+'Feuille de Donnée'!$F$12)),'Feuille de Donnée'!$F$17,IF(BC64&lt;$F64*(1-'Feuille de Donnée'!$E$12),'Feuille de Donnée'!$F$18,'Feuille de Donnée'!$F$16))&amp;""&amp;IF(AND(BD64&gt;=$G64*(1-'Feuille de Donnée'!$E$27),BD64&lt;=$G64*(1+'Feuille de Donnée'!$F$27)),'Feuille de Donnée'!$F$32,IF(BD64&lt;$G64*(1-'Feuille de Donnée'!$E$27),'Feuille de Donnée'!$F$33,'Feuille de Donnée'!$F$31)))))</f>
        <v/>
      </c>
      <c r="BJ64" s="138"/>
      <c r="BK64" s="140"/>
    </row>
    <row r="65" spans="1:63" s="6" customFormat="1" x14ac:dyDescent="0.3">
      <c r="A65" s="23"/>
      <c r="B65" s="24"/>
      <c r="C65" s="24"/>
      <c r="D65" s="24"/>
      <c r="E65" s="22"/>
      <c r="F65" s="25"/>
      <c r="G65" s="26"/>
      <c r="H65" s="102" t="str">
        <f t="shared" si="19"/>
        <v/>
      </c>
      <c r="I65" s="103"/>
      <c r="J65" s="27"/>
      <c r="K65" s="27"/>
      <c r="L65" s="27" t="str">
        <f t="shared" si="20"/>
        <v/>
      </c>
      <c r="M65" s="121" t="str">
        <f t="shared" si="21"/>
        <v/>
      </c>
      <c r="N65" s="121" t="str">
        <f t="shared" si="22"/>
        <v/>
      </c>
      <c r="O65" s="27" t="str">
        <f>IF(AND(ISBLANK(Q65),P65=""),"",1+MAX(O$21:O64))</f>
        <v/>
      </c>
      <c r="P65" s="137" t="str">
        <f>IF(OR(L65="",L65=0,$H65="",$H65=0,NOT(ISNUMBER($H65)),NOT(ISNUMBER(L65))),IF(AND($E65&lt;&gt;"",AND(OR(ISNUMBER(L65),L65=""),AND(ISNUMBER($H65),$H65&gt;0))),'Feuille de Donnée'!$K$13,""),IF(L65&lt;$H$168*'Feuille de Donnée'!$I$9,"Négligeable",(IF(AND(J65&gt;=$F65*(1-'Feuille de Donnée'!$E$12),J65&lt;=$F65*(1+'Feuille de Donnée'!$F$12)),'Feuille de Donnée'!$F$17,IF(J65&lt;$F65*(1-'Feuille de Donnée'!$E$12),'Feuille de Donnée'!$F$18,'Feuille de Donnée'!$F$16))&amp;""&amp;IF(AND(K65&gt;=$G65*(1-'Feuille de Donnée'!$E$27),K65&lt;=$G65*(1+'Feuille de Donnée'!$F$27)),'Feuille de Donnée'!$F$32,IF(K65&lt;$G65*(1-'Feuille de Donnée'!$E$27),'Feuille de Donnée'!$F$33,'Feuille de Donnée'!$F$31)))))</f>
        <v/>
      </c>
      <c r="Q65" s="138"/>
      <c r="R65" s="103"/>
      <c r="S65" s="27"/>
      <c r="T65" s="27"/>
      <c r="U65" s="27" t="str">
        <f t="shared" si="23"/>
        <v/>
      </c>
      <c r="V65" s="121" t="str">
        <f t="shared" si="24"/>
        <v/>
      </c>
      <c r="W65" s="121" t="str">
        <f t="shared" si="25"/>
        <v/>
      </c>
      <c r="X65" s="27" t="str">
        <f>IF(AND(ISBLANK(Z65),Y65=""),"",1+MAX(X$21:X64))</f>
        <v/>
      </c>
      <c r="Y65" s="137" t="str">
        <f>IF(OR(U65="",U65=0,$H65="",$H65=0,NOT(ISNUMBER($H65)),NOT(ISNUMBER(U65))),IF(AND($E65&lt;&gt;"",AND(OR(ISNUMBER(U65),U65=""),AND(ISNUMBER($H65),$H65&gt;0))),'Feuille de Donnée'!$K$13,""),IF(U65&lt;$H$168*'Feuille de Donnée'!$I$9,"Négligeable",(IF(AND(S65&gt;=$F65*(1-'Feuille de Donnée'!$E$12),S65&lt;=$F65*(1+'Feuille de Donnée'!$F$12)),'Feuille de Donnée'!$F$17,IF(S65&lt;$F65*(1-'Feuille de Donnée'!$E$12),'Feuille de Donnée'!$F$18,'Feuille de Donnée'!$F$16))&amp;""&amp;IF(AND(T65&gt;=$G65*(1-'Feuille de Donnée'!$E$27),T65&lt;=$G65*(1+'Feuille de Donnée'!$F$27)),'Feuille de Donnée'!$F$32,IF(T65&lt;$G65*(1-'Feuille de Donnée'!$E$27),'Feuille de Donnée'!$F$33,'Feuille de Donnée'!$F$31)))))</f>
        <v/>
      </c>
      <c r="Z65" s="138"/>
      <c r="AA65" s="103"/>
      <c r="AB65" s="27"/>
      <c r="AC65" s="27"/>
      <c r="AD65" s="27" t="str">
        <f t="shared" si="26"/>
        <v/>
      </c>
      <c r="AE65" s="121" t="str">
        <f t="shared" si="27"/>
        <v/>
      </c>
      <c r="AF65" s="121" t="str">
        <f t="shared" si="28"/>
        <v/>
      </c>
      <c r="AG65" s="27" t="str">
        <f>IF(AND(ISBLANK(AI65),AH65=""),"",1+MAX(AG$21:AG64))</f>
        <v/>
      </c>
      <c r="AH65" s="137" t="str">
        <f>IF(OR(AD65="",AD65=0,$H65="",$H65=0,NOT(ISNUMBER($H65)),NOT(ISNUMBER(AD65))),IF(AND($E65&lt;&gt;"",AND(OR(ISNUMBER(AD65),AD65=""),AND(ISNUMBER($H65),$H65&gt;0))),'Feuille de Donnée'!$K$13,""),IF(AD65&lt;$H$168*'Feuille de Donnée'!$I$9,"Négligeable",(IF(AND(AB65&gt;=$F65*(1-'Feuille de Donnée'!$E$12),AB65&lt;=$F65*(1+'Feuille de Donnée'!$F$12)),'Feuille de Donnée'!$F$17,IF(AB65&lt;$F65*(1-'Feuille de Donnée'!$E$12),'Feuille de Donnée'!$F$18,'Feuille de Donnée'!$F$16))&amp;""&amp;IF(AND(AC65&gt;=$G65*(1-'Feuille de Donnée'!$E$27),AC65&lt;=$G65*(1+'Feuille de Donnée'!$F$27)),'Feuille de Donnée'!$F$32,IF(AC65&lt;$G65*(1-'Feuille de Donnée'!$E$27),'Feuille de Donnée'!$F$33,'Feuille de Donnée'!$F$31)))))</f>
        <v/>
      </c>
      <c r="AI65" s="138"/>
      <c r="AJ65" s="103"/>
      <c r="AK65" s="27"/>
      <c r="AL65" s="27"/>
      <c r="AM65" s="27" t="str">
        <f t="shared" si="29"/>
        <v/>
      </c>
      <c r="AN65" s="121" t="str">
        <f t="shared" si="30"/>
        <v/>
      </c>
      <c r="AO65" s="121" t="str">
        <f t="shared" si="31"/>
        <v/>
      </c>
      <c r="AP65" s="27" t="str">
        <f>IF(AND(ISBLANK(AR65),AQ65=""),"",1+MAX(AP$21:AP64))</f>
        <v/>
      </c>
      <c r="AQ65" s="137" t="str">
        <f>IF(OR(AM65="",AM65=0,$H65="",$H65=0,NOT(ISNUMBER($H65)),NOT(ISNUMBER(AM65))),IF(AND($E65&lt;&gt;"",AND(OR(ISNUMBER(AM65),AM65=""),AND(ISNUMBER($H65),$H65&gt;0))),'Feuille de Donnée'!$K$13,""),IF(AM65&lt;$H$168*'Feuille de Donnée'!$I$9,"Négligeable",(IF(AND(AK65&gt;=$F65*(1-'Feuille de Donnée'!$E$12),AK65&lt;=$F65*(1+'Feuille de Donnée'!$F$12)),'Feuille de Donnée'!$F$17,IF(AK65&lt;$F65*(1-'Feuille de Donnée'!$E$12),'Feuille de Donnée'!$F$18,'Feuille de Donnée'!$F$16))&amp;""&amp;IF(AND(AL65&gt;=$G65*(1-'Feuille de Donnée'!$E$27),AL65&lt;=$G65*(1+'Feuille de Donnée'!$F$27)),'Feuille de Donnée'!$F$32,IF(AL65&lt;$G65*(1-'Feuille de Donnée'!$E$27),'Feuille de Donnée'!$F$33,'Feuille de Donnée'!$F$31)))))</f>
        <v/>
      </c>
      <c r="AR65" s="138"/>
      <c r="AS65" s="103"/>
      <c r="AT65" s="27"/>
      <c r="AU65" s="27"/>
      <c r="AV65" s="27" t="str">
        <f t="shared" si="32"/>
        <v/>
      </c>
      <c r="AW65" s="121" t="str">
        <f t="shared" si="33"/>
        <v/>
      </c>
      <c r="AX65" s="121" t="str">
        <f t="shared" si="34"/>
        <v/>
      </c>
      <c r="AY65" s="27" t="str">
        <f>IF(AND(ISBLANK(BA65),AZ65=""),"",1+MAX(AY$21:AY64))</f>
        <v/>
      </c>
      <c r="AZ65" s="137" t="str">
        <f>IF(OR(AV65="",AV65=0,$H65="",$H65=0,NOT(ISNUMBER($H65)),NOT(ISNUMBER(AV65))),IF(AND($E65&lt;&gt;"",AND(OR(ISNUMBER(AV65),AV65=""),AND(ISNUMBER($H65),$H65&gt;0))),'Feuille de Donnée'!$K$13,""),IF(AV65&lt;$H$168*'Feuille de Donnée'!$I$9,"Négligeable",(IF(AND(AT65&gt;=$F65*(1-'Feuille de Donnée'!$E$12),AT65&lt;=$F65*(1+'Feuille de Donnée'!$F$12)),'Feuille de Donnée'!$F$17,IF(AT65&lt;$F65*(1-'Feuille de Donnée'!$E$12),'Feuille de Donnée'!$F$18,'Feuille de Donnée'!$F$16))&amp;""&amp;IF(AND(AU65&gt;=$G65*(1-'Feuille de Donnée'!$E$27),AU65&lt;=$G65*(1+'Feuille de Donnée'!$F$27)),'Feuille de Donnée'!$F$32,IF(AU65&lt;$G65*(1-'Feuille de Donnée'!$E$27),'Feuille de Donnée'!$F$33,'Feuille de Donnée'!$F$31)))))</f>
        <v/>
      </c>
      <c r="BA65" s="138"/>
      <c r="BB65" s="103"/>
      <c r="BC65" s="27"/>
      <c r="BD65" s="27"/>
      <c r="BE65" s="27" t="str">
        <f t="shared" si="35"/>
        <v/>
      </c>
      <c r="BF65" s="121" t="str">
        <f t="shared" si="36"/>
        <v/>
      </c>
      <c r="BG65" s="121" t="str">
        <f t="shared" si="37"/>
        <v/>
      </c>
      <c r="BH65" s="27" t="str">
        <f>IF(AND(ISBLANK(BJ65),BI65=""),"",1+MAX(BH$21:BH64))</f>
        <v/>
      </c>
      <c r="BI65" s="137" t="str">
        <f>IF(OR(BE65="",BE65=0,$H65="",$H65=0,NOT(ISNUMBER($H65)),NOT(ISNUMBER(BE65))),IF(AND($E65&lt;&gt;"",AND(OR(ISNUMBER(BE65),BE65=""),AND(ISNUMBER($H65),$H65&gt;0))),'Feuille de Donnée'!$K$13,""),IF(BE65&lt;$H$168*'Feuille de Donnée'!$I$9,"Négligeable",(IF(AND(BC65&gt;=$F65*(1-'Feuille de Donnée'!$E$12),BC65&lt;=$F65*(1+'Feuille de Donnée'!$F$12)),'Feuille de Donnée'!$F$17,IF(BC65&lt;$F65*(1-'Feuille de Donnée'!$E$12),'Feuille de Donnée'!$F$18,'Feuille de Donnée'!$F$16))&amp;""&amp;IF(AND(BD65&gt;=$G65*(1-'Feuille de Donnée'!$E$27),BD65&lt;=$G65*(1+'Feuille de Donnée'!$F$27)),'Feuille de Donnée'!$F$32,IF(BD65&lt;$G65*(1-'Feuille de Donnée'!$E$27),'Feuille de Donnée'!$F$33,'Feuille de Donnée'!$F$31)))))</f>
        <v/>
      </c>
      <c r="BJ65" s="138"/>
      <c r="BK65" s="140"/>
    </row>
    <row r="66" spans="1:63" s="6" customFormat="1" x14ac:dyDescent="0.3">
      <c r="A66" s="23"/>
      <c r="B66" s="24"/>
      <c r="C66" s="24"/>
      <c r="D66" s="24"/>
      <c r="E66" s="22"/>
      <c r="F66" s="25"/>
      <c r="G66" s="26"/>
      <c r="H66" s="102" t="str">
        <f t="shared" si="19"/>
        <v/>
      </c>
      <c r="I66" s="103"/>
      <c r="J66" s="27"/>
      <c r="K66" s="27"/>
      <c r="L66" s="27" t="str">
        <f t="shared" si="20"/>
        <v/>
      </c>
      <c r="M66" s="121" t="str">
        <f t="shared" si="21"/>
        <v/>
      </c>
      <c r="N66" s="121" t="str">
        <f t="shared" si="22"/>
        <v/>
      </c>
      <c r="O66" s="27" t="str">
        <f>IF(AND(ISBLANK(Q66),P66=""),"",1+MAX(O$21:O65))</f>
        <v/>
      </c>
      <c r="P66" s="137" t="str">
        <f>IF(OR(L66="",L66=0,$H66="",$H66=0,NOT(ISNUMBER($H66)),NOT(ISNUMBER(L66))),IF(AND($E66&lt;&gt;"",AND(OR(ISNUMBER(L66),L66=""),AND(ISNUMBER($H66),$H66&gt;0))),'Feuille de Donnée'!$K$13,""),IF(L66&lt;$H$168*'Feuille de Donnée'!$I$9,"Négligeable",(IF(AND(J66&gt;=$F66*(1-'Feuille de Donnée'!$E$12),J66&lt;=$F66*(1+'Feuille de Donnée'!$F$12)),'Feuille de Donnée'!$F$17,IF(J66&lt;$F66*(1-'Feuille de Donnée'!$E$12),'Feuille de Donnée'!$F$18,'Feuille de Donnée'!$F$16))&amp;""&amp;IF(AND(K66&gt;=$G66*(1-'Feuille de Donnée'!$E$27),K66&lt;=$G66*(1+'Feuille de Donnée'!$F$27)),'Feuille de Donnée'!$F$32,IF(K66&lt;$G66*(1-'Feuille de Donnée'!$E$27),'Feuille de Donnée'!$F$33,'Feuille de Donnée'!$F$31)))))</f>
        <v/>
      </c>
      <c r="Q66" s="138"/>
      <c r="R66" s="103"/>
      <c r="S66" s="27"/>
      <c r="T66" s="27"/>
      <c r="U66" s="27" t="str">
        <f t="shared" si="23"/>
        <v/>
      </c>
      <c r="V66" s="121" t="str">
        <f t="shared" si="24"/>
        <v/>
      </c>
      <c r="W66" s="121" t="str">
        <f t="shared" si="25"/>
        <v/>
      </c>
      <c r="X66" s="27" t="str">
        <f>IF(AND(ISBLANK(Z66),Y66=""),"",1+MAX(X$21:X65))</f>
        <v/>
      </c>
      <c r="Y66" s="137" t="str">
        <f>IF(OR(U66="",U66=0,$H66="",$H66=0,NOT(ISNUMBER($H66)),NOT(ISNUMBER(U66))),IF(AND($E66&lt;&gt;"",AND(OR(ISNUMBER(U66),U66=""),AND(ISNUMBER($H66),$H66&gt;0))),'Feuille de Donnée'!$K$13,""),IF(U66&lt;$H$168*'Feuille de Donnée'!$I$9,"Négligeable",(IF(AND(S66&gt;=$F66*(1-'Feuille de Donnée'!$E$12),S66&lt;=$F66*(1+'Feuille de Donnée'!$F$12)),'Feuille de Donnée'!$F$17,IF(S66&lt;$F66*(1-'Feuille de Donnée'!$E$12),'Feuille de Donnée'!$F$18,'Feuille de Donnée'!$F$16))&amp;""&amp;IF(AND(T66&gt;=$G66*(1-'Feuille de Donnée'!$E$27),T66&lt;=$G66*(1+'Feuille de Donnée'!$F$27)),'Feuille de Donnée'!$F$32,IF(T66&lt;$G66*(1-'Feuille de Donnée'!$E$27),'Feuille de Donnée'!$F$33,'Feuille de Donnée'!$F$31)))))</f>
        <v/>
      </c>
      <c r="Z66" s="138"/>
      <c r="AA66" s="103"/>
      <c r="AB66" s="27"/>
      <c r="AC66" s="27"/>
      <c r="AD66" s="27" t="str">
        <f t="shared" si="26"/>
        <v/>
      </c>
      <c r="AE66" s="121" t="str">
        <f t="shared" si="27"/>
        <v/>
      </c>
      <c r="AF66" s="121" t="str">
        <f t="shared" si="28"/>
        <v/>
      </c>
      <c r="AG66" s="27" t="str">
        <f>IF(AND(ISBLANK(AI66),AH66=""),"",1+MAX(AG$21:AG65))</f>
        <v/>
      </c>
      <c r="AH66" s="137" t="str">
        <f>IF(OR(AD66="",AD66=0,$H66="",$H66=0,NOT(ISNUMBER($H66)),NOT(ISNUMBER(AD66))),IF(AND($E66&lt;&gt;"",AND(OR(ISNUMBER(AD66),AD66=""),AND(ISNUMBER($H66),$H66&gt;0))),'Feuille de Donnée'!$K$13,""),IF(AD66&lt;$H$168*'Feuille de Donnée'!$I$9,"Négligeable",(IF(AND(AB66&gt;=$F66*(1-'Feuille de Donnée'!$E$12),AB66&lt;=$F66*(1+'Feuille de Donnée'!$F$12)),'Feuille de Donnée'!$F$17,IF(AB66&lt;$F66*(1-'Feuille de Donnée'!$E$12),'Feuille de Donnée'!$F$18,'Feuille de Donnée'!$F$16))&amp;""&amp;IF(AND(AC66&gt;=$G66*(1-'Feuille de Donnée'!$E$27),AC66&lt;=$G66*(1+'Feuille de Donnée'!$F$27)),'Feuille de Donnée'!$F$32,IF(AC66&lt;$G66*(1-'Feuille de Donnée'!$E$27),'Feuille de Donnée'!$F$33,'Feuille de Donnée'!$F$31)))))</f>
        <v/>
      </c>
      <c r="AI66" s="138"/>
      <c r="AJ66" s="103"/>
      <c r="AK66" s="27"/>
      <c r="AL66" s="27"/>
      <c r="AM66" s="27" t="str">
        <f t="shared" si="29"/>
        <v/>
      </c>
      <c r="AN66" s="121" t="str">
        <f t="shared" si="30"/>
        <v/>
      </c>
      <c r="AO66" s="121" t="str">
        <f t="shared" si="31"/>
        <v/>
      </c>
      <c r="AP66" s="27" t="str">
        <f>IF(AND(ISBLANK(AR66),AQ66=""),"",1+MAX(AP$21:AP65))</f>
        <v/>
      </c>
      <c r="AQ66" s="137" t="str">
        <f>IF(OR(AM66="",AM66=0,$H66="",$H66=0,NOT(ISNUMBER($H66)),NOT(ISNUMBER(AM66))),IF(AND($E66&lt;&gt;"",AND(OR(ISNUMBER(AM66),AM66=""),AND(ISNUMBER($H66),$H66&gt;0))),'Feuille de Donnée'!$K$13,""),IF(AM66&lt;$H$168*'Feuille de Donnée'!$I$9,"Négligeable",(IF(AND(AK66&gt;=$F66*(1-'Feuille de Donnée'!$E$12),AK66&lt;=$F66*(1+'Feuille de Donnée'!$F$12)),'Feuille de Donnée'!$F$17,IF(AK66&lt;$F66*(1-'Feuille de Donnée'!$E$12),'Feuille de Donnée'!$F$18,'Feuille de Donnée'!$F$16))&amp;""&amp;IF(AND(AL66&gt;=$G66*(1-'Feuille de Donnée'!$E$27),AL66&lt;=$G66*(1+'Feuille de Donnée'!$F$27)),'Feuille de Donnée'!$F$32,IF(AL66&lt;$G66*(1-'Feuille de Donnée'!$E$27),'Feuille de Donnée'!$F$33,'Feuille de Donnée'!$F$31)))))</f>
        <v/>
      </c>
      <c r="AR66" s="138"/>
      <c r="AS66" s="103"/>
      <c r="AT66" s="27"/>
      <c r="AU66" s="27"/>
      <c r="AV66" s="27" t="str">
        <f t="shared" si="32"/>
        <v/>
      </c>
      <c r="AW66" s="121" t="str">
        <f t="shared" si="33"/>
        <v/>
      </c>
      <c r="AX66" s="121" t="str">
        <f t="shared" si="34"/>
        <v/>
      </c>
      <c r="AY66" s="27" t="str">
        <f>IF(AND(ISBLANK(BA66),AZ66=""),"",1+MAX(AY$21:AY65))</f>
        <v/>
      </c>
      <c r="AZ66" s="137" t="str">
        <f>IF(OR(AV66="",AV66=0,$H66="",$H66=0,NOT(ISNUMBER($H66)),NOT(ISNUMBER(AV66))),IF(AND($E66&lt;&gt;"",AND(OR(ISNUMBER(AV66),AV66=""),AND(ISNUMBER($H66),$H66&gt;0))),'Feuille de Donnée'!$K$13,""),IF(AV66&lt;$H$168*'Feuille de Donnée'!$I$9,"Négligeable",(IF(AND(AT66&gt;=$F66*(1-'Feuille de Donnée'!$E$12),AT66&lt;=$F66*(1+'Feuille de Donnée'!$F$12)),'Feuille de Donnée'!$F$17,IF(AT66&lt;$F66*(1-'Feuille de Donnée'!$E$12),'Feuille de Donnée'!$F$18,'Feuille de Donnée'!$F$16))&amp;""&amp;IF(AND(AU66&gt;=$G66*(1-'Feuille de Donnée'!$E$27),AU66&lt;=$G66*(1+'Feuille de Donnée'!$F$27)),'Feuille de Donnée'!$F$32,IF(AU66&lt;$G66*(1-'Feuille de Donnée'!$E$27),'Feuille de Donnée'!$F$33,'Feuille de Donnée'!$F$31)))))</f>
        <v/>
      </c>
      <c r="BA66" s="138"/>
      <c r="BB66" s="103"/>
      <c r="BC66" s="27"/>
      <c r="BD66" s="27"/>
      <c r="BE66" s="27" t="str">
        <f t="shared" si="35"/>
        <v/>
      </c>
      <c r="BF66" s="121" t="str">
        <f t="shared" si="36"/>
        <v/>
      </c>
      <c r="BG66" s="121" t="str">
        <f t="shared" si="37"/>
        <v/>
      </c>
      <c r="BH66" s="27" t="str">
        <f>IF(AND(ISBLANK(BJ66),BI66=""),"",1+MAX(BH$21:BH65))</f>
        <v/>
      </c>
      <c r="BI66" s="137" t="str">
        <f>IF(OR(BE66="",BE66=0,$H66="",$H66=0,NOT(ISNUMBER($H66)),NOT(ISNUMBER(BE66))),IF(AND($E66&lt;&gt;"",AND(OR(ISNUMBER(BE66),BE66=""),AND(ISNUMBER($H66),$H66&gt;0))),'Feuille de Donnée'!$K$13,""),IF(BE66&lt;$H$168*'Feuille de Donnée'!$I$9,"Négligeable",(IF(AND(BC66&gt;=$F66*(1-'Feuille de Donnée'!$E$12),BC66&lt;=$F66*(1+'Feuille de Donnée'!$F$12)),'Feuille de Donnée'!$F$17,IF(BC66&lt;$F66*(1-'Feuille de Donnée'!$E$12),'Feuille de Donnée'!$F$18,'Feuille de Donnée'!$F$16))&amp;""&amp;IF(AND(BD66&gt;=$G66*(1-'Feuille de Donnée'!$E$27),BD66&lt;=$G66*(1+'Feuille de Donnée'!$F$27)),'Feuille de Donnée'!$F$32,IF(BD66&lt;$G66*(1-'Feuille de Donnée'!$E$27),'Feuille de Donnée'!$F$33,'Feuille de Donnée'!$F$31)))))</f>
        <v/>
      </c>
      <c r="BJ66" s="138"/>
      <c r="BK66" s="140"/>
    </row>
    <row r="67" spans="1:63" s="6" customFormat="1" x14ac:dyDescent="0.3">
      <c r="A67" s="23"/>
      <c r="B67" s="24"/>
      <c r="C67" s="24"/>
      <c r="D67" s="24"/>
      <c r="E67" s="22"/>
      <c r="F67" s="25"/>
      <c r="G67" s="26"/>
      <c r="H67" s="102" t="str">
        <f t="shared" si="19"/>
        <v/>
      </c>
      <c r="I67" s="103"/>
      <c r="J67" s="27"/>
      <c r="K67" s="27"/>
      <c r="L67" s="27" t="str">
        <f t="shared" si="20"/>
        <v/>
      </c>
      <c r="M67" s="121" t="str">
        <f t="shared" si="21"/>
        <v/>
      </c>
      <c r="N67" s="121" t="str">
        <f t="shared" si="22"/>
        <v/>
      </c>
      <c r="O67" s="27" t="str">
        <f>IF(AND(ISBLANK(Q67),P67=""),"",1+MAX(O$21:O66))</f>
        <v/>
      </c>
      <c r="P67" s="137" t="str">
        <f>IF(OR(L67="",L67=0,$H67="",$H67=0,NOT(ISNUMBER($H67)),NOT(ISNUMBER(L67))),IF(AND($E67&lt;&gt;"",AND(OR(ISNUMBER(L67),L67=""),AND(ISNUMBER($H67),$H67&gt;0))),'Feuille de Donnée'!$K$13,""),IF(L67&lt;$H$168*'Feuille de Donnée'!$I$9,"Négligeable",(IF(AND(J67&gt;=$F67*(1-'Feuille de Donnée'!$E$12),J67&lt;=$F67*(1+'Feuille de Donnée'!$F$12)),'Feuille de Donnée'!$F$17,IF(J67&lt;$F67*(1-'Feuille de Donnée'!$E$12),'Feuille de Donnée'!$F$18,'Feuille de Donnée'!$F$16))&amp;""&amp;IF(AND(K67&gt;=$G67*(1-'Feuille de Donnée'!$E$27),K67&lt;=$G67*(1+'Feuille de Donnée'!$F$27)),'Feuille de Donnée'!$F$32,IF(K67&lt;$G67*(1-'Feuille de Donnée'!$E$27),'Feuille de Donnée'!$F$33,'Feuille de Donnée'!$F$31)))))</f>
        <v/>
      </c>
      <c r="Q67" s="138"/>
      <c r="R67" s="103"/>
      <c r="S67" s="27"/>
      <c r="T67" s="27"/>
      <c r="U67" s="27" t="str">
        <f t="shared" si="23"/>
        <v/>
      </c>
      <c r="V67" s="121" t="str">
        <f t="shared" si="24"/>
        <v/>
      </c>
      <c r="W67" s="121" t="str">
        <f t="shared" si="25"/>
        <v/>
      </c>
      <c r="X67" s="27" t="str">
        <f>IF(AND(ISBLANK(Z67),Y67=""),"",1+MAX(X$21:X66))</f>
        <v/>
      </c>
      <c r="Y67" s="137" t="str">
        <f>IF(OR(U67="",U67=0,$H67="",$H67=0,NOT(ISNUMBER($H67)),NOT(ISNUMBER(U67))),IF(AND($E67&lt;&gt;"",AND(OR(ISNUMBER(U67),U67=""),AND(ISNUMBER($H67),$H67&gt;0))),'Feuille de Donnée'!$K$13,""),IF(U67&lt;$H$168*'Feuille de Donnée'!$I$9,"Négligeable",(IF(AND(S67&gt;=$F67*(1-'Feuille de Donnée'!$E$12),S67&lt;=$F67*(1+'Feuille de Donnée'!$F$12)),'Feuille de Donnée'!$F$17,IF(S67&lt;$F67*(1-'Feuille de Donnée'!$E$12),'Feuille de Donnée'!$F$18,'Feuille de Donnée'!$F$16))&amp;""&amp;IF(AND(T67&gt;=$G67*(1-'Feuille de Donnée'!$E$27),T67&lt;=$G67*(1+'Feuille de Donnée'!$F$27)),'Feuille de Donnée'!$F$32,IF(T67&lt;$G67*(1-'Feuille de Donnée'!$E$27),'Feuille de Donnée'!$F$33,'Feuille de Donnée'!$F$31)))))</f>
        <v/>
      </c>
      <c r="Z67" s="138"/>
      <c r="AA67" s="103"/>
      <c r="AB67" s="27"/>
      <c r="AC67" s="27"/>
      <c r="AD67" s="27" t="str">
        <f t="shared" si="26"/>
        <v/>
      </c>
      <c r="AE67" s="121" t="str">
        <f t="shared" si="27"/>
        <v/>
      </c>
      <c r="AF67" s="121" t="str">
        <f t="shared" si="28"/>
        <v/>
      </c>
      <c r="AG67" s="27" t="str">
        <f>IF(AND(ISBLANK(AI67),AH67=""),"",1+MAX(AG$21:AG66))</f>
        <v/>
      </c>
      <c r="AH67" s="137" t="str">
        <f>IF(OR(AD67="",AD67=0,$H67="",$H67=0,NOT(ISNUMBER($H67)),NOT(ISNUMBER(AD67))),IF(AND($E67&lt;&gt;"",AND(OR(ISNUMBER(AD67),AD67=""),AND(ISNUMBER($H67),$H67&gt;0))),'Feuille de Donnée'!$K$13,""),IF(AD67&lt;$H$168*'Feuille de Donnée'!$I$9,"Négligeable",(IF(AND(AB67&gt;=$F67*(1-'Feuille de Donnée'!$E$12),AB67&lt;=$F67*(1+'Feuille de Donnée'!$F$12)),'Feuille de Donnée'!$F$17,IF(AB67&lt;$F67*(1-'Feuille de Donnée'!$E$12),'Feuille de Donnée'!$F$18,'Feuille de Donnée'!$F$16))&amp;""&amp;IF(AND(AC67&gt;=$G67*(1-'Feuille de Donnée'!$E$27),AC67&lt;=$G67*(1+'Feuille de Donnée'!$F$27)),'Feuille de Donnée'!$F$32,IF(AC67&lt;$G67*(1-'Feuille de Donnée'!$E$27),'Feuille de Donnée'!$F$33,'Feuille de Donnée'!$F$31)))))</f>
        <v/>
      </c>
      <c r="AI67" s="138"/>
      <c r="AJ67" s="103"/>
      <c r="AK67" s="27"/>
      <c r="AL67" s="27"/>
      <c r="AM67" s="27" t="str">
        <f t="shared" si="29"/>
        <v/>
      </c>
      <c r="AN67" s="121" t="str">
        <f t="shared" si="30"/>
        <v/>
      </c>
      <c r="AO67" s="121" t="str">
        <f t="shared" si="31"/>
        <v/>
      </c>
      <c r="AP67" s="27" t="str">
        <f>IF(AND(ISBLANK(AR67),AQ67=""),"",1+MAX(AP$21:AP66))</f>
        <v/>
      </c>
      <c r="AQ67" s="137" t="str">
        <f>IF(OR(AM67="",AM67=0,$H67="",$H67=0,NOT(ISNUMBER($H67)),NOT(ISNUMBER(AM67))),IF(AND($E67&lt;&gt;"",AND(OR(ISNUMBER(AM67),AM67=""),AND(ISNUMBER($H67),$H67&gt;0))),'Feuille de Donnée'!$K$13,""),IF(AM67&lt;$H$168*'Feuille de Donnée'!$I$9,"Négligeable",(IF(AND(AK67&gt;=$F67*(1-'Feuille de Donnée'!$E$12),AK67&lt;=$F67*(1+'Feuille de Donnée'!$F$12)),'Feuille de Donnée'!$F$17,IF(AK67&lt;$F67*(1-'Feuille de Donnée'!$E$12),'Feuille de Donnée'!$F$18,'Feuille de Donnée'!$F$16))&amp;""&amp;IF(AND(AL67&gt;=$G67*(1-'Feuille de Donnée'!$E$27),AL67&lt;=$G67*(1+'Feuille de Donnée'!$F$27)),'Feuille de Donnée'!$F$32,IF(AL67&lt;$G67*(1-'Feuille de Donnée'!$E$27),'Feuille de Donnée'!$F$33,'Feuille de Donnée'!$F$31)))))</f>
        <v/>
      </c>
      <c r="AR67" s="138"/>
      <c r="AS67" s="103"/>
      <c r="AT67" s="27"/>
      <c r="AU67" s="27"/>
      <c r="AV67" s="27" t="str">
        <f t="shared" si="32"/>
        <v/>
      </c>
      <c r="AW67" s="121" t="str">
        <f t="shared" si="33"/>
        <v/>
      </c>
      <c r="AX67" s="121" t="str">
        <f t="shared" si="34"/>
        <v/>
      </c>
      <c r="AY67" s="27" t="str">
        <f>IF(AND(ISBLANK(BA67),AZ67=""),"",1+MAX(AY$21:AY66))</f>
        <v/>
      </c>
      <c r="AZ67" s="137" t="str">
        <f>IF(OR(AV67="",AV67=0,$H67="",$H67=0,NOT(ISNUMBER($H67)),NOT(ISNUMBER(AV67))),IF(AND($E67&lt;&gt;"",AND(OR(ISNUMBER(AV67),AV67=""),AND(ISNUMBER($H67),$H67&gt;0))),'Feuille de Donnée'!$K$13,""),IF(AV67&lt;$H$168*'Feuille de Donnée'!$I$9,"Négligeable",(IF(AND(AT67&gt;=$F67*(1-'Feuille de Donnée'!$E$12),AT67&lt;=$F67*(1+'Feuille de Donnée'!$F$12)),'Feuille de Donnée'!$F$17,IF(AT67&lt;$F67*(1-'Feuille de Donnée'!$E$12),'Feuille de Donnée'!$F$18,'Feuille de Donnée'!$F$16))&amp;""&amp;IF(AND(AU67&gt;=$G67*(1-'Feuille de Donnée'!$E$27),AU67&lt;=$G67*(1+'Feuille de Donnée'!$F$27)),'Feuille de Donnée'!$F$32,IF(AU67&lt;$G67*(1-'Feuille de Donnée'!$E$27),'Feuille de Donnée'!$F$33,'Feuille de Donnée'!$F$31)))))</f>
        <v/>
      </c>
      <c r="BA67" s="138"/>
      <c r="BB67" s="103"/>
      <c r="BC67" s="27"/>
      <c r="BD67" s="27"/>
      <c r="BE67" s="27" t="str">
        <f t="shared" si="35"/>
        <v/>
      </c>
      <c r="BF67" s="121" t="str">
        <f t="shared" si="36"/>
        <v/>
      </c>
      <c r="BG67" s="121" t="str">
        <f t="shared" si="37"/>
        <v/>
      </c>
      <c r="BH67" s="27" t="str">
        <f>IF(AND(ISBLANK(BJ67),BI67=""),"",1+MAX(BH$21:BH66))</f>
        <v/>
      </c>
      <c r="BI67" s="137" t="str">
        <f>IF(OR(BE67="",BE67=0,$H67="",$H67=0,NOT(ISNUMBER($H67)),NOT(ISNUMBER(BE67))),IF(AND($E67&lt;&gt;"",AND(OR(ISNUMBER(BE67),BE67=""),AND(ISNUMBER($H67),$H67&gt;0))),'Feuille de Donnée'!$K$13,""),IF(BE67&lt;$H$168*'Feuille de Donnée'!$I$9,"Négligeable",(IF(AND(BC67&gt;=$F67*(1-'Feuille de Donnée'!$E$12),BC67&lt;=$F67*(1+'Feuille de Donnée'!$F$12)),'Feuille de Donnée'!$F$17,IF(BC67&lt;$F67*(1-'Feuille de Donnée'!$E$12),'Feuille de Donnée'!$F$18,'Feuille de Donnée'!$F$16))&amp;""&amp;IF(AND(BD67&gt;=$G67*(1-'Feuille de Donnée'!$E$27),BD67&lt;=$G67*(1+'Feuille de Donnée'!$F$27)),'Feuille de Donnée'!$F$32,IF(BD67&lt;$G67*(1-'Feuille de Donnée'!$E$27),'Feuille de Donnée'!$F$33,'Feuille de Donnée'!$F$31)))))</f>
        <v/>
      </c>
      <c r="BJ67" s="138"/>
      <c r="BK67" s="140"/>
    </row>
    <row r="68" spans="1:63" s="6" customFormat="1" x14ac:dyDescent="0.3">
      <c r="A68" s="23"/>
      <c r="B68" s="24"/>
      <c r="C68" s="24"/>
      <c r="D68" s="24"/>
      <c r="E68" s="22"/>
      <c r="F68" s="25"/>
      <c r="G68" s="26"/>
      <c r="H68" s="102" t="str">
        <f t="shared" si="19"/>
        <v/>
      </c>
      <c r="I68" s="103"/>
      <c r="J68" s="27"/>
      <c r="K68" s="27"/>
      <c r="L68" s="27" t="str">
        <f t="shared" si="20"/>
        <v/>
      </c>
      <c r="M68" s="121" t="str">
        <f t="shared" si="21"/>
        <v/>
      </c>
      <c r="N68" s="121" t="str">
        <f t="shared" si="22"/>
        <v/>
      </c>
      <c r="O68" s="27" t="str">
        <f>IF(AND(ISBLANK(Q68),P68=""),"",1+MAX(O$21:O67))</f>
        <v/>
      </c>
      <c r="P68" s="137" t="str">
        <f>IF(OR(L68="",L68=0,$H68="",$H68=0,NOT(ISNUMBER($H68)),NOT(ISNUMBER(L68))),IF(AND($E68&lt;&gt;"",AND(OR(ISNUMBER(L68),L68=""),AND(ISNUMBER($H68),$H68&gt;0))),'Feuille de Donnée'!$K$13,""),IF(L68&lt;$H$168*'Feuille de Donnée'!$I$9,"Négligeable",(IF(AND(J68&gt;=$F68*(1-'Feuille de Donnée'!$E$12),J68&lt;=$F68*(1+'Feuille de Donnée'!$F$12)),'Feuille de Donnée'!$F$17,IF(J68&lt;$F68*(1-'Feuille de Donnée'!$E$12),'Feuille de Donnée'!$F$18,'Feuille de Donnée'!$F$16))&amp;""&amp;IF(AND(K68&gt;=$G68*(1-'Feuille de Donnée'!$E$27),K68&lt;=$G68*(1+'Feuille de Donnée'!$F$27)),'Feuille de Donnée'!$F$32,IF(K68&lt;$G68*(1-'Feuille de Donnée'!$E$27),'Feuille de Donnée'!$F$33,'Feuille de Donnée'!$F$31)))))</f>
        <v/>
      </c>
      <c r="Q68" s="138"/>
      <c r="R68" s="103"/>
      <c r="S68" s="27"/>
      <c r="T68" s="27"/>
      <c r="U68" s="27" t="str">
        <f t="shared" si="23"/>
        <v/>
      </c>
      <c r="V68" s="121" t="str">
        <f t="shared" si="24"/>
        <v/>
      </c>
      <c r="W68" s="121" t="str">
        <f t="shared" si="25"/>
        <v/>
      </c>
      <c r="X68" s="27" t="str">
        <f>IF(AND(ISBLANK(Z68),Y68=""),"",1+MAX(X$21:X67))</f>
        <v/>
      </c>
      <c r="Y68" s="137" t="str">
        <f>IF(OR(U68="",U68=0,$H68="",$H68=0,NOT(ISNUMBER($H68)),NOT(ISNUMBER(U68))),IF(AND($E68&lt;&gt;"",AND(OR(ISNUMBER(U68),U68=""),AND(ISNUMBER($H68),$H68&gt;0))),'Feuille de Donnée'!$K$13,""),IF(U68&lt;$H$168*'Feuille de Donnée'!$I$9,"Négligeable",(IF(AND(S68&gt;=$F68*(1-'Feuille de Donnée'!$E$12),S68&lt;=$F68*(1+'Feuille de Donnée'!$F$12)),'Feuille de Donnée'!$F$17,IF(S68&lt;$F68*(1-'Feuille de Donnée'!$E$12),'Feuille de Donnée'!$F$18,'Feuille de Donnée'!$F$16))&amp;""&amp;IF(AND(T68&gt;=$G68*(1-'Feuille de Donnée'!$E$27),T68&lt;=$G68*(1+'Feuille de Donnée'!$F$27)),'Feuille de Donnée'!$F$32,IF(T68&lt;$G68*(1-'Feuille de Donnée'!$E$27),'Feuille de Donnée'!$F$33,'Feuille de Donnée'!$F$31)))))</f>
        <v/>
      </c>
      <c r="Z68" s="138"/>
      <c r="AA68" s="103"/>
      <c r="AB68" s="27"/>
      <c r="AC68" s="27"/>
      <c r="AD68" s="27" t="str">
        <f t="shared" si="26"/>
        <v/>
      </c>
      <c r="AE68" s="121" t="str">
        <f t="shared" si="27"/>
        <v/>
      </c>
      <c r="AF68" s="121" t="str">
        <f t="shared" si="28"/>
        <v/>
      </c>
      <c r="AG68" s="27" t="str">
        <f>IF(AND(ISBLANK(AI68),AH68=""),"",1+MAX(AG$21:AG67))</f>
        <v/>
      </c>
      <c r="AH68" s="137" t="str">
        <f>IF(OR(AD68="",AD68=0,$H68="",$H68=0,NOT(ISNUMBER($H68)),NOT(ISNUMBER(AD68))),IF(AND($E68&lt;&gt;"",AND(OR(ISNUMBER(AD68),AD68=""),AND(ISNUMBER($H68),$H68&gt;0))),'Feuille de Donnée'!$K$13,""),IF(AD68&lt;$H$168*'Feuille de Donnée'!$I$9,"Négligeable",(IF(AND(AB68&gt;=$F68*(1-'Feuille de Donnée'!$E$12),AB68&lt;=$F68*(1+'Feuille de Donnée'!$F$12)),'Feuille de Donnée'!$F$17,IF(AB68&lt;$F68*(1-'Feuille de Donnée'!$E$12),'Feuille de Donnée'!$F$18,'Feuille de Donnée'!$F$16))&amp;""&amp;IF(AND(AC68&gt;=$G68*(1-'Feuille de Donnée'!$E$27),AC68&lt;=$G68*(1+'Feuille de Donnée'!$F$27)),'Feuille de Donnée'!$F$32,IF(AC68&lt;$G68*(1-'Feuille de Donnée'!$E$27),'Feuille de Donnée'!$F$33,'Feuille de Donnée'!$F$31)))))</f>
        <v/>
      </c>
      <c r="AI68" s="138"/>
      <c r="AJ68" s="103"/>
      <c r="AK68" s="27"/>
      <c r="AL68" s="27"/>
      <c r="AM68" s="27" t="str">
        <f t="shared" si="29"/>
        <v/>
      </c>
      <c r="AN68" s="121" t="str">
        <f t="shared" si="30"/>
        <v/>
      </c>
      <c r="AO68" s="121" t="str">
        <f t="shared" si="31"/>
        <v/>
      </c>
      <c r="AP68" s="27" t="str">
        <f>IF(AND(ISBLANK(AR68),AQ68=""),"",1+MAX(AP$21:AP67))</f>
        <v/>
      </c>
      <c r="AQ68" s="137" t="str">
        <f>IF(OR(AM68="",AM68=0,$H68="",$H68=0,NOT(ISNUMBER($H68)),NOT(ISNUMBER(AM68))),IF(AND($E68&lt;&gt;"",AND(OR(ISNUMBER(AM68),AM68=""),AND(ISNUMBER($H68),$H68&gt;0))),'Feuille de Donnée'!$K$13,""),IF(AM68&lt;$H$168*'Feuille de Donnée'!$I$9,"Négligeable",(IF(AND(AK68&gt;=$F68*(1-'Feuille de Donnée'!$E$12),AK68&lt;=$F68*(1+'Feuille de Donnée'!$F$12)),'Feuille de Donnée'!$F$17,IF(AK68&lt;$F68*(1-'Feuille de Donnée'!$E$12),'Feuille de Donnée'!$F$18,'Feuille de Donnée'!$F$16))&amp;""&amp;IF(AND(AL68&gt;=$G68*(1-'Feuille de Donnée'!$E$27),AL68&lt;=$G68*(1+'Feuille de Donnée'!$F$27)),'Feuille de Donnée'!$F$32,IF(AL68&lt;$G68*(1-'Feuille de Donnée'!$E$27),'Feuille de Donnée'!$F$33,'Feuille de Donnée'!$F$31)))))</f>
        <v/>
      </c>
      <c r="AR68" s="138"/>
      <c r="AS68" s="103"/>
      <c r="AT68" s="27"/>
      <c r="AU68" s="27"/>
      <c r="AV68" s="27" t="str">
        <f t="shared" si="32"/>
        <v/>
      </c>
      <c r="AW68" s="121" t="str">
        <f t="shared" si="33"/>
        <v/>
      </c>
      <c r="AX68" s="121" t="str">
        <f t="shared" si="34"/>
        <v/>
      </c>
      <c r="AY68" s="27" t="str">
        <f>IF(AND(ISBLANK(BA68),AZ68=""),"",1+MAX(AY$21:AY67))</f>
        <v/>
      </c>
      <c r="AZ68" s="137" t="str">
        <f>IF(OR(AV68="",AV68=0,$H68="",$H68=0,NOT(ISNUMBER($H68)),NOT(ISNUMBER(AV68))),IF(AND($E68&lt;&gt;"",AND(OR(ISNUMBER(AV68),AV68=""),AND(ISNUMBER($H68),$H68&gt;0))),'Feuille de Donnée'!$K$13,""),IF(AV68&lt;$H$168*'Feuille de Donnée'!$I$9,"Négligeable",(IF(AND(AT68&gt;=$F68*(1-'Feuille de Donnée'!$E$12),AT68&lt;=$F68*(1+'Feuille de Donnée'!$F$12)),'Feuille de Donnée'!$F$17,IF(AT68&lt;$F68*(1-'Feuille de Donnée'!$E$12),'Feuille de Donnée'!$F$18,'Feuille de Donnée'!$F$16))&amp;""&amp;IF(AND(AU68&gt;=$G68*(1-'Feuille de Donnée'!$E$27),AU68&lt;=$G68*(1+'Feuille de Donnée'!$F$27)),'Feuille de Donnée'!$F$32,IF(AU68&lt;$G68*(1-'Feuille de Donnée'!$E$27),'Feuille de Donnée'!$F$33,'Feuille de Donnée'!$F$31)))))</f>
        <v/>
      </c>
      <c r="BA68" s="138"/>
      <c r="BB68" s="103"/>
      <c r="BC68" s="27"/>
      <c r="BD68" s="27"/>
      <c r="BE68" s="27" t="str">
        <f t="shared" si="35"/>
        <v/>
      </c>
      <c r="BF68" s="121" t="str">
        <f t="shared" si="36"/>
        <v/>
      </c>
      <c r="BG68" s="121" t="str">
        <f t="shared" si="37"/>
        <v/>
      </c>
      <c r="BH68" s="27" t="str">
        <f>IF(AND(ISBLANK(BJ68),BI68=""),"",1+MAX(BH$21:BH67))</f>
        <v/>
      </c>
      <c r="BI68" s="137" t="str">
        <f>IF(OR(BE68="",BE68=0,$H68="",$H68=0,NOT(ISNUMBER($H68)),NOT(ISNUMBER(BE68))),IF(AND($E68&lt;&gt;"",AND(OR(ISNUMBER(BE68),BE68=""),AND(ISNUMBER($H68),$H68&gt;0))),'Feuille de Donnée'!$K$13,""),IF(BE68&lt;$H$168*'Feuille de Donnée'!$I$9,"Négligeable",(IF(AND(BC68&gt;=$F68*(1-'Feuille de Donnée'!$E$12),BC68&lt;=$F68*(1+'Feuille de Donnée'!$F$12)),'Feuille de Donnée'!$F$17,IF(BC68&lt;$F68*(1-'Feuille de Donnée'!$E$12),'Feuille de Donnée'!$F$18,'Feuille de Donnée'!$F$16))&amp;""&amp;IF(AND(BD68&gt;=$G68*(1-'Feuille de Donnée'!$E$27),BD68&lt;=$G68*(1+'Feuille de Donnée'!$F$27)),'Feuille de Donnée'!$F$32,IF(BD68&lt;$G68*(1-'Feuille de Donnée'!$E$27),'Feuille de Donnée'!$F$33,'Feuille de Donnée'!$F$31)))))</f>
        <v/>
      </c>
      <c r="BJ68" s="138"/>
      <c r="BK68" s="140"/>
    </row>
    <row r="69" spans="1:63" s="6" customFormat="1" x14ac:dyDescent="0.3">
      <c r="A69" s="23"/>
      <c r="B69" s="24"/>
      <c r="C69" s="24"/>
      <c r="D69" s="24"/>
      <c r="E69" s="22"/>
      <c r="F69" s="25"/>
      <c r="G69" s="26"/>
      <c r="H69" s="102" t="str">
        <f t="shared" si="19"/>
        <v/>
      </c>
      <c r="I69" s="103"/>
      <c r="J69" s="27"/>
      <c r="K69" s="27"/>
      <c r="L69" s="27" t="str">
        <f t="shared" si="20"/>
        <v/>
      </c>
      <c r="M69" s="121" t="str">
        <f t="shared" si="21"/>
        <v/>
      </c>
      <c r="N69" s="121" t="str">
        <f t="shared" si="22"/>
        <v/>
      </c>
      <c r="O69" s="27" t="str">
        <f>IF(AND(ISBLANK(Q69),P69=""),"",1+MAX(O$21:O68))</f>
        <v/>
      </c>
      <c r="P69" s="137" t="str">
        <f>IF(OR(L69="",L69=0,$H69="",$H69=0,NOT(ISNUMBER($H69)),NOT(ISNUMBER(L69))),IF(AND($E69&lt;&gt;"",AND(OR(ISNUMBER(L69),L69=""),AND(ISNUMBER($H69),$H69&gt;0))),'Feuille de Donnée'!$K$13,""),IF(L69&lt;$H$168*'Feuille de Donnée'!$I$9,"Négligeable",(IF(AND(J69&gt;=$F69*(1-'Feuille de Donnée'!$E$12),J69&lt;=$F69*(1+'Feuille de Donnée'!$F$12)),'Feuille de Donnée'!$F$17,IF(J69&lt;$F69*(1-'Feuille de Donnée'!$E$12),'Feuille de Donnée'!$F$18,'Feuille de Donnée'!$F$16))&amp;""&amp;IF(AND(K69&gt;=$G69*(1-'Feuille de Donnée'!$E$27),K69&lt;=$G69*(1+'Feuille de Donnée'!$F$27)),'Feuille de Donnée'!$F$32,IF(K69&lt;$G69*(1-'Feuille de Donnée'!$E$27),'Feuille de Donnée'!$F$33,'Feuille de Donnée'!$F$31)))))</f>
        <v/>
      </c>
      <c r="Q69" s="138"/>
      <c r="R69" s="103"/>
      <c r="S69" s="27"/>
      <c r="T69" s="27"/>
      <c r="U69" s="27" t="str">
        <f t="shared" si="23"/>
        <v/>
      </c>
      <c r="V69" s="121" t="str">
        <f t="shared" si="24"/>
        <v/>
      </c>
      <c r="W69" s="121" t="str">
        <f t="shared" si="25"/>
        <v/>
      </c>
      <c r="X69" s="27" t="str">
        <f>IF(AND(ISBLANK(Z69),Y69=""),"",1+MAX(X$21:X68))</f>
        <v/>
      </c>
      <c r="Y69" s="137" t="str">
        <f>IF(OR(U69="",U69=0,$H69="",$H69=0,NOT(ISNUMBER($H69)),NOT(ISNUMBER(U69))),IF(AND($E69&lt;&gt;"",AND(OR(ISNUMBER(U69),U69=""),AND(ISNUMBER($H69),$H69&gt;0))),'Feuille de Donnée'!$K$13,""),IF(U69&lt;$H$168*'Feuille de Donnée'!$I$9,"Négligeable",(IF(AND(S69&gt;=$F69*(1-'Feuille de Donnée'!$E$12),S69&lt;=$F69*(1+'Feuille de Donnée'!$F$12)),'Feuille de Donnée'!$F$17,IF(S69&lt;$F69*(1-'Feuille de Donnée'!$E$12),'Feuille de Donnée'!$F$18,'Feuille de Donnée'!$F$16))&amp;""&amp;IF(AND(T69&gt;=$G69*(1-'Feuille de Donnée'!$E$27),T69&lt;=$G69*(1+'Feuille de Donnée'!$F$27)),'Feuille de Donnée'!$F$32,IF(T69&lt;$G69*(1-'Feuille de Donnée'!$E$27),'Feuille de Donnée'!$F$33,'Feuille de Donnée'!$F$31)))))</f>
        <v/>
      </c>
      <c r="Z69" s="138"/>
      <c r="AA69" s="103"/>
      <c r="AB69" s="27"/>
      <c r="AC69" s="27"/>
      <c r="AD69" s="27" t="str">
        <f t="shared" si="26"/>
        <v/>
      </c>
      <c r="AE69" s="121" t="str">
        <f t="shared" si="27"/>
        <v/>
      </c>
      <c r="AF69" s="121" t="str">
        <f t="shared" si="28"/>
        <v/>
      </c>
      <c r="AG69" s="27" t="str">
        <f>IF(AND(ISBLANK(AI69),AH69=""),"",1+MAX(AG$21:AG68))</f>
        <v/>
      </c>
      <c r="AH69" s="137" t="str">
        <f>IF(OR(AD69="",AD69=0,$H69="",$H69=0,NOT(ISNUMBER($H69)),NOT(ISNUMBER(AD69))),IF(AND($E69&lt;&gt;"",AND(OR(ISNUMBER(AD69),AD69=""),AND(ISNUMBER($H69),$H69&gt;0))),'Feuille de Donnée'!$K$13,""),IF(AD69&lt;$H$168*'Feuille de Donnée'!$I$9,"Négligeable",(IF(AND(AB69&gt;=$F69*(1-'Feuille de Donnée'!$E$12),AB69&lt;=$F69*(1+'Feuille de Donnée'!$F$12)),'Feuille de Donnée'!$F$17,IF(AB69&lt;$F69*(1-'Feuille de Donnée'!$E$12),'Feuille de Donnée'!$F$18,'Feuille de Donnée'!$F$16))&amp;""&amp;IF(AND(AC69&gt;=$G69*(1-'Feuille de Donnée'!$E$27),AC69&lt;=$G69*(1+'Feuille de Donnée'!$F$27)),'Feuille de Donnée'!$F$32,IF(AC69&lt;$G69*(1-'Feuille de Donnée'!$E$27),'Feuille de Donnée'!$F$33,'Feuille de Donnée'!$F$31)))))</f>
        <v/>
      </c>
      <c r="AI69" s="138"/>
      <c r="AJ69" s="103"/>
      <c r="AK69" s="27"/>
      <c r="AL69" s="27"/>
      <c r="AM69" s="27" t="str">
        <f t="shared" si="29"/>
        <v/>
      </c>
      <c r="AN69" s="121" t="str">
        <f t="shared" si="30"/>
        <v/>
      </c>
      <c r="AO69" s="121" t="str">
        <f t="shared" si="31"/>
        <v/>
      </c>
      <c r="AP69" s="27" t="str">
        <f>IF(AND(ISBLANK(AR69),AQ69=""),"",1+MAX(AP$21:AP68))</f>
        <v/>
      </c>
      <c r="AQ69" s="137" t="str">
        <f>IF(OR(AM69="",AM69=0,$H69="",$H69=0,NOT(ISNUMBER($H69)),NOT(ISNUMBER(AM69))),IF(AND($E69&lt;&gt;"",AND(OR(ISNUMBER(AM69),AM69=""),AND(ISNUMBER($H69),$H69&gt;0))),'Feuille de Donnée'!$K$13,""),IF(AM69&lt;$H$168*'Feuille de Donnée'!$I$9,"Négligeable",(IF(AND(AK69&gt;=$F69*(1-'Feuille de Donnée'!$E$12),AK69&lt;=$F69*(1+'Feuille de Donnée'!$F$12)),'Feuille de Donnée'!$F$17,IF(AK69&lt;$F69*(1-'Feuille de Donnée'!$E$12),'Feuille de Donnée'!$F$18,'Feuille de Donnée'!$F$16))&amp;""&amp;IF(AND(AL69&gt;=$G69*(1-'Feuille de Donnée'!$E$27),AL69&lt;=$G69*(1+'Feuille de Donnée'!$F$27)),'Feuille de Donnée'!$F$32,IF(AL69&lt;$G69*(1-'Feuille de Donnée'!$E$27),'Feuille de Donnée'!$F$33,'Feuille de Donnée'!$F$31)))))</f>
        <v/>
      </c>
      <c r="AR69" s="138"/>
      <c r="AS69" s="103"/>
      <c r="AT69" s="27"/>
      <c r="AU69" s="27"/>
      <c r="AV69" s="27" t="str">
        <f t="shared" si="32"/>
        <v/>
      </c>
      <c r="AW69" s="121" t="str">
        <f t="shared" si="33"/>
        <v/>
      </c>
      <c r="AX69" s="121" t="str">
        <f t="shared" si="34"/>
        <v/>
      </c>
      <c r="AY69" s="27" t="str">
        <f>IF(AND(ISBLANK(BA69),AZ69=""),"",1+MAX(AY$21:AY68))</f>
        <v/>
      </c>
      <c r="AZ69" s="137" t="str">
        <f>IF(OR(AV69="",AV69=0,$H69="",$H69=0,NOT(ISNUMBER($H69)),NOT(ISNUMBER(AV69))),IF(AND($E69&lt;&gt;"",AND(OR(ISNUMBER(AV69),AV69=""),AND(ISNUMBER($H69),$H69&gt;0))),'Feuille de Donnée'!$K$13,""),IF(AV69&lt;$H$168*'Feuille de Donnée'!$I$9,"Négligeable",(IF(AND(AT69&gt;=$F69*(1-'Feuille de Donnée'!$E$12),AT69&lt;=$F69*(1+'Feuille de Donnée'!$F$12)),'Feuille de Donnée'!$F$17,IF(AT69&lt;$F69*(1-'Feuille de Donnée'!$E$12),'Feuille de Donnée'!$F$18,'Feuille de Donnée'!$F$16))&amp;""&amp;IF(AND(AU69&gt;=$G69*(1-'Feuille de Donnée'!$E$27),AU69&lt;=$G69*(1+'Feuille de Donnée'!$F$27)),'Feuille de Donnée'!$F$32,IF(AU69&lt;$G69*(1-'Feuille de Donnée'!$E$27),'Feuille de Donnée'!$F$33,'Feuille de Donnée'!$F$31)))))</f>
        <v/>
      </c>
      <c r="BA69" s="138"/>
      <c r="BB69" s="103"/>
      <c r="BC69" s="27"/>
      <c r="BD69" s="27"/>
      <c r="BE69" s="27" t="str">
        <f t="shared" si="35"/>
        <v/>
      </c>
      <c r="BF69" s="121" t="str">
        <f t="shared" si="36"/>
        <v/>
      </c>
      <c r="BG69" s="121" t="str">
        <f t="shared" si="37"/>
        <v/>
      </c>
      <c r="BH69" s="27" t="str">
        <f>IF(AND(ISBLANK(BJ69),BI69=""),"",1+MAX(BH$21:BH68))</f>
        <v/>
      </c>
      <c r="BI69" s="137" t="str">
        <f>IF(OR(BE69="",BE69=0,$H69="",$H69=0,NOT(ISNUMBER($H69)),NOT(ISNUMBER(BE69))),IF(AND($E69&lt;&gt;"",AND(OR(ISNUMBER(BE69),BE69=""),AND(ISNUMBER($H69),$H69&gt;0))),'Feuille de Donnée'!$K$13,""),IF(BE69&lt;$H$168*'Feuille de Donnée'!$I$9,"Négligeable",(IF(AND(BC69&gt;=$F69*(1-'Feuille de Donnée'!$E$12),BC69&lt;=$F69*(1+'Feuille de Donnée'!$F$12)),'Feuille de Donnée'!$F$17,IF(BC69&lt;$F69*(1-'Feuille de Donnée'!$E$12),'Feuille de Donnée'!$F$18,'Feuille de Donnée'!$F$16))&amp;""&amp;IF(AND(BD69&gt;=$G69*(1-'Feuille de Donnée'!$E$27),BD69&lt;=$G69*(1+'Feuille de Donnée'!$F$27)),'Feuille de Donnée'!$F$32,IF(BD69&lt;$G69*(1-'Feuille de Donnée'!$E$27),'Feuille de Donnée'!$F$33,'Feuille de Donnée'!$F$31)))))</f>
        <v/>
      </c>
      <c r="BJ69" s="138"/>
      <c r="BK69" s="140"/>
    </row>
    <row r="70" spans="1:63" s="6" customFormat="1" x14ac:dyDescent="0.3">
      <c r="A70" s="23"/>
      <c r="B70" s="24"/>
      <c r="C70" s="24"/>
      <c r="D70" s="24"/>
      <c r="E70" s="22"/>
      <c r="F70" s="25"/>
      <c r="G70" s="26"/>
      <c r="H70" s="102" t="str">
        <f t="shared" si="19"/>
        <v/>
      </c>
      <c r="I70" s="103"/>
      <c r="J70" s="27"/>
      <c r="K70" s="27"/>
      <c r="L70" s="27" t="str">
        <f t="shared" si="20"/>
        <v/>
      </c>
      <c r="M70" s="121" t="str">
        <f t="shared" si="21"/>
        <v/>
      </c>
      <c r="N70" s="121" t="str">
        <f t="shared" si="22"/>
        <v/>
      </c>
      <c r="O70" s="27" t="str">
        <f>IF(AND(ISBLANK(Q70),P70=""),"",1+MAX(O$21:O69))</f>
        <v/>
      </c>
      <c r="P70" s="137" t="str">
        <f>IF(OR(L70="",L70=0,$H70="",$H70=0,NOT(ISNUMBER($H70)),NOT(ISNUMBER(L70))),IF(AND($E70&lt;&gt;"",AND(OR(ISNUMBER(L70),L70=""),AND(ISNUMBER($H70),$H70&gt;0))),'Feuille de Donnée'!$K$13,""),IF(L70&lt;$H$168*'Feuille de Donnée'!$I$9,"Négligeable",(IF(AND(J70&gt;=$F70*(1-'Feuille de Donnée'!$E$12),J70&lt;=$F70*(1+'Feuille de Donnée'!$F$12)),'Feuille de Donnée'!$F$17,IF(J70&lt;$F70*(1-'Feuille de Donnée'!$E$12),'Feuille de Donnée'!$F$18,'Feuille de Donnée'!$F$16))&amp;""&amp;IF(AND(K70&gt;=$G70*(1-'Feuille de Donnée'!$E$27),K70&lt;=$G70*(1+'Feuille de Donnée'!$F$27)),'Feuille de Donnée'!$F$32,IF(K70&lt;$G70*(1-'Feuille de Donnée'!$E$27),'Feuille de Donnée'!$F$33,'Feuille de Donnée'!$F$31)))))</f>
        <v/>
      </c>
      <c r="Q70" s="138"/>
      <c r="R70" s="103"/>
      <c r="S70" s="27"/>
      <c r="T70" s="27"/>
      <c r="U70" s="27" t="str">
        <f t="shared" si="23"/>
        <v/>
      </c>
      <c r="V70" s="121" t="str">
        <f t="shared" si="24"/>
        <v/>
      </c>
      <c r="W70" s="121" t="str">
        <f t="shared" si="25"/>
        <v/>
      </c>
      <c r="X70" s="27" t="str">
        <f>IF(AND(ISBLANK(Z70),Y70=""),"",1+MAX(X$21:X69))</f>
        <v/>
      </c>
      <c r="Y70" s="137" t="str">
        <f>IF(OR(U70="",U70=0,$H70="",$H70=0,NOT(ISNUMBER($H70)),NOT(ISNUMBER(U70))),IF(AND($E70&lt;&gt;"",AND(OR(ISNUMBER(U70),U70=""),AND(ISNUMBER($H70),$H70&gt;0))),'Feuille de Donnée'!$K$13,""),IF(U70&lt;$H$168*'Feuille de Donnée'!$I$9,"Négligeable",(IF(AND(S70&gt;=$F70*(1-'Feuille de Donnée'!$E$12),S70&lt;=$F70*(1+'Feuille de Donnée'!$F$12)),'Feuille de Donnée'!$F$17,IF(S70&lt;$F70*(1-'Feuille de Donnée'!$E$12),'Feuille de Donnée'!$F$18,'Feuille de Donnée'!$F$16))&amp;""&amp;IF(AND(T70&gt;=$G70*(1-'Feuille de Donnée'!$E$27),T70&lt;=$G70*(1+'Feuille de Donnée'!$F$27)),'Feuille de Donnée'!$F$32,IF(T70&lt;$G70*(1-'Feuille de Donnée'!$E$27),'Feuille de Donnée'!$F$33,'Feuille de Donnée'!$F$31)))))</f>
        <v/>
      </c>
      <c r="Z70" s="138"/>
      <c r="AA70" s="103"/>
      <c r="AB70" s="27"/>
      <c r="AC70" s="27"/>
      <c r="AD70" s="27" t="str">
        <f t="shared" si="26"/>
        <v/>
      </c>
      <c r="AE70" s="121" t="str">
        <f t="shared" si="27"/>
        <v/>
      </c>
      <c r="AF70" s="121" t="str">
        <f t="shared" si="28"/>
        <v/>
      </c>
      <c r="AG70" s="27" t="str">
        <f>IF(AND(ISBLANK(AI70),AH70=""),"",1+MAX(AG$21:AG69))</f>
        <v/>
      </c>
      <c r="AH70" s="137" t="str">
        <f>IF(OR(AD70="",AD70=0,$H70="",$H70=0,NOT(ISNUMBER($H70)),NOT(ISNUMBER(AD70))),IF(AND($E70&lt;&gt;"",AND(OR(ISNUMBER(AD70),AD70=""),AND(ISNUMBER($H70),$H70&gt;0))),'Feuille de Donnée'!$K$13,""),IF(AD70&lt;$H$168*'Feuille de Donnée'!$I$9,"Négligeable",(IF(AND(AB70&gt;=$F70*(1-'Feuille de Donnée'!$E$12),AB70&lt;=$F70*(1+'Feuille de Donnée'!$F$12)),'Feuille de Donnée'!$F$17,IF(AB70&lt;$F70*(1-'Feuille de Donnée'!$E$12),'Feuille de Donnée'!$F$18,'Feuille de Donnée'!$F$16))&amp;""&amp;IF(AND(AC70&gt;=$G70*(1-'Feuille de Donnée'!$E$27),AC70&lt;=$G70*(1+'Feuille de Donnée'!$F$27)),'Feuille de Donnée'!$F$32,IF(AC70&lt;$G70*(1-'Feuille de Donnée'!$E$27),'Feuille de Donnée'!$F$33,'Feuille de Donnée'!$F$31)))))</f>
        <v/>
      </c>
      <c r="AI70" s="138"/>
      <c r="AJ70" s="103"/>
      <c r="AK70" s="27"/>
      <c r="AL70" s="27"/>
      <c r="AM70" s="27" t="str">
        <f t="shared" si="29"/>
        <v/>
      </c>
      <c r="AN70" s="121" t="str">
        <f t="shared" si="30"/>
        <v/>
      </c>
      <c r="AO70" s="121" t="str">
        <f t="shared" si="31"/>
        <v/>
      </c>
      <c r="AP70" s="27" t="str">
        <f>IF(AND(ISBLANK(AR70),AQ70=""),"",1+MAX(AP$21:AP69))</f>
        <v/>
      </c>
      <c r="AQ70" s="137" t="str">
        <f>IF(OR(AM70="",AM70=0,$H70="",$H70=0,NOT(ISNUMBER($H70)),NOT(ISNUMBER(AM70))),IF(AND($E70&lt;&gt;"",AND(OR(ISNUMBER(AM70),AM70=""),AND(ISNUMBER($H70),$H70&gt;0))),'Feuille de Donnée'!$K$13,""),IF(AM70&lt;$H$168*'Feuille de Donnée'!$I$9,"Négligeable",(IF(AND(AK70&gt;=$F70*(1-'Feuille de Donnée'!$E$12),AK70&lt;=$F70*(1+'Feuille de Donnée'!$F$12)),'Feuille de Donnée'!$F$17,IF(AK70&lt;$F70*(1-'Feuille de Donnée'!$E$12),'Feuille de Donnée'!$F$18,'Feuille de Donnée'!$F$16))&amp;""&amp;IF(AND(AL70&gt;=$G70*(1-'Feuille de Donnée'!$E$27),AL70&lt;=$G70*(1+'Feuille de Donnée'!$F$27)),'Feuille de Donnée'!$F$32,IF(AL70&lt;$G70*(1-'Feuille de Donnée'!$E$27),'Feuille de Donnée'!$F$33,'Feuille de Donnée'!$F$31)))))</f>
        <v/>
      </c>
      <c r="AR70" s="138"/>
      <c r="AS70" s="103"/>
      <c r="AT70" s="27"/>
      <c r="AU70" s="27"/>
      <c r="AV70" s="27" t="str">
        <f t="shared" si="32"/>
        <v/>
      </c>
      <c r="AW70" s="121" t="str">
        <f t="shared" si="33"/>
        <v/>
      </c>
      <c r="AX70" s="121" t="str">
        <f t="shared" si="34"/>
        <v/>
      </c>
      <c r="AY70" s="27" t="str">
        <f>IF(AND(ISBLANK(BA70),AZ70=""),"",1+MAX(AY$21:AY69))</f>
        <v/>
      </c>
      <c r="AZ70" s="137" t="str">
        <f>IF(OR(AV70="",AV70=0,$H70="",$H70=0,NOT(ISNUMBER($H70)),NOT(ISNUMBER(AV70))),IF(AND($E70&lt;&gt;"",AND(OR(ISNUMBER(AV70),AV70=""),AND(ISNUMBER($H70),$H70&gt;0))),'Feuille de Donnée'!$K$13,""),IF(AV70&lt;$H$168*'Feuille de Donnée'!$I$9,"Négligeable",(IF(AND(AT70&gt;=$F70*(1-'Feuille de Donnée'!$E$12),AT70&lt;=$F70*(1+'Feuille de Donnée'!$F$12)),'Feuille de Donnée'!$F$17,IF(AT70&lt;$F70*(1-'Feuille de Donnée'!$E$12),'Feuille de Donnée'!$F$18,'Feuille de Donnée'!$F$16))&amp;""&amp;IF(AND(AU70&gt;=$G70*(1-'Feuille de Donnée'!$E$27),AU70&lt;=$G70*(1+'Feuille de Donnée'!$F$27)),'Feuille de Donnée'!$F$32,IF(AU70&lt;$G70*(1-'Feuille de Donnée'!$E$27),'Feuille de Donnée'!$F$33,'Feuille de Donnée'!$F$31)))))</f>
        <v/>
      </c>
      <c r="BA70" s="138"/>
      <c r="BB70" s="103"/>
      <c r="BC70" s="27"/>
      <c r="BD70" s="27"/>
      <c r="BE70" s="27" t="str">
        <f t="shared" si="35"/>
        <v/>
      </c>
      <c r="BF70" s="121" t="str">
        <f t="shared" si="36"/>
        <v/>
      </c>
      <c r="BG70" s="121" t="str">
        <f t="shared" si="37"/>
        <v/>
      </c>
      <c r="BH70" s="27" t="str">
        <f>IF(AND(ISBLANK(BJ70),BI70=""),"",1+MAX(BH$21:BH69))</f>
        <v/>
      </c>
      <c r="BI70" s="137" t="str">
        <f>IF(OR(BE70="",BE70=0,$H70="",$H70=0,NOT(ISNUMBER($H70)),NOT(ISNUMBER(BE70))),IF(AND($E70&lt;&gt;"",AND(OR(ISNUMBER(BE70),BE70=""),AND(ISNUMBER($H70),$H70&gt;0))),'Feuille de Donnée'!$K$13,""),IF(BE70&lt;$H$168*'Feuille de Donnée'!$I$9,"Négligeable",(IF(AND(BC70&gt;=$F70*(1-'Feuille de Donnée'!$E$12),BC70&lt;=$F70*(1+'Feuille de Donnée'!$F$12)),'Feuille de Donnée'!$F$17,IF(BC70&lt;$F70*(1-'Feuille de Donnée'!$E$12),'Feuille de Donnée'!$F$18,'Feuille de Donnée'!$F$16))&amp;""&amp;IF(AND(BD70&gt;=$G70*(1-'Feuille de Donnée'!$E$27),BD70&lt;=$G70*(1+'Feuille de Donnée'!$F$27)),'Feuille de Donnée'!$F$32,IF(BD70&lt;$G70*(1-'Feuille de Donnée'!$E$27),'Feuille de Donnée'!$F$33,'Feuille de Donnée'!$F$31)))))</f>
        <v/>
      </c>
      <c r="BJ70" s="138"/>
      <c r="BK70" s="140"/>
    </row>
    <row r="71" spans="1:63" s="6" customFormat="1" x14ac:dyDescent="0.3">
      <c r="A71" s="23"/>
      <c r="B71" s="24"/>
      <c r="C71" s="24"/>
      <c r="D71" s="24"/>
      <c r="E71" s="22"/>
      <c r="F71" s="25"/>
      <c r="G71" s="26"/>
      <c r="H71" s="102" t="str">
        <f t="shared" si="19"/>
        <v/>
      </c>
      <c r="I71" s="103"/>
      <c r="J71" s="27"/>
      <c r="K71" s="27"/>
      <c r="L71" s="27" t="str">
        <f t="shared" si="20"/>
        <v/>
      </c>
      <c r="M71" s="121" t="str">
        <f t="shared" si="21"/>
        <v/>
      </c>
      <c r="N71" s="121" t="str">
        <f t="shared" si="22"/>
        <v/>
      </c>
      <c r="O71" s="27" t="str">
        <f>IF(AND(ISBLANK(Q71),P71=""),"",1+MAX(O$21:O70))</f>
        <v/>
      </c>
      <c r="P71" s="137" t="str">
        <f>IF(OR(L71="",L71=0,$H71="",$H71=0,NOT(ISNUMBER($H71)),NOT(ISNUMBER(L71))),IF(AND($E71&lt;&gt;"",AND(OR(ISNUMBER(L71),L71=""),AND(ISNUMBER($H71),$H71&gt;0))),'Feuille de Donnée'!$K$13,""),IF(L71&lt;$H$168*'Feuille de Donnée'!$I$9,"Négligeable",(IF(AND(J71&gt;=$F71*(1-'Feuille de Donnée'!$E$12),J71&lt;=$F71*(1+'Feuille de Donnée'!$F$12)),'Feuille de Donnée'!$F$17,IF(J71&lt;$F71*(1-'Feuille de Donnée'!$E$12),'Feuille de Donnée'!$F$18,'Feuille de Donnée'!$F$16))&amp;""&amp;IF(AND(K71&gt;=$G71*(1-'Feuille de Donnée'!$E$27),K71&lt;=$G71*(1+'Feuille de Donnée'!$F$27)),'Feuille de Donnée'!$F$32,IF(K71&lt;$G71*(1-'Feuille de Donnée'!$E$27),'Feuille de Donnée'!$F$33,'Feuille de Donnée'!$F$31)))))</f>
        <v/>
      </c>
      <c r="Q71" s="138"/>
      <c r="R71" s="103"/>
      <c r="S71" s="27"/>
      <c r="T71" s="27"/>
      <c r="U71" s="27" t="str">
        <f t="shared" si="23"/>
        <v/>
      </c>
      <c r="V71" s="121" t="str">
        <f t="shared" si="24"/>
        <v/>
      </c>
      <c r="W71" s="121" t="str">
        <f t="shared" si="25"/>
        <v/>
      </c>
      <c r="X71" s="27" t="str">
        <f>IF(AND(ISBLANK(Z71),Y71=""),"",1+MAX(X$21:X70))</f>
        <v/>
      </c>
      <c r="Y71" s="137" t="str">
        <f>IF(OR(U71="",U71=0,$H71="",$H71=0,NOT(ISNUMBER($H71)),NOT(ISNUMBER(U71))),IF(AND($E71&lt;&gt;"",AND(OR(ISNUMBER(U71),U71=""),AND(ISNUMBER($H71),$H71&gt;0))),'Feuille de Donnée'!$K$13,""),IF(U71&lt;$H$168*'Feuille de Donnée'!$I$9,"Négligeable",(IF(AND(S71&gt;=$F71*(1-'Feuille de Donnée'!$E$12),S71&lt;=$F71*(1+'Feuille de Donnée'!$F$12)),'Feuille de Donnée'!$F$17,IF(S71&lt;$F71*(1-'Feuille de Donnée'!$E$12),'Feuille de Donnée'!$F$18,'Feuille de Donnée'!$F$16))&amp;""&amp;IF(AND(T71&gt;=$G71*(1-'Feuille de Donnée'!$E$27),T71&lt;=$G71*(1+'Feuille de Donnée'!$F$27)),'Feuille de Donnée'!$F$32,IF(T71&lt;$G71*(1-'Feuille de Donnée'!$E$27),'Feuille de Donnée'!$F$33,'Feuille de Donnée'!$F$31)))))</f>
        <v/>
      </c>
      <c r="Z71" s="138"/>
      <c r="AA71" s="103"/>
      <c r="AB71" s="27"/>
      <c r="AC71" s="27"/>
      <c r="AD71" s="27" t="str">
        <f t="shared" si="26"/>
        <v/>
      </c>
      <c r="AE71" s="121" t="str">
        <f t="shared" si="27"/>
        <v/>
      </c>
      <c r="AF71" s="121" t="str">
        <f t="shared" si="28"/>
        <v/>
      </c>
      <c r="AG71" s="27" t="str">
        <f>IF(AND(ISBLANK(AI71),AH71=""),"",1+MAX(AG$21:AG70))</f>
        <v/>
      </c>
      <c r="AH71" s="137" t="str">
        <f>IF(OR(AD71="",AD71=0,$H71="",$H71=0,NOT(ISNUMBER($H71)),NOT(ISNUMBER(AD71))),IF(AND($E71&lt;&gt;"",AND(OR(ISNUMBER(AD71),AD71=""),AND(ISNUMBER($H71),$H71&gt;0))),'Feuille de Donnée'!$K$13,""),IF(AD71&lt;$H$168*'Feuille de Donnée'!$I$9,"Négligeable",(IF(AND(AB71&gt;=$F71*(1-'Feuille de Donnée'!$E$12),AB71&lt;=$F71*(1+'Feuille de Donnée'!$F$12)),'Feuille de Donnée'!$F$17,IF(AB71&lt;$F71*(1-'Feuille de Donnée'!$E$12),'Feuille de Donnée'!$F$18,'Feuille de Donnée'!$F$16))&amp;""&amp;IF(AND(AC71&gt;=$G71*(1-'Feuille de Donnée'!$E$27),AC71&lt;=$G71*(1+'Feuille de Donnée'!$F$27)),'Feuille de Donnée'!$F$32,IF(AC71&lt;$G71*(1-'Feuille de Donnée'!$E$27),'Feuille de Donnée'!$F$33,'Feuille de Donnée'!$F$31)))))</f>
        <v/>
      </c>
      <c r="AI71" s="138"/>
      <c r="AJ71" s="103"/>
      <c r="AK71" s="27"/>
      <c r="AL71" s="27"/>
      <c r="AM71" s="27" t="str">
        <f t="shared" si="29"/>
        <v/>
      </c>
      <c r="AN71" s="121" t="str">
        <f t="shared" si="30"/>
        <v/>
      </c>
      <c r="AO71" s="121" t="str">
        <f t="shared" si="31"/>
        <v/>
      </c>
      <c r="AP71" s="27" t="str">
        <f>IF(AND(ISBLANK(AR71),AQ71=""),"",1+MAX(AP$21:AP70))</f>
        <v/>
      </c>
      <c r="AQ71" s="137" t="str">
        <f>IF(OR(AM71="",AM71=0,$H71="",$H71=0,NOT(ISNUMBER($H71)),NOT(ISNUMBER(AM71))),IF(AND($E71&lt;&gt;"",AND(OR(ISNUMBER(AM71),AM71=""),AND(ISNUMBER($H71),$H71&gt;0))),'Feuille de Donnée'!$K$13,""),IF(AM71&lt;$H$168*'Feuille de Donnée'!$I$9,"Négligeable",(IF(AND(AK71&gt;=$F71*(1-'Feuille de Donnée'!$E$12),AK71&lt;=$F71*(1+'Feuille de Donnée'!$F$12)),'Feuille de Donnée'!$F$17,IF(AK71&lt;$F71*(1-'Feuille de Donnée'!$E$12),'Feuille de Donnée'!$F$18,'Feuille de Donnée'!$F$16))&amp;""&amp;IF(AND(AL71&gt;=$G71*(1-'Feuille de Donnée'!$E$27),AL71&lt;=$G71*(1+'Feuille de Donnée'!$F$27)),'Feuille de Donnée'!$F$32,IF(AL71&lt;$G71*(1-'Feuille de Donnée'!$E$27),'Feuille de Donnée'!$F$33,'Feuille de Donnée'!$F$31)))))</f>
        <v/>
      </c>
      <c r="AR71" s="138"/>
      <c r="AS71" s="103"/>
      <c r="AT71" s="27"/>
      <c r="AU71" s="27"/>
      <c r="AV71" s="27" t="str">
        <f t="shared" si="32"/>
        <v/>
      </c>
      <c r="AW71" s="121" t="str">
        <f t="shared" si="33"/>
        <v/>
      </c>
      <c r="AX71" s="121" t="str">
        <f t="shared" si="34"/>
        <v/>
      </c>
      <c r="AY71" s="27" t="str">
        <f>IF(AND(ISBLANK(BA71),AZ71=""),"",1+MAX(AY$21:AY70))</f>
        <v/>
      </c>
      <c r="AZ71" s="137" t="str">
        <f>IF(OR(AV71="",AV71=0,$H71="",$H71=0,NOT(ISNUMBER($H71)),NOT(ISNUMBER(AV71))),IF(AND($E71&lt;&gt;"",AND(OR(ISNUMBER(AV71),AV71=""),AND(ISNUMBER($H71),$H71&gt;0))),'Feuille de Donnée'!$K$13,""),IF(AV71&lt;$H$168*'Feuille de Donnée'!$I$9,"Négligeable",(IF(AND(AT71&gt;=$F71*(1-'Feuille de Donnée'!$E$12),AT71&lt;=$F71*(1+'Feuille de Donnée'!$F$12)),'Feuille de Donnée'!$F$17,IF(AT71&lt;$F71*(1-'Feuille de Donnée'!$E$12),'Feuille de Donnée'!$F$18,'Feuille de Donnée'!$F$16))&amp;""&amp;IF(AND(AU71&gt;=$G71*(1-'Feuille de Donnée'!$E$27),AU71&lt;=$G71*(1+'Feuille de Donnée'!$F$27)),'Feuille de Donnée'!$F$32,IF(AU71&lt;$G71*(1-'Feuille de Donnée'!$E$27),'Feuille de Donnée'!$F$33,'Feuille de Donnée'!$F$31)))))</f>
        <v/>
      </c>
      <c r="BA71" s="138"/>
      <c r="BB71" s="103"/>
      <c r="BC71" s="27"/>
      <c r="BD71" s="27"/>
      <c r="BE71" s="27" t="str">
        <f t="shared" si="35"/>
        <v/>
      </c>
      <c r="BF71" s="121" t="str">
        <f t="shared" si="36"/>
        <v/>
      </c>
      <c r="BG71" s="121" t="str">
        <f t="shared" si="37"/>
        <v/>
      </c>
      <c r="BH71" s="27" t="str">
        <f>IF(AND(ISBLANK(BJ71),BI71=""),"",1+MAX(BH$21:BH70))</f>
        <v/>
      </c>
      <c r="BI71" s="137" t="str">
        <f>IF(OR(BE71="",BE71=0,$H71="",$H71=0,NOT(ISNUMBER($H71)),NOT(ISNUMBER(BE71))),IF(AND($E71&lt;&gt;"",AND(OR(ISNUMBER(BE71),BE71=""),AND(ISNUMBER($H71),$H71&gt;0))),'Feuille de Donnée'!$K$13,""),IF(BE71&lt;$H$168*'Feuille de Donnée'!$I$9,"Négligeable",(IF(AND(BC71&gt;=$F71*(1-'Feuille de Donnée'!$E$12),BC71&lt;=$F71*(1+'Feuille de Donnée'!$F$12)),'Feuille de Donnée'!$F$17,IF(BC71&lt;$F71*(1-'Feuille de Donnée'!$E$12),'Feuille de Donnée'!$F$18,'Feuille de Donnée'!$F$16))&amp;""&amp;IF(AND(BD71&gt;=$G71*(1-'Feuille de Donnée'!$E$27),BD71&lt;=$G71*(1+'Feuille de Donnée'!$F$27)),'Feuille de Donnée'!$F$32,IF(BD71&lt;$G71*(1-'Feuille de Donnée'!$E$27),'Feuille de Donnée'!$F$33,'Feuille de Donnée'!$F$31)))))</f>
        <v/>
      </c>
      <c r="BJ71" s="138"/>
      <c r="BK71" s="140"/>
    </row>
    <row r="72" spans="1:63" s="6" customFormat="1" x14ac:dyDescent="0.3">
      <c r="A72" s="23"/>
      <c r="B72" s="24"/>
      <c r="C72" s="24"/>
      <c r="D72" s="24"/>
      <c r="E72" s="22"/>
      <c r="F72" s="25"/>
      <c r="G72" s="26"/>
      <c r="H72" s="102" t="str">
        <f t="shared" si="19"/>
        <v/>
      </c>
      <c r="I72" s="103"/>
      <c r="J72" s="27"/>
      <c r="K72" s="27"/>
      <c r="L72" s="27" t="str">
        <f t="shared" si="20"/>
        <v/>
      </c>
      <c r="M72" s="121" t="str">
        <f t="shared" si="21"/>
        <v/>
      </c>
      <c r="N72" s="121" t="str">
        <f t="shared" si="22"/>
        <v/>
      </c>
      <c r="O72" s="27" t="str">
        <f>IF(AND(ISBLANK(Q72),P72=""),"",1+MAX(O$21:O71))</f>
        <v/>
      </c>
      <c r="P72" s="137" t="str">
        <f>IF(OR(L72="",L72=0,$H72="",$H72=0,NOT(ISNUMBER($H72)),NOT(ISNUMBER(L72))),IF(AND($E72&lt;&gt;"",AND(OR(ISNUMBER(L72),L72=""),AND(ISNUMBER($H72),$H72&gt;0))),'Feuille de Donnée'!$K$13,""),IF(L72&lt;$H$168*'Feuille de Donnée'!$I$9,"Négligeable",(IF(AND(J72&gt;=$F72*(1-'Feuille de Donnée'!$E$12),J72&lt;=$F72*(1+'Feuille de Donnée'!$F$12)),'Feuille de Donnée'!$F$17,IF(J72&lt;$F72*(1-'Feuille de Donnée'!$E$12),'Feuille de Donnée'!$F$18,'Feuille de Donnée'!$F$16))&amp;""&amp;IF(AND(K72&gt;=$G72*(1-'Feuille de Donnée'!$E$27),K72&lt;=$G72*(1+'Feuille de Donnée'!$F$27)),'Feuille de Donnée'!$F$32,IF(K72&lt;$G72*(1-'Feuille de Donnée'!$E$27),'Feuille de Donnée'!$F$33,'Feuille de Donnée'!$F$31)))))</f>
        <v/>
      </c>
      <c r="Q72" s="138"/>
      <c r="R72" s="103"/>
      <c r="S72" s="27"/>
      <c r="T72" s="27"/>
      <c r="U72" s="27" t="str">
        <f t="shared" si="23"/>
        <v/>
      </c>
      <c r="V72" s="121" t="str">
        <f t="shared" si="24"/>
        <v/>
      </c>
      <c r="W72" s="121" t="str">
        <f t="shared" si="25"/>
        <v/>
      </c>
      <c r="X72" s="27" t="str">
        <f>IF(AND(ISBLANK(Z72),Y72=""),"",1+MAX(X$21:X71))</f>
        <v/>
      </c>
      <c r="Y72" s="137" t="str">
        <f>IF(OR(U72="",U72=0,$H72="",$H72=0,NOT(ISNUMBER($H72)),NOT(ISNUMBER(U72))),IF(AND($E72&lt;&gt;"",AND(OR(ISNUMBER(U72),U72=""),AND(ISNUMBER($H72),$H72&gt;0))),'Feuille de Donnée'!$K$13,""),IF(U72&lt;$H$168*'Feuille de Donnée'!$I$9,"Négligeable",(IF(AND(S72&gt;=$F72*(1-'Feuille de Donnée'!$E$12),S72&lt;=$F72*(1+'Feuille de Donnée'!$F$12)),'Feuille de Donnée'!$F$17,IF(S72&lt;$F72*(1-'Feuille de Donnée'!$E$12),'Feuille de Donnée'!$F$18,'Feuille de Donnée'!$F$16))&amp;""&amp;IF(AND(T72&gt;=$G72*(1-'Feuille de Donnée'!$E$27),T72&lt;=$G72*(1+'Feuille de Donnée'!$F$27)),'Feuille de Donnée'!$F$32,IF(T72&lt;$G72*(1-'Feuille de Donnée'!$E$27),'Feuille de Donnée'!$F$33,'Feuille de Donnée'!$F$31)))))</f>
        <v/>
      </c>
      <c r="Z72" s="138"/>
      <c r="AA72" s="103"/>
      <c r="AB72" s="27"/>
      <c r="AC72" s="27"/>
      <c r="AD72" s="27" t="str">
        <f t="shared" si="26"/>
        <v/>
      </c>
      <c r="AE72" s="121" t="str">
        <f t="shared" si="27"/>
        <v/>
      </c>
      <c r="AF72" s="121" t="str">
        <f t="shared" si="28"/>
        <v/>
      </c>
      <c r="AG72" s="27" t="str">
        <f>IF(AND(ISBLANK(AI72),AH72=""),"",1+MAX(AG$21:AG71))</f>
        <v/>
      </c>
      <c r="AH72" s="137" t="str">
        <f>IF(OR(AD72="",AD72=0,$H72="",$H72=0,NOT(ISNUMBER($H72)),NOT(ISNUMBER(AD72))),IF(AND($E72&lt;&gt;"",AND(OR(ISNUMBER(AD72),AD72=""),AND(ISNUMBER($H72),$H72&gt;0))),'Feuille de Donnée'!$K$13,""),IF(AD72&lt;$H$168*'Feuille de Donnée'!$I$9,"Négligeable",(IF(AND(AB72&gt;=$F72*(1-'Feuille de Donnée'!$E$12),AB72&lt;=$F72*(1+'Feuille de Donnée'!$F$12)),'Feuille de Donnée'!$F$17,IF(AB72&lt;$F72*(1-'Feuille de Donnée'!$E$12),'Feuille de Donnée'!$F$18,'Feuille de Donnée'!$F$16))&amp;""&amp;IF(AND(AC72&gt;=$G72*(1-'Feuille de Donnée'!$E$27),AC72&lt;=$G72*(1+'Feuille de Donnée'!$F$27)),'Feuille de Donnée'!$F$32,IF(AC72&lt;$G72*(1-'Feuille de Donnée'!$E$27),'Feuille de Donnée'!$F$33,'Feuille de Donnée'!$F$31)))))</f>
        <v/>
      </c>
      <c r="AI72" s="138"/>
      <c r="AJ72" s="103"/>
      <c r="AK72" s="27"/>
      <c r="AL72" s="27"/>
      <c r="AM72" s="27" t="str">
        <f t="shared" si="29"/>
        <v/>
      </c>
      <c r="AN72" s="121" t="str">
        <f t="shared" si="30"/>
        <v/>
      </c>
      <c r="AO72" s="121" t="str">
        <f t="shared" si="31"/>
        <v/>
      </c>
      <c r="AP72" s="27" t="str">
        <f>IF(AND(ISBLANK(AR72),AQ72=""),"",1+MAX(AP$21:AP71))</f>
        <v/>
      </c>
      <c r="AQ72" s="137" t="str">
        <f>IF(OR(AM72="",AM72=0,$H72="",$H72=0,NOT(ISNUMBER($H72)),NOT(ISNUMBER(AM72))),IF(AND($E72&lt;&gt;"",AND(OR(ISNUMBER(AM72),AM72=""),AND(ISNUMBER($H72),$H72&gt;0))),'Feuille de Donnée'!$K$13,""),IF(AM72&lt;$H$168*'Feuille de Donnée'!$I$9,"Négligeable",(IF(AND(AK72&gt;=$F72*(1-'Feuille de Donnée'!$E$12),AK72&lt;=$F72*(1+'Feuille de Donnée'!$F$12)),'Feuille de Donnée'!$F$17,IF(AK72&lt;$F72*(1-'Feuille de Donnée'!$E$12),'Feuille de Donnée'!$F$18,'Feuille de Donnée'!$F$16))&amp;""&amp;IF(AND(AL72&gt;=$G72*(1-'Feuille de Donnée'!$E$27),AL72&lt;=$G72*(1+'Feuille de Donnée'!$F$27)),'Feuille de Donnée'!$F$32,IF(AL72&lt;$G72*(1-'Feuille de Donnée'!$E$27),'Feuille de Donnée'!$F$33,'Feuille de Donnée'!$F$31)))))</f>
        <v/>
      </c>
      <c r="AR72" s="138"/>
      <c r="AS72" s="103"/>
      <c r="AT72" s="27"/>
      <c r="AU72" s="27"/>
      <c r="AV72" s="27" t="str">
        <f t="shared" si="32"/>
        <v/>
      </c>
      <c r="AW72" s="121" t="str">
        <f t="shared" si="33"/>
        <v/>
      </c>
      <c r="AX72" s="121" t="str">
        <f t="shared" si="34"/>
        <v/>
      </c>
      <c r="AY72" s="27" t="str">
        <f>IF(AND(ISBLANK(BA72),AZ72=""),"",1+MAX(AY$21:AY71))</f>
        <v/>
      </c>
      <c r="AZ72" s="137" t="str">
        <f>IF(OR(AV72="",AV72=0,$H72="",$H72=0,NOT(ISNUMBER($H72)),NOT(ISNUMBER(AV72))),IF(AND($E72&lt;&gt;"",AND(OR(ISNUMBER(AV72),AV72=""),AND(ISNUMBER($H72),$H72&gt;0))),'Feuille de Donnée'!$K$13,""),IF(AV72&lt;$H$168*'Feuille de Donnée'!$I$9,"Négligeable",(IF(AND(AT72&gt;=$F72*(1-'Feuille de Donnée'!$E$12),AT72&lt;=$F72*(1+'Feuille de Donnée'!$F$12)),'Feuille de Donnée'!$F$17,IF(AT72&lt;$F72*(1-'Feuille de Donnée'!$E$12),'Feuille de Donnée'!$F$18,'Feuille de Donnée'!$F$16))&amp;""&amp;IF(AND(AU72&gt;=$G72*(1-'Feuille de Donnée'!$E$27),AU72&lt;=$G72*(1+'Feuille de Donnée'!$F$27)),'Feuille de Donnée'!$F$32,IF(AU72&lt;$G72*(1-'Feuille de Donnée'!$E$27),'Feuille de Donnée'!$F$33,'Feuille de Donnée'!$F$31)))))</f>
        <v/>
      </c>
      <c r="BA72" s="138"/>
      <c r="BB72" s="103"/>
      <c r="BC72" s="27"/>
      <c r="BD72" s="27"/>
      <c r="BE72" s="27" t="str">
        <f t="shared" si="35"/>
        <v/>
      </c>
      <c r="BF72" s="121" t="str">
        <f t="shared" si="36"/>
        <v/>
      </c>
      <c r="BG72" s="121" t="str">
        <f t="shared" si="37"/>
        <v/>
      </c>
      <c r="BH72" s="27" t="str">
        <f>IF(AND(ISBLANK(BJ72),BI72=""),"",1+MAX(BH$21:BH71))</f>
        <v/>
      </c>
      <c r="BI72" s="137" t="str">
        <f>IF(OR(BE72="",BE72=0,$H72="",$H72=0,NOT(ISNUMBER($H72)),NOT(ISNUMBER(BE72))),IF(AND($E72&lt;&gt;"",AND(OR(ISNUMBER(BE72),BE72=""),AND(ISNUMBER($H72),$H72&gt;0))),'Feuille de Donnée'!$K$13,""),IF(BE72&lt;$H$168*'Feuille de Donnée'!$I$9,"Négligeable",(IF(AND(BC72&gt;=$F72*(1-'Feuille de Donnée'!$E$12),BC72&lt;=$F72*(1+'Feuille de Donnée'!$F$12)),'Feuille de Donnée'!$F$17,IF(BC72&lt;$F72*(1-'Feuille de Donnée'!$E$12),'Feuille de Donnée'!$F$18,'Feuille de Donnée'!$F$16))&amp;""&amp;IF(AND(BD72&gt;=$G72*(1-'Feuille de Donnée'!$E$27),BD72&lt;=$G72*(1+'Feuille de Donnée'!$F$27)),'Feuille de Donnée'!$F$32,IF(BD72&lt;$G72*(1-'Feuille de Donnée'!$E$27),'Feuille de Donnée'!$F$33,'Feuille de Donnée'!$F$31)))))</f>
        <v/>
      </c>
      <c r="BJ72" s="138"/>
      <c r="BK72" s="140"/>
    </row>
    <row r="73" spans="1:63" s="6" customFormat="1" x14ac:dyDescent="0.3">
      <c r="A73" s="23"/>
      <c r="B73" s="24"/>
      <c r="C73" s="24"/>
      <c r="D73" s="24"/>
      <c r="E73" s="22"/>
      <c r="F73" s="25"/>
      <c r="G73" s="26"/>
      <c r="H73" s="102" t="str">
        <f t="shared" si="19"/>
        <v/>
      </c>
      <c r="I73" s="103"/>
      <c r="J73" s="27"/>
      <c r="K73" s="27"/>
      <c r="L73" s="27" t="str">
        <f t="shared" si="20"/>
        <v/>
      </c>
      <c r="M73" s="121" t="str">
        <f t="shared" si="21"/>
        <v/>
      </c>
      <c r="N73" s="121" t="str">
        <f t="shared" si="22"/>
        <v/>
      </c>
      <c r="O73" s="27" t="str">
        <f>IF(AND(ISBLANK(Q73),P73=""),"",1+MAX(O$21:O72))</f>
        <v/>
      </c>
      <c r="P73" s="137" t="str">
        <f>IF(OR(L73="",L73=0,$H73="",$H73=0,NOT(ISNUMBER($H73)),NOT(ISNUMBER(L73))),IF(AND($E73&lt;&gt;"",AND(OR(ISNUMBER(L73),L73=""),AND(ISNUMBER($H73),$H73&gt;0))),'Feuille de Donnée'!$K$13,""),IF(L73&lt;$H$168*'Feuille de Donnée'!$I$9,"Négligeable",(IF(AND(J73&gt;=$F73*(1-'Feuille de Donnée'!$E$12),J73&lt;=$F73*(1+'Feuille de Donnée'!$F$12)),'Feuille de Donnée'!$F$17,IF(J73&lt;$F73*(1-'Feuille de Donnée'!$E$12),'Feuille de Donnée'!$F$18,'Feuille de Donnée'!$F$16))&amp;""&amp;IF(AND(K73&gt;=$G73*(1-'Feuille de Donnée'!$E$27),K73&lt;=$G73*(1+'Feuille de Donnée'!$F$27)),'Feuille de Donnée'!$F$32,IF(K73&lt;$G73*(1-'Feuille de Donnée'!$E$27),'Feuille de Donnée'!$F$33,'Feuille de Donnée'!$F$31)))))</f>
        <v/>
      </c>
      <c r="Q73" s="138"/>
      <c r="R73" s="103"/>
      <c r="S73" s="27"/>
      <c r="T73" s="27"/>
      <c r="U73" s="27" t="str">
        <f t="shared" si="23"/>
        <v/>
      </c>
      <c r="V73" s="121" t="str">
        <f t="shared" si="24"/>
        <v/>
      </c>
      <c r="W73" s="121" t="str">
        <f t="shared" si="25"/>
        <v/>
      </c>
      <c r="X73" s="27" t="str">
        <f>IF(AND(ISBLANK(Z73),Y73=""),"",1+MAX(X$21:X72))</f>
        <v/>
      </c>
      <c r="Y73" s="137" t="str">
        <f>IF(OR(U73="",U73=0,$H73="",$H73=0,NOT(ISNUMBER($H73)),NOT(ISNUMBER(U73))),IF(AND($E73&lt;&gt;"",AND(OR(ISNUMBER(U73),U73=""),AND(ISNUMBER($H73),$H73&gt;0))),'Feuille de Donnée'!$K$13,""),IF(U73&lt;$H$168*'Feuille de Donnée'!$I$9,"Négligeable",(IF(AND(S73&gt;=$F73*(1-'Feuille de Donnée'!$E$12),S73&lt;=$F73*(1+'Feuille de Donnée'!$F$12)),'Feuille de Donnée'!$F$17,IF(S73&lt;$F73*(1-'Feuille de Donnée'!$E$12),'Feuille de Donnée'!$F$18,'Feuille de Donnée'!$F$16))&amp;""&amp;IF(AND(T73&gt;=$G73*(1-'Feuille de Donnée'!$E$27),T73&lt;=$G73*(1+'Feuille de Donnée'!$F$27)),'Feuille de Donnée'!$F$32,IF(T73&lt;$G73*(1-'Feuille de Donnée'!$E$27),'Feuille de Donnée'!$F$33,'Feuille de Donnée'!$F$31)))))</f>
        <v/>
      </c>
      <c r="Z73" s="138"/>
      <c r="AA73" s="103"/>
      <c r="AB73" s="27"/>
      <c r="AC73" s="27"/>
      <c r="AD73" s="27" t="str">
        <f t="shared" si="26"/>
        <v/>
      </c>
      <c r="AE73" s="121" t="str">
        <f t="shared" si="27"/>
        <v/>
      </c>
      <c r="AF73" s="121" t="str">
        <f t="shared" si="28"/>
        <v/>
      </c>
      <c r="AG73" s="27" t="str">
        <f>IF(AND(ISBLANK(AI73),AH73=""),"",1+MAX(AG$21:AG72))</f>
        <v/>
      </c>
      <c r="AH73" s="137" t="str">
        <f>IF(OR(AD73="",AD73=0,$H73="",$H73=0,NOT(ISNUMBER($H73)),NOT(ISNUMBER(AD73))),IF(AND($E73&lt;&gt;"",AND(OR(ISNUMBER(AD73),AD73=""),AND(ISNUMBER($H73),$H73&gt;0))),'Feuille de Donnée'!$K$13,""),IF(AD73&lt;$H$168*'Feuille de Donnée'!$I$9,"Négligeable",(IF(AND(AB73&gt;=$F73*(1-'Feuille de Donnée'!$E$12),AB73&lt;=$F73*(1+'Feuille de Donnée'!$F$12)),'Feuille de Donnée'!$F$17,IF(AB73&lt;$F73*(1-'Feuille de Donnée'!$E$12),'Feuille de Donnée'!$F$18,'Feuille de Donnée'!$F$16))&amp;""&amp;IF(AND(AC73&gt;=$G73*(1-'Feuille de Donnée'!$E$27),AC73&lt;=$G73*(1+'Feuille de Donnée'!$F$27)),'Feuille de Donnée'!$F$32,IF(AC73&lt;$G73*(1-'Feuille de Donnée'!$E$27),'Feuille de Donnée'!$F$33,'Feuille de Donnée'!$F$31)))))</f>
        <v/>
      </c>
      <c r="AI73" s="138"/>
      <c r="AJ73" s="103"/>
      <c r="AK73" s="27"/>
      <c r="AL73" s="27"/>
      <c r="AM73" s="27" t="str">
        <f t="shared" si="29"/>
        <v/>
      </c>
      <c r="AN73" s="121" t="str">
        <f t="shared" si="30"/>
        <v/>
      </c>
      <c r="AO73" s="121" t="str">
        <f t="shared" si="31"/>
        <v/>
      </c>
      <c r="AP73" s="27" t="str">
        <f>IF(AND(ISBLANK(AR73),AQ73=""),"",1+MAX(AP$21:AP72))</f>
        <v/>
      </c>
      <c r="AQ73" s="137" t="str">
        <f>IF(OR(AM73="",AM73=0,$H73="",$H73=0,NOT(ISNUMBER($H73)),NOT(ISNUMBER(AM73))),IF(AND($E73&lt;&gt;"",AND(OR(ISNUMBER(AM73),AM73=""),AND(ISNUMBER($H73),$H73&gt;0))),'Feuille de Donnée'!$K$13,""),IF(AM73&lt;$H$168*'Feuille de Donnée'!$I$9,"Négligeable",(IF(AND(AK73&gt;=$F73*(1-'Feuille de Donnée'!$E$12),AK73&lt;=$F73*(1+'Feuille de Donnée'!$F$12)),'Feuille de Donnée'!$F$17,IF(AK73&lt;$F73*(1-'Feuille de Donnée'!$E$12),'Feuille de Donnée'!$F$18,'Feuille de Donnée'!$F$16))&amp;""&amp;IF(AND(AL73&gt;=$G73*(1-'Feuille de Donnée'!$E$27),AL73&lt;=$G73*(1+'Feuille de Donnée'!$F$27)),'Feuille de Donnée'!$F$32,IF(AL73&lt;$G73*(1-'Feuille de Donnée'!$E$27),'Feuille de Donnée'!$F$33,'Feuille de Donnée'!$F$31)))))</f>
        <v/>
      </c>
      <c r="AR73" s="138"/>
      <c r="AS73" s="103"/>
      <c r="AT73" s="27"/>
      <c r="AU73" s="27"/>
      <c r="AV73" s="27" t="str">
        <f t="shared" si="32"/>
        <v/>
      </c>
      <c r="AW73" s="121" t="str">
        <f t="shared" si="33"/>
        <v/>
      </c>
      <c r="AX73" s="121" t="str">
        <f t="shared" si="34"/>
        <v/>
      </c>
      <c r="AY73" s="27" t="str">
        <f>IF(AND(ISBLANK(BA73),AZ73=""),"",1+MAX(AY$21:AY72))</f>
        <v/>
      </c>
      <c r="AZ73" s="137" t="str">
        <f>IF(OR(AV73="",AV73=0,$H73="",$H73=0,NOT(ISNUMBER($H73)),NOT(ISNUMBER(AV73))),IF(AND($E73&lt;&gt;"",AND(OR(ISNUMBER(AV73),AV73=""),AND(ISNUMBER($H73),$H73&gt;0))),'Feuille de Donnée'!$K$13,""),IF(AV73&lt;$H$168*'Feuille de Donnée'!$I$9,"Négligeable",(IF(AND(AT73&gt;=$F73*(1-'Feuille de Donnée'!$E$12),AT73&lt;=$F73*(1+'Feuille de Donnée'!$F$12)),'Feuille de Donnée'!$F$17,IF(AT73&lt;$F73*(1-'Feuille de Donnée'!$E$12),'Feuille de Donnée'!$F$18,'Feuille de Donnée'!$F$16))&amp;""&amp;IF(AND(AU73&gt;=$G73*(1-'Feuille de Donnée'!$E$27),AU73&lt;=$G73*(1+'Feuille de Donnée'!$F$27)),'Feuille de Donnée'!$F$32,IF(AU73&lt;$G73*(1-'Feuille de Donnée'!$E$27),'Feuille de Donnée'!$F$33,'Feuille de Donnée'!$F$31)))))</f>
        <v/>
      </c>
      <c r="BA73" s="138"/>
      <c r="BB73" s="103"/>
      <c r="BC73" s="27"/>
      <c r="BD73" s="27"/>
      <c r="BE73" s="27" t="str">
        <f t="shared" si="35"/>
        <v/>
      </c>
      <c r="BF73" s="121" t="str">
        <f t="shared" si="36"/>
        <v/>
      </c>
      <c r="BG73" s="121" t="str">
        <f t="shared" si="37"/>
        <v/>
      </c>
      <c r="BH73" s="27" t="str">
        <f>IF(AND(ISBLANK(BJ73),BI73=""),"",1+MAX(BH$21:BH72))</f>
        <v/>
      </c>
      <c r="BI73" s="137" t="str">
        <f>IF(OR(BE73="",BE73=0,$H73="",$H73=0,NOT(ISNUMBER($H73)),NOT(ISNUMBER(BE73))),IF(AND($E73&lt;&gt;"",AND(OR(ISNUMBER(BE73),BE73=""),AND(ISNUMBER($H73),$H73&gt;0))),'Feuille de Donnée'!$K$13,""),IF(BE73&lt;$H$168*'Feuille de Donnée'!$I$9,"Négligeable",(IF(AND(BC73&gt;=$F73*(1-'Feuille de Donnée'!$E$12),BC73&lt;=$F73*(1+'Feuille de Donnée'!$F$12)),'Feuille de Donnée'!$F$17,IF(BC73&lt;$F73*(1-'Feuille de Donnée'!$E$12),'Feuille de Donnée'!$F$18,'Feuille de Donnée'!$F$16))&amp;""&amp;IF(AND(BD73&gt;=$G73*(1-'Feuille de Donnée'!$E$27),BD73&lt;=$G73*(1+'Feuille de Donnée'!$F$27)),'Feuille de Donnée'!$F$32,IF(BD73&lt;$G73*(1-'Feuille de Donnée'!$E$27),'Feuille de Donnée'!$F$33,'Feuille de Donnée'!$F$31)))))</f>
        <v/>
      </c>
      <c r="BJ73" s="138"/>
      <c r="BK73" s="140"/>
    </row>
    <row r="74" spans="1:63" s="6" customFormat="1" x14ac:dyDescent="0.3">
      <c r="A74" s="23"/>
      <c r="B74" s="24"/>
      <c r="C74" s="24"/>
      <c r="D74" s="24"/>
      <c r="E74" s="22"/>
      <c r="F74" s="25"/>
      <c r="G74" s="26"/>
      <c r="H74" s="102" t="str">
        <f t="shared" si="19"/>
        <v/>
      </c>
      <c r="I74" s="103"/>
      <c r="J74" s="27"/>
      <c r="K74" s="27"/>
      <c r="L74" s="27" t="str">
        <f t="shared" si="20"/>
        <v/>
      </c>
      <c r="M74" s="121" t="str">
        <f t="shared" si="21"/>
        <v/>
      </c>
      <c r="N74" s="121" t="str">
        <f t="shared" si="22"/>
        <v/>
      </c>
      <c r="O74" s="27" t="str">
        <f>IF(AND(ISBLANK(Q74),P74=""),"",1+MAX(O$21:O73))</f>
        <v/>
      </c>
      <c r="P74" s="137" t="str">
        <f>IF(OR(L74="",L74=0,$H74="",$H74=0,NOT(ISNUMBER($H74)),NOT(ISNUMBER(L74))),IF(AND($E74&lt;&gt;"",AND(OR(ISNUMBER(L74),L74=""),AND(ISNUMBER($H74),$H74&gt;0))),'Feuille de Donnée'!$K$13,""),IF(L74&lt;$H$168*'Feuille de Donnée'!$I$9,"Négligeable",(IF(AND(J74&gt;=$F74*(1-'Feuille de Donnée'!$E$12),J74&lt;=$F74*(1+'Feuille de Donnée'!$F$12)),'Feuille de Donnée'!$F$17,IF(J74&lt;$F74*(1-'Feuille de Donnée'!$E$12),'Feuille de Donnée'!$F$18,'Feuille de Donnée'!$F$16))&amp;""&amp;IF(AND(K74&gt;=$G74*(1-'Feuille de Donnée'!$E$27),K74&lt;=$G74*(1+'Feuille de Donnée'!$F$27)),'Feuille de Donnée'!$F$32,IF(K74&lt;$G74*(1-'Feuille de Donnée'!$E$27),'Feuille de Donnée'!$F$33,'Feuille de Donnée'!$F$31)))))</f>
        <v/>
      </c>
      <c r="Q74" s="138"/>
      <c r="R74" s="103"/>
      <c r="S74" s="27"/>
      <c r="T74" s="27"/>
      <c r="U74" s="27" t="str">
        <f t="shared" si="23"/>
        <v/>
      </c>
      <c r="V74" s="121" t="str">
        <f t="shared" si="24"/>
        <v/>
      </c>
      <c r="W74" s="121" t="str">
        <f t="shared" si="25"/>
        <v/>
      </c>
      <c r="X74" s="27" t="str">
        <f>IF(AND(ISBLANK(Z74),Y74=""),"",1+MAX(X$21:X73))</f>
        <v/>
      </c>
      <c r="Y74" s="137" t="str">
        <f>IF(OR(U74="",U74=0,$H74="",$H74=0,NOT(ISNUMBER($H74)),NOT(ISNUMBER(U74))),IF(AND($E74&lt;&gt;"",AND(OR(ISNUMBER(U74),U74=""),AND(ISNUMBER($H74),$H74&gt;0))),'Feuille de Donnée'!$K$13,""),IF(U74&lt;$H$168*'Feuille de Donnée'!$I$9,"Négligeable",(IF(AND(S74&gt;=$F74*(1-'Feuille de Donnée'!$E$12),S74&lt;=$F74*(1+'Feuille de Donnée'!$F$12)),'Feuille de Donnée'!$F$17,IF(S74&lt;$F74*(1-'Feuille de Donnée'!$E$12),'Feuille de Donnée'!$F$18,'Feuille de Donnée'!$F$16))&amp;""&amp;IF(AND(T74&gt;=$G74*(1-'Feuille de Donnée'!$E$27),T74&lt;=$G74*(1+'Feuille de Donnée'!$F$27)),'Feuille de Donnée'!$F$32,IF(T74&lt;$G74*(1-'Feuille de Donnée'!$E$27),'Feuille de Donnée'!$F$33,'Feuille de Donnée'!$F$31)))))</f>
        <v/>
      </c>
      <c r="Z74" s="138"/>
      <c r="AA74" s="103"/>
      <c r="AB74" s="27"/>
      <c r="AC74" s="27"/>
      <c r="AD74" s="27" t="str">
        <f t="shared" si="26"/>
        <v/>
      </c>
      <c r="AE74" s="121" t="str">
        <f t="shared" si="27"/>
        <v/>
      </c>
      <c r="AF74" s="121" t="str">
        <f t="shared" si="28"/>
        <v/>
      </c>
      <c r="AG74" s="27" t="str">
        <f>IF(AND(ISBLANK(AI74),AH74=""),"",1+MAX(AG$21:AG73))</f>
        <v/>
      </c>
      <c r="AH74" s="137" t="str">
        <f>IF(OR(AD74="",AD74=0,$H74="",$H74=0,NOT(ISNUMBER($H74)),NOT(ISNUMBER(AD74))),IF(AND($E74&lt;&gt;"",AND(OR(ISNUMBER(AD74),AD74=""),AND(ISNUMBER($H74),$H74&gt;0))),'Feuille de Donnée'!$K$13,""),IF(AD74&lt;$H$168*'Feuille de Donnée'!$I$9,"Négligeable",(IF(AND(AB74&gt;=$F74*(1-'Feuille de Donnée'!$E$12),AB74&lt;=$F74*(1+'Feuille de Donnée'!$F$12)),'Feuille de Donnée'!$F$17,IF(AB74&lt;$F74*(1-'Feuille de Donnée'!$E$12),'Feuille de Donnée'!$F$18,'Feuille de Donnée'!$F$16))&amp;""&amp;IF(AND(AC74&gt;=$G74*(1-'Feuille de Donnée'!$E$27),AC74&lt;=$G74*(1+'Feuille de Donnée'!$F$27)),'Feuille de Donnée'!$F$32,IF(AC74&lt;$G74*(1-'Feuille de Donnée'!$E$27),'Feuille de Donnée'!$F$33,'Feuille de Donnée'!$F$31)))))</f>
        <v/>
      </c>
      <c r="AI74" s="138"/>
      <c r="AJ74" s="103"/>
      <c r="AK74" s="27"/>
      <c r="AL74" s="27"/>
      <c r="AM74" s="27" t="str">
        <f t="shared" si="29"/>
        <v/>
      </c>
      <c r="AN74" s="121" t="str">
        <f t="shared" si="30"/>
        <v/>
      </c>
      <c r="AO74" s="121" t="str">
        <f t="shared" si="31"/>
        <v/>
      </c>
      <c r="AP74" s="27" t="str">
        <f>IF(AND(ISBLANK(AR74),AQ74=""),"",1+MAX(AP$21:AP73))</f>
        <v/>
      </c>
      <c r="AQ74" s="137" t="str">
        <f>IF(OR(AM74="",AM74=0,$H74="",$H74=0,NOT(ISNUMBER($H74)),NOT(ISNUMBER(AM74))),IF(AND($E74&lt;&gt;"",AND(OR(ISNUMBER(AM74),AM74=""),AND(ISNUMBER($H74),$H74&gt;0))),'Feuille de Donnée'!$K$13,""),IF(AM74&lt;$H$168*'Feuille de Donnée'!$I$9,"Négligeable",(IF(AND(AK74&gt;=$F74*(1-'Feuille de Donnée'!$E$12),AK74&lt;=$F74*(1+'Feuille de Donnée'!$F$12)),'Feuille de Donnée'!$F$17,IF(AK74&lt;$F74*(1-'Feuille de Donnée'!$E$12),'Feuille de Donnée'!$F$18,'Feuille de Donnée'!$F$16))&amp;""&amp;IF(AND(AL74&gt;=$G74*(1-'Feuille de Donnée'!$E$27),AL74&lt;=$G74*(1+'Feuille de Donnée'!$F$27)),'Feuille de Donnée'!$F$32,IF(AL74&lt;$G74*(1-'Feuille de Donnée'!$E$27),'Feuille de Donnée'!$F$33,'Feuille de Donnée'!$F$31)))))</f>
        <v/>
      </c>
      <c r="AR74" s="138"/>
      <c r="AS74" s="103"/>
      <c r="AT74" s="27"/>
      <c r="AU74" s="27"/>
      <c r="AV74" s="27" t="str">
        <f t="shared" si="32"/>
        <v/>
      </c>
      <c r="AW74" s="121" t="str">
        <f t="shared" si="33"/>
        <v/>
      </c>
      <c r="AX74" s="121" t="str">
        <f t="shared" si="34"/>
        <v/>
      </c>
      <c r="AY74" s="27" t="str">
        <f>IF(AND(ISBLANK(BA74),AZ74=""),"",1+MAX(AY$21:AY73))</f>
        <v/>
      </c>
      <c r="AZ74" s="137" t="str">
        <f>IF(OR(AV74="",AV74=0,$H74="",$H74=0,NOT(ISNUMBER($H74)),NOT(ISNUMBER(AV74))),IF(AND($E74&lt;&gt;"",AND(OR(ISNUMBER(AV74),AV74=""),AND(ISNUMBER($H74),$H74&gt;0))),'Feuille de Donnée'!$K$13,""),IF(AV74&lt;$H$168*'Feuille de Donnée'!$I$9,"Négligeable",(IF(AND(AT74&gt;=$F74*(1-'Feuille de Donnée'!$E$12),AT74&lt;=$F74*(1+'Feuille de Donnée'!$F$12)),'Feuille de Donnée'!$F$17,IF(AT74&lt;$F74*(1-'Feuille de Donnée'!$E$12),'Feuille de Donnée'!$F$18,'Feuille de Donnée'!$F$16))&amp;""&amp;IF(AND(AU74&gt;=$G74*(1-'Feuille de Donnée'!$E$27),AU74&lt;=$G74*(1+'Feuille de Donnée'!$F$27)),'Feuille de Donnée'!$F$32,IF(AU74&lt;$G74*(1-'Feuille de Donnée'!$E$27),'Feuille de Donnée'!$F$33,'Feuille de Donnée'!$F$31)))))</f>
        <v/>
      </c>
      <c r="BA74" s="138"/>
      <c r="BB74" s="103"/>
      <c r="BC74" s="27"/>
      <c r="BD74" s="27"/>
      <c r="BE74" s="27" t="str">
        <f t="shared" si="35"/>
        <v/>
      </c>
      <c r="BF74" s="121" t="str">
        <f t="shared" si="36"/>
        <v/>
      </c>
      <c r="BG74" s="121" t="str">
        <f t="shared" si="37"/>
        <v/>
      </c>
      <c r="BH74" s="27" t="str">
        <f>IF(AND(ISBLANK(BJ74),BI74=""),"",1+MAX(BH$21:BH73))</f>
        <v/>
      </c>
      <c r="BI74" s="137" t="str">
        <f>IF(OR(BE74="",BE74=0,$H74="",$H74=0,NOT(ISNUMBER($H74)),NOT(ISNUMBER(BE74))),IF(AND($E74&lt;&gt;"",AND(OR(ISNUMBER(BE74),BE74=""),AND(ISNUMBER($H74),$H74&gt;0))),'Feuille de Donnée'!$K$13,""),IF(BE74&lt;$H$168*'Feuille de Donnée'!$I$9,"Négligeable",(IF(AND(BC74&gt;=$F74*(1-'Feuille de Donnée'!$E$12),BC74&lt;=$F74*(1+'Feuille de Donnée'!$F$12)),'Feuille de Donnée'!$F$17,IF(BC74&lt;$F74*(1-'Feuille de Donnée'!$E$12),'Feuille de Donnée'!$F$18,'Feuille de Donnée'!$F$16))&amp;""&amp;IF(AND(BD74&gt;=$G74*(1-'Feuille de Donnée'!$E$27),BD74&lt;=$G74*(1+'Feuille de Donnée'!$F$27)),'Feuille de Donnée'!$F$32,IF(BD74&lt;$G74*(1-'Feuille de Donnée'!$E$27),'Feuille de Donnée'!$F$33,'Feuille de Donnée'!$F$31)))))</f>
        <v/>
      </c>
      <c r="BJ74" s="138"/>
      <c r="BK74" s="140"/>
    </row>
    <row r="75" spans="1:63" s="6" customFormat="1" x14ac:dyDescent="0.3">
      <c r="A75" s="23"/>
      <c r="B75" s="24"/>
      <c r="C75" s="24"/>
      <c r="D75" s="24"/>
      <c r="E75" s="22"/>
      <c r="F75" s="25"/>
      <c r="G75" s="26"/>
      <c r="H75" s="102" t="str">
        <f t="shared" si="19"/>
        <v/>
      </c>
      <c r="I75" s="103"/>
      <c r="J75" s="27"/>
      <c r="K75" s="27"/>
      <c r="L75" s="27" t="str">
        <f t="shared" si="20"/>
        <v/>
      </c>
      <c r="M75" s="121" t="str">
        <f t="shared" si="21"/>
        <v/>
      </c>
      <c r="N75" s="121" t="str">
        <f t="shared" si="22"/>
        <v/>
      </c>
      <c r="O75" s="27" t="str">
        <f>IF(AND(ISBLANK(Q75),P75=""),"",1+MAX(O$21:O74))</f>
        <v/>
      </c>
      <c r="P75" s="137" t="str">
        <f>IF(OR(L75="",L75=0,$H75="",$H75=0,NOT(ISNUMBER($H75)),NOT(ISNUMBER(L75))),IF(AND($E75&lt;&gt;"",AND(OR(ISNUMBER(L75),L75=""),AND(ISNUMBER($H75),$H75&gt;0))),'Feuille de Donnée'!$K$13,""),IF(L75&lt;$H$168*'Feuille de Donnée'!$I$9,"Négligeable",(IF(AND(J75&gt;=$F75*(1-'Feuille de Donnée'!$E$12),J75&lt;=$F75*(1+'Feuille de Donnée'!$F$12)),'Feuille de Donnée'!$F$17,IF(J75&lt;$F75*(1-'Feuille de Donnée'!$E$12),'Feuille de Donnée'!$F$18,'Feuille de Donnée'!$F$16))&amp;""&amp;IF(AND(K75&gt;=$G75*(1-'Feuille de Donnée'!$E$27),K75&lt;=$G75*(1+'Feuille de Donnée'!$F$27)),'Feuille de Donnée'!$F$32,IF(K75&lt;$G75*(1-'Feuille de Donnée'!$E$27),'Feuille de Donnée'!$F$33,'Feuille de Donnée'!$F$31)))))</f>
        <v/>
      </c>
      <c r="Q75" s="138"/>
      <c r="R75" s="103"/>
      <c r="S75" s="27"/>
      <c r="T75" s="27"/>
      <c r="U75" s="27" t="str">
        <f t="shared" si="23"/>
        <v/>
      </c>
      <c r="V75" s="121" t="str">
        <f t="shared" si="24"/>
        <v/>
      </c>
      <c r="W75" s="121" t="str">
        <f t="shared" si="25"/>
        <v/>
      </c>
      <c r="X75" s="27" t="str">
        <f>IF(AND(ISBLANK(Z75),Y75=""),"",1+MAX(X$21:X74))</f>
        <v/>
      </c>
      <c r="Y75" s="137" t="str">
        <f>IF(OR(U75="",U75=0,$H75="",$H75=0,NOT(ISNUMBER($H75)),NOT(ISNUMBER(U75))),IF(AND($E75&lt;&gt;"",AND(OR(ISNUMBER(U75),U75=""),AND(ISNUMBER($H75),$H75&gt;0))),'Feuille de Donnée'!$K$13,""),IF(U75&lt;$H$168*'Feuille de Donnée'!$I$9,"Négligeable",(IF(AND(S75&gt;=$F75*(1-'Feuille de Donnée'!$E$12),S75&lt;=$F75*(1+'Feuille de Donnée'!$F$12)),'Feuille de Donnée'!$F$17,IF(S75&lt;$F75*(1-'Feuille de Donnée'!$E$12),'Feuille de Donnée'!$F$18,'Feuille de Donnée'!$F$16))&amp;""&amp;IF(AND(T75&gt;=$G75*(1-'Feuille de Donnée'!$E$27),T75&lt;=$G75*(1+'Feuille de Donnée'!$F$27)),'Feuille de Donnée'!$F$32,IF(T75&lt;$G75*(1-'Feuille de Donnée'!$E$27),'Feuille de Donnée'!$F$33,'Feuille de Donnée'!$F$31)))))</f>
        <v/>
      </c>
      <c r="Z75" s="138"/>
      <c r="AA75" s="103"/>
      <c r="AB75" s="27"/>
      <c r="AC75" s="27"/>
      <c r="AD75" s="27" t="str">
        <f t="shared" si="26"/>
        <v/>
      </c>
      <c r="AE75" s="121" t="str">
        <f t="shared" si="27"/>
        <v/>
      </c>
      <c r="AF75" s="121" t="str">
        <f t="shared" si="28"/>
        <v/>
      </c>
      <c r="AG75" s="27" t="str">
        <f>IF(AND(ISBLANK(AI75),AH75=""),"",1+MAX(AG$21:AG74))</f>
        <v/>
      </c>
      <c r="AH75" s="137" t="str">
        <f>IF(OR(AD75="",AD75=0,$H75="",$H75=0,NOT(ISNUMBER($H75)),NOT(ISNUMBER(AD75))),IF(AND($E75&lt;&gt;"",AND(OR(ISNUMBER(AD75),AD75=""),AND(ISNUMBER($H75),$H75&gt;0))),'Feuille de Donnée'!$K$13,""),IF(AD75&lt;$H$168*'Feuille de Donnée'!$I$9,"Négligeable",(IF(AND(AB75&gt;=$F75*(1-'Feuille de Donnée'!$E$12),AB75&lt;=$F75*(1+'Feuille de Donnée'!$F$12)),'Feuille de Donnée'!$F$17,IF(AB75&lt;$F75*(1-'Feuille de Donnée'!$E$12),'Feuille de Donnée'!$F$18,'Feuille de Donnée'!$F$16))&amp;""&amp;IF(AND(AC75&gt;=$G75*(1-'Feuille de Donnée'!$E$27),AC75&lt;=$G75*(1+'Feuille de Donnée'!$F$27)),'Feuille de Donnée'!$F$32,IF(AC75&lt;$G75*(1-'Feuille de Donnée'!$E$27),'Feuille de Donnée'!$F$33,'Feuille de Donnée'!$F$31)))))</f>
        <v/>
      </c>
      <c r="AI75" s="138"/>
      <c r="AJ75" s="103"/>
      <c r="AK75" s="27"/>
      <c r="AL75" s="27"/>
      <c r="AM75" s="27" t="str">
        <f t="shared" si="29"/>
        <v/>
      </c>
      <c r="AN75" s="121" t="str">
        <f t="shared" si="30"/>
        <v/>
      </c>
      <c r="AO75" s="121" t="str">
        <f t="shared" si="31"/>
        <v/>
      </c>
      <c r="AP75" s="27" t="str">
        <f>IF(AND(ISBLANK(AR75),AQ75=""),"",1+MAX(AP$21:AP74))</f>
        <v/>
      </c>
      <c r="AQ75" s="137" t="str">
        <f>IF(OR(AM75="",AM75=0,$H75="",$H75=0,NOT(ISNUMBER($H75)),NOT(ISNUMBER(AM75))),IF(AND($E75&lt;&gt;"",AND(OR(ISNUMBER(AM75),AM75=""),AND(ISNUMBER($H75),$H75&gt;0))),'Feuille de Donnée'!$K$13,""),IF(AM75&lt;$H$168*'Feuille de Donnée'!$I$9,"Négligeable",(IF(AND(AK75&gt;=$F75*(1-'Feuille de Donnée'!$E$12),AK75&lt;=$F75*(1+'Feuille de Donnée'!$F$12)),'Feuille de Donnée'!$F$17,IF(AK75&lt;$F75*(1-'Feuille de Donnée'!$E$12),'Feuille de Donnée'!$F$18,'Feuille de Donnée'!$F$16))&amp;""&amp;IF(AND(AL75&gt;=$G75*(1-'Feuille de Donnée'!$E$27),AL75&lt;=$G75*(1+'Feuille de Donnée'!$F$27)),'Feuille de Donnée'!$F$32,IF(AL75&lt;$G75*(1-'Feuille de Donnée'!$E$27),'Feuille de Donnée'!$F$33,'Feuille de Donnée'!$F$31)))))</f>
        <v/>
      </c>
      <c r="AR75" s="138"/>
      <c r="AS75" s="103"/>
      <c r="AT75" s="27"/>
      <c r="AU75" s="27"/>
      <c r="AV75" s="27" t="str">
        <f t="shared" si="32"/>
        <v/>
      </c>
      <c r="AW75" s="121" t="str">
        <f t="shared" si="33"/>
        <v/>
      </c>
      <c r="AX75" s="121" t="str">
        <f t="shared" si="34"/>
        <v/>
      </c>
      <c r="AY75" s="27" t="str">
        <f>IF(AND(ISBLANK(BA75),AZ75=""),"",1+MAX(AY$21:AY74))</f>
        <v/>
      </c>
      <c r="AZ75" s="137" t="str">
        <f>IF(OR(AV75="",AV75=0,$H75="",$H75=0,NOT(ISNUMBER($H75)),NOT(ISNUMBER(AV75))),IF(AND($E75&lt;&gt;"",AND(OR(ISNUMBER(AV75),AV75=""),AND(ISNUMBER($H75),$H75&gt;0))),'Feuille de Donnée'!$K$13,""),IF(AV75&lt;$H$168*'Feuille de Donnée'!$I$9,"Négligeable",(IF(AND(AT75&gt;=$F75*(1-'Feuille de Donnée'!$E$12),AT75&lt;=$F75*(1+'Feuille de Donnée'!$F$12)),'Feuille de Donnée'!$F$17,IF(AT75&lt;$F75*(1-'Feuille de Donnée'!$E$12),'Feuille de Donnée'!$F$18,'Feuille de Donnée'!$F$16))&amp;""&amp;IF(AND(AU75&gt;=$G75*(1-'Feuille de Donnée'!$E$27),AU75&lt;=$G75*(1+'Feuille de Donnée'!$F$27)),'Feuille de Donnée'!$F$32,IF(AU75&lt;$G75*(1-'Feuille de Donnée'!$E$27),'Feuille de Donnée'!$F$33,'Feuille de Donnée'!$F$31)))))</f>
        <v/>
      </c>
      <c r="BA75" s="138"/>
      <c r="BB75" s="103"/>
      <c r="BC75" s="27"/>
      <c r="BD75" s="27"/>
      <c r="BE75" s="27" t="str">
        <f t="shared" si="35"/>
        <v/>
      </c>
      <c r="BF75" s="121" t="str">
        <f t="shared" si="36"/>
        <v/>
      </c>
      <c r="BG75" s="121" t="str">
        <f t="shared" si="37"/>
        <v/>
      </c>
      <c r="BH75" s="27" t="str">
        <f>IF(AND(ISBLANK(BJ75),BI75=""),"",1+MAX(BH$21:BH74))</f>
        <v/>
      </c>
      <c r="BI75" s="137" t="str">
        <f>IF(OR(BE75="",BE75=0,$H75="",$H75=0,NOT(ISNUMBER($H75)),NOT(ISNUMBER(BE75))),IF(AND($E75&lt;&gt;"",AND(OR(ISNUMBER(BE75),BE75=""),AND(ISNUMBER($H75),$H75&gt;0))),'Feuille de Donnée'!$K$13,""),IF(BE75&lt;$H$168*'Feuille de Donnée'!$I$9,"Négligeable",(IF(AND(BC75&gt;=$F75*(1-'Feuille de Donnée'!$E$12),BC75&lt;=$F75*(1+'Feuille de Donnée'!$F$12)),'Feuille de Donnée'!$F$17,IF(BC75&lt;$F75*(1-'Feuille de Donnée'!$E$12),'Feuille de Donnée'!$F$18,'Feuille de Donnée'!$F$16))&amp;""&amp;IF(AND(BD75&gt;=$G75*(1-'Feuille de Donnée'!$E$27),BD75&lt;=$G75*(1+'Feuille de Donnée'!$F$27)),'Feuille de Donnée'!$F$32,IF(BD75&lt;$G75*(1-'Feuille de Donnée'!$E$27),'Feuille de Donnée'!$F$33,'Feuille de Donnée'!$F$31)))))</f>
        <v/>
      </c>
      <c r="BJ75" s="138"/>
      <c r="BK75" s="140"/>
    </row>
    <row r="76" spans="1:63" s="6" customFormat="1" x14ac:dyDescent="0.3">
      <c r="A76" s="23"/>
      <c r="B76" s="24"/>
      <c r="C76" s="24"/>
      <c r="D76" s="24"/>
      <c r="E76" s="22"/>
      <c r="F76" s="25"/>
      <c r="G76" s="26"/>
      <c r="H76" s="102" t="str">
        <f t="shared" si="19"/>
        <v/>
      </c>
      <c r="I76" s="103"/>
      <c r="J76" s="27"/>
      <c r="K76" s="27"/>
      <c r="L76" s="27" t="str">
        <f t="shared" si="20"/>
        <v/>
      </c>
      <c r="M76" s="121" t="str">
        <f t="shared" si="21"/>
        <v/>
      </c>
      <c r="N76" s="121" t="str">
        <f t="shared" si="22"/>
        <v/>
      </c>
      <c r="O76" s="27" t="str">
        <f>IF(AND(ISBLANK(Q76),P76=""),"",1+MAX(O$21:O75))</f>
        <v/>
      </c>
      <c r="P76" s="137" t="str">
        <f>IF(OR(L76="",L76=0,$H76="",$H76=0,NOT(ISNUMBER($H76)),NOT(ISNUMBER(L76))),IF(AND($E76&lt;&gt;"",AND(OR(ISNUMBER(L76),L76=""),AND(ISNUMBER($H76),$H76&gt;0))),'Feuille de Donnée'!$K$13,""),IF(L76&lt;$H$168*'Feuille de Donnée'!$I$9,"Négligeable",(IF(AND(J76&gt;=$F76*(1-'Feuille de Donnée'!$E$12),J76&lt;=$F76*(1+'Feuille de Donnée'!$F$12)),'Feuille de Donnée'!$F$17,IF(J76&lt;$F76*(1-'Feuille de Donnée'!$E$12),'Feuille de Donnée'!$F$18,'Feuille de Donnée'!$F$16))&amp;""&amp;IF(AND(K76&gt;=$G76*(1-'Feuille de Donnée'!$E$27),K76&lt;=$G76*(1+'Feuille de Donnée'!$F$27)),'Feuille de Donnée'!$F$32,IF(K76&lt;$G76*(1-'Feuille de Donnée'!$E$27),'Feuille de Donnée'!$F$33,'Feuille de Donnée'!$F$31)))))</f>
        <v/>
      </c>
      <c r="Q76" s="138"/>
      <c r="R76" s="103"/>
      <c r="S76" s="27"/>
      <c r="T76" s="27"/>
      <c r="U76" s="27" t="str">
        <f t="shared" si="23"/>
        <v/>
      </c>
      <c r="V76" s="121" t="str">
        <f t="shared" si="24"/>
        <v/>
      </c>
      <c r="W76" s="121" t="str">
        <f t="shared" si="25"/>
        <v/>
      </c>
      <c r="X76" s="27" t="str">
        <f>IF(AND(ISBLANK(Z76),Y76=""),"",1+MAX(X$21:X75))</f>
        <v/>
      </c>
      <c r="Y76" s="137" t="str">
        <f>IF(OR(U76="",U76=0,$H76="",$H76=0,NOT(ISNUMBER($H76)),NOT(ISNUMBER(U76))),IF(AND($E76&lt;&gt;"",AND(OR(ISNUMBER(U76),U76=""),AND(ISNUMBER($H76),$H76&gt;0))),'Feuille de Donnée'!$K$13,""),IF(U76&lt;$H$168*'Feuille de Donnée'!$I$9,"Négligeable",(IF(AND(S76&gt;=$F76*(1-'Feuille de Donnée'!$E$12),S76&lt;=$F76*(1+'Feuille de Donnée'!$F$12)),'Feuille de Donnée'!$F$17,IF(S76&lt;$F76*(1-'Feuille de Donnée'!$E$12),'Feuille de Donnée'!$F$18,'Feuille de Donnée'!$F$16))&amp;""&amp;IF(AND(T76&gt;=$G76*(1-'Feuille de Donnée'!$E$27),T76&lt;=$G76*(1+'Feuille de Donnée'!$F$27)),'Feuille de Donnée'!$F$32,IF(T76&lt;$G76*(1-'Feuille de Donnée'!$E$27),'Feuille de Donnée'!$F$33,'Feuille de Donnée'!$F$31)))))</f>
        <v/>
      </c>
      <c r="Z76" s="138"/>
      <c r="AA76" s="103"/>
      <c r="AB76" s="27"/>
      <c r="AC76" s="27"/>
      <c r="AD76" s="27" t="str">
        <f t="shared" si="26"/>
        <v/>
      </c>
      <c r="AE76" s="121" t="str">
        <f t="shared" si="27"/>
        <v/>
      </c>
      <c r="AF76" s="121" t="str">
        <f t="shared" si="28"/>
        <v/>
      </c>
      <c r="AG76" s="27" t="str">
        <f>IF(AND(ISBLANK(AI76),AH76=""),"",1+MAX(AG$21:AG75))</f>
        <v/>
      </c>
      <c r="AH76" s="137" t="str">
        <f>IF(OR(AD76="",AD76=0,$H76="",$H76=0,NOT(ISNUMBER($H76)),NOT(ISNUMBER(AD76))),IF(AND($E76&lt;&gt;"",AND(OR(ISNUMBER(AD76),AD76=""),AND(ISNUMBER($H76),$H76&gt;0))),'Feuille de Donnée'!$K$13,""),IF(AD76&lt;$H$168*'Feuille de Donnée'!$I$9,"Négligeable",(IF(AND(AB76&gt;=$F76*(1-'Feuille de Donnée'!$E$12),AB76&lt;=$F76*(1+'Feuille de Donnée'!$F$12)),'Feuille de Donnée'!$F$17,IF(AB76&lt;$F76*(1-'Feuille de Donnée'!$E$12),'Feuille de Donnée'!$F$18,'Feuille de Donnée'!$F$16))&amp;""&amp;IF(AND(AC76&gt;=$G76*(1-'Feuille de Donnée'!$E$27),AC76&lt;=$G76*(1+'Feuille de Donnée'!$F$27)),'Feuille de Donnée'!$F$32,IF(AC76&lt;$G76*(1-'Feuille de Donnée'!$E$27),'Feuille de Donnée'!$F$33,'Feuille de Donnée'!$F$31)))))</f>
        <v/>
      </c>
      <c r="AI76" s="138"/>
      <c r="AJ76" s="103"/>
      <c r="AK76" s="27"/>
      <c r="AL76" s="27"/>
      <c r="AM76" s="27" t="str">
        <f t="shared" si="29"/>
        <v/>
      </c>
      <c r="AN76" s="121" t="str">
        <f t="shared" si="30"/>
        <v/>
      </c>
      <c r="AO76" s="121" t="str">
        <f t="shared" si="31"/>
        <v/>
      </c>
      <c r="AP76" s="27" t="str">
        <f>IF(AND(ISBLANK(AR76),AQ76=""),"",1+MAX(AP$21:AP75))</f>
        <v/>
      </c>
      <c r="AQ76" s="137" t="str">
        <f>IF(OR(AM76="",AM76=0,$H76="",$H76=0,NOT(ISNUMBER($H76)),NOT(ISNUMBER(AM76))),IF(AND($E76&lt;&gt;"",AND(OR(ISNUMBER(AM76),AM76=""),AND(ISNUMBER($H76),$H76&gt;0))),'Feuille de Donnée'!$K$13,""),IF(AM76&lt;$H$168*'Feuille de Donnée'!$I$9,"Négligeable",(IF(AND(AK76&gt;=$F76*(1-'Feuille de Donnée'!$E$12),AK76&lt;=$F76*(1+'Feuille de Donnée'!$F$12)),'Feuille de Donnée'!$F$17,IF(AK76&lt;$F76*(1-'Feuille de Donnée'!$E$12),'Feuille de Donnée'!$F$18,'Feuille de Donnée'!$F$16))&amp;""&amp;IF(AND(AL76&gt;=$G76*(1-'Feuille de Donnée'!$E$27),AL76&lt;=$G76*(1+'Feuille de Donnée'!$F$27)),'Feuille de Donnée'!$F$32,IF(AL76&lt;$G76*(1-'Feuille de Donnée'!$E$27),'Feuille de Donnée'!$F$33,'Feuille de Donnée'!$F$31)))))</f>
        <v/>
      </c>
      <c r="AR76" s="138"/>
      <c r="AS76" s="103"/>
      <c r="AT76" s="27"/>
      <c r="AU76" s="27"/>
      <c r="AV76" s="27" t="str">
        <f t="shared" si="32"/>
        <v/>
      </c>
      <c r="AW76" s="121" t="str">
        <f t="shared" si="33"/>
        <v/>
      </c>
      <c r="AX76" s="121" t="str">
        <f t="shared" si="34"/>
        <v/>
      </c>
      <c r="AY76" s="27" t="str">
        <f>IF(AND(ISBLANK(BA76),AZ76=""),"",1+MAX(AY$21:AY75))</f>
        <v/>
      </c>
      <c r="AZ76" s="137" t="str">
        <f>IF(OR(AV76="",AV76=0,$H76="",$H76=0,NOT(ISNUMBER($H76)),NOT(ISNUMBER(AV76))),IF(AND($E76&lt;&gt;"",AND(OR(ISNUMBER(AV76),AV76=""),AND(ISNUMBER($H76),$H76&gt;0))),'Feuille de Donnée'!$K$13,""),IF(AV76&lt;$H$168*'Feuille de Donnée'!$I$9,"Négligeable",(IF(AND(AT76&gt;=$F76*(1-'Feuille de Donnée'!$E$12),AT76&lt;=$F76*(1+'Feuille de Donnée'!$F$12)),'Feuille de Donnée'!$F$17,IF(AT76&lt;$F76*(1-'Feuille de Donnée'!$E$12),'Feuille de Donnée'!$F$18,'Feuille de Donnée'!$F$16))&amp;""&amp;IF(AND(AU76&gt;=$G76*(1-'Feuille de Donnée'!$E$27),AU76&lt;=$G76*(1+'Feuille de Donnée'!$F$27)),'Feuille de Donnée'!$F$32,IF(AU76&lt;$G76*(1-'Feuille de Donnée'!$E$27),'Feuille de Donnée'!$F$33,'Feuille de Donnée'!$F$31)))))</f>
        <v/>
      </c>
      <c r="BA76" s="138"/>
      <c r="BB76" s="103"/>
      <c r="BC76" s="27"/>
      <c r="BD76" s="27"/>
      <c r="BE76" s="27" t="str">
        <f t="shared" si="35"/>
        <v/>
      </c>
      <c r="BF76" s="121" t="str">
        <f t="shared" si="36"/>
        <v/>
      </c>
      <c r="BG76" s="121" t="str">
        <f t="shared" si="37"/>
        <v/>
      </c>
      <c r="BH76" s="27" t="str">
        <f>IF(AND(ISBLANK(BJ76),BI76=""),"",1+MAX(BH$21:BH75))</f>
        <v/>
      </c>
      <c r="BI76" s="137" t="str">
        <f>IF(OR(BE76="",BE76=0,$H76="",$H76=0,NOT(ISNUMBER($H76)),NOT(ISNUMBER(BE76))),IF(AND($E76&lt;&gt;"",AND(OR(ISNUMBER(BE76),BE76=""),AND(ISNUMBER($H76),$H76&gt;0))),'Feuille de Donnée'!$K$13,""),IF(BE76&lt;$H$168*'Feuille de Donnée'!$I$9,"Négligeable",(IF(AND(BC76&gt;=$F76*(1-'Feuille de Donnée'!$E$12),BC76&lt;=$F76*(1+'Feuille de Donnée'!$F$12)),'Feuille de Donnée'!$F$17,IF(BC76&lt;$F76*(1-'Feuille de Donnée'!$E$12),'Feuille de Donnée'!$F$18,'Feuille de Donnée'!$F$16))&amp;""&amp;IF(AND(BD76&gt;=$G76*(1-'Feuille de Donnée'!$E$27),BD76&lt;=$G76*(1+'Feuille de Donnée'!$F$27)),'Feuille de Donnée'!$F$32,IF(BD76&lt;$G76*(1-'Feuille de Donnée'!$E$27),'Feuille de Donnée'!$F$33,'Feuille de Donnée'!$F$31)))))</f>
        <v/>
      </c>
      <c r="BJ76" s="138"/>
      <c r="BK76" s="140"/>
    </row>
    <row r="77" spans="1:63" s="6" customFormat="1" x14ac:dyDescent="0.3">
      <c r="A77" s="23"/>
      <c r="B77" s="24"/>
      <c r="C77" s="24"/>
      <c r="D77" s="24"/>
      <c r="E77" s="22"/>
      <c r="F77" s="25"/>
      <c r="G77" s="26"/>
      <c r="H77" s="102" t="str">
        <f t="shared" si="19"/>
        <v/>
      </c>
      <c r="I77" s="103"/>
      <c r="J77" s="27"/>
      <c r="K77" s="27"/>
      <c r="L77" s="27" t="str">
        <f t="shared" si="20"/>
        <v/>
      </c>
      <c r="M77" s="121" t="str">
        <f t="shared" si="21"/>
        <v/>
      </c>
      <c r="N77" s="121" t="str">
        <f t="shared" si="22"/>
        <v/>
      </c>
      <c r="O77" s="27" t="str">
        <f>IF(AND(ISBLANK(Q77),P77=""),"",1+MAX(O$21:O76))</f>
        <v/>
      </c>
      <c r="P77" s="137" t="str">
        <f>IF(OR(L77="",L77=0,$H77="",$H77=0,NOT(ISNUMBER($H77)),NOT(ISNUMBER(L77))),IF(AND($E77&lt;&gt;"",AND(OR(ISNUMBER(L77),L77=""),AND(ISNUMBER($H77),$H77&gt;0))),'Feuille de Donnée'!$K$13,""),IF(L77&lt;$H$168*'Feuille de Donnée'!$I$9,"Négligeable",(IF(AND(J77&gt;=$F77*(1-'Feuille de Donnée'!$E$12),J77&lt;=$F77*(1+'Feuille de Donnée'!$F$12)),'Feuille de Donnée'!$F$17,IF(J77&lt;$F77*(1-'Feuille de Donnée'!$E$12),'Feuille de Donnée'!$F$18,'Feuille de Donnée'!$F$16))&amp;""&amp;IF(AND(K77&gt;=$G77*(1-'Feuille de Donnée'!$E$27),K77&lt;=$G77*(1+'Feuille de Donnée'!$F$27)),'Feuille de Donnée'!$F$32,IF(K77&lt;$G77*(1-'Feuille de Donnée'!$E$27),'Feuille de Donnée'!$F$33,'Feuille de Donnée'!$F$31)))))</f>
        <v/>
      </c>
      <c r="Q77" s="138"/>
      <c r="R77" s="103"/>
      <c r="S77" s="27"/>
      <c r="T77" s="27"/>
      <c r="U77" s="27" t="str">
        <f t="shared" si="23"/>
        <v/>
      </c>
      <c r="V77" s="121" t="str">
        <f t="shared" si="24"/>
        <v/>
      </c>
      <c r="W77" s="121" t="str">
        <f t="shared" si="25"/>
        <v/>
      </c>
      <c r="X77" s="27" t="str">
        <f>IF(AND(ISBLANK(Z77),Y77=""),"",1+MAX(X$21:X76))</f>
        <v/>
      </c>
      <c r="Y77" s="137" t="str">
        <f>IF(OR(U77="",U77=0,$H77="",$H77=0,NOT(ISNUMBER($H77)),NOT(ISNUMBER(U77))),IF(AND($E77&lt;&gt;"",AND(OR(ISNUMBER(U77),U77=""),AND(ISNUMBER($H77),$H77&gt;0))),'Feuille de Donnée'!$K$13,""),IF(U77&lt;$H$168*'Feuille de Donnée'!$I$9,"Négligeable",(IF(AND(S77&gt;=$F77*(1-'Feuille de Donnée'!$E$12),S77&lt;=$F77*(1+'Feuille de Donnée'!$F$12)),'Feuille de Donnée'!$F$17,IF(S77&lt;$F77*(1-'Feuille de Donnée'!$E$12),'Feuille de Donnée'!$F$18,'Feuille de Donnée'!$F$16))&amp;""&amp;IF(AND(T77&gt;=$G77*(1-'Feuille de Donnée'!$E$27),T77&lt;=$G77*(1+'Feuille de Donnée'!$F$27)),'Feuille de Donnée'!$F$32,IF(T77&lt;$G77*(1-'Feuille de Donnée'!$E$27),'Feuille de Donnée'!$F$33,'Feuille de Donnée'!$F$31)))))</f>
        <v/>
      </c>
      <c r="Z77" s="138"/>
      <c r="AA77" s="103"/>
      <c r="AB77" s="27"/>
      <c r="AC77" s="27"/>
      <c r="AD77" s="27" t="str">
        <f t="shared" si="26"/>
        <v/>
      </c>
      <c r="AE77" s="121" t="str">
        <f t="shared" si="27"/>
        <v/>
      </c>
      <c r="AF77" s="121" t="str">
        <f t="shared" si="28"/>
        <v/>
      </c>
      <c r="AG77" s="27" t="str">
        <f>IF(AND(ISBLANK(AI77),AH77=""),"",1+MAX(AG$21:AG76))</f>
        <v/>
      </c>
      <c r="AH77" s="137" t="str">
        <f>IF(OR(AD77="",AD77=0,$H77="",$H77=0,NOT(ISNUMBER($H77)),NOT(ISNUMBER(AD77))),IF(AND($E77&lt;&gt;"",AND(OR(ISNUMBER(AD77),AD77=""),AND(ISNUMBER($H77),$H77&gt;0))),'Feuille de Donnée'!$K$13,""),IF(AD77&lt;$H$168*'Feuille de Donnée'!$I$9,"Négligeable",(IF(AND(AB77&gt;=$F77*(1-'Feuille de Donnée'!$E$12),AB77&lt;=$F77*(1+'Feuille de Donnée'!$F$12)),'Feuille de Donnée'!$F$17,IF(AB77&lt;$F77*(1-'Feuille de Donnée'!$E$12),'Feuille de Donnée'!$F$18,'Feuille de Donnée'!$F$16))&amp;""&amp;IF(AND(AC77&gt;=$G77*(1-'Feuille de Donnée'!$E$27),AC77&lt;=$G77*(1+'Feuille de Donnée'!$F$27)),'Feuille de Donnée'!$F$32,IF(AC77&lt;$G77*(1-'Feuille de Donnée'!$E$27),'Feuille de Donnée'!$F$33,'Feuille de Donnée'!$F$31)))))</f>
        <v/>
      </c>
      <c r="AI77" s="138"/>
      <c r="AJ77" s="103"/>
      <c r="AK77" s="27"/>
      <c r="AL77" s="27"/>
      <c r="AM77" s="27" t="str">
        <f t="shared" si="29"/>
        <v/>
      </c>
      <c r="AN77" s="121" t="str">
        <f t="shared" si="30"/>
        <v/>
      </c>
      <c r="AO77" s="121" t="str">
        <f t="shared" si="31"/>
        <v/>
      </c>
      <c r="AP77" s="27" t="str">
        <f>IF(AND(ISBLANK(AR77),AQ77=""),"",1+MAX(AP$21:AP76))</f>
        <v/>
      </c>
      <c r="AQ77" s="137" t="str">
        <f>IF(OR(AM77="",AM77=0,$H77="",$H77=0,NOT(ISNUMBER($H77)),NOT(ISNUMBER(AM77))),IF(AND($E77&lt;&gt;"",AND(OR(ISNUMBER(AM77),AM77=""),AND(ISNUMBER($H77),$H77&gt;0))),'Feuille de Donnée'!$K$13,""),IF(AM77&lt;$H$168*'Feuille de Donnée'!$I$9,"Négligeable",(IF(AND(AK77&gt;=$F77*(1-'Feuille de Donnée'!$E$12),AK77&lt;=$F77*(1+'Feuille de Donnée'!$F$12)),'Feuille de Donnée'!$F$17,IF(AK77&lt;$F77*(1-'Feuille de Donnée'!$E$12),'Feuille de Donnée'!$F$18,'Feuille de Donnée'!$F$16))&amp;""&amp;IF(AND(AL77&gt;=$G77*(1-'Feuille de Donnée'!$E$27),AL77&lt;=$G77*(1+'Feuille de Donnée'!$F$27)),'Feuille de Donnée'!$F$32,IF(AL77&lt;$G77*(1-'Feuille de Donnée'!$E$27),'Feuille de Donnée'!$F$33,'Feuille de Donnée'!$F$31)))))</f>
        <v/>
      </c>
      <c r="AR77" s="138"/>
      <c r="AS77" s="103"/>
      <c r="AT77" s="27"/>
      <c r="AU77" s="27"/>
      <c r="AV77" s="27" t="str">
        <f t="shared" si="32"/>
        <v/>
      </c>
      <c r="AW77" s="121" t="str">
        <f t="shared" si="33"/>
        <v/>
      </c>
      <c r="AX77" s="121" t="str">
        <f t="shared" si="34"/>
        <v/>
      </c>
      <c r="AY77" s="27" t="str">
        <f>IF(AND(ISBLANK(BA77),AZ77=""),"",1+MAX(AY$21:AY76))</f>
        <v/>
      </c>
      <c r="AZ77" s="137" t="str">
        <f>IF(OR(AV77="",AV77=0,$H77="",$H77=0,NOT(ISNUMBER($H77)),NOT(ISNUMBER(AV77))),IF(AND($E77&lt;&gt;"",AND(OR(ISNUMBER(AV77),AV77=""),AND(ISNUMBER($H77),$H77&gt;0))),'Feuille de Donnée'!$K$13,""),IF(AV77&lt;$H$168*'Feuille de Donnée'!$I$9,"Négligeable",(IF(AND(AT77&gt;=$F77*(1-'Feuille de Donnée'!$E$12),AT77&lt;=$F77*(1+'Feuille de Donnée'!$F$12)),'Feuille de Donnée'!$F$17,IF(AT77&lt;$F77*(1-'Feuille de Donnée'!$E$12),'Feuille de Donnée'!$F$18,'Feuille de Donnée'!$F$16))&amp;""&amp;IF(AND(AU77&gt;=$G77*(1-'Feuille de Donnée'!$E$27),AU77&lt;=$G77*(1+'Feuille de Donnée'!$F$27)),'Feuille de Donnée'!$F$32,IF(AU77&lt;$G77*(1-'Feuille de Donnée'!$E$27),'Feuille de Donnée'!$F$33,'Feuille de Donnée'!$F$31)))))</f>
        <v/>
      </c>
      <c r="BA77" s="138"/>
      <c r="BB77" s="103"/>
      <c r="BC77" s="27"/>
      <c r="BD77" s="27"/>
      <c r="BE77" s="27" t="str">
        <f t="shared" si="35"/>
        <v/>
      </c>
      <c r="BF77" s="121" t="str">
        <f t="shared" si="36"/>
        <v/>
      </c>
      <c r="BG77" s="121" t="str">
        <f t="shared" si="37"/>
        <v/>
      </c>
      <c r="BH77" s="27" t="str">
        <f>IF(AND(ISBLANK(BJ77),BI77=""),"",1+MAX(BH$21:BH76))</f>
        <v/>
      </c>
      <c r="BI77" s="137" t="str">
        <f>IF(OR(BE77="",BE77=0,$H77="",$H77=0,NOT(ISNUMBER($H77)),NOT(ISNUMBER(BE77))),IF(AND($E77&lt;&gt;"",AND(OR(ISNUMBER(BE77),BE77=""),AND(ISNUMBER($H77),$H77&gt;0))),'Feuille de Donnée'!$K$13,""),IF(BE77&lt;$H$168*'Feuille de Donnée'!$I$9,"Négligeable",(IF(AND(BC77&gt;=$F77*(1-'Feuille de Donnée'!$E$12),BC77&lt;=$F77*(1+'Feuille de Donnée'!$F$12)),'Feuille de Donnée'!$F$17,IF(BC77&lt;$F77*(1-'Feuille de Donnée'!$E$12),'Feuille de Donnée'!$F$18,'Feuille de Donnée'!$F$16))&amp;""&amp;IF(AND(BD77&gt;=$G77*(1-'Feuille de Donnée'!$E$27),BD77&lt;=$G77*(1+'Feuille de Donnée'!$F$27)),'Feuille de Donnée'!$F$32,IF(BD77&lt;$G77*(1-'Feuille de Donnée'!$E$27),'Feuille de Donnée'!$F$33,'Feuille de Donnée'!$F$31)))))</f>
        <v/>
      </c>
      <c r="BJ77" s="138"/>
      <c r="BK77" s="140"/>
    </row>
    <row r="78" spans="1:63" s="6" customFormat="1" x14ac:dyDescent="0.3">
      <c r="A78" s="23"/>
      <c r="B78" s="24"/>
      <c r="C78" s="24"/>
      <c r="D78" s="24"/>
      <c r="E78" s="22"/>
      <c r="F78" s="25"/>
      <c r="G78" s="26"/>
      <c r="H78" s="102" t="str">
        <f t="shared" si="19"/>
        <v/>
      </c>
      <c r="I78" s="103"/>
      <c r="J78" s="27"/>
      <c r="K78" s="27"/>
      <c r="L78" s="27" t="str">
        <f t="shared" si="20"/>
        <v/>
      </c>
      <c r="M78" s="121" t="str">
        <f t="shared" si="21"/>
        <v/>
      </c>
      <c r="N78" s="121" t="str">
        <f t="shared" si="22"/>
        <v/>
      </c>
      <c r="O78" s="27" t="str">
        <f>IF(AND(ISBLANK(Q78),P78=""),"",1+MAX(O$21:O77))</f>
        <v/>
      </c>
      <c r="P78" s="137" t="str">
        <f>IF(OR(L78="",L78=0,$H78="",$H78=0,NOT(ISNUMBER($H78)),NOT(ISNUMBER(L78))),IF(AND($E78&lt;&gt;"",AND(OR(ISNUMBER(L78),L78=""),AND(ISNUMBER($H78),$H78&gt;0))),'Feuille de Donnée'!$K$13,""),IF(L78&lt;$H$168*'Feuille de Donnée'!$I$9,"Négligeable",(IF(AND(J78&gt;=$F78*(1-'Feuille de Donnée'!$E$12),J78&lt;=$F78*(1+'Feuille de Donnée'!$F$12)),'Feuille de Donnée'!$F$17,IF(J78&lt;$F78*(1-'Feuille de Donnée'!$E$12),'Feuille de Donnée'!$F$18,'Feuille de Donnée'!$F$16))&amp;""&amp;IF(AND(K78&gt;=$G78*(1-'Feuille de Donnée'!$E$27),K78&lt;=$G78*(1+'Feuille de Donnée'!$F$27)),'Feuille de Donnée'!$F$32,IF(K78&lt;$G78*(1-'Feuille de Donnée'!$E$27),'Feuille de Donnée'!$F$33,'Feuille de Donnée'!$F$31)))))</f>
        <v/>
      </c>
      <c r="Q78" s="138"/>
      <c r="R78" s="103"/>
      <c r="S78" s="27"/>
      <c r="T78" s="27"/>
      <c r="U78" s="27" t="str">
        <f t="shared" si="23"/>
        <v/>
      </c>
      <c r="V78" s="121" t="str">
        <f t="shared" si="24"/>
        <v/>
      </c>
      <c r="W78" s="121" t="str">
        <f t="shared" si="25"/>
        <v/>
      </c>
      <c r="X78" s="27" t="str">
        <f>IF(AND(ISBLANK(Z78),Y78=""),"",1+MAX(X$21:X77))</f>
        <v/>
      </c>
      <c r="Y78" s="137" t="str">
        <f>IF(OR(U78="",U78=0,$H78="",$H78=0,NOT(ISNUMBER($H78)),NOT(ISNUMBER(U78))),IF(AND($E78&lt;&gt;"",AND(OR(ISNUMBER(U78),U78=""),AND(ISNUMBER($H78),$H78&gt;0))),'Feuille de Donnée'!$K$13,""),IF(U78&lt;$H$168*'Feuille de Donnée'!$I$9,"Négligeable",(IF(AND(S78&gt;=$F78*(1-'Feuille de Donnée'!$E$12),S78&lt;=$F78*(1+'Feuille de Donnée'!$F$12)),'Feuille de Donnée'!$F$17,IF(S78&lt;$F78*(1-'Feuille de Donnée'!$E$12),'Feuille de Donnée'!$F$18,'Feuille de Donnée'!$F$16))&amp;""&amp;IF(AND(T78&gt;=$G78*(1-'Feuille de Donnée'!$E$27),T78&lt;=$G78*(1+'Feuille de Donnée'!$F$27)),'Feuille de Donnée'!$F$32,IF(T78&lt;$G78*(1-'Feuille de Donnée'!$E$27),'Feuille de Donnée'!$F$33,'Feuille de Donnée'!$F$31)))))</f>
        <v/>
      </c>
      <c r="Z78" s="138"/>
      <c r="AA78" s="103"/>
      <c r="AB78" s="27"/>
      <c r="AC78" s="27"/>
      <c r="AD78" s="27" t="str">
        <f t="shared" si="26"/>
        <v/>
      </c>
      <c r="AE78" s="121" t="str">
        <f t="shared" si="27"/>
        <v/>
      </c>
      <c r="AF78" s="121" t="str">
        <f t="shared" si="28"/>
        <v/>
      </c>
      <c r="AG78" s="27" t="str">
        <f>IF(AND(ISBLANK(AI78),AH78=""),"",1+MAX(AG$21:AG77))</f>
        <v/>
      </c>
      <c r="AH78" s="137" t="str">
        <f>IF(OR(AD78="",AD78=0,$H78="",$H78=0,NOT(ISNUMBER($H78)),NOT(ISNUMBER(AD78))),IF(AND($E78&lt;&gt;"",AND(OR(ISNUMBER(AD78),AD78=""),AND(ISNUMBER($H78),$H78&gt;0))),'Feuille de Donnée'!$K$13,""),IF(AD78&lt;$H$168*'Feuille de Donnée'!$I$9,"Négligeable",(IF(AND(AB78&gt;=$F78*(1-'Feuille de Donnée'!$E$12),AB78&lt;=$F78*(1+'Feuille de Donnée'!$F$12)),'Feuille de Donnée'!$F$17,IF(AB78&lt;$F78*(1-'Feuille de Donnée'!$E$12),'Feuille de Donnée'!$F$18,'Feuille de Donnée'!$F$16))&amp;""&amp;IF(AND(AC78&gt;=$G78*(1-'Feuille de Donnée'!$E$27),AC78&lt;=$G78*(1+'Feuille de Donnée'!$F$27)),'Feuille de Donnée'!$F$32,IF(AC78&lt;$G78*(1-'Feuille de Donnée'!$E$27),'Feuille de Donnée'!$F$33,'Feuille de Donnée'!$F$31)))))</f>
        <v/>
      </c>
      <c r="AI78" s="138"/>
      <c r="AJ78" s="103"/>
      <c r="AK78" s="27"/>
      <c r="AL78" s="27"/>
      <c r="AM78" s="27" t="str">
        <f t="shared" si="29"/>
        <v/>
      </c>
      <c r="AN78" s="121" t="str">
        <f t="shared" si="30"/>
        <v/>
      </c>
      <c r="AO78" s="121" t="str">
        <f t="shared" si="31"/>
        <v/>
      </c>
      <c r="AP78" s="27" t="str">
        <f>IF(AND(ISBLANK(AR78),AQ78=""),"",1+MAX(AP$21:AP77))</f>
        <v/>
      </c>
      <c r="AQ78" s="137" t="str">
        <f>IF(OR(AM78="",AM78=0,$H78="",$H78=0,NOT(ISNUMBER($H78)),NOT(ISNUMBER(AM78))),IF(AND($E78&lt;&gt;"",AND(OR(ISNUMBER(AM78),AM78=""),AND(ISNUMBER($H78),$H78&gt;0))),'Feuille de Donnée'!$K$13,""),IF(AM78&lt;$H$168*'Feuille de Donnée'!$I$9,"Négligeable",(IF(AND(AK78&gt;=$F78*(1-'Feuille de Donnée'!$E$12),AK78&lt;=$F78*(1+'Feuille de Donnée'!$F$12)),'Feuille de Donnée'!$F$17,IF(AK78&lt;$F78*(1-'Feuille de Donnée'!$E$12),'Feuille de Donnée'!$F$18,'Feuille de Donnée'!$F$16))&amp;""&amp;IF(AND(AL78&gt;=$G78*(1-'Feuille de Donnée'!$E$27),AL78&lt;=$G78*(1+'Feuille de Donnée'!$F$27)),'Feuille de Donnée'!$F$32,IF(AL78&lt;$G78*(1-'Feuille de Donnée'!$E$27),'Feuille de Donnée'!$F$33,'Feuille de Donnée'!$F$31)))))</f>
        <v/>
      </c>
      <c r="AR78" s="138"/>
      <c r="AS78" s="103"/>
      <c r="AT78" s="27"/>
      <c r="AU78" s="27"/>
      <c r="AV78" s="27" t="str">
        <f t="shared" si="32"/>
        <v/>
      </c>
      <c r="AW78" s="121" t="str">
        <f t="shared" si="33"/>
        <v/>
      </c>
      <c r="AX78" s="121" t="str">
        <f t="shared" si="34"/>
        <v/>
      </c>
      <c r="AY78" s="27" t="str">
        <f>IF(AND(ISBLANK(BA78),AZ78=""),"",1+MAX(AY$21:AY77))</f>
        <v/>
      </c>
      <c r="AZ78" s="137" t="str">
        <f>IF(OR(AV78="",AV78=0,$H78="",$H78=0,NOT(ISNUMBER($H78)),NOT(ISNUMBER(AV78))),IF(AND($E78&lt;&gt;"",AND(OR(ISNUMBER(AV78),AV78=""),AND(ISNUMBER($H78),$H78&gt;0))),'Feuille de Donnée'!$K$13,""),IF(AV78&lt;$H$168*'Feuille de Donnée'!$I$9,"Négligeable",(IF(AND(AT78&gt;=$F78*(1-'Feuille de Donnée'!$E$12),AT78&lt;=$F78*(1+'Feuille de Donnée'!$F$12)),'Feuille de Donnée'!$F$17,IF(AT78&lt;$F78*(1-'Feuille de Donnée'!$E$12),'Feuille de Donnée'!$F$18,'Feuille de Donnée'!$F$16))&amp;""&amp;IF(AND(AU78&gt;=$G78*(1-'Feuille de Donnée'!$E$27),AU78&lt;=$G78*(1+'Feuille de Donnée'!$F$27)),'Feuille de Donnée'!$F$32,IF(AU78&lt;$G78*(1-'Feuille de Donnée'!$E$27),'Feuille de Donnée'!$F$33,'Feuille de Donnée'!$F$31)))))</f>
        <v/>
      </c>
      <c r="BA78" s="138"/>
      <c r="BB78" s="103"/>
      <c r="BC78" s="27"/>
      <c r="BD78" s="27"/>
      <c r="BE78" s="27" t="str">
        <f t="shared" si="35"/>
        <v/>
      </c>
      <c r="BF78" s="121" t="str">
        <f t="shared" si="36"/>
        <v/>
      </c>
      <c r="BG78" s="121" t="str">
        <f t="shared" si="37"/>
        <v/>
      </c>
      <c r="BH78" s="27" t="str">
        <f>IF(AND(ISBLANK(BJ78),BI78=""),"",1+MAX(BH$21:BH77))</f>
        <v/>
      </c>
      <c r="BI78" s="137" t="str">
        <f>IF(OR(BE78="",BE78=0,$H78="",$H78=0,NOT(ISNUMBER($H78)),NOT(ISNUMBER(BE78))),IF(AND($E78&lt;&gt;"",AND(OR(ISNUMBER(BE78),BE78=""),AND(ISNUMBER($H78),$H78&gt;0))),'Feuille de Donnée'!$K$13,""),IF(BE78&lt;$H$168*'Feuille de Donnée'!$I$9,"Négligeable",(IF(AND(BC78&gt;=$F78*(1-'Feuille de Donnée'!$E$12),BC78&lt;=$F78*(1+'Feuille de Donnée'!$F$12)),'Feuille de Donnée'!$F$17,IF(BC78&lt;$F78*(1-'Feuille de Donnée'!$E$12),'Feuille de Donnée'!$F$18,'Feuille de Donnée'!$F$16))&amp;""&amp;IF(AND(BD78&gt;=$G78*(1-'Feuille de Donnée'!$E$27),BD78&lt;=$G78*(1+'Feuille de Donnée'!$F$27)),'Feuille de Donnée'!$F$32,IF(BD78&lt;$G78*(1-'Feuille de Donnée'!$E$27),'Feuille de Donnée'!$F$33,'Feuille de Donnée'!$F$31)))))</f>
        <v/>
      </c>
      <c r="BJ78" s="138"/>
      <c r="BK78" s="140"/>
    </row>
    <row r="79" spans="1:63" s="6" customFormat="1" x14ac:dyDescent="0.3">
      <c r="A79" s="23"/>
      <c r="B79" s="24"/>
      <c r="C79" s="24"/>
      <c r="D79" s="24"/>
      <c r="E79" s="22"/>
      <c r="F79" s="25"/>
      <c r="G79" s="26"/>
      <c r="H79" s="102" t="str">
        <f t="shared" si="19"/>
        <v/>
      </c>
      <c r="I79" s="103"/>
      <c r="J79" s="27"/>
      <c r="K79" s="27"/>
      <c r="L79" s="27" t="str">
        <f t="shared" si="20"/>
        <v/>
      </c>
      <c r="M79" s="121" t="str">
        <f t="shared" si="21"/>
        <v/>
      </c>
      <c r="N79" s="121" t="str">
        <f t="shared" si="22"/>
        <v/>
      </c>
      <c r="O79" s="27" t="str">
        <f>IF(AND(ISBLANK(Q79),P79=""),"",1+MAX(O$21:O78))</f>
        <v/>
      </c>
      <c r="P79" s="137" t="str">
        <f>IF(OR(L79="",L79=0,$H79="",$H79=0,NOT(ISNUMBER($H79)),NOT(ISNUMBER(L79))),IF(AND($E79&lt;&gt;"",AND(OR(ISNUMBER(L79),L79=""),AND(ISNUMBER($H79),$H79&gt;0))),'Feuille de Donnée'!$K$13,""),IF(L79&lt;$H$168*'Feuille de Donnée'!$I$9,"Négligeable",(IF(AND(J79&gt;=$F79*(1-'Feuille de Donnée'!$E$12),J79&lt;=$F79*(1+'Feuille de Donnée'!$F$12)),'Feuille de Donnée'!$F$17,IF(J79&lt;$F79*(1-'Feuille de Donnée'!$E$12),'Feuille de Donnée'!$F$18,'Feuille de Donnée'!$F$16))&amp;""&amp;IF(AND(K79&gt;=$G79*(1-'Feuille de Donnée'!$E$27),K79&lt;=$G79*(1+'Feuille de Donnée'!$F$27)),'Feuille de Donnée'!$F$32,IF(K79&lt;$G79*(1-'Feuille de Donnée'!$E$27),'Feuille de Donnée'!$F$33,'Feuille de Donnée'!$F$31)))))</f>
        <v/>
      </c>
      <c r="Q79" s="138"/>
      <c r="R79" s="103"/>
      <c r="S79" s="27"/>
      <c r="T79" s="27"/>
      <c r="U79" s="27" t="str">
        <f t="shared" si="23"/>
        <v/>
      </c>
      <c r="V79" s="121" t="str">
        <f t="shared" si="24"/>
        <v/>
      </c>
      <c r="W79" s="121" t="str">
        <f t="shared" si="25"/>
        <v/>
      </c>
      <c r="X79" s="27" t="str">
        <f>IF(AND(ISBLANK(Z79),Y79=""),"",1+MAX(X$21:X78))</f>
        <v/>
      </c>
      <c r="Y79" s="137" t="str">
        <f>IF(OR(U79="",U79=0,$H79="",$H79=0,NOT(ISNUMBER($H79)),NOT(ISNUMBER(U79))),IF(AND($E79&lt;&gt;"",AND(OR(ISNUMBER(U79),U79=""),AND(ISNUMBER($H79),$H79&gt;0))),'Feuille de Donnée'!$K$13,""),IF(U79&lt;$H$168*'Feuille de Donnée'!$I$9,"Négligeable",(IF(AND(S79&gt;=$F79*(1-'Feuille de Donnée'!$E$12),S79&lt;=$F79*(1+'Feuille de Donnée'!$F$12)),'Feuille de Donnée'!$F$17,IF(S79&lt;$F79*(1-'Feuille de Donnée'!$E$12),'Feuille de Donnée'!$F$18,'Feuille de Donnée'!$F$16))&amp;""&amp;IF(AND(T79&gt;=$G79*(1-'Feuille de Donnée'!$E$27),T79&lt;=$G79*(1+'Feuille de Donnée'!$F$27)),'Feuille de Donnée'!$F$32,IF(T79&lt;$G79*(1-'Feuille de Donnée'!$E$27),'Feuille de Donnée'!$F$33,'Feuille de Donnée'!$F$31)))))</f>
        <v/>
      </c>
      <c r="Z79" s="138"/>
      <c r="AA79" s="103"/>
      <c r="AB79" s="27"/>
      <c r="AC79" s="27"/>
      <c r="AD79" s="27" t="str">
        <f t="shared" si="26"/>
        <v/>
      </c>
      <c r="AE79" s="121" t="str">
        <f t="shared" si="27"/>
        <v/>
      </c>
      <c r="AF79" s="121" t="str">
        <f t="shared" si="28"/>
        <v/>
      </c>
      <c r="AG79" s="27" t="str">
        <f>IF(AND(ISBLANK(AI79),AH79=""),"",1+MAX(AG$21:AG78))</f>
        <v/>
      </c>
      <c r="AH79" s="137" t="str">
        <f>IF(OR(AD79="",AD79=0,$H79="",$H79=0,NOT(ISNUMBER($H79)),NOT(ISNUMBER(AD79))),IF(AND($E79&lt;&gt;"",AND(OR(ISNUMBER(AD79),AD79=""),AND(ISNUMBER($H79),$H79&gt;0))),'Feuille de Donnée'!$K$13,""),IF(AD79&lt;$H$168*'Feuille de Donnée'!$I$9,"Négligeable",(IF(AND(AB79&gt;=$F79*(1-'Feuille de Donnée'!$E$12),AB79&lt;=$F79*(1+'Feuille de Donnée'!$F$12)),'Feuille de Donnée'!$F$17,IF(AB79&lt;$F79*(1-'Feuille de Donnée'!$E$12),'Feuille de Donnée'!$F$18,'Feuille de Donnée'!$F$16))&amp;""&amp;IF(AND(AC79&gt;=$G79*(1-'Feuille de Donnée'!$E$27),AC79&lt;=$G79*(1+'Feuille de Donnée'!$F$27)),'Feuille de Donnée'!$F$32,IF(AC79&lt;$G79*(1-'Feuille de Donnée'!$E$27),'Feuille de Donnée'!$F$33,'Feuille de Donnée'!$F$31)))))</f>
        <v/>
      </c>
      <c r="AI79" s="138"/>
      <c r="AJ79" s="103"/>
      <c r="AK79" s="27"/>
      <c r="AL79" s="27"/>
      <c r="AM79" s="27" t="str">
        <f t="shared" si="29"/>
        <v/>
      </c>
      <c r="AN79" s="121" t="str">
        <f t="shared" si="30"/>
        <v/>
      </c>
      <c r="AO79" s="121" t="str">
        <f t="shared" si="31"/>
        <v/>
      </c>
      <c r="AP79" s="27" t="str">
        <f>IF(AND(ISBLANK(AR79),AQ79=""),"",1+MAX(AP$21:AP78))</f>
        <v/>
      </c>
      <c r="AQ79" s="137" t="str">
        <f>IF(OR(AM79="",AM79=0,$H79="",$H79=0,NOT(ISNUMBER($H79)),NOT(ISNUMBER(AM79))),IF(AND($E79&lt;&gt;"",AND(OR(ISNUMBER(AM79),AM79=""),AND(ISNUMBER($H79),$H79&gt;0))),'Feuille de Donnée'!$K$13,""),IF(AM79&lt;$H$168*'Feuille de Donnée'!$I$9,"Négligeable",(IF(AND(AK79&gt;=$F79*(1-'Feuille de Donnée'!$E$12),AK79&lt;=$F79*(1+'Feuille de Donnée'!$F$12)),'Feuille de Donnée'!$F$17,IF(AK79&lt;$F79*(1-'Feuille de Donnée'!$E$12),'Feuille de Donnée'!$F$18,'Feuille de Donnée'!$F$16))&amp;""&amp;IF(AND(AL79&gt;=$G79*(1-'Feuille de Donnée'!$E$27),AL79&lt;=$G79*(1+'Feuille de Donnée'!$F$27)),'Feuille de Donnée'!$F$32,IF(AL79&lt;$G79*(1-'Feuille de Donnée'!$E$27),'Feuille de Donnée'!$F$33,'Feuille de Donnée'!$F$31)))))</f>
        <v/>
      </c>
      <c r="AR79" s="138"/>
      <c r="AS79" s="103"/>
      <c r="AT79" s="27"/>
      <c r="AU79" s="27"/>
      <c r="AV79" s="27" t="str">
        <f t="shared" si="32"/>
        <v/>
      </c>
      <c r="AW79" s="121" t="str">
        <f t="shared" si="33"/>
        <v/>
      </c>
      <c r="AX79" s="121" t="str">
        <f t="shared" si="34"/>
        <v/>
      </c>
      <c r="AY79" s="27" t="str">
        <f>IF(AND(ISBLANK(BA79),AZ79=""),"",1+MAX(AY$21:AY78))</f>
        <v/>
      </c>
      <c r="AZ79" s="137" t="str">
        <f>IF(OR(AV79="",AV79=0,$H79="",$H79=0,NOT(ISNUMBER($H79)),NOT(ISNUMBER(AV79))),IF(AND($E79&lt;&gt;"",AND(OR(ISNUMBER(AV79),AV79=""),AND(ISNUMBER($H79),$H79&gt;0))),'Feuille de Donnée'!$K$13,""),IF(AV79&lt;$H$168*'Feuille de Donnée'!$I$9,"Négligeable",(IF(AND(AT79&gt;=$F79*(1-'Feuille de Donnée'!$E$12),AT79&lt;=$F79*(1+'Feuille de Donnée'!$F$12)),'Feuille de Donnée'!$F$17,IF(AT79&lt;$F79*(1-'Feuille de Donnée'!$E$12),'Feuille de Donnée'!$F$18,'Feuille de Donnée'!$F$16))&amp;""&amp;IF(AND(AU79&gt;=$G79*(1-'Feuille de Donnée'!$E$27),AU79&lt;=$G79*(1+'Feuille de Donnée'!$F$27)),'Feuille de Donnée'!$F$32,IF(AU79&lt;$G79*(1-'Feuille de Donnée'!$E$27),'Feuille de Donnée'!$F$33,'Feuille de Donnée'!$F$31)))))</f>
        <v/>
      </c>
      <c r="BA79" s="138"/>
      <c r="BB79" s="103"/>
      <c r="BC79" s="27"/>
      <c r="BD79" s="27"/>
      <c r="BE79" s="27" t="str">
        <f t="shared" si="35"/>
        <v/>
      </c>
      <c r="BF79" s="121" t="str">
        <f t="shared" si="36"/>
        <v/>
      </c>
      <c r="BG79" s="121" t="str">
        <f t="shared" si="37"/>
        <v/>
      </c>
      <c r="BH79" s="27" t="str">
        <f>IF(AND(ISBLANK(BJ79),BI79=""),"",1+MAX(BH$21:BH78))</f>
        <v/>
      </c>
      <c r="BI79" s="137" t="str">
        <f>IF(OR(BE79="",BE79=0,$H79="",$H79=0,NOT(ISNUMBER($H79)),NOT(ISNUMBER(BE79))),IF(AND($E79&lt;&gt;"",AND(OR(ISNUMBER(BE79),BE79=""),AND(ISNUMBER($H79),$H79&gt;0))),'Feuille de Donnée'!$K$13,""),IF(BE79&lt;$H$168*'Feuille de Donnée'!$I$9,"Négligeable",(IF(AND(BC79&gt;=$F79*(1-'Feuille de Donnée'!$E$12),BC79&lt;=$F79*(1+'Feuille de Donnée'!$F$12)),'Feuille de Donnée'!$F$17,IF(BC79&lt;$F79*(1-'Feuille de Donnée'!$E$12),'Feuille de Donnée'!$F$18,'Feuille de Donnée'!$F$16))&amp;""&amp;IF(AND(BD79&gt;=$G79*(1-'Feuille de Donnée'!$E$27),BD79&lt;=$G79*(1+'Feuille de Donnée'!$F$27)),'Feuille de Donnée'!$F$32,IF(BD79&lt;$G79*(1-'Feuille de Donnée'!$E$27),'Feuille de Donnée'!$F$33,'Feuille de Donnée'!$F$31)))))</f>
        <v/>
      </c>
      <c r="BJ79" s="138"/>
      <c r="BK79" s="140"/>
    </row>
    <row r="80" spans="1:63" s="6" customFormat="1" x14ac:dyDescent="0.3">
      <c r="A80" s="23"/>
      <c r="B80" s="24"/>
      <c r="C80" s="24"/>
      <c r="D80" s="24"/>
      <c r="E80" s="22"/>
      <c r="F80" s="25"/>
      <c r="G80" s="26"/>
      <c r="H80" s="102" t="str">
        <f t="shared" si="19"/>
        <v/>
      </c>
      <c r="I80" s="103"/>
      <c r="J80" s="27"/>
      <c r="K80" s="27"/>
      <c r="L80" s="27" t="str">
        <f t="shared" si="20"/>
        <v/>
      </c>
      <c r="M80" s="121" t="str">
        <f t="shared" si="21"/>
        <v/>
      </c>
      <c r="N80" s="121" t="str">
        <f t="shared" si="22"/>
        <v/>
      </c>
      <c r="O80" s="27" t="str">
        <f>IF(AND(ISBLANK(Q80),P80=""),"",1+MAX(O$21:O79))</f>
        <v/>
      </c>
      <c r="P80" s="137" t="str">
        <f>IF(OR(L80="",L80=0,$H80="",$H80=0,NOT(ISNUMBER($H80)),NOT(ISNUMBER(L80))),IF(AND($E80&lt;&gt;"",AND(OR(ISNUMBER(L80),L80=""),AND(ISNUMBER($H80),$H80&gt;0))),'Feuille de Donnée'!$K$13,""),IF(L80&lt;$H$168*'Feuille de Donnée'!$I$9,"Négligeable",(IF(AND(J80&gt;=$F80*(1-'Feuille de Donnée'!$E$12),J80&lt;=$F80*(1+'Feuille de Donnée'!$F$12)),'Feuille de Donnée'!$F$17,IF(J80&lt;$F80*(1-'Feuille de Donnée'!$E$12),'Feuille de Donnée'!$F$18,'Feuille de Donnée'!$F$16))&amp;""&amp;IF(AND(K80&gt;=$G80*(1-'Feuille de Donnée'!$E$27),K80&lt;=$G80*(1+'Feuille de Donnée'!$F$27)),'Feuille de Donnée'!$F$32,IF(K80&lt;$G80*(1-'Feuille de Donnée'!$E$27),'Feuille de Donnée'!$F$33,'Feuille de Donnée'!$F$31)))))</f>
        <v/>
      </c>
      <c r="Q80" s="138"/>
      <c r="R80" s="103"/>
      <c r="S80" s="27"/>
      <c r="T80" s="27"/>
      <c r="U80" s="27" t="str">
        <f t="shared" si="23"/>
        <v/>
      </c>
      <c r="V80" s="121" t="str">
        <f t="shared" si="24"/>
        <v/>
      </c>
      <c r="W80" s="121" t="str">
        <f t="shared" si="25"/>
        <v/>
      </c>
      <c r="X80" s="27" t="str">
        <f>IF(AND(ISBLANK(Z80),Y80=""),"",1+MAX(X$21:X79))</f>
        <v/>
      </c>
      <c r="Y80" s="137" t="str">
        <f>IF(OR(U80="",U80=0,$H80="",$H80=0,NOT(ISNUMBER($H80)),NOT(ISNUMBER(U80))),IF(AND($E80&lt;&gt;"",AND(OR(ISNUMBER(U80),U80=""),AND(ISNUMBER($H80),$H80&gt;0))),'Feuille de Donnée'!$K$13,""),IF(U80&lt;$H$168*'Feuille de Donnée'!$I$9,"Négligeable",(IF(AND(S80&gt;=$F80*(1-'Feuille de Donnée'!$E$12),S80&lt;=$F80*(1+'Feuille de Donnée'!$F$12)),'Feuille de Donnée'!$F$17,IF(S80&lt;$F80*(1-'Feuille de Donnée'!$E$12),'Feuille de Donnée'!$F$18,'Feuille de Donnée'!$F$16))&amp;""&amp;IF(AND(T80&gt;=$G80*(1-'Feuille de Donnée'!$E$27),T80&lt;=$G80*(1+'Feuille de Donnée'!$F$27)),'Feuille de Donnée'!$F$32,IF(T80&lt;$G80*(1-'Feuille de Donnée'!$E$27),'Feuille de Donnée'!$F$33,'Feuille de Donnée'!$F$31)))))</f>
        <v/>
      </c>
      <c r="Z80" s="138"/>
      <c r="AA80" s="103"/>
      <c r="AB80" s="27"/>
      <c r="AC80" s="27"/>
      <c r="AD80" s="27" t="str">
        <f t="shared" si="26"/>
        <v/>
      </c>
      <c r="AE80" s="121" t="str">
        <f t="shared" si="27"/>
        <v/>
      </c>
      <c r="AF80" s="121" t="str">
        <f t="shared" si="28"/>
        <v/>
      </c>
      <c r="AG80" s="27" t="str">
        <f>IF(AND(ISBLANK(AI80),AH80=""),"",1+MAX(AG$21:AG79))</f>
        <v/>
      </c>
      <c r="AH80" s="137" t="str">
        <f>IF(OR(AD80="",AD80=0,$H80="",$H80=0,NOT(ISNUMBER($H80)),NOT(ISNUMBER(AD80))),IF(AND($E80&lt;&gt;"",AND(OR(ISNUMBER(AD80),AD80=""),AND(ISNUMBER($H80),$H80&gt;0))),'Feuille de Donnée'!$K$13,""),IF(AD80&lt;$H$168*'Feuille de Donnée'!$I$9,"Négligeable",(IF(AND(AB80&gt;=$F80*(1-'Feuille de Donnée'!$E$12),AB80&lt;=$F80*(1+'Feuille de Donnée'!$F$12)),'Feuille de Donnée'!$F$17,IF(AB80&lt;$F80*(1-'Feuille de Donnée'!$E$12),'Feuille de Donnée'!$F$18,'Feuille de Donnée'!$F$16))&amp;""&amp;IF(AND(AC80&gt;=$G80*(1-'Feuille de Donnée'!$E$27),AC80&lt;=$G80*(1+'Feuille de Donnée'!$F$27)),'Feuille de Donnée'!$F$32,IF(AC80&lt;$G80*(1-'Feuille de Donnée'!$E$27),'Feuille de Donnée'!$F$33,'Feuille de Donnée'!$F$31)))))</f>
        <v/>
      </c>
      <c r="AI80" s="138"/>
      <c r="AJ80" s="103"/>
      <c r="AK80" s="27"/>
      <c r="AL80" s="27"/>
      <c r="AM80" s="27" t="str">
        <f t="shared" si="29"/>
        <v/>
      </c>
      <c r="AN80" s="121" t="str">
        <f t="shared" si="30"/>
        <v/>
      </c>
      <c r="AO80" s="121" t="str">
        <f t="shared" si="31"/>
        <v/>
      </c>
      <c r="AP80" s="27" t="str">
        <f>IF(AND(ISBLANK(AR80),AQ80=""),"",1+MAX(AP$21:AP79))</f>
        <v/>
      </c>
      <c r="AQ80" s="137" t="str">
        <f>IF(OR(AM80="",AM80=0,$H80="",$H80=0,NOT(ISNUMBER($H80)),NOT(ISNUMBER(AM80))),IF(AND($E80&lt;&gt;"",AND(OR(ISNUMBER(AM80),AM80=""),AND(ISNUMBER($H80),$H80&gt;0))),'Feuille de Donnée'!$K$13,""),IF(AM80&lt;$H$168*'Feuille de Donnée'!$I$9,"Négligeable",(IF(AND(AK80&gt;=$F80*(1-'Feuille de Donnée'!$E$12),AK80&lt;=$F80*(1+'Feuille de Donnée'!$F$12)),'Feuille de Donnée'!$F$17,IF(AK80&lt;$F80*(1-'Feuille de Donnée'!$E$12),'Feuille de Donnée'!$F$18,'Feuille de Donnée'!$F$16))&amp;""&amp;IF(AND(AL80&gt;=$G80*(1-'Feuille de Donnée'!$E$27),AL80&lt;=$G80*(1+'Feuille de Donnée'!$F$27)),'Feuille de Donnée'!$F$32,IF(AL80&lt;$G80*(1-'Feuille de Donnée'!$E$27),'Feuille de Donnée'!$F$33,'Feuille de Donnée'!$F$31)))))</f>
        <v/>
      </c>
      <c r="AR80" s="138"/>
      <c r="AS80" s="103"/>
      <c r="AT80" s="27"/>
      <c r="AU80" s="27"/>
      <c r="AV80" s="27" t="str">
        <f t="shared" si="32"/>
        <v/>
      </c>
      <c r="AW80" s="121" t="str">
        <f t="shared" si="33"/>
        <v/>
      </c>
      <c r="AX80" s="121" t="str">
        <f t="shared" si="34"/>
        <v/>
      </c>
      <c r="AY80" s="27" t="str">
        <f>IF(AND(ISBLANK(BA80),AZ80=""),"",1+MAX(AY$21:AY79))</f>
        <v/>
      </c>
      <c r="AZ80" s="137" t="str">
        <f>IF(OR(AV80="",AV80=0,$H80="",$H80=0,NOT(ISNUMBER($H80)),NOT(ISNUMBER(AV80))),IF(AND($E80&lt;&gt;"",AND(OR(ISNUMBER(AV80),AV80=""),AND(ISNUMBER($H80),$H80&gt;0))),'Feuille de Donnée'!$K$13,""),IF(AV80&lt;$H$168*'Feuille de Donnée'!$I$9,"Négligeable",(IF(AND(AT80&gt;=$F80*(1-'Feuille de Donnée'!$E$12),AT80&lt;=$F80*(1+'Feuille de Donnée'!$F$12)),'Feuille de Donnée'!$F$17,IF(AT80&lt;$F80*(1-'Feuille de Donnée'!$E$12),'Feuille de Donnée'!$F$18,'Feuille de Donnée'!$F$16))&amp;""&amp;IF(AND(AU80&gt;=$G80*(1-'Feuille de Donnée'!$E$27),AU80&lt;=$G80*(1+'Feuille de Donnée'!$F$27)),'Feuille de Donnée'!$F$32,IF(AU80&lt;$G80*(1-'Feuille de Donnée'!$E$27),'Feuille de Donnée'!$F$33,'Feuille de Donnée'!$F$31)))))</f>
        <v/>
      </c>
      <c r="BA80" s="138"/>
      <c r="BB80" s="103"/>
      <c r="BC80" s="27"/>
      <c r="BD80" s="27"/>
      <c r="BE80" s="27" t="str">
        <f t="shared" si="35"/>
        <v/>
      </c>
      <c r="BF80" s="121" t="str">
        <f t="shared" si="36"/>
        <v/>
      </c>
      <c r="BG80" s="121" t="str">
        <f t="shared" si="37"/>
        <v/>
      </c>
      <c r="BH80" s="27" t="str">
        <f>IF(AND(ISBLANK(BJ80),BI80=""),"",1+MAX(BH$21:BH79))</f>
        <v/>
      </c>
      <c r="BI80" s="137" t="str">
        <f>IF(OR(BE80="",BE80=0,$H80="",$H80=0,NOT(ISNUMBER($H80)),NOT(ISNUMBER(BE80))),IF(AND($E80&lt;&gt;"",AND(OR(ISNUMBER(BE80),BE80=""),AND(ISNUMBER($H80),$H80&gt;0))),'Feuille de Donnée'!$K$13,""),IF(BE80&lt;$H$168*'Feuille de Donnée'!$I$9,"Négligeable",(IF(AND(BC80&gt;=$F80*(1-'Feuille de Donnée'!$E$12),BC80&lt;=$F80*(1+'Feuille de Donnée'!$F$12)),'Feuille de Donnée'!$F$17,IF(BC80&lt;$F80*(1-'Feuille de Donnée'!$E$12),'Feuille de Donnée'!$F$18,'Feuille de Donnée'!$F$16))&amp;""&amp;IF(AND(BD80&gt;=$G80*(1-'Feuille de Donnée'!$E$27),BD80&lt;=$G80*(1+'Feuille de Donnée'!$F$27)),'Feuille de Donnée'!$F$32,IF(BD80&lt;$G80*(1-'Feuille de Donnée'!$E$27),'Feuille de Donnée'!$F$33,'Feuille de Donnée'!$F$31)))))</f>
        <v/>
      </c>
      <c r="BJ80" s="138"/>
      <c r="BK80" s="140"/>
    </row>
    <row r="81" spans="1:63" s="6" customFormat="1" x14ac:dyDescent="0.3">
      <c r="A81" s="23"/>
      <c r="B81" s="24"/>
      <c r="C81" s="24"/>
      <c r="D81" s="24"/>
      <c r="E81" s="22"/>
      <c r="F81" s="25"/>
      <c r="G81" s="26"/>
      <c r="H81" s="102" t="str">
        <f t="shared" si="19"/>
        <v/>
      </c>
      <c r="I81" s="103"/>
      <c r="J81" s="27"/>
      <c r="K81" s="27"/>
      <c r="L81" s="27" t="str">
        <f t="shared" si="20"/>
        <v/>
      </c>
      <c r="M81" s="121" t="str">
        <f t="shared" si="21"/>
        <v/>
      </c>
      <c r="N81" s="121" t="str">
        <f t="shared" si="22"/>
        <v/>
      </c>
      <c r="O81" s="27" t="str">
        <f>IF(AND(ISBLANK(Q81),P81=""),"",1+MAX(O$21:O80))</f>
        <v/>
      </c>
      <c r="P81" s="137" t="str">
        <f>IF(OR(L81="",L81=0,$H81="",$H81=0,NOT(ISNUMBER($H81)),NOT(ISNUMBER(L81))),IF(AND($E81&lt;&gt;"",AND(OR(ISNUMBER(L81),L81=""),AND(ISNUMBER($H81),$H81&gt;0))),'Feuille de Donnée'!$K$13,""),IF(L81&lt;$H$168*'Feuille de Donnée'!$I$9,"Négligeable",(IF(AND(J81&gt;=$F81*(1-'Feuille de Donnée'!$E$12),J81&lt;=$F81*(1+'Feuille de Donnée'!$F$12)),'Feuille de Donnée'!$F$17,IF(J81&lt;$F81*(1-'Feuille de Donnée'!$E$12),'Feuille de Donnée'!$F$18,'Feuille de Donnée'!$F$16))&amp;""&amp;IF(AND(K81&gt;=$G81*(1-'Feuille de Donnée'!$E$27),K81&lt;=$G81*(1+'Feuille de Donnée'!$F$27)),'Feuille de Donnée'!$F$32,IF(K81&lt;$G81*(1-'Feuille de Donnée'!$E$27),'Feuille de Donnée'!$F$33,'Feuille de Donnée'!$F$31)))))</f>
        <v/>
      </c>
      <c r="Q81" s="138"/>
      <c r="R81" s="103"/>
      <c r="S81" s="27"/>
      <c r="T81" s="27"/>
      <c r="U81" s="27" t="str">
        <f t="shared" si="23"/>
        <v/>
      </c>
      <c r="V81" s="121" t="str">
        <f t="shared" si="24"/>
        <v/>
      </c>
      <c r="W81" s="121" t="str">
        <f t="shared" si="25"/>
        <v/>
      </c>
      <c r="X81" s="27" t="str">
        <f>IF(AND(ISBLANK(Z81),Y81=""),"",1+MAX(X$21:X80))</f>
        <v/>
      </c>
      <c r="Y81" s="137" t="str">
        <f>IF(OR(U81="",U81=0,$H81="",$H81=0,NOT(ISNUMBER($H81)),NOT(ISNUMBER(U81))),IF(AND($E81&lt;&gt;"",AND(OR(ISNUMBER(U81),U81=""),AND(ISNUMBER($H81),$H81&gt;0))),'Feuille de Donnée'!$K$13,""),IF(U81&lt;$H$168*'Feuille de Donnée'!$I$9,"Négligeable",(IF(AND(S81&gt;=$F81*(1-'Feuille de Donnée'!$E$12),S81&lt;=$F81*(1+'Feuille de Donnée'!$F$12)),'Feuille de Donnée'!$F$17,IF(S81&lt;$F81*(1-'Feuille de Donnée'!$E$12),'Feuille de Donnée'!$F$18,'Feuille de Donnée'!$F$16))&amp;""&amp;IF(AND(T81&gt;=$G81*(1-'Feuille de Donnée'!$E$27),T81&lt;=$G81*(1+'Feuille de Donnée'!$F$27)),'Feuille de Donnée'!$F$32,IF(T81&lt;$G81*(1-'Feuille de Donnée'!$E$27),'Feuille de Donnée'!$F$33,'Feuille de Donnée'!$F$31)))))</f>
        <v/>
      </c>
      <c r="Z81" s="138"/>
      <c r="AA81" s="103"/>
      <c r="AB81" s="27"/>
      <c r="AC81" s="27"/>
      <c r="AD81" s="27" t="str">
        <f t="shared" si="26"/>
        <v/>
      </c>
      <c r="AE81" s="121" t="str">
        <f t="shared" si="27"/>
        <v/>
      </c>
      <c r="AF81" s="121" t="str">
        <f t="shared" si="28"/>
        <v/>
      </c>
      <c r="AG81" s="27" t="str">
        <f>IF(AND(ISBLANK(AI81),AH81=""),"",1+MAX(AG$21:AG80))</f>
        <v/>
      </c>
      <c r="AH81" s="137" t="str">
        <f>IF(OR(AD81="",AD81=0,$H81="",$H81=0,NOT(ISNUMBER($H81)),NOT(ISNUMBER(AD81))),IF(AND($E81&lt;&gt;"",AND(OR(ISNUMBER(AD81),AD81=""),AND(ISNUMBER($H81),$H81&gt;0))),'Feuille de Donnée'!$K$13,""),IF(AD81&lt;$H$168*'Feuille de Donnée'!$I$9,"Négligeable",(IF(AND(AB81&gt;=$F81*(1-'Feuille de Donnée'!$E$12),AB81&lt;=$F81*(1+'Feuille de Donnée'!$F$12)),'Feuille de Donnée'!$F$17,IF(AB81&lt;$F81*(1-'Feuille de Donnée'!$E$12),'Feuille de Donnée'!$F$18,'Feuille de Donnée'!$F$16))&amp;""&amp;IF(AND(AC81&gt;=$G81*(1-'Feuille de Donnée'!$E$27),AC81&lt;=$G81*(1+'Feuille de Donnée'!$F$27)),'Feuille de Donnée'!$F$32,IF(AC81&lt;$G81*(1-'Feuille de Donnée'!$E$27),'Feuille de Donnée'!$F$33,'Feuille de Donnée'!$F$31)))))</f>
        <v/>
      </c>
      <c r="AI81" s="138"/>
      <c r="AJ81" s="103"/>
      <c r="AK81" s="27"/>
      <c r="AL81" s="27"/>
      <c r="AM81" s="27" t="str">
        <f t="shared" si="29"/>
        <v/>
      </c>
      <c r="AN81" s="121" t="str">
        <f t="shared" si="30"/>
        <v/>
      </c>
      <c r="AO81" s="121" t="str">
        <f t="shared" si="31"/>
        <v/>
      </c>
      <c r="AP81" s="27" t="str">
        <f>IF(AND(ISBLANK(AR81),AQ81=""),"",1+MAX(AP$21:AP80))</f>
        <v/>
      </c>
      <c r="AQ81" s="137" t="str">
        <f>IF(OR(AM81="",AM81=0,$H81="",$H81=0,NOT(ISNUMBER($H81)),NOT(ISNUMBER(AM81))),IF(AND($E81&lt;&gt;"",AND(OR(ISNUMBER(AM81),AM81=""),AND(ISNUMBER($H81),$H81&gt;0))),'Feuille de Donnée'!$K$13,""),IF(AM81&lt;$H$168*'Feuille de Donnée'!$I$9,"Négligeable",(IF(AND(AK81&gt;=$F81*(1-'Feuille de Donnée'!$E$12),AK81&lt;=$F81*(1+'Feuille de Donnée'!$F$12)),'Feuille de Donnée'!$F$17,IF(AK81&lt;$F81*(1-'Feuille de Donnée'!$E$12),'Feuille de Donnée'!$F$18,'Feuille de Donnée'!$F$16))&amp;""&amp;IF(AND(AL81&gt;=$G81*(1-'Feuille de Donnée'!$E$27),AL81&lt;=$G81*(1+'Feuille de Donnée'!$F$27)),'Feuille de Donnée'!$F$32,IF(AL81&lt;$G81*(1-'Feuille de Donnée'!$E$27),'Feuille de Donnée'!$F$33,'Feuille de Donnée'!$F$31)))))</f>
        <v/>
      </c>
      <c r="AR81" s="138"/>
      <c r="AS81" s="103"/>
      <c r="AT81" s="27"/>
      <c r="AU81" s="27"/>
      <c r="AV81" s="27" t="str">
        <f t="shared" si="32"/>
        <v/>
      </c>
      <c r="AW81" s="121" t="str">
        <f t="shared" si="33"/>
        <v/>
      </c>
      <c r="AX81" s="121" t="str">
        <f t="shared" si="34"/>
        <v/>
      </c>
      <c r="AY81" s="27" t="str">
        <f>IF(AND(ISBLANK(BA81),AZ81=""),"",1+MAX(AY$21:AY80))</f>
        <v/>
      </c>
      <c r="AZ81" s="137" t="str">
        <f>IF(OR(AV81="",AV81=0,$H81="",$H81=0,NOT(ISNUMBER($H81)),NOT(ISNUMBER(AV81))),IF(AND($E81&lt;&gt;"",AND(OR(ISNUMBER(AV81),AV81=""),AND(ISNUMBER($H81),$H81&gt;0))),'Feuille de Donnée'!$K$13,""),IF(AV81&lt;$H$168*'Feuille de Donnée'!$I$9,"Négligeable",(IF(AND(AT81&gt;=$F81*(1-'Feuille de Donnée'!$E$12),AT81&lt;=$F81*(1+'Feuille de Donnée'!$F$12)),'Feuille de Donnée'!$F$17,IF(AT81&lt;$F81*(1-'Feuille de Donnée'!$E$12),'Feuille de Donnée'!$F$18,'Feuille de Donnée'!$F$16))&amp;""&amp;IF(AND(AU81&gt;=$G81*(1-'Feuille de Donnée'!$E$27),AU81&lt;=$G81*(1+'Feuille de Donnée'!$F$27)),'Feuille de Donnée'!$F$32,IF(AU81&lt;$G81*(1-'Feuille de Donnée'!$E$27),'Feuille de Donnée'!$F$33,'Feuille de Donnée'!$F$31)))))</f>
        <v/>
      </c>
      <c r="BA81" s="138"/>
      <c r="BB81" s="103"/>
      <c r="BC81" s="27"/>
      <c r="BD81" s="27"/>
      <c r="BE81" s="27" t="str">
        <f t="shared" si="35"/>
        <v/>
      </c>
      <c r="BF81" s="121" t="str">
        <f t="shared" si="36"/>
        <v/>
      </c>
      <c r="BG81" s="121" t="str">
        <f t="shared" si="37"/>
        <v/>
      </c>
      <c r="BH81" s="27" t="str">
        <f>IF(AND(ISBLANK(BJ81),BI81=""),"",1+MAX(BH$21:BH80))</f>
        <v/>
      </c>
      <c r="BI81" s="137" t="str">
        <f>IF(OR(BE81="",BE81=0,$H81="",$H81=0,NOT(ISNUMBER($H81)),NOT(ISNUMBER(BE81))),IF(AND($E81&lt;&gt;"",AND(OR(ISNUMBER(BE81),BE81=""),AND(ISNUMBER($H81),$H81&gt;0))),'Feuille de Donnée'!$K$13,""),IF(BE81&lt;$H$168*'Feuille de Donnée'!$I$9,"Négligeable",(IF(AND(BC81&gt;=$F81*(1-'Feuille de Donnée'!$E$12),BC81&lt;=$F81*(1+'Feuille de Donnée'!$F$12)),'Feuille de Donnée'!$F$17,IF(BC81&lt;$F81*(1-'Feuille de Donnée'!$E$12),'Feuille de Donnée'!$F$18,'Feuille de Donnée'!$F$16))&amp;""&amp;IF(AND(BD81&gt;=$G81*(1-'Feuille de Donnée'!$E$27),BD81&lt;=$G81*(1+'Feuille de Donnée'!$F$27)),'Feuille de Donnée'!$F$32,IF(BD81&lt;$G81*(1-'Feuille de Donnée'!$E$27),'Feuille de Donnée'!$F$33,'Feuille de Donnée'!$F$31)))))</f>
        <v/>
      </c>
      <c r="BJ81" s="138"/>
      <c r="BK81" s="140"/>
    </row>
    <row r="82" spans="1:63" s="6" customFormat="1" x14ac:dyDescent="0.3">
      <c r="A82" s="23"/>
      <c r="B82" s="24"/>
      <c r="C82" s="24"/>
      <c r="D82" s="24"/>
      <c r="E82" s="22"/>
      <c r="F82" s="25"/>
      <c r="G82" s="26"/>
      <c r="H82" s="102" t="str">
        <f t="shared" si="19"/>
        <v/>
      </c>
      <c r="I82" s="103"/>
      <c r="J82" s="27"/>
      <c r="K82" s="27"/>
      <c r="L82" s="27" t="str">
        <f t="shared" si="20"/>
        <v/>
      </c>
      <c r="M82" s="121" t="str">
        <f t="shared" si="21"/>
        <v/>
      </c>
      <c r="N82" s="121" t="str">
        <f t="shared" si="22"/>
        <v/>
      </c>
      <c r="O82" s="27" t="str">
        <f>IF(AND(ISBLANK(Q82),P82=""),"",1+MAX(O$21:O81))</f>
        <v/>
      </c>
      <c r="P82" s="137" t="str">
        <f>IF(OR(L82="",L82=0,$H82="",$H82=0,NOT(ISNUMBER($H82)),NOT(ISNUMBER(L82))),IF(AND($E82&lt;&gt;"",AND(OR(ISNUMBER(L82),L82=""),AND(ISNUMBER($H82),$H82&gt;0))),'Feuille de Donnée'!$K$13,""),IF(L82&lt;$H$168*'Feuille de Donnée'!$I$9,"Négligeable",(IF(AND(J82&gt;=$F82*(1-'Feuille de Donnée'!$E$12),J82&lt;=$F82*(1+'Feuille de Donnée'!$F$12)),'Feuille de Donnée'!$F$17,IF(J82&lt;$F82*(1-'Feuille de Donnée'!$E$12),'Feuille de Donnée'!$F$18,'Feuille de Donnée'!$F$16))&amp;""&amp;IF(AND(K82&gt;=$G82*(1-'Feuille de Donnée'!$E$27),K82&lt;=$G82*(1+'Feuille de Donnée'!$F$27)),'Feuille de Donnée'!$F$32,IF(K82&lt;$G82*(1-'Feuille de Donnée'!$E$27),'Feuille de Donnée'!$F$33,'Feuille de Donnée'!$F$31)))))</f>
        <v/>
      </c>
      <c r="Q82" s="138"/>
      <c r="R82" s="103"/>
      <c r="S82" s="27"/>
      <c r="T82" s="27"/>
      <c r="U82" s="27" t="str">
        <f t="shared" si="23"/>
        <v/>
      </c>
      <c r="V82" s="121" t="str">
        <f t="shared" si="24"/>
        <v/>
      </c>
      <c r="W82" s="121" t="str">
        <f t="shared" si="25"/>
        <v/>
      </c>
      <c r="X82" s="27" t="str">
        <f>IF(AND(ISBLANK(Z82),Y82=""),"",1+MAX(X$21:X81))</f>
        <v/>
      </c>
      <c r="Y82" s="137" t="str">
        <f>IF(OR(U82="",U82=0,$H82="",$H82=0,NOT(ISNUMBER($H82)),NOT(ISNUMBER(U82))),IF(AND($E82&lt;&gt;"",AND(OR(ISNUMBER(U82),U82=""),AND(ISNUMBER($H82),$H82&gt;0))),'Feuille de Donnée'!$K$13,""),IF(U82&lt;$H$168*'Feuille de Donnée'!$I$9,"Négligeable",(IF(AND(S82&gt;=$F82*(1-'Feuille de Donnée'!$E$12),S82&lt;=$F82*(1+'Feuille de Donnée'!$F$12)),'Feuille de Donnée'!$F$17,IF(S82&lt;$F82*(1-'Feuille de Donnée'!$E$12),'Feuille de Donnée'!$F$18,'Feuille de Donnée'!$F$16))&amp;""&amp;IF(AND(T82&gt;=$G82*(1-'Feuille de Donnée'!$E$27),T82&lt;=$G82*(1+'Feuille de Donnée'!$F$27)),'Feuille de Donnée'!$F$32,IF(T82&lt;$G82*(1-'Feuille de Donnée'!$E$27),'Feuille de Donnée'!$F$33,'Feuille de Donnée'!$F$31)))))</f>
        <v/>
      </c>
      <c r="Z82" s="138"/>
      <c r="AA82" s="103"/>
      <c r="AB82" s="27"/>
      <c r="AC82" s="27"/>
      <c r="AD82" s="27" t="str">
        <f t="shared" si="26"/>
        <v/>
      </c>
      <c r="AE82" s="121" t="str">
        <f t="shared" si="27"/>
        <v/>
      </c>
      <c r="AF82" s="121" t="str">
        <f t="shared" si="28"/>
        <v/>
      </c>
      <c r="AG82" s="27" t="str">
        <f>IF(AND(ISBLANK(AI82),AH82=""),"",1+MAX(AG$21:AG81))</f>
        <v/>
      </c>
      <c r="AH82" s="137" t="str">
        <f>IF(OR(AD82="",AD82=0,$H82="",$H82=0,NOT(ISNUMBER($H82)),NOT(ISNUMBER(AD82))),IF(AND($E82&lt;&gt;"",AND(OR(ISNUMBER(AD82),AD82=""),AND(ISNUMBER($H82),$H82&gt;0))),'Feuille de Donnée'!$K$13,""),IF(AD82&lt;$H$168*'Feuille de Donnée'!$I$9,"Négligeable",(IF(AND(AB82&gt;=$F82*(1-'Feuille de Donnée'!$E$12),AB82&lt;=$F82*(1+'Feuille de Donnée'!$F$12)),'Feuille de Donnée'!$F$17,IF(AB82&lt;$F82*(1-'Feuille de Donnée'!$E$12),'Feuille de Donnée'!$F$18,'Feuille de Donnée'!$F$16))&amp;""&amp;IF(AND(AC82&gt;=$G82*(1-'Feuille de Donnée'!$E$27),AC82&lt;=$G82*(1+'Feuille de Donnée'!$F$27)),'Feuille de Donnée'!$F$32,IF(AC82&lt;$G82*(1-'Feuille de Donnée'!$E$27),'Feuille de Donnée'!$F$33,'Feuille de Donnée'!$F$31)))))</f>
        <v/>
      </c>
      <c r="AI82" s="138"/>
      <c r="AJ82" s="103"/>
      <c r="AK82" s="27"/>
      <c r="AL82" s="27"/>
      <c r="AM82" s="27" t="str">
        <f t="shared" si="29"/>
        <v/>
      </c>
      <c r="AN82" s="121" t="str">
        <f t="shared" si="30"/>
        <v/>
      </c>
      <c r="AO82" s="121" t="str">
        <f t="shared" si="31"/>
        <v/>
      </c>
      <c r="AP82" s="27" t="str">
        <f>IF(AND(ISBLANK(AR82),AQ82=""),"",1+MAX(AP$21:AP81))</f>
        <v/>
      </c>
      <c r="AQ82" s="137" t="str">
        <f>IF(OR(AM82="",AM82=0,$H82="",$H82=0,NOT(ISNUMBER($H82)),NOT(ISNUMBER(AM82))),IF(AND($E82&lt;&gt;"",AND(OR(ISNUMBER(AM82),AM82=""),AND(ISNUMBER($H82),$H82&gt;0))),'Feuille de Donnée'!$K$13,""),IF(AM82&lt;$H$168*'Feuille de Donnée'!$I$9,"Négligeable",(IF(AND(AK82&gt;=$F82*(1-'Feuille de Donnée'!$E$12),AK82&lt;=$F82*(1+'Feuille de Donnée'!$F$12)),'Feuille de Donnée'!$F$17,IF(AK82&lt;$F82*(1-'Feuille de Donnée'!$E$12),'Feuille de Donnée'!$F$18,'Feuille de Donnée'!$F$16))&amp;""&amp;IF(AND(AL82&gt;=$G82*(1-'Feuille de Donnée'!$E$27),AL82&lt;=$G82*(1+'Feuille de Donnée'!$F$27)),'Feuille de Donnée'!$F$32,IF(AL82&lt;$G82*(1-'Feuille de Donnée'!$E$27),'Feuille de Donnée'!$F$33,'Feuille de Donnée'!$F$31)))))</f>
        <v/>
      </c>
      <c r="AR82" s="138"/>
      <c r="AS82" s="103"/>
      <c r="AT82" s="27"/>
      <c r="AU82" s="27"/>
      <c r="AV82" s="27" t="str">
        <f t="shared" si="32"/>
        <v/>
      </c>
      <c r="AW82" s="121" t="str">
        <f t="shared" si="33"/>
        <v/>
      </c>
      <c r="AX82" s="121" t="str">
        <f t="shared" si="34"/>
        <v/>
      </c>
      <c r="AY82" s="27" t="str">
        <f>IF(AND(ISBLANK(BA82),AZ82=""),"",1+MAX(AY$21:AY81))</f>
        <v/>
      </c>
      <c r="AZ82" s="137" t="str">
        <f>IF(OR(AV82="",AV82=0,$H82="",$H82=0,NOT(ISNUMBER($H82)),NOT(ISNUMBER(AV82))),IF(AND($E82&lt;&gt;"",AND(OR(ISNUMBER(AV82),AV82=""),AND(ISNUMBER($H82),$H82&gt;0))),'Feuille de Donnée'!$K$13,""),IF(AV82&lt;$H$168*'Feuille de Donnée'!$I$9,"Négligeable",(IF(AND(AT82&gt;=$F82*(1-'Feuille de Donnée'!$E$12),AT82&lt;=$F82*(1+'Feuille de Donnée'!$F$12)),'Feuille de Donnée'!$F$17,IF(AT82&lt;$F82*(1-'Feuille de Donnée'!$E$12),'Feuille de Donnée'!$F$18,'Feuille de Donnée'!$F$16))&amp;""&amp;IF(AND(AU82&gt;=$G82*(1-'Feuille de Donnée'!$E$27),AU82&lt;=$G82*(1+'Feuille de Donnée'!$F$27)),'Feuille de Donnée'!$F$32,IF(AU82&lt;$G82*(1-'Feuille de Donnée'!$E$27),'Feuille de Donnée'!$F$33,'Feuille de Donnée'!$F$31)))))</f>
        <v/>
      </c>
      <c r="BA82" s="138"/>
      <c r="BB82" s="103"/>
      <c r="BC82" s="27"/>
      <c r="BD82" s="27"/>
      <c r="BE82" s="27" t="str">
        <f t="shared" si="35"/>
        <v/>
      </c>
      <c r="BF82" s="121" t="str">
        <f t="shared" si="36"/>
        <v/>
      </c>
      <c r="BG82" s="121" t="str">
        <f t="shared" si="37"/>
        <v/>
      </c>
      <c r="BH82" s="27" t="str">
        <f>IF(AND(ISBLANK(BJ82),BI82=""),"",1+MAX(BH$21:BH81))</f>
        <v/>
      </c>
      <c r="BI82" s="137" t="str">
        <f>IF(OR(BE82="",BE82=0,$H82="",$H82=0,NOT(ISNUMBER($H82)),NOT(ISNUMBER(BE82))),IF(AND($E82&lt;&gt;"",AND(OR(ISNUMBER(BE82),BE82=""),AND(ISNUMBER($H82),$H82&gt;0))),'Feuille de Donnée'!$K$13,""),IF(BE82&lt;$H$168*'Feuille de Donnée'!$I$9,"Négligeable",(IF(AND(BC82&gt;=$F82*(1-'Feuille de Donnée'!$E$12),BC82&lt;=$F82*(1+'Feuille de Donnée'!$F$12)),'Feuille de Donnée'!$F$17,IF(BC82&lt;$F82*(1-'Feuille de Donnée'!$E$12),'Feuille de Donnée'!$F$18,'Feuille de Donnée'!$F$16))&amp;""&amp;IF(AND(BD82&gt;=$G82*(1-'Feuille de Donnée'!$E$27),BD82&lt;=$G82*(1+'Feuille de Donnée'!$F$27)),'Feuille de Donnée'!$F$32,IF(BD82&lt;$G82*(1-'Feuille de Donnée'!$E$27),'Feuille de Donnée'!$F$33,'Feuille de Donnée'!$F$31)))))</f>
        <v/>
      </c>
      <c r="BJ82" s="138"/>
      <c r="BK82" s="140"/>
    </row>
    <row r="83" spans="1:63" s="6" customFormat="1" x14ac:dyDescent="0.3">
      <c r="A83" s="23"/>
      <c r="B83" s="24"/>
      <c r="C83" s="24"/>
      <c r="D83" s="24"/>
      <c r="E83" s="22"/>
      <c r="F83" s="25"/>
      <c r="G83" s="26"/>
      <c r="H83" s="102" t="str">
        <f t="shared" si="19"/>
        <v/>
      </c>
      <c r="I83" s="103"/>
      <c r="J83" s="27"/>
      <c r="K83" s="27"/>
      <c r="L83" s="27" t="str">
        <f t="shared" si="20"/>
        <v/>
      </c>
      <c r="M83" s="121" t="str">
        <f t="shared" si="21"/>
        <v/>
      </c>
      <c r="N83" s="121" t="str">
        <f t="shared" si="22"/>
        <v/>
      </c>
      <c r="O83" s="27" t="str">
        <f>IF(AND(ISBLANK(Q83),P83=""),"",1+MAX(O$21:O82))</f>
        <v/>
      </c>
      <c r="P83" s="137" t="str">
        <f>IF(OR(L83="",L83=0,$H83="",$H83=0,NOT(ISNUMBER($H83)),NOT(ISNUMBER(L83))),IF(AND($E83&lt;&gt;"",AND(OR(ISNUMBER(L83),L83=""),AND(ISNUMBER($H83),$H83&gt;0))),'Feuille de Donnée'!$K$13,""),IF(L83&lt;$H$168*'Feuille de Donnée'!$I$9,"Négligeable",(IF(AND(J83&gt;=$F83*(1-'Feuille de Donnée'!$E$12),J83&lt;=$F83*(1+'Feuille de Donnée'!$F$12)),'Feuille de Donnée'!$F$17,IF(J83&lt;$F83*(1-'Feuille de Donnée'!$E$12),'Feuille de Donnée'!$F$18,'Feuille de Donnée'!$F$16))&amp;""&amp;IF(AND(K83&gt;=$G83*(1-'Feuille de Donnée'!$E$27),K83&lt;=$G83*(1+'Feuille de Donnée'!$F$27)),'Feuille de Donnée'!$F$32,IF(K83&lt;$G83*(1-'Feuille de Donnée'!$E$27),'Feuille de Donnée'!$F$33,'Feuille de Donnée'!$F$31)))))</f>
        <v/>
      </c>
      <c r="Q83" s="138"/>
      <c r="R83" s="103"/>
      <c r="S83" s="27"/>
      <c r="T83" s="27"/>
      <c r="U83" s="27" t="str">
        <f t="shared" si="23"/>
        <v/>
      </c>
      <c r="V83" s="121" t="str">
        <f t="shared" si="24"/>
        <v/>
      </c>
      <c r="W83" s="121" t="str">
        <f t="shared" si="25"/>
        <v/>
      </c>
      <c r="X83" s="27" t="str">
        <f>IF(AND(ISBLANK(Z83),Y83=""),"",1+MAX(X$21:X82))</f>
        <v/>
      </c>
      <c r="Y83" s="137" t="str">
        <f>IF(OR(U83="",U83=0,$H83="",$H83=0,NOT(ISNUMBER($H83)),NOT(ISNUMBER(U83))),IF(AND($E83&lt;&gt;"",AND(OR(ISNUMBER(U83),U83=""),AND(ISNUMBER($H83),$H83&gt;0))),'Feuille de Donnée'!$K$13,""),IF(U83&lt;$H$168*'Feuille de Donnée'!$I$9,"Négligeable",(IF(AND(S83&gt;=$F83*(1-'Feuille de Donnée'!$E$12),S83&lt;=$F83*(1+'Feuille de Donnée'!$F$12)),'Feuille de Donnée'!$F$17,IF(S83&lt;$F83*(1-'Feuille de Donnée'!$E$12),'Feuille de Donnée'!$F$18,'Feuille de Donnée'!$F$16))&amp;""&amp;IF(AND(T83&gt;=$G83*(1-'Feuille de Donnée'!$E$27),T83&lt;=$G83*(1+'Feuille de Donnée'!$F$27)),'Feuille de Donnée'!$F$32,IF(T83&lt;$G83*(1-'Feuille de Donnée'!$E$27),'Feuille de Donnée'!$F$33,'Feuille de Donnée'!$F$31)))))</f>
        <v/>
      </c>
      <c r="Z83" s="138"/>
      <c r="AA83" s="103"/>
      <c r="AB83" s="27"/>
      <c r="AC83" s="27"/>
      <c r="AD83" s="27" t="str">
        <f t="shared" si="26"/>
        <v/>
      </c>
      <c r="AE83" s="121" t="str">
        <f t="shared" si="27"/>
        <v/>
      </c>
      <c r="AF83" s="121" t="str">
        <f t="shared" si="28"/>
        <v/>
      </c>
      <c r="AG83" s="27" t="str">
        <f>IF(AND(ISBLANK(AI83),AH83=""),"",1+MAX(AG$21:AG82))</f>
        <v/>
      </c>
      <c r="AH83" s="137" t="str">
        <f>IF(OR(AD83="",AD83=0,$H83="",$H83=0,NOT(ISNUMBER($H83)),NOT(ISNUMBER(AD83))),IF(AND($E83&lt;&gt;"",AND(OR(ISNUMBER(AD83),AD83=""),AND(ISNUMBER($H83),$H83&gt;0))),'Feuille de Donnée'!$K$13,""),IF(AD83&lt;$H$168*'Feuille de Donnée'!$I$9,"Négligeable",(IF(AND(AB83&gt;=$F83*(1-'Feuille de Donnée'!$E$12),AB83&lt;=$F83*(1+'Feuille de Donnée'!$F$12)),'Feuille de Donnée'!$F$17,IF(AB83&lt;$F83*(1-'Feuille de Donnée'!$E$12),'Feuille de Donnée'!$F$18,'Feuille de Donnée'!$F$16))&amp;""&amp;IF(AND(AC83&gt;=$G83*(1-'Feuille de Donnée'!$E$27),AC83&lt;=$G83*(1+'Feuille de Donnée'!$F$27)),'Feuille de Donnée'!$F$32,IF(AC83&lt;$G83*(1-'Feuille de Donnée'!$E$27),'Feuille de Donnée'!$F$33,'Feuille de Donnée'!$F$31)))))</f>
        <v/>
      </c>
      <c r="AI83" s="138"/>
      <c r="AJ83" s="103"/>
      <c r="AK83" s="27"/>
      <c r="AL83" s="27"/>
      <c r="AM83" s="27" t="str">
        <f t="shared" si="29"/>
        <v/>
      </c>
      <c r="AN83" s="121" t="str">
        <f t="shared" si="30"/>
        <v/>
      </c>
      <c r="AO83" s="121" t="str">
        <f t="shared" si="31"/>
        <v/>
      </c>
      <c r="AP83" s="27" t="str">
        <f>IF(AND(ISBLANK(AR83),AQ83=""),"",1+MAX(AP$21:AP82))</f>
        <v/>
      </c>
      <c r="AQ83" s="137" t="str">
        <f>IF(OR(AM83="",AM83=0,$H83="",$H83=0,NOT(ISNUMBER($H83)),NOT(ISNUMBER(AM83))),IF(AND($E83&lt;&gt;"",AND(OR(ISNUMBER(AM83),AM83=""),AND(ISNUMBER($H83),$H83&gt;0))),'Feuille de Donnée'!$K$13,""),IF(AM83&lt;$H$168*'Feuille de Donnée'!$I$9,"Négligeable",(IF(AND(AK83&gt;=$F83*(1-'Feuille de Donnée'!$E$12),AK83&lt;=$F83*(1+'Feuille de Donnée'!$F$12)),'Feuille de Donnée'!$F$17,IF(AK83&lt;$F83*(1-'Feuille de Donnée'!$E$12),'Feuille de Donnée'!$F$18,'Feuille de Donnée'!$F$16))&amp;""&amp;IF(AND(AL83&gt;=$G83*(1-'Feuille de Donnée'!$E$27),AL83&lt;=$G83*(1+'Feuille de Donnée'!$F$27)),'Feuille de Donnée'!$F$32,IF(AL83&lt;$G83*(1-'Feuille de Donnée'!$E$27),'Feuille de Donnée'!$F$33,'Feuille de Donnée'!$F$31)))))</f>
        <v/>
      </c>
      <c r="AR83" s="138"/>
      <c r="AS83" s="103"/>
      <c r="AT83" s="27"/>
      <c r="AU83" s="27"/>
      <c r="AV83" s="27" t="str">
        <f t="shared" si="32"/>
        <v/>
      </c>
      <c r="AW83" s="121" t="str">
        <f t="shared" si="33"/>
        <v/>
      </c>
      <c r="AX83" s="121" t="str">
        <f t="shared" si="34"/>
        <v/>
      </c>
      <c r="AY83" s="27" t="str">
        <f>IF(AND(ISBLANK(BA83),AZ83=""),"",1+MAX(AY$21:AY82))</f>
        <v/>
      </c>
      <c r="AZ83" s="137" t="str">
        <f>IF(OR(AV83="",AV83=0,$H83="",$H83=0,NOT(ISNUMBER($H83)),NOT(ISNUMBER(AV83))),IF(AND($E83&lt;&gt;"",AND(OR(ISNUMBER(AV83),AV83=""),AND(ISNUMBER($H83),$H83&gt;0))),'Feuille de Donnée'!$K$13,""),IF(AV83&lt;$H$168*'Feuille de Donnée'!$I$9,"Négligeable",(IF(AND(AT83&gt;=$F83*(1-'Feuille de Donnée'!$E$12),AT83&lt;=$F83*(1+'Feuille de Donnée'!$F$12)),'Feuille de Donnée'!$F$17,IF(AT83&lt;$F83*(1-'Feuille de Donnée'!$E$12),'Feuille de Donnée'!$F$18,'Feuille de Donnée'!$F$16))&amp;""&amp;IF(AND(AU83&gt;=$G83*(1-'Feuille de Donnée'!$E$27),AU83&lt;=$G83*(1+'Feuille de Donnée'!$F$27)),'Feuille de Donnée'!$F$32,IF(AU83&lt;$G83*(1-'Feuille de Donnée'!$E$27),'Feuille de Donnée'!$F$33,'Feuille de Donnée'!$F$31)))))</f>
        <v/>
      </c>
      <c r="BA83" s="138"/>
      <c r="BB83" s="103"/>
      <c r="BC83" s="27"/>
      <c r="BD83" s="27"/>
      <c r="BE83" s="27" t="str">
        <f t="shared" si="35"/>
        <v/>
      </c>
      <c r="BF83" s="121" t="str">
        <f t="shared" si="36"/>
        <v/>
      </c>
      <c r="BG83" s="121" t="str">
        <f t="shared" si="37"/>
        <v/>
      </c>
      <c r="BH83" s="27" t="str">
        <f>IF(AND(ISBLANK(BJ83),BI83=""),"",1+MAX(BH$21:BH82))</f>
        <v/>
      </c>
      <c r="BI83" s="137" t="str">
        <f>IF(OR(BE83="",BE83=0,$H83="",$H83=0,NOT(ISNUMBER($H83)),NOT(ISNUMBER(BE83))),IF(AND($E83&lt;&gt;"",AND(OR(ISNUMBER(BE83),BE83=""),AND(ISNUMBER($H83),$H83&gt;0))),'Feuille de Donnée'!$K$13,""),IF(BE83&lt;$H$168*'Feuille de Donnée'!$I$9,"Négligeable",(IF(AND(BC83&gt;=$F83*(1-'Feuille de Donnée'!$E$12),BC83&lt;=$F83*(1+'Feuille de Donnée'!$F$12)),'Feuille de Donnée'!$F$17,IF(BC83&lt;$F83*(1-'Feuille de Donnée'!$E$12),'Feuille de Donnée'!$F$18,'Feuille de Donnée'!$F$16))&amp;""&amp;IF(AND(BD83&gt;=$G83*(1-'Feuille de Donnée'!$E$27),BD83&lt;=$G83*(1+'Feuille de Donnée'!$F$27)),'Feuille de Donnée'!$F$32,IF(BD83&lt;$G83*(1-'Feuille de Donnée'!$E$27),'Feuille de Donnée'!$F$33,'Feuille de Donnée'!$F$31)))))</f>
        <v/>
      </c>
      <c r="BJ83" s="138"/>
      <c r="BK83" s="140"/>
    </row>
    <row r="84" spans="1:63" s="6" customFormat="1" x14ac:dyDescent="0.3">
      <c r="A84" s="23"/>
      <c r="B84" s="24"/>
      <c r="C84" s="24"/>
      <c r="D84" s="24"/>
      <c r="E84" s="22"/>
      <c r="F84" s="25"/>
      <c r="G84" s="26"/>
      <c r="H84" s="102" t="str">
        <f t="shared" si="19"/>
        <v/>
      </c>
      <c r="I84" s="103"/>
      <c r="J84" s="27"/>
      <c r="K84" s="27"/>
      <c r="L84" s="27" t="str">
        <f t="shared" si="20"/>
        <v/>
      </c>
      <c r="M84" s="121" t="str">
        <f t="shared" si="21"/>
        <v/>
      </c>
      <c r="N84" s="121" t="str">
        <f t="shared" si="22"/>
        <v/>
      </c>
      <c r="O84" s="27" t="str">
        <f>IF(AND(ISBLANK(Q84),P84=""),"",1+MAX(O$21:O83))</f>
        <v/>
      </c>
      <c r="P84" s="137" t="str">
        <f>IF(OR(L84="",L84=0,$H84="",$H84=0,NOT(ISNUMBER($H84)),NOT(ISNUMBER(L84))),IF(AND($E84&lt;&gt;"",AND(OR(ISNUMBER(L84),L84=""),AND(ISNUMBER($H84),$H84&gt;0))),'Feuille de Donnée'!$K$13,""),IF(L84&lt;$H$168*'Feuille de Donnée'!$I$9,"Négligeable",(IF(AND(J84&gt;=$F84*(1-'Feuille de Donnée'!$E$12),J84&lt;=$F84*(1+'Feuille de Donnée'!$F$12)),'Feuille de Donnée'!$F$17,IF(J84&lt;$F84*(1-'Feuille de Donnée'!$E$12),'Feuille de Donnée'!$F$18,'Feuille de Donnée'!$F$16))&amp;""&amp;IF(AND(K84&gt;=$G84*(1-'Feuille de Donnée'!$E$27),K84&lt;=$G84*(1+'Feuille de Donnée'!$F$27)),'Feuille de Donnée'!$F$32,IF(K84&lt;$G84*(1-'Feuille de Donnée'!$E$27),'Feuille de Donnée'!$F$33,'Feuille de Donnée'!$F$31)))))</f>
        <v/>
      </c>
      <c r="Q84" s="138"/>
      <c r="R84" s="103"/>
      <c r="S84" s="27"/>
      <c r="T84" s="27"/>
      <c r="U84" s="27" t="str">
        <f t="shared" si="23"/>
        <v/>
      </c>
      <c r="V84" s="121" t="str">
        <f t="shared" si="24"/>
        <v/>
      </c>
      <c r="W84" s="121" t="str">
        <f t="shared" si="25"/>
        <v/>
      </c>
      <c r="X84" s="27" t="str">
        <f>IF(AND(ISBLANK(Z84),Y84=""),"",1+MAX(X$21:X83))</f>
        <v/>
      </c>
      <c r="Y84" s="137" t="str">
        <f>IF(OR(U84="",U84=0,$H84="",$H84=0,NOT(ISNUMBER($H84)),NOT(ISNUMBER(U84))),IF(AND($E84&lt;&gt;"",AND(OR(ISNUMBER(U84),U84=""),AND(ISNUMBER($H84),$H84&gt;0))),'Feuille de Donnée'!$K$13,""),IF(U84&lt;$H$168*'Feuille de Donnée'!$I$9,"Négligeable",(IF(AND(S84&gt;=$F84*(1-'Feuille de Donnée'!$E$12),S84&lt;=$F84*(1+'Feuille de Donnée'!$F$12)),'Feuille de Donnée'!$F$17,IF(S84&lt;$F84*(1-'Feuille de Donnée'!$E$12),'Feuille de Donnée'!$F$18,'Feuille de Donnée'!$F$16))&amp;""&amp;IF(AND(T84&gt;=$G84*(1-'Feuille de Donnée'!$E$27),T84&lt;=$G84*(1+'Feuille de Donnée'!$F$27)),'Feuille de Donnée'!$F$32,IF(T84&lt;$G84*(1-'Feuille de Donnée'!$E$27),'Feuille de Donnée'!$F$33,'Feuille de Donnée'!$F$31)))))</f>
        <v/>
      </c>
      <c r="Z84" s="138"/>
      <c r="AA84" s="103"/>
      <c r="AB84" s="27"/>
      <c r="AC84" s="27"/>
      <c r="AD84" s="27" t="str">
        <f t="shared" si="26"/>
        <v/>
      </c>
      <c r="AE84" s="121" t="str">
        <f t="shared" si="27"/>
        <v/>
      </c>
      <c r="AF84" s="121" t="str">
        <f t="shared" si="28"/>
        <v/>
      </c>
      <c r="AG84" s="27" t="str">
        <f>IF(AND(ISBLANK(AI84),AH84=""),"",1+MAX(AG$21:AG83))</f>
        <v/>
      </c>
      <c r="AH84" s="137" t="str">
        <f>IF(OR(AD84="",AD84=0,$H84="",$H84=0,NOT(ISNUMBER($H84)),NOT(ISNUMBER(AD84))),IF(AND($E84&lt;&gt;"",AND(OR(ISNUMBER(AD84),AD84=""),AND(ISNUMBER($H84),$H84&gt;0))),'Feuille de Donnée'!$K$13,""),IF(AD84&lt;$H$168*'Feuille de Donnée'!$I$9,"Négligeable",(IF(AND(AB84&gt;=$F84*(1-'Feuille de Donnée'!$E$12),AB84&lt;=$F84*(1+'Feuille de Donnée'!$F$12)),'Feuille de Donnée'!$F$17,IF(AB84&lt;$F84*(1-'Feuille de Donnée'!$E$12),'Feuille de Donnée'!$F$18,'Feuille de Donnée'!$F$16))&amp;""&amp;IF(AND(AC84&gt;=$G84*(1-'Feuille de Donnée'!$E$27),AC84&lt;=$G84*(1+'Feuille de Donnée'!$F$27)),'Feuille de Donnée'!$F$32,IF(AC84&lt;$G84*(1-'Feuille de Donnée'!$E$27),'Feuille de Donnée'!$F$33,'Feuille de Donnée'!$F$31)))))</f>
        <v/>
      </c>
      <c r="AI84" s="138"/>
      <c r="AJ84" s="103"/>
      <c r="AK84" s="27"/>
      <c r="AL84" s="27"/>
      <c r="AM84" s="27" t="str">
        <f t="shared" si="29"/>
        <v/>
      </c>
      <c r="AN84" s="121" t="str">
        <f t="shared" si="30"/>
        <v/>
      </c>
      <c r="AO84" s="121" t="str">
        <f t="shared" si="31"/>
        <v/>
      </c>
      <c r="AP84" s="27" t="str">
        <f>IF(AND(ISBLANK(AR84),AQ84=""),"",1+MAX(AP$21:AP83))</f>
        <v/>
      </c>
      <c r="AQ84" s="137" t="str">
        <f>IF(OR(AM84="",AM84=0,$H84="",$H84=0,NOT(ISNUMBER($H84)),NOT(ISNUMBER(AM84))),IF(AND($E84&lt;&gt;"",AND(OR(ISNUMBER(AM84),AM84=""),AND(ISNUMBER($H84),$H84&gt;0))),'Feuille de Donnée'!$K$13,""),IF(AM84&lt;$H$168*'Feuille de Donnée'!$I$9,"Négligeable",(IF(AND(AK84&gt;=$F84*(1-'Feuille de Donnée'!$E$12),AK84&lt;=$F84*(1+'Feuille de Donnée'!$F$12)),'Feuille de Donnée'!$F$17,IF(AK84&lt;$F84*(1-'Feuille de Donnée'!$E$12),'Feuille de Donnée'!$F$18,'Feuille de Donnée'!$F$16))&amp;""&amp;IF(AND(AL84&gt;=$G84*(1-'Feuille de Donnée'!$E$27),AL84&lt;=$G84*(1+'Feuille de Donnée'!$F$27)),'Feuille de Donnée'!$F$32,IF(AL84&lt;$G84*(1-'Feuille de Donnée'!$E$27),'Feuille de Donnée'!$F$33,'Feuille de Donnée'!$F$31)))))</f>
        <v/>
      </c>
      <c r="AR84" s="138"/>
      <c r="AS84" s="103"/>
      <c r="AT84" s="27"/>
      <c r="AU84" s="27"/>
      <c r="AV84" s="27" t="str">
        <f t="shared" si="32"/>
        <v/>
      </c>
      <c r="AW84" s="121" t="str">
        <f t="shared" si="33"/>
        <v/>
      </c>
      <c r="AX84" s="121" t="str">
        <f t="shared" si="34"/>
        <v/>
      </c>
      <c r="AY84" s="27" t="str">
        <f>IF(AND(ISBLANK(BA84),AZ84=""),"",1+MAX(AY$21:AY83))</f>
        <v/>
      </c>
      <c r="AZ84" s="137" t="str">
        <f>IF(OR(AV84="",AV84=0,$H84="",$H84=0,NOT(ISNUMBER($H84)),NOT(ISNUMBER(AV84))),IF(AND($E84&lt;&gt;"",AND(OR(ISNUMBER(AV84),AV84=""),AND(ISNUMBER($H84),$H84&gt;0))),'Feuille de Donnée'!$K$13,""),IF(AV84&lt;$H$168*'Feuille de Donnée'!$I$9,"Négligeable",(IF(AND(AT84&gt;=$F84*(1-'Feuille de Donnée'!$E$12),AT84&lt;=$F84*(1+'Feuille de Donnée'!$F$12)),'Feuille de Donnée'!$F$17,IF(AT84&lt;$F84*(1-'Feuille de Donnée'!$E$12),'Feuille de Donnée'!$F$18,'Feuille de Donnée'!$F$16))&amp;""&amp;IF(AND(AU84&gt;=$G84*(1-'Feuille de Donnée'!$E$27),AU84&lt;=$G84*(1+'Feuille de Donnée'!$F$27)),'Feuille de Donnée'!$F$32,IF(AU84&lt;$G84*(1-'Feuille de Donnée'!$E$27),'Feuille de Donnée'!$F$33,'Feuille de Donnée'!$F$31)))))</f>
        <v/>
      </c>
      <c r="BA84" s="138"/>
      <c r="BB84" s="103"/>
      <c r="BC84" s="27"/>
      <c r="BD84" s="27"/>
      <c r="BE84" s="27" t="str">
        <f t="shared" si="35"/>
        <v/>
      </c>
      <c r="BF84" s="121" t="str">
        <f t="shared" si="36"/>
        <v/>
      </c>
      <c r="BG84" s="121" t="str">
        <f t="shared" si="37"/>
        <v/>
      </c>
      <c r="BH84" s="27" t="str">
        <f>IF(AND(ISBLANK(BJ84),BI84=""),"",1+MAX(BH$21:BH83))</f>
        <v/>
      </c>
      <c r="BI84" s="137" t="str">
        <f>IF(OR(BE84="",BE84=0,$H84="",$H84=0,NOT(ISNUMBER($H84)),NOT(ISNUMBER(BE84))),IF(AND($E84&lt;&gt;"",AND(OR(ISNUMBER(BE84),BE84=""),AND(ISNUMBER($H84),$H84&gt;0))),'Feuille de Donnée'!$K$13,""),IF(BE84&lt;$H$168*'Feuille de Donnée'!$I$9,"Négligeable",(IF(AND(BC84&gt;=$F84*(1-'Feuille de Donnée'!$E$12),BC84&lt;=$F84*(1+'Feuille de Donnée'!$F$12)),'Feuille de Donnée'!$F$17,IF(BC84&lt;$F84*(1-'Feuille de Donnée'!$E$12),'Feuille de Donnée'!$F$18,'Feuille de Donnée'!$F$16))&amp;""&amp;IF(AND(BD84&gt;=$G84*(1-'Feuille de Donnée'!$E$27),BD84&lt;=$G84*(1+'Feuille de Donnée'!$F$27)),'Feuille de Donnée'!$F$32,IF(BD84&lt;$G84*(1-'Feuille de Donnée'!$E$27),'Feuille de Donnée'!$F$33,'Feuille de Donnée'!$F$31)))))</f>
        <v/>
      </c>
      <c r="BJ84" s="138"/>
      <c r="BK84" s="140"/>
    </row>
    <row r="85" spans="1:63" s="6" customFormat="1" x14ac:dyDescent="0.3">
      <c r="A85" s="23"/>
      <c r="B85" s="24"/>
      <c r="C85" s="24"/>
      <c r="D85" s="24"/>
      <c r="E85" s="22"/>
      <c r="F85" s="25"/>
      <c r="G85" s="26"/>
      <c r="H85" s="102" t="str">
        <f t="shared" si="19"/>
        <v/>
      </c>
      <c r="I85" s="103"/>
      <c r="J85" s="27"/>
      <c r="K85" s="27"/>
      <c r="L85" s="27" t="str">
        <f t="shared" si="20"/>
        <v/>
      </c>
      <c r="M85" s="121" t="str">
        <f t="shared" si="21"/>
        <v/>
      </c>
      <c r="N85" s="121" t="str">
        <f t="shared" si="22"/>
        <v/>
      </c>
      <c r="O85" s="27" t="str">
        <f>IF(AND(ISBLANK(Q85),P85=""),"",1+MAX(O$21:O84))</f>
        <v/>
      </c>
      <c r="P85" s="137" t="str">
        <f>IF(OR(L85="",L85=0,$H85="",$H85=0,NOT(ISNUMBER($H85)),NOT(ISNUMBER(L85))),IF(AND($E85&lt;&gt;"",AND(OR(ISNUMBER(L85),L85=""),AND(ISNUMBER($H85),$H85&gt;0))),'Feuille de Donnée'!$K$13,""),IF(L85&lt;$H$168*'Feuille de Donnée'!$I$9,"Négligeable",(IF(AND(J85&gt;=$F85*(1-'Feuille de Donnée'!$E$12),J85&lt;=$F85*(1+'Feuille de Donnée'!$F$12)),'Feuille de Donnée'!$F$17,IF(J85&lt;$F85*(1-'Feuille de Donnée'!$E$12),'Feuille de Donnée'!$F$18,'Feuille de Donnée'!$F$16))&amp;""&amp;IF(AND(K85&gt;=$G85*(1-'Feuille de Donnée'!$E$27),K85&lt;=$G85*(1+'Feuille de Donnée'!$F$27)),'Feuille de Donnée'!$F$32,IF(K85&lt;$G85*(1-'Feuille de Donnée'!$E$27),'Feuille de Donnée'!$F$33,'Feuille de Donnée'!$F$31)))))</f>
        <v/>
      </c>
      <c r="Q85" s="138"/>
      <c r="R85" s="103"/>
      <c r="S85" s="27"/>
      <c r="T85" s="27"/>
      <c r="U85" s="27" t="str">
        <f t="shared" si="23"/>
        <v/>
      </c>
      <c r="V85" s="121" t="str">
        <f t="shared" si="24"/>
        <v/>
      </c>
      <c r="W85" s="121" t="str">
        <f t="shared" si="25"/>
        <v/>
      </c>
      <c r="X85" s="27" t="str">
        <f>IF(AND(ISBLANK(Z85),Y85=""),"",1+MAX(X$21:X84))</f>
        <v/>
      </c>
      <c r="Y85" s="137" t="str">
        <f>IF(OR(U85="",U85=0,$H85="",$H85=0,NOT(ISNUMBER($H85)),NOT(ISNUMBER(U85))),IF(AND($E85&lt;&gt;"",AND(OR(ISNUMBER(U85),U85=""),AND(ISNUMBER($H85),$H85&gt;0))),'Feuille de Donnée'!$K$13,""),IF(U85&lt;$H$168*'Feuille de Donnée'!$I$9,"Négligeable",(IF(AND(S85&gt;=$F85*(1-'Feuille de Donnée'!$E$12),S85&lt;=$F85*(1+'Feuille de Donnée'!$F$12)),'Feuille de Donnée'!$F$17,IF(S85&lt;$F85*(1-'Feuille de Donnée'!$E$12),'Feuille de Donnée'!$F$18,'Feuille de Donnée'!$F$16))&amp;""&amp;IF(AND(T85&gt;=$G85*(1-'Feuille de Donnée'!$E$27),T85&lt;=$G85*(1+'Feuille de Donnée'!$F$27)),'Feuille de Donnée'!$F$32,IF(T85&lt;$G85*(1-'Feuille de Donnée'!$E$27),'Feuille de Donnée'!$F$33,'Feuille de Donnée'!$F$31)))))</f>
        <v/>
      </c>
      <c r="Z85" s="138"/>
      <c r="AA85" s="103"/>
      <c r="AB85" s="27"/>
      <c r="AC85" s="27"/>
      <c r="AD85" s="27" t="str">
        <f t="shared" si="26"/>
        <v/>
      </c>
      <c r="AE85" s="121" t="str">
        <f t="shared" si="27"/>
        <v/>
      </c>
      <c r="AF85" s="121" t="str">
        <f t="shared" si="28"/>
        <v/>
      </c>
      <c r="AG85" s="27" t="str">
        <f>IF(AND(ISBLANK(AI85),AH85=""),"",1+MAX(AG$21:AG84))</f>
        <v/>
      </c>
      <c r="AH85" s="137" t="str">
        <f>IF(OR(AD85="",AD85=0,$H85="",$H85=0,NOT(ISNUMBER($H85)),NOT(ISNUMBER(AD85))),IF(AND($E85&lt;&gt;"",AND(OR(ISNUMBER(AD85),AD85=""),AND(ISNUMBER($H85),$H85&gt;0))),'Feuille de Donnée'!$K$13,""),IF(AD85&lt;$H$168*'Feuille de Donnée'!$I$9,"Négligeable",(IF(AND(AB85&gt;=$F85*(1-'Feuille de Donnée'!$E$12),AB85&lt;=$F85*(1+'Feuille de Donnée'!$F$12)),'Feuille de Donnée'!$F$17,IF(AB85&lt;$F85*(1-'Feuille de Donnée'!$E$12),'Feuille de Donnée'!$F$18,'Feuille de Donnée'!$F$16))&amp;""&amp;IF(AND(AC85&gt;=$G85*(1-'Feuille de Donnée'!$E$27),AC85&lt;=$G85*(1+'Feuille de Donnée'!$F$27)),'Feuille de Donnée'!$F$32,IF(AC85&lt;$G85*(1-'Feuille de Donnée'!$E$27),'Feuille de Donnée'!$F$33,'Feuille de Donnée'!$F$31)))))</f>
        <v/>
      </c>
      <c r="AI85" s="138"/>
      <c r="AJ85" s="103"/>
      <c r="AK85" s="27"/>
      <c r="AL85" s="27"/>
      <c r="AM85" s="27" t="str">
        <f t="shared" si="29"/>
        <v/>
      </c>
      <c r="AN85" s="121" t="str">
        <f t="shared" si="30"/>
        <v/>
      </c>
      <c r="AO85" s="121" t="str">
        <f t="shared" si="31"/>
        <v/>
      </c>
      <c r="AP85" s="27" t="str">
        <f>IF(AND(ISBLANK(AR85),AQ85=""),"",1+MAX(AP$21:AP84))</f>
        <v/>
      </c>
      <c r="AQ85" s="137" t="str">
        <f>IF(OR(AM85="",AM85=0,$H85="",$H85=0,NOT(ISNUMBER($H85)),NOT(ISNUMBER(AM85))),IF(AND($E85&lt;&gt;"",AND(OR(ISNUMBER(AM85),AM85=""),AND(ISNUMBER($H85),$H85&gt;0))),'Feuille de Donnée'!$K$13,""),IF(AM85&lt;$H$168*'Feuille de Donnée'!$I$9,"Négligeable",(IF(AND(AK85&gt;=$F85*(1-'Feuille de Donnée'!$E$12),AK85&lt;=$F85*(1+'Feuille de Donnée'!$F$12)),'Feuille de Donnée'!$F$17,IF(AK85&lt;$F85*(1-'Feuille de Donnée'!$E$12),'Feuille de Donnée'!$F$18,'Feuille de Donnée'!$F$16))&amp;""&amp;IF(AND(AL85&gt;=$G85*(1-'Feuille de Donnée'!$E$27),AL85&lt;=$G85*(1+'Feuille de Donnée'!$F$27)),'Feuille de Donnée'!$F$32,IF(AL85&lt;$G85*(1-'Feuille de Donnée'!$E$27),'Feuille de Donnée'!$F$33,'Feuille de Donnée'!$F$31)))))</f>
        <v/>
      </c>
      <c r="AR85" s="138"/>
      <c r="AS85" s="103"/>
      <c r="AT85" s="27"/>
      <c r="AU85" s="27"/>
      <c r="AV85" s="27" t="str">
        <f t="shared" si="32"/>
        <v/>
      </c>
      <c r="AW85" s="121" t="str">
        <f t="shared" si="33"/>
        <v/>
      </c>
      <c r="AX85" s="121" t="str">
        <f t="shared" si="34"/>
        <v/>
      </c>
      <c r="AY85" s="27" t="str">
        <f>IF(AND(ISBLANK(BA85),AZ85=""),"",1+MAX(AY$21:AY84))</f>
        <v/>
      </c>
      <c r="AZ85" s="137" t="str">
        <f>IF(OR(AV85="",AV85=0,$H85="",$H85=0,NOT(ISNUMBER($H85)),NOT(ISNUMBER(AV85))),IF(AND($E85&lt;&gt;"",AND(OR(ISNUMBER(AV85),AV85=""),AND(ISNUMBER($H85),$H85&gt;0))),'Feuille de Donnée'!$K$13,""),IF(AV85&lt;$H$168*'Feuille de Donnée'!$I$9,"Négligeable",(IF(AND(AT85&gt;=$F85*(1-'Feuille de Donnée'!$E$12),AT85&lt;=$F85*(1+'Feuille de Donnée'!$F$12)),'Feuille de Donnée'!$F$17,IF(AT85&lt;$F85*(1-'Feuille de Donnée'!$E$12),'Feuille de Donnée'!$F$18,'Feuille de Donnée'!$F$16))&amp;""&amp;IF(AND(AU85&gt;=$G85*(1-'Feuille de Donnée'!$E$27),AU85&lt;=$G85*(1+'Feuille de Donnée'!$F$27)),'Feuille de Donnée'!$F$32,IF(AU85&lt;$G85*(1-'Feuille de Donnée'!$E$27),'Feuille de Donnée'!$F$33,'Feuille de Donnée'!$F$31)))))</f>
        <v/>
      </c>
      <c r="BA85" s="138"/>
      <c r="BB85" s="103"/>
      <c r="BC85" s="27"/>
      <c r="BD85" s="27"/>
      <c r="BE85" s="27" t="str">
        <f t="shared" si="35"/>
        <v/>
      </c>
      <c r="BF85" s="121" t="str">
        <f t="shared" si="36"/>
        <v/>
      </c>
      <c r="BG85" s="121" t="str">
        <f t="shared" si="37"/>
        <v/>
      </c>
      <c r="BH85" s="27" t="str">
        <f>IF(AND(ISBLANK(BJ85),BI85=""),"",1+MAX(BH$21:BH84))</f>
        <v/>
      </c>
      <c r="BI85" s="137" t="str">
        <f>IF(OR(BE85="",BE85=0,$H85="",$H85=0,NOT(ISNUMBER($H85)),NOT(ISNUMBER(BE85))),IF(AND($E85&lt;&gt;"",AND(OR(ISNUMBER(BE85),BE85=""),AND(ISNUMBER($H85),$H85&gt;0))),'Feuille de Donnée'!$K$13,""),IF(BE85&lt;$H$168*'Feuille de Donnée'!$I$9,"Négligeable",(IF(AND(BC85&gt;=$F85*(1-'Feuille de Donnée'!$E$12),BC85&lt;=$F85*(1+'Feuille de Donnée'!$F$12)),'Feuille de Donnée'!$F$17,IF(BC85&lt;$F85*(1-'Feuille de Donnée'!$E$12),'Feuille de Donnée'!$F$18,'Feuille de Donnée'!$F$16))&amp;""&amp;IF(AND(BD85&gt;=$G85*(1-'Feuille de Donnée'!$E$27),BD85&lt;=$G85*(1+'Feuille de Donnée'!$F$27)),'Feuille de Donnée'!$F$32,IF(BD85&lt;$G85*(1-'Feuille de Donnée'!$E$27),'Feuille de Donnée'!$F$33,'Feuille de Donnée'!$F$31)))))</f>
        <v/>
      </c>
      <c r="BJ85" s="138"/>
      <c r="BK85" s="140"/>
    </row>
    <row r="86" spans="1:63" s="6" customFormat="1" x14ac:dyDescent="0.3">
      <c r="A86" s="23"/>
      <c r="B86" s="24"/>
      <c r="C86" s="24"/>
      <c r="D86" s="24"/>
      <c r="E86" s="22"/>
      <c r="F86" s="25"/>
      <c r="G86" s="26"/>
      <c r="H86" s="102" t="str">
        <f t="shared" si="19"/>
        <v/>
      </c>
      <c r="I86" s="103"/>
      <c r="J86" s="27"/>
      <c r="K86" s="27"/>
      <c r="L86" s="27" t="str">
        <f t="shared" si="20"/>
        <v/>
      </c>
      <c r="M86" s="121" t="str">
        <f t="shared" si="21"/>
        <v/>
      </c>
      <c r="N86" s="121" t="str">
        <f t="shared" si="22"/>
        <v/>
      </c>
      <c r="O86" s="27" t="str">
        <f>IF(AND(ISBLANK(Q86),P86=""),"",1+MAX(O$21:O85))</f>
        <v/>
      </c>
      <c r="P86" s="137" t="str">
        <f>IF(OR(L86="",L86=0,$H86="",$H86=0,NOT(ISNUMBER($H86)),NOT(ISNUMBER(L86))),IF(AND($E86&lt;&gt;"",AND(OR(ISNUMBER(L86),L86=""),AND(ISNUMBER($H86),$H86&gt;0))),'Feuille de Donnée'!$K$13,""),IF(L86&lt;$H$168*'Feuille de Donnée'!$I$9,"Négligeable",(IF(AND(J86&gt;=$F86*(1-'Feuille de Donnée'!$E$12),J86&lt;=$F86*(1+'Feuille de Donnée'!$F$12)),'Feuille de Donnée'!$F$17,IF(J86&lt;$F86*(1-'Feuille de Donnée'!$E$12),'Feuille de Donnée'!$F$18,'Feuille de Donnée'!$F$16))&amp;""&amp;IF(AND(K86&gt;=$G86*(1-'Feuille de Donnée'!$E$27),K86&lt;=$G86*(1+'Feuille de Donnée'!$F$27)),'Feuille de Donnée'!$F$32,IF(K86&lt;$G86*(1-'Feuille de Donnée'!$E$27),'Feuille de Donnée'!$F$33,'Feuille de Donnée'!$F$31)))))</f>
        <v/>
      </c>
      <c r="Q86" s="138"/>
      <c r="R86" s="103"/>
      <c r="S86" s="27"/>
      <c r="T86" s="27"/>
      <c r="U86" s="27" t="str">
        <f t="shared" si="23"/>
        <v/>
      </c>
      <c r="V86" s="121" t="str">
        <f t="shared" si="24"/>
        <v/>
      </c>
      <c r="W86" s="121" t="str">
        <f t="shared" si="25"/>
        <v/>
      </c>
      <c r="X86" s="27" t="str">
        <f>IF(AND(ISBLANK(Z86),Y86=""),"",1+MAX(X$21:X85))</f>
        <v/>
      </c>
      <c r="Y86" s="137" t="str">
        <f>IF(OR(U86="",U86=0,$H86="",$H86=0,NOT(ISNUMBER($H86)),NOT(ISNUMBER(U86))),IF(AND($E86&lt;&gt;"",AND(OR(ISNUMBER(U86),U86=""),AND(ISNUMBER($H86),$H86&gt;0))),'Feuille de Donnée'!$K$13,""),IF(U86&lt;$H$168*'Feuille de Donnée'!$I$9,"Négligeable",(IF(AND(S86&gt;=$F86*(1-'Feuille de Donnée'!$E$12),S86&lt;=$F86*(1+'Feuille de Donnée'!$F$12)),'Feuille de Donnée'!$F$17,IF(S86&lt;$F86*(1-'Feuille de Donnée'!$E$12),'Feuille de Donnée'!$F$18,'Feuille de Donnée'!$F$16))&amp;""&amp;IF(AND(T86&gt;=$G86*(1-'Feuille de Donnée'!$E$27),T86&lt;=$G86*(1+'Feuille de Donnée'!$F$27)),'Feuille de Donnée'!$F$32,IF(T86&lt;$G86*(1-'Feuille de Donnée'!$E$27),'Feuille de Donnée'!$F$33,'Feuille de Donnée'!$F$31)))))</f>
        <v/>
      </c>
      <c r="Z86" s="138"/>
      <c r="AA86" s="103"/>
      <c r="AB86" s="27"/>
      <c r="AC86" s="27"/>
      <c r="AD86" s="27" t="str">
        <f t="shared" si="26"/>
        <v/>
      </c>
      <c r="AE86" s="121" t="str">
        <f t="shared" si="27"/>
        <v/>
      </c>
      <c r="AF86" s="121" t="str">
        <f t="shared" si="28"/>
        <v/>
      </c>
      <c r="AG86" s="27" t="str">
        <f>IF(AND(ISBLANK(AI86),AH86=""),"",1+MAX(AG$21:AG85))</f>
        <v/>
      </c>
      <c r="AH86" s="137" t="str">
        <f>IF(OR(AD86="",AD86=0,$H86="",$H86=0,NOT(ISNUMBER($H86)),NOT(ISNUMBER(AD86))),IF(AND($E86&lt;&gt;"",AND(OR(ISNUMBER(AD86),AD86=""),AND(ISNUMBER($H86),$H86&gt;0))),'Feuille de Donnée'!$K$13,""),IF(AD86&lt;$H$168*'Feuille de Donnée'!$I$9,"Négligeable",(IF(AND(AB86&gt;=$F86*(1-'Feuille de Donnée'!$E$12),AB86&lt;=$F86*(1+'Feuille de Donnée'!$F$12)),'Feuille de Donnée'!$F$17,IF(AB86&lt;$F86*(1-'Feuille de Donnée'!$E$12),'Feuille de Donnée'!$F$18,'Feuille de Donnée'!$F$16))&amp;""&amp;IF(AND(AC86&gt;=$G86*(1-'Feuille de Donnée'!$E$27),AC86&lt;=$G86*(1+'Feuille de Donnée'!$F$27)),'Feuille de Donnée'!$F$32,IF(AC86&lt;$G86*(1-'Feuille de Donnée'!$E$27),'Feuille de Donnée'!$F$33,'Feuille de Donnée'!$F$31)))))</f>
        <v/>
      </c>
      <c r="AI86" s="138"/>
      <c r="AJ86" s="103"/>
      <c r="AK86" s="27"/>
      <c r="AL86" s="27"/>
      <c r="AM86" s="27" t="str">
        <f t="shared" si="29"/>
        <v/>
      </c>
      <c r="AN86" s="121" t="str">
        <f t="shared" si="30"/>
        <v/>
      </c>
      <c r="AO86" s="121" t="str">
        <f t="shared" si="31"/>
        <v/>
      </c>
      <c r="AP86" s="27" t="str">
        <f>IF(AND(ISBLANK(AR86),AQ86=""),"",1+MAX(AP$21:AP85))</f>
        <v/>
      </c>
      <c r="AQ86" s="137" t="str">
        <f>IF(OR(AM86="",AM86=0,$H86="",$H86=0,NOT(ISNUMBER($H86)),NOT(ISNUMBER(AM86))),IF(AND($E86&lt;&gt;"",AND(OR(ISNUMBER(AM86),AM86=""),AND(ISNUMBER($H86),$H86&gt;0))),'Feuille de Donnée'!$K$13,""),IF(AM86&lt;$H$168*'Feuille de Donnée'!$I$9,"Négligeable",(IF(AND(AK86&gt;=$F86*(1-'Feuille de Donnée'!$E$12),AK86&lt;=$F86*(1+'Feuille de Donnée'!$F$12)),'Feuille de Donnée'!$F$17,IF(AK86&lt;$F86*(1-'Feuille de Donnée'!$E$12),'Feuille de Donnée'!$F$18,'Feuille de Donnée'!$F$16))&amp;""&amp;IF(AND(AL86&gt;=$G86*(1-'Feuille de Donnée'!$E$27),AL86&lt;=$G86*(1+'Feuille de Donnée'!$F$27)),'Feuille de Donnée'!$F$32,IF(AL86&lt;$G86*(1-'Feuille de Donnée'!$E$27),'Feuille de Donnée'!$F$33,'Feuille de Donnée'!$F$31)))))</f>
        <v/>
      </c>
      <c r="AR86" s="138"/>
      <c r="AS86" s="103"/>
      <c r="AT86" s="27"/>
      <c r="AU86" s="27"/>
      <c r="AV86" s="27" t="str">
        <f t="shared" si="32"/>
        <v/>
      </c>
      <c r="AW86" s="121" t="str">
        <f t="shared" si="33"/>
        <v/>
      </c>
      <c r="AX86" s="121" t="str">
        <f t="shared" si="34"/>
        <v/>
      </c>
      <c r="AY86" s="27" t="str">
        <f>IF(AND(ISBLANK(BA86),AZ86=""),"",1+MAX(AY$21:AY85))</f>
        <v/>
      </c>
      <c r="AZ86" s="137" t="str">
        <f>IF(OR(AV86="",AV86=0,$H86="",$H86=0,NOT(ISNUMBER($H86)),NOT(ISNUMBER(AV86))),IF(AND($E86&lt;&gt;"",AND(OR(ISNUMBER(AV86),AV86=""),AND(ISNUMBER($H86),$H86&gt;0))),'Feuille de Donnée'!$K$13,""),IF(AV86&lt;$H$168*'Feuille de Donnée'!$I$9,"Négligeable",(IF(AND(AT86&gt;=$F86*(1-'Feuille de Donnée'!$E$12),AT86&lt;=$F86*(1+'Feuille de Donnée'!$F$12)),'Feuille de Donnée'!$F$17,IF(AT86&lt;$F86*(1-'Feuille de Donnée'!$E$12),'Feuille de Donnée'!$F$18,'Feuille de Donnée'!$F$16))&amp;""&amp;IF(AND(AU86&gt;=$G86*(1-'Feuille de Donnée'!$E$27),AU86&lt;=$G86*(1+'Feuille de Donnée'!$F$27)),'Feuille de Donnée'!$F$32,IF(AU86&lt;$G86*(1-'Feuille de Donnée'!$E$27),'Feuille de Donnée'!$F$33,'Feuille de Donnée'!$F$31)))))</f>
        <v/>
      </c>
      <c r="BA86" s="138"/>
      <c r="BB86" s="103"/>
      <c r="BC86" s="27"/>
      <c r="BD86" s="27"/>
      <c r="BE86" s="27" t="str">
        <f t="shared" si="35"/>
        <v/>
      </c>
      <c r="BF86" s="121" t="str">
        <f t="shared" si="36"/>
        <v/>
      </c>
      <c r="BG86" s="121" t="str">
        <f t="shared" si="37"/>
        <v/>
      </c>
      <c r="BH86" s="27" t="str">
        <f>IF(AND(ISBLANK(BJ86),BI86=""),"",1+MAX(BH$21:BH85))</f>
        <v/>
      </c>
      <c r="BI86" s="137" t="str">
        <f>IF(OR(BE86="",BE86=0,$H86="",$H86=0,NOT(ISNUMBER($H86)),NOT(ISNUMBER(BE86))),IF(AND($E86&lt;&gt;"",AND(OR(ISNUMBER(BE86),BE86=""),AND(ISNUMBER($H86),$H86&gt;0))),'Feuille de Donnée'!$K$13,""),IF(BE86&lt;$H$168*'Feuille de Donnée'!$I$9,"Négligeable",(IF(AND(BC86&gt;=$F86*(1-'Feuille de Donnée'!$E$12),BC86&lt;=$F86*(1+'Feuille de Donnée'!$F$12)),'Feuille de Donnée'!$F$17,IF(BC86&lt;$F86*(1-'Feuille de Donnée'!$E$12),'Feuille de Donnée'!$F$18,'Feuille de Donnée'!$F$16))&amp;""&amp;IF(AND(BD86&gt;=$G86*(1-'Feuille de Donnée'!$E$27),BD86&lt;=$G86*(1+'Feuille de Donnée'!$F$27)),'Feuille de Donnée'!$F$32,IF(BD86&lt;$G86*(1-'Feuille de Donnée'!$E$27),'Feuille de Donnée'!$F$33,'Feuille de Donnée'!$F$31)))))</f>
        <v/>
      </c>
      <c r="BJ86" s="138"/>
      <c r="BK86" s="140"/>
    </row>
    <row r="87" spans="1:63" s="6" customFormat="1" x14ac:dyDescent="0.3">
      <c r="A87" s="23"/>
      <c r="B87" s="24"/>
      <c r="C87" s="24"/>
      <c r="D87" s="24"/>
      <c r="E87" s="22"/>
      <c r="F87" s="25"/>
      <c r="G87" s="26"/>
      <c r="H87" s="102" t="str">
        <f t="shared" si="19"/>
        <v/>
      </c>
      <c r="I87" s="103"/>
      <c r="J87" s="27"/>
      <c r="K87" s="27"/>
      <c r="L87" s="27" t="str">
        <f t="shared" si="20"/>
        <v/>
      </c>
      <c r="M87" s="121" t="str">
        <f t="shared" si="21"/>
        <v/>
      </c>
      <c r="N87" s="121" t="str">
        <f t="shared" si="22"/>
        <v/>
      </c>
      <c r="O87" s="27" t="str">
        <f>IF(AND(ISBLANK(Q87),P87=""),"",1+MAX(O$21:O86))</f>
        <v/>
      </c>
      <c r="P87" s="137" t="str">
        <f>IF(OR(L87="",L87=0,$H87="",$H87=0,NOT(ISNUMBER($H87)),NOT(ISNUMBER(L87))),IF(AND($E87&lt;&gt;"",AND(OR(ISNUMBER(L87),L87=""),AND(ISNUMBER($H87),$H87&gt;0))),'Feuille de Donnée'!$K$13,""),IF(L87&lt;$H$168*'Feuille de Donnée'!$I$9,"Négligeable",(IF(AND(J87&gt;=$F87*(1-'Feuille de Donnée'!$E$12),J87&lt;=$F87*(1+'Feuille de Donnée'!$F$12)),'Feuille de Donnée'!$F$17,IF(J87&lt;$F87*(1-'Feuille de Donnée'!$E$12),'Feuille de Donnée'!$F$18,'Feuille de Donnée'!$F$16))&amp;""&amp;IF(AND(K87&gt;=$G87*(1-'Feuille de Donnée'!$E$27),K87&lt;=$G87*(1+'Feuille de Donnée'!$F$27)),'Feuille de Donnée'!$F$32,IF(K87&lt;$G87*(1-'Feuille de Donnée'!$E$27),'Feuille de Donnée'!$F$33,'Feuille de Donnée'!$F$31)))))</f>
        <v/>
      </c>
      <c r="Q87" s="138"/>
      <c r="R87" s="103"/>
      <c r="S87" s="27"/>
      <c r="T87" s="27"/>
      <c r="U87" s="27" t="str">
        <f t="shared" si="23"/>
        <v/>
      </c>
      <c r="V87" s="121" t="str">
        <f t="shared" si="24"/>
        <v/>
      </c>
      <c r="W87" s="121" t="str">
        <f t="shared" si="25"/>
        <v/>
      </c>
      <c r="X87" s="27" t="str">
        <f>IF(AND(ISBLANK(Z87),Y87=""),"",1+MAX(X$21:X86))</f>
        <v/>
      </c>
      <c r="Y87" s="137" t="str">
        <f>IF(OR(U87="",U87=0,$H87="",$H87=0,NOT(ISNUMBER($H87)),NOT(ISNUMBER(U87))),IF(AND($E87&lt;&gt;"",AND(OR(ISNUMBER(U87),U87=""),AND(ISNUMBER($H87),$H87&gt;0))),'Feuille de Donnée'!$K$13,""),IF(U87&lt;$H$168*'Feuille de Donnée'!$I$9,"Négligeable",(IF(AND(S87&gt;=$F87*(1-'Feuille de Donnée'!$E$12),S87&lt;=$F87*(1+'Feuille de Donnée'!$F$12)),'Feuille de Donnée'!$F$17,IF(S87&lt;$F87*(1-'Feuille de Donnée'!$E$12),'Feuille de Donnée'!$F$18,'Feuille de Donnée'!$F$16))&amp;""&amp;IF(AND(T87&gt;=$G87*(1-'Feuille de Donnée'!$E$27),T87&lt;=$G87*(1+'Feuille de Donnée'!$F$27)),'Feuille de Donnée'!$F$32,IF(T87&lt;$G87*(1-'Feuille de Donnée'!$E$27),'Feuille de Donnée'!$F$33,'Feuille de Donnée'!$F$31)))))</f>
        <v/>
      </c>
      <c r="Z87" s="138"/>
      <c r="AA87" s="103"/>
      <c r="AB87" s="27"/>
      <c r="AC87" s="27"/>
      <c r="AD87" s="27" t="str">
        <f t="shared" si="26"/>
        <v/>
      </c>
      <c r="AE87" s="121" t="str">
        <f t="shared" si="27"/>
        <v/>
      </c>
      <c r="AF87" s="121" t="str">
        <f t="shared" si="28"/>
        <v/>
      </c>
      <c r="AG87" s="27" t="str">
        <f>IF(AND(ISBLANK(AI87),AH87=""),"",1+MAX(AG$21:AG86))</f>
        <v/>
      </c>
      <c r="AH87" s="137" t="str">
        <f>IF(OR(AD87="",AD87=0,$H87="",$H87=0,NOT(ISNUMBER($H87)),NOT(ISNUMBER(AD87))),IF(AND($E87&lt;&gt;"",AND(OR(ISNUMBER(AD87),AD87=""),AND(ISNUMBER($H87),$H87&gt;0))),'Feuille de Donnée'!$K$13,""),IF(AD87&lt;$H$168*'Feuille de Donnée'!$I$9,"Négligeable",(IF(AND(AB87&gt;=$F87*(1-'Feuille de Donnée'!$E$12),AB87&lt;=$F87*(1+'Feuille de Donnée'!$F$12)),'Feuille de Donnée'!$F$17,IF(AB87&lt;$F87*(1-'Feuille de Donnée'!$E$12),'Feuille de Donnée'!$F$18,'Feuille de Donnée'!$F$16))&amp;""&amp;IF(AND(AC87&gt;=$G87*(1-'Feuille de Donnée'!$E$27),AC87&lt;=$G87*(1+'Feuille de Donnée'!$F$27)),'Feuille de Donnée'!$F$32,IF(AC87&lt;$G87*(1-'Feuille de Donnée'!$E$27),'Feuille de Donnée'!$F$33,'Feuille de Donnée'!$F$31)))))</f>
        <v/>
      </c>
      <c r="AI87" s="138"/>
      <c r="AJ87" s="103"/>
      <c r="AK87" s="27"/>
      <c r="AL87" s="27"/>
      <c r="AM87" s="27" t="str">
        <f t="shared" si="29"/>
        <v/>
      </c>
      <c r="AN87" s="121" t="str">
        <f t="shared" si="30"/>
        <v/>
      </c>
      <c r="AO87" s="121" t="str">
        <f t="shared" si="31"/>
        <v/>
      </c>
      <c r="AP87" s="27" t="str">
        <f>IF(AND(ISBLANK(AR87),AQ87=""),"",1+MAX(AP$21:AP86))</f>
        <v/>
      </c>
      <c r="AQ87" s="137" t="str">
        <f>IF(OR(AM87="",AM87=0,$H87="",$H87=0,NOT(ISNUMBER($H87)),NOT(ISNUMBER(AM87))),IF(AND($E87&lt;&gt;"",AND(OR(ISNUMBER(AM87),AM87=""),AND(ISNUMBER($H87),$H87&gt;0))),'Feuille de Donnée'!$K$13,""),IF(AM87&lt;$H$168*'Feuille de Donnée'!$I$9,"Négligeable",(IF(AND(AK87&gt;=$F87*(1-'Feuille de Donnée'!$E$12),AK87&lt;=$F87*(1+'Feuille de Donnée'!$F$12)),'Feuille de Donnée'!$F$17,IF(AK87&lt;$F87*(1-'Feuille de Donnée'!$E$12),'Feuille de Donnée'!$F$18,'Feuille de Donnée'!$F$16))&amp;""&amp;IF(AND(AL87&gt;=$G87*(1-'Feuille de Donnée'!$E$27),AL87&lt;=$G87*(1+'Feuille de Donnée'!$F$27)),'Feuille de Donnée'!$F$32,IF(AL87&lt;$G87*(1-'Feuille de Donnée'!$E$27),'Feuille de Donnée'!$F$33,'Feuille de Donnée'!$F$31)))))</f>
        <v/>
      </c>
      <c r="AR87" s="138"/>
      <c r="AS87" s="103"/>
      <c r="AT87" s="27"/>
      <c r="AU87" s="27"/>
      <c r="AV87" s="27" t="str">
        <f t="shared" si="32"/>
        <v/>
      </c>
      <c r="AW87" s="121" t="str">
        <f t="shared" si="33"/>
        <v/>
      </c>
      <c r="AX87" s="121" t="str">
        <f t="shared" si="34"/>
        <v/>
      </c>
      <c r="AY87" s="27" t="str">
        <f>IF(AND(ISBLANK(BA87),AZ87=""),"",1+MAX(AY$21:AY86))</f>
        <v/>
      </c>
      <c r="AZ87" s="137" t="str">
        <f>IF(OR(AV87="",AV87=0,$H87="",$H87=0,NOT(ISNUMBER($H87)),NOT(ISNUMBER(AV87))),IF(AND($E87&lt;&gt;"",AND(OR(ISNUMBER(AV87),AV87=""),AND(ISNUMBER($H87),$H87&gt;0))),'Feuille de Donnée'!$K$13,""),IF(AV87&lt;$H$168*'Feuille de Donnée'!$I$9,"Négligeable",(IF(AND(AT87&gt;=$F87*(1-'Feuille de Donnée'!$E$12),AT87&lt;=$F87*(1+'Feuille de Donnée'!$F$12)),'Feuille de Donnée'!$F$17,IF(AT87&lt;$F87*(1-'Feuille de Donnée'!$E$12),'Feuille de Donnée'!$F$18,'Feuille de Donnée'!$F$16))&amp;""&amp;IF(AND(AU87&gt;=$G87*(1-'Feuille de Donnée'!$E$27),AU87&lt;=$G87*(1+'Feuille de Donnée'!$F$27)),'Feuille de Donnée'!$F$32,IF(AU87&lt;$G87*(1-'Feuille de Donnée'!$E$27),'Feuille de Donnée'!$F$33,'Feuille de Donnée'!$F$31)))))</f>
        <v/>
      </c>
      <c r="BA87" s="138"/>
      <c r="BB87" s="103"/>
      <c r="BC87" s="27"/>
      <c r="BD87" s="27"/>
      <c r="BE87" s="27" t="str">
        <f t="shared" si="35"/>
        <v/>
      </c>
      <c r="BF87" s="121" t="str">
        <f t="shared" si="36"/>
        <v/>
      </c>
      <c r="BG87" s="121" t="str">
        <f t="shared" si="37"/>
        <v/>
      </c>
      <c r="BH87" s="27" t="str">
        <f>IF(AND(ISBLANK(BJ87),BI87=""),"",1+MAX(BH$21:BH86))</f>
        <v/>
      </c>
      <c r="BI87" s="137" t="str">
        <f>IF(OR(BE87="",BE87=0,$H87="",$H87=0,NOT(ISNUMBER($H87)),NOT(ISNUMBER(BE87))),IF(AND($E87&lt;&gt;"",AND(OR(ISNUMBER(BE87),BE87=""),AND(ISNUMBER($H87),$H87&gt;0))),'Feuille de Donnée'!$K$13,""),IF(BE87&lt;$H$168*'Feuille de Donnée'!$I$9,"Négligeable",(IF(AND(BC87&gt;=$F87*(1-'Feuille de Donnée'!$E$12),BC87&lt;=$F87*(1+'Feuille de Donnée'!$F$12)),'Feuille de Donnée'!$F$17,IF(BC87&lt;$F87*(1-'Feuille de Donnée'!$E$12),'Feuille de Donnée'!$F$18,'Feuille de Donnée'!$F$16))&amp;""&amp;IF(AND(BD87&gt;=$G87*(1-'Feuille de Donnée'!$E$27),BD87&lt;=$G87*(1+'Feuille de Donnée'!$F$27)),'Feuille de Donnée'!$F$32,IF(BD87&lt;$G87*(1-'Feuille de Donnée'!$E$27),'Feuille de Donnée'!$F$33,'Feuille de Donnée'!$F$31)))))</f>
        <v/>
      </c>
      <c r="BJ87" s="138"/>
      <c r="BK87" s="140"/>
    </row>
    <row r="88" spans="1:63" s="6" customFormat="1" x14ac:dyDescent="0.3">
      <c r="A88" s="23"/>
      <c r="B88" s="24"/>
      <c r="C88" s="24"/>
      <c r="D88" s="24"/>
      <c r="E88" s="22"/>
      <c r="F88" s="25"/>
      <c r="G88" s="26"/>
      <c r="H88" s="102" t="str">
        <f t="shared" ref="H88:H151" si="38">IF(ISBLANK(E88),"",ROUND(F88*G88,2))</f>
        <v/>
      </c>
      <c r="I88" s="103"/>
      <c r="J88" s="27"/>
      <c r="K88" s="27"/>
      <c r="L88" s="27" t="str">
        <f t="shared" ref="L88:L151" si="39">IF(ISBLANK(I88),"",ROUND(J88*K88,2))</f>
        <v/>
      </c>
      <c r="M88" s="121" t="str">
        <f t="shared" ref="M88:M151" si="40">IF($F88=0,"",(J88/$F88-1))</f>
        <v/>
      </c>
      <c r="N88" s="121" t="str">
        <f t="shared" ref="N88:N151" si="41">IF($G88=0,"",(K88/$G88-1))</f>
        <v/>
      </c>
      <c r="O88" s="27" t="str">
        <f>IF(AND(ISBLANK(Q88),P88=""),"",1+MAX(O$21:O87))</f>
        <v/>
      </c>
      <c r="P88" s="137" t="str">
        <f>IF(OR(L88="",L88=0,$H88="",$H88=0,NOT(ISNUMBER($H88)),NOT(ISNUMBER(L88))),IF(AND($E88&lt;&gt;"",AND(OR(ISNUMBER(L88),L88=""),AND(ISNUMBER($H88),$H88&gt;0))),'Feuille de Donnée'!$K$13,""),IF(L88&lt;$H$168*'Feuille de Donnée'!$I$9,"Négligeable",(IF(AND(J88&gt;=$F88*(1-'Feuille de Donnée'!$E$12),J88&lt;=$F88*(1+'Feuille de Donnée'!$F$12)),'Feuille de Donnée'!$F$17,IF(J88&lt;$F88*(1-'Feuille de Donnée'!$E$12),'Feuille de Donnée'!$F$18,'Feuille de Donnée'!$F$16))&amp;""&amp;IF(AND(K88&gt;=$G88*(1-'Feuille de Donnée'!$E$27),K88&lt;=$G88*(1+'Feuille de Donnée'!$F$27)),'Feuille de Donnée'!$F$32,IF(K88&lt;$G88*(1-'Feuille de Donnée'!$E$27),'Feuille de Donnée'!$F$33,'Feuille de Donnée'!$F$31)))))</f>
        <v/>
      </c>
      <c r="Q88" s="138"/>
      <c r="R88" s="103"/>
      <c r="S88" s="27"/>
      <c r="T88" s="27"/>
      <c r="U88" s="27" t="str">
        <f t="shared" ref="U88:U151" si="42">IF(ISBLANK(R88),"",ROUND(S88*T88,2))</f>
        <v/>
      </c>
      <c r="V88" s="121" t="str">
        <f t="shared" ref="V88:V151" si="43">IF($F88=0,"",(S88/$F88-1))</f>
        <v/>
      </c>
      <c r="W88" s="121" t="str">
        <f t="shared" ref="W88:W151" si="44">IF($G88=0,"",(T88/$G88-1))</f>
        <v/>
      </c>
      <c r="X88" s="27" t="str">
        <f>IF(AND(ISBLANK(Z88),Y88=""),"",1+MAX(X$21:X87))</f>
        <v/>
      </c>
      <c r="Y88" s="137" t="str">
        <f>IF(OR(U88="",U88=0,$H88="",$H88=0,NOT(ISNUMBER($H88)),NOT(ISNUMBER(U88))),IF(AND($E88&lt;&gt;"",AND(OR(ISNUMBER(U88),U88=""),AND(ISNUMBER($H88),$H88&gt;0))),'Feuille de Donnée'!$K$13,""),IF(U88&lt;$H$168*'Feuille de Donnée'!$I$9,"Négligeable",(IF(AND(S88&gt;=$F88*(1-'Feuille de Donnée'!$E$12),S88&lt;=$F88*(1+'Feuille de Donnée'!$F$12)),'Feuille de Donnée'!$F$17,IF(S88&lt;$F88*(1-'Feuille de Donnée'!$E$12),'Feuille de Donnée'!$F$18,'Feuille de Donnée'!$F$16))&amp;""&amp;IF(AND(T88&gt;=$G88*(1-'Feuille de Donnée'!$E$27),T88&lt;=$G88*(1+'Feuille de Donnée'!$F$27)),'Feuille de Donnée'!$F$32,IF(T88&lt;$G88*(1-'Feuille de Donnée'!$E$27),'Feuille de Donnée'!$F$33,'Feuille de Donnée'!$F$31)))))</f>
        <v/>
      </c>
      <c r="Z88" s="138"/>
      <c r="AA88" s="103"/>
      <c r="AB88" s="27"/>
      <c r="AC88" s="27"/>
      <c r="AD88" s="27" t="str">
        <f t="shared" ref="AD88:AD151" si="45">IF(ISBLANK(AA88),"",ROUND(AB88*AC88,2))</f>
        <v/>
      </c>
      <c r="AE88" s="121" t="str">
        <f t="shared" ref="AE88:AE151" si="46">IF($F88=0,"",(AB88/$F88-1))</f>
        <v/>
      </c>
      <c r="AF88" s="121" t="str">
        <f t="shared" ref="AF88:AF151" si="47">IF($G88=0,"",(AC88/$G88-1))</f>
        <v/>
      </c>
      <c r="AG88" s="27" t="str">
        <f>IF(AND(ISBLANK(AI88),AH88=""),"",1+MAX(AG$21:AG87))</f>
        <v/>
      </c>
      <c r="AH88" s="137" t="str">
        <f>IF(OR(AD88="",AD88=0,$H88="",$H88=0,NOT(ISNUMBER($H88)),NOT(ISNUMBER(AD88))),IF(AND($E88&lt;&gt;"",AND(OR(ISNUMBER(AD88),AD88=""),AND(ISNUMBER($H88),$H88&gt;0))),'Feuille de Donnée'!$K$13,""),IF(AD88&lt;$H$168*'Feuille de Donnée'!$I$9,"Négligeable",(IF(AND(AB88&gt;=$F88*(1-'Feuille de Donnée'!$E$12),AB88&lt;=$F88*(1+'Feuille de Donnée'!$F$12)),'Feuille de Donnée'!$F$17,IF(AB88&lt;$F88*(1-'Feuille de Donnée'!$E$12),'Feuille de Donnée'!$F$18,'Feuille de Donnée'!$F$16))&amp;""&amp;IF(AND(AC88&gt;=$G88*(1-'Feuille de Donnée'!$E$27),AC88&lt;=$G88*(1+'Feuille de Donnée'!$F$27)),'Feuille de Donnée'!$F$32,IF(AC88&lt;$G88*(1-'Feuille de Donnée'!$E$27),'Feuille de Donnée'!$F$33,'Feuille de Donnée'!$F$31)))))</f>
        <v/>
      </c>
      <c r="AI88" s="138"/>
      <c r="AJ88" s="103"/>
      <c r="AK88" s="27"/>
      <c r="AL88" s="27"/>
      <c r="AM88" s="27" t="str">
        <f t="shared" ref="AM88:AM151" si="48">IF(ISBLANK(AJ88),"",ROUND(AK88*AL88,2))</f>
        <v/>
      </c>
      <c r="AN88" s="121" t="str">
        <f t="shared" ref="AN88:AN151" si="49">IF($F88=0,"",(AK88/$F88-1))</f>
        <v/>
      </c>
      <c r="AO88" s="121" t="str">
        <f t="shared" ref="AO88:AO151" si="50">IF($G88=0,"",(AL88/$G88-1))</f>
        <v/>
      </c>
      <c r="AP88" s="27" t="str">
        <f>IF(AND(ISBLANK(AR88),AQ88=""),"",1+MAX(AP$21:AP87))</f>
        <v/>
      </c>
      <c r="AQ88" s="137" t="str">
        <f>IF(OR(AM88="",AM88=0,$H88="",$H88=0,NOT(ISNUMBER($H88)),NOT(ISNUMBER(AM88))),IF(AND($E88&lt;&gt;"",AND(OR(ISNUMBER(AM88),AM88=""),AND(ISNUMBER($H88),$H88&gt;0))),'Feuille de Donnée'!$K$13,""),IF(AM88&lt;$H$168*'Feuille de Donnée'!$I$9,"Négligeable",(IF(AND(AK88&gt;=$F88*(1-'Feuille de Donnée'!$E$12),AK88&lt;=$F88*(1+'Feuille de Donnée'!$F$12)),'Feuille de Donnée'!$F$17,IF(AK88&lt;$F88*(1-'Feuille de Donnée'!$E$12),'Feuille de Donnée'!$F$18,'Feuille de Donnée'!$F$16))&amp;""&amp;IF(AND(AL88&gt;=$G88*(1-'Feuille de Donnée'!$E$27),AL88&lt;=$G88*(1+'Feuille de Donnée'!$F$27)),'Feuille de Donnée'!$F$32,IF(AL88&lt;$G88*(1-'Feuille de Donnée'!$E$27),'Feuille de Donnée'!$F$33,'Feuille de Donnée'!$F$31)))))</f>
        <v/>
      </c>
      <c r="AR88" s="138"/>
      <c r="AS88" s="103"/>
      <c r="AT88" s="27"/>
      <c r="AU88" s="27"/>
      <c r="AV88" s="27" t="str">
        <f t="shared" ref="AV88:AV151" si="51">IF(ISBLANK(AS88),"",ROUND(AT88*AU88,2))</f>
        <v/>
      </c>
      <c r="AW88" s="121" t="str">
        <f t="shared" ref="AW88:AW151" si="52">IF($F88=0,"",(AT88/$F88-1))</f>
        <v/>
      </c>
      <c r="AX88" s="121" t="str">
        <f t="shared" ref="AX88:AX151" si="53">IF($G88=0,"",(AU88/$G88-1))</f>
        <v/>
      </c>
      <c r="AY88" s="27" t="str">
        <f>IF(AND(ISBLANK(BA88),AZ88=""),"",1+MAX(AY$21:AY87))</f>
        <v/>
      </c>
      <c r="AZ88" s="137" t="str">
        <f>IF(OR(AV88="",AV88=0,$H88="",$H88=0,NOT(ISNUMBER($H88)),NOT(ISNUMBER(AV88))),IF(AND($E88&lt;&gt;"",AND(OR(ISNUMBER(AV88),AV88=""),AND(ISNUMBER($H88),$H88&gt;0))),'Feuille de Donnée'!$K$13,""),IF(AV88&lt;$H$168*'Feuille de Donnée'!$I$9,"Négligeable",(IF(AND(AT88&gt;=$F88*(1-'Feuille de Donnée'!$E$12),AT88&lt;=$F88*(1+'Feuille de Donnée'!$F$12)),'Feuille de Donnée'!$F$17,IF(AT88&lt;$F88*(1-'Feuille de Donnée'!$E$12),'Feuille de Donnée'!$F$18,'Feuille de Donnée'!$F$16))&amp;""&amp;IF(AND(AU88&gt;=$G88*(1-'Feuille de Donnée'!$E$27),AU88&lt;=$G88*(1+'Feuille de Donnée'!$F$27)),'Feuille de Donnée'!$F$32,IF(AU88&lt;$G88*(1-'Feuille de Donnée'!$E$27),'Feuille de Donnée'!$F$33,'Feuille de Donnée'!$F$31)))))</f>
        <v/>
      </c>
      <c r="BA88" s="138"/>
      <c r="BB88" s="103"/>
      <c r="BC88" s="27"/>
      <c r="BD88" s="27"/>
      <c r="BE88" s="27" t="str">
        <f t="shared" ref="BE88:BE151" si="54">IF(ISBLANK(BB88),"",ROUND(BC88*BD88,2))</f>
        <v/>
      </c>
      <c r="BF88" s="121" t="str">
        <f t="shared" ref="BF88:BF151" si="55">IF($F88=0,"",(BC88/$F88-1))</f>
        <v/>
      </c>
      <c r="BG88" s="121" t="str">
        <f t="shared" ref="BG88:BG151" si="56">IF($G88=0,"",(BD88/$G88-1))</f>
        <v/>
      </c>
      <c r="BH88" s="27" t="str">
        <f>IF(AND(ISBLANK(BJ88),BI88=""),"",1+MAX(BH$21:BH87))</f>
        <v/>
      </c>
      <c r="BI88" s="137" t="str">
        <f>IF(OR(BE88="",BE88=0,$H88="",$H88=0,NOT(ISNUMBER($H88)),NOT(ISNUMBER(BE88))),IF(AND($E88&lt;&gt;"",AND(OR(ISNUMBER(BE88),BE88=""),AND(ISNUMBER($H88),$H88&gt;0))),'Feuille de Donnée'!$K$13,""),IF(BE88&lt;$H$168*'Feuille de Donnée'!$I$9,"Négligeable",(IF(AND(BC88&gt;=$F88*(1-'Feuille de Donnée'!$E$12),BC88&lt;=$F88*(1+'Feuille de Donnée'!$F$12)),'Feuille de Donnée'!$F$17,IF(BC88&lt;$F88*(1-'Feuille de Donnée'!$E$12),'Feuille de Donnée'!$F$18,'Feuille de Donnée'!$F$16))&amp;""&amp;IF(AND(BD88&gt;=$G88*(1-'Feuille de Donnée'!$E$27),BD88&lt;=$G88*(1+'Feuille de Donnée'!$F$27)),'Feuille de Donnée'!$F$32,IF(BD88&lt;$G88*(1-'Feuille de Donnée'!$E$27),'Feuille de Donnée'!$F$33,'Feuille de Donnée'!$F$31)))))</f>
        <v/>
      </c>
      <c r="BJ88" s="138"/>
      <c r="BK88" s="140"/>
    </row>
    <row r="89" spans="1:63" s="6" customFormat="1" x14ac:dyDescent="0.3">
      <c r="A89" s="23"/>
      <c r="B89" s="24"/>
      <c r="C89" s="24"/>
      <c r="D89" s="24"/>
      <c r="E89" s="22"/>
      <c r="F89" s="25"/>
      <c r="G89" s="26"/>
      <c r="H89" s="102" t="str">
        <f t="shared" si="38"/>
        <v/>
      </c>
      <c r="I89" s="103"/>
      <c r="J89" s="27"/>
      <c r="K89" s="27"/>
      <c r="L89" s="27" t="str">
        <f t="shared" si="39"/>
        <v/>
      </c>
      <c r="M89" s="121" t="str">
        <f t="shared" si="40"/>
        <v/>
      </c>
      <c r="N89" s="121" t="str">
        <f t="shared" si="41"/>
        <v/>
      </c>
      <c r="O89" s="27" t="str">
        <f>IF(AND(ISBLANK(Q89),P89=""),"",1+MAX(O$21:O88))</f>
        <v/>
      </c>
      <c r="P89" s="137" t="str">
        <f>IF(OR(L89="",L89=0,$H89="",$H89=0,NOT(ISNUMBER($H89)),NOT(ISNUMBER(L89))),IF(AND($E89&lt;&gt;"",AND(OR(ISNUMBER(L89),L89=""),AND(ISNUMBER($H89),$H89&gt;0))),'Feuille de Donnée'!$K$13,""),IF(L89&lt;$H$168*'Feuille de Donnée'!$I$9,"Négligeable",(IF(AND(J89&gt;=$F89*(1-'Feuille de Donnée'!$E$12),J89&lt;=$F89*(1+'Feuille de Donnée'!$F$12)),'Feuille de Donnée'!$F$17,IF(J89&lt;$F89*(1-'Feuille de Donnée'!$E$12),'Feuille de Donnée'!$F$18,'Feuille de Donnée'!$F$16))&amp;""&amp;IF(AND(K89&gt;=$G89*(1-'Feuille de Donnée'!$E$27),K89&lt;=$G89*(1+'Feuille de Donnée'!$F$27)),'Feuille de Donnée'!$F$32,IF(K89&lt;$G89*(1-'Feuille de Donnée'!$E$27),'Feuille de Donnée'!$F$33,'Feuille de Donnée'!$F$31)))))</f>
        <v/>
      </c>
      <c r="Q89" s="138"/>
      <c r="R89" s="103"/>
      <c r="S89" s="27"/>
      <c r="T89" s="27"/>
      <c r="U89" s="27" t="str">
        <f t="shared" si="42"/>
        <v/>
      </c>
      <c r="V89" s="121" t="str">
        <f t="shared" si="43"/>
        <v/>
      </c>
      <c r="W89" s="121" t="str">
        <f t="shared" si="44"/>
        <v/>
      </c>
      <c r="X89" s="27" t="str">
        <f>IF(AND(ISBLANK(Z89),Y89=""),"",1+MAX(X$21:X88))</f>
        <v/>
      </c>
      <c r="Y89" s="137" t="str">
        <f>IF(OR(U89="",U89=0,$H89="",$H89=0,NOT(ISNUMBER($H89)),NOT(ISNUMBER(U89))),IF(AND($E89&lt;&gt;"",AND(OR(ISNUMBER(U89),U89=""),AND(ISNUMBER($H89),$H89&gt;0))),'Feuille de Donnée'!$K$13,""),IF(U89&lt;$H$168*'Feuille de Donnée'!$I$9,"Négligeable",(IF(AND(S89&gt;=$F89*(1-'Feuille de Donnée'!$E$12),S89&lt;=$F89*(1+'Feuille de Donnée'!$F$12)),'Feuille de Donnée'!$F$17,IF(S89&lt;$F89*(1-'Feuille de Donnée'!$E$12),'Feuille de Donnée'!$F$18,'Feuille de Donnée'!$F$16))&amp;""&amp;IF(AND(T89&gt;=$G89*(1-'Feuille de Donnée'!$E$27),T89&lt;=$G89*(1+'Feuille de Donnée'!$F$27)),'Feuille de Donnée'!$F$32,IF(T89&lt;$G89*(1-'Feuille de Donnée'!$E$27),'Feuille de Donnée'!$F$33,'Feuille de Donnée'!$F$31)))))</f>
        <v/>
      </c>
      <c r="Z89" s="138"/>
      <c r="AA89" s="103"/>
      <c r="AB89" s="27"/>
      <c r="AC89" s="27"/>
      <c r="AD89" s="27" t="str">
        <f t="shared" si="45"/>
        <v/>
      </c>
      <c r="AE89" s="121" t="str">
        <f t="shared" si="46"/>
        <v/>
      </c>
      <c r="AF89" s="121" t="str">
        <f t="shared" si="47"/>
        <v/>
      </c>
      <c r="AG89" s="27" t="str">
        <f>IF(AND(ISBLANK(AI89),AH89=""),"",1+MAX(AG$21:AG88))</f>
        <v/>
      </c>
      <c r="AH89" s="137" t="str">
        <f>IF(OR(AD89="",AD89=0,$H89="",$H89=0,NOT(ISNUMBER($H89)),NOT(ISNUMBER(AD89))),IF(AND($E89&lt;&gt;"",AND(OR(ISNUMBER(AD89),AD89=""),AND(ISNUMBER($H89),$H89&gt;0))),'Feuille de Donnée'!$K$13,""),IF(AD89&lt;$H$168*'Feuille de Donnée'!$I$9,"Négligeable",(IF(AND(AB89&gt;=$F89*(1-'Feuille de Donnée'!$E$12),AB89&lt;=$F89*(1+'Feuille de Donnée'!$F$12)),'Feuille de Donnée'!$F$17,IF(AB89&lt;$F89*(1-'Feuille de Donnée'!$E$12),'Feuille de Donnée'!$F$18,'Feuille de Donnée'!$F$16))&amp;""&amp;IF(AND(AC89&gt;=$G89*(1-'Feuille de Donnée'!$E$27),AC89&lt;=$G89*(1+'Feuille de Donnée'!$F$27)),'Feuille de Donnée'!$F$32,IF(AC89&lt;$G89*(1-'Feuille de Donnée'!$E$27),'Feuille de Donnée'!$F$33,'Feuille de Donnée'!$F$31)))))</f>
        <v/>
      </c>
      <c r="AI89" s="138"/>
      <c r="AJ89" s="103"/>
      <c r="AK89" s="27"/>
      <c r="AL89" s="27"/>
      <c r="AM89" s="27" t="str">
        <f t="shared" si="48"/>
        <v/>
      </c>
      <c r="AN89" s="121" t="str">
        <f t="shared" si="49"/>
        <v/>
      </c>
      <c r="AO89" s="121" t="str">
        <f t="shared" si="50"/>
        <v/>
      </c>
      <c r="AP89" s="27" t="str">
        <f>IF(AND(ISBLANK(AR89),AQ89=""),"",1+MAX(AP$21:AP88))</f>
        <v/>
      </c>
      <c r="AQ89" s="137" t="str">
        <f>IF(OR(AM89="",AM89=0,$H89="",$H89=0,NOT(ISNUMBER($H89)),NOT(ISNUMBER(AM89))),IF(AND($E89&lt;&gt;"",AND(OR(ISNUMBER(AM89),AM89=""),AND(ISNUMBER($H89),$H89&gt;0))),'Feuille de Donnée'!$K$13,""),IF(AM89&lt;$H$168*'Feuille de Donnée'!$I$9,"Négligeable",(IF(AND(AK89&gt;=$F89*(1-'Feuille de Donnée'!$E$12),AK89&lt;=$F89*(1+'Feuille de Donnée'!$F$12)),'Feuille de Donnée'!$F$17,IF(AK89&lt;$F89*(1-'Feuille de Donnée'!$E$12),'Feuille de Donnée'!$F$18,'Feuille de Donnée'!$F$16))&amp;""&amp;IF(AND(AL89&gt;=$G89*(1-'Feuille de Donnée'!$E$27),AL89&lt;=$G89*(1+'Feuille de Donnée'!$F$27)),'Feuille de Donnée'!$F$32,IF(AL89&lt;$G89*(1-'Feuille de Donnée'!$E$27),'Feuille de Donnée'!$F$33,'Feuille de Donnée'!$F$31)))))</f>
        <v/>
      </c>
      <c r="AR89" s="138"/>
      <c r="AS89" s="103"/>
      <c r="AT89" s="27"/>
      <c r="AU89" s="27"/>
      <c r="AV89" s="27" t="str">
        <f t="shared" si="51"/>
        <v/>
      </c>
      <c r="AW89" s="121" t="str">
        <f t="shared" si="52"/>
        <v/>
      </c>
      <c r="AX89" s="121" t="str">
        <f t="shared" si="53"/>
        <v/>
      </c>
      <c r="AY89" s="27" t="str">
        <f>IF(AND(ISBLANK(BA89),AZ89=""),"",1+MAX(AY$21:AY88))</f>
        <v/>
      </c>
      <c r="AZ89" s="137" t="str">
        <f>IF(OR(AV89="",AV89=0,$H89="",$H89=0,NOT(ISNUMBER($H89)),NOT(ISNUMBER(AV89))),IF(AND($E89&lt;&gt;"",AND(OR(ISNUMBER(AV89),AV89=""),AND(ISNUMBER($H89),$H89&gt;0))),'Feuille de Donnée'!$K$13,""),IF(AV89&lt;$H$168*'Feuille de Donnée'!$I$9,"Négligeable",(IF(AND(AT89&gt;=$F89*(1-'Feuille de Donnée'!$E$12),AT89&lt;=$F89*(1+'Feuille de Donnée'!$F$12)),'Feuille de Donnée'!$F$17,IF(AT89&lt;$F89*(1-'Feuille de Donnée'!$E$12),'Feuille de Donnée'!$F$18,'Feuille de Donnée'!$F$16))&amp;""&amp;IF(AND(AU89&gt;=$G89*(1-'Feuille de Donnée'!$E$27),AU89&lt;=$G89*(1+'Feuille de Donnée'!$F$27)),'Feuille de Donnée'!$F$32,IF(AU89&lt;$G89*(1-'Feuille de Donnée'!$E$27),'Feuille de Donnée'!$F$33,'Feuille de Donnée'!$F$31)))))</f>
        <v/>
      </c>
      <c r="BA89" s="138"/>
      <c r="BB89" s="103"/>
      <c r="BC89" s="27"/>
      <c r="BD89" s="27"/>
      <c r="BE89" s="27" t="str">
        <f t="shared" si="54"/>
        <v/>
      </c>
      <c r="BF89" s="121" t="str">
        <f t="shared" si="55"/>
        <v/>
      </c>
      <c r="BG89" s="121" t="str">
        <f t="shared" si="56"/>
        <v/>
      </c>
      <c r="BH89" s="27" t="str">
        <f>IF(AND(ISBLANK(BJ89),BI89=""),"",1+MAX(BH$21:BH88))</f>
        <v/>
      </c>
      <c r="BI89" s="137" t="str">
        <f>IF(OR(BE89="",BE89=0,$H89="",$H89=0,NOT(ISNUMBER($H89)),NOT(ISNUMBER(BE89))),IF(AND($E89&lt;&gt;"",AND(OR(ISNUMBER(BE89),BE89=""),AND(ISNUMBER($H89),$H89&gt;0))),'Feuille de Donnée'!$K$13,""),IF(BE89&lt;$H$168*'Feuille de Donnée'!$I$9,"Négligeable",(IF(AND(BC89&gt;=$F89*(1-'Feuille de Donnée'!$E$12),BC89&lt;=$F89*(1+'Feuille de Donnée'!$F$12)),'Feuille de Donnée'!$F$17,IF(BC89&lt;$F89*(1-'Feuille de Donnée'!$E$12),'Feuille de Donnée'!$F$18,'Feuille de Donnée'!$F$16))&amp;""&amp;IF(AND(BD89&gt;=$G89*(1-'Feuille de Donnée'!$E$27),BD89&lt;=$G89*(1+'Feuille de Donnée'!$F$27)),'Feuille de Donnée'!$F$32,IF(BD89&lt;$G89*(1-'Feuille de Donnée'!$E$27),'Feuille de Donnée'!$F$33,'Feuille de Donnée'!$F$31)))))</f>
        <v/>
      </c>
      <c r="BJ89" s="138"/>
      <c r="BK89" s="140"/>
    </row>
    <row r="90" spans="1:63" s="6" customFormat="1" x14ac:dyDescent="0.3">
      <c r="A90" s="23"/>
      <c r="B90" s="24"/>
      <c r="C90" s="24"/>
      <c r="D90" s="24"/>
      <c r="E90" s="22"/>
      <c r="F90" s="25"/>
      <c r="G90" s="26"/>
      <c r="H90" s="102" t="str">
        <f t="shared" si="38"/>
        <v/>
      </c>
      <c r="I90" s="103"/>
      <c r="J90" s="27"/>
      <c r="K90" s="27"/>
      <c r="L90" s="27" t="str">
        <f t="shared" si="39"/>
        <v/>
      </c>
      <c r="M90" s="121" t="str">
        <f t="shared" si="40"/>
        <v/>
      </c>
      <c r="N90" s="121" t="str">
        <f t="shared" si="41"/>
        <v/>
      </c>
      <c r="O90" s="27" t="str">
        <f>IF(AND(ISBLANK(Q90),P90=""),"",1+MAX(O$21:O89))</f>
        <v/>
      </c>
      <c r="P90" s="137" t="str">
        <f>IF(OR(L90="",L90=0,$H90="",$H90=0,NOT(ISNUMBER($H90)),NOT(ISNUMBER(L90))),IF(AND($E90&lt;&gt;"",AND(OR(ISNUMBER(L90),L90=""),AND(ISNUMBER($H90),$H90&gt;0))),'Feuille de Donnée'!$K$13,""),IF(L90&lt;$H$168*'Feuille de Donnée'!$I$9,"Négligeable",(IF(AND(J90&gt;=$F90*(1-'Feuille de Donnée'!$E$12),J90&lt;=$F90*(1+'Feuille de Donnée'!$F$12)),'Feuille de Donnée'!$F$17,IF(J90&lt;$F90*(1-'Feuille de Donnée'!$E$12),'Feuille de Donnée'!$F$18,'Feuille de Donnée'!$F$16))&amp;""&amp;IF(AND(K90&gt;=$G90*(1-'Feuille de Donnée'!$E$27),K90&lt;=$G90*(1+'Feuille de Donnée'!$F$27)),'Feuille de Donnée'!$F$32,IF(K90&lt;$G90*(1-'Feuille de Donnée'!$E$27),'Feuille de Donnée'!$F$33,'Feuille de Donnée'!$F$31)))))</f>
        <v/>
      </c>
      <c r="Q90" s="138"/>
      <c r="R90" s="103"/>
      <c r="S90" s="27"/>
      <c r="T90" s="27"/>
      <c r="U90" s="27" t="str">
        <f t="shared" si="42"/>
        <v/>
      </c>
      <c r="V90" s="121" t="str">
        <f t="shared" si="43"/>
        <v/>
      </c>
      <c r="W90" s="121" t="str">
        <f t="shared" si="44"/>
        <v/>
      </c>
      <c r="X90" s="27" t="str">
        <f>IF(AND(ISBLANK(Z90),Y90=""),"",1+MAX(X$21:X89))</f>
        <v/>
      </c>
      <c r="Y90" s="137" t="str">
        <f>IF(OR(U90="",U90=0,$H90="",$H90=0,NOT(ISNUMBER($H90)),NOT(ISNUMBER(U90))),IF(AND($E90&lt;&gt;"",AND(OR(ISNUMBER(U90),U90=""),AND(ISNUMBER($H90),$H90&gt;0))),'Feuille de Donnée'!$K$13,""),IF(U90&lt;$H$168*'Feuille de Donnée'!$I$9,"Négligeable",(IF(AND(S90&gt;=$F90*(1-'Feuille de Donnée'!$E$12),S90&lt;=$F90*(1+'Feuille de Donnée'!$F$12)),'Feuille de Donnée'!$F$17,IF(S90&lt;$F90*(1-'Feuille de Donnée'!$E$12),'Feuille de Donnée'!$F$18,'Feuille de Donnée'!$F$16))&amp;""&amp;IF(AND(T90&gt;=$G90*(1-'Feuille de Donnée'!$E$27),T90&lt;=$G90*(1+'Feuille de Donnée'!$F$27)),'Feuille de Donnée'!$F$32,IF(T90&lt;$G90*(1-'Feuille de Donnée'!$E$27),'Feuille de Donnée'!$F$33,'Feuille de Donnée'!$F$31)))))</f>
        <v/>
      </c>
      <c r="Z90" s="138"/>
      <c r="AA90" s="103"/>
      <c r="AB90" s="27"/>
      <c r="AC90" s="27"/>
      <c r="AD90" s="27" t="str">
        <f t="shared" si="45"/>
        <v/>
      </c>
      <c r="AE90" s="121" t="str">
        <f t="shared" si="46"/>
        <v/>
      </c>
      <c r="AF90" s="121" t="str">
        <f t="shared" si="47"/>
        <v/>
      </c>
      <c r="AG90" s="27" t="str">
        <f>IF(AND(ISBLANK(AI90),AH90=""),"",1+MAX(AG$21:AG89))</f>
        <v/>
      </c>
      <c r="AH90" s="137" t="str">
        <f>IF(OR(AD90="",AD90=0,$H90="",$H90=0,NOT(ISNUMBER($H90)),NOT(ISNUMBER(AD90))),IF(AND($E90&lt;&gt;"",AND(OR(ISNUMBER(AD90),AD90=""),AND(ISNUMBER($H90),$H90&gt;0))),'Feuille de Donnée'!$K$13,""),IF(AD90&lt;$H$168*'Feuille de Donnée'!$I$9,"Négligeable",(IF(AND(AB90&gt;=$F90*(1-'Feuille de Donnée'!$E$12),AB90&lt;=$F90*(1+'Feuille de Donnée'!$F$12)),'Feuille de Donnée'!$F$17,IF(AB90&lt;$F90*(1-'Feuille de Donnée'!$E$12),'Feuille de Donnée'!$F$18,'Feuille de Donnée'!$F$16))&amp;""&amp;IF(AND(AC90&gt;=$G90*(1-'Feuille de Donnée'!$E$27),AC90&lt;=$G90*(1+'Feuille de Donnée'!$F$27)),'Feuille de Donnée'!$F$32,IF(AC90&lt;$G90*(1-'Feuille de Donnée'!$E$27),'Feuille de Donnée'!$F$33,'Feuille de Donnée'!$F$31)))))</f>
        <v/>
      </c>
      <c r="AI90" s="138"/>
      <c r="AJ90" s="103"/>
      <c r="AK90" s="27"/>
      <c r="AL90" s="27"/>
      <c r="AM90" s="27" t="str">
        <f t="shared" si="48"/>
        <v/>
      </c>
      <c r="AN90" s="121" t="str">
        <f t="shared" si="49"/>
        <v/>
      </c>
      <c r="AO90" s="121" t="str">
        <f t="shared" si="50"/>
        <v/>
      </c>
      <c r="AP90" s="27" t="str">
        <f>IF(AND(ISBLANK(AR90),AQ90=""),"",1+MAX(AP$21:AP89))</f>
        <v/>
      </c>
      <c r="AQ90" s="137" t="str">
        <f>IF(OR(AM90="",AM90=0,$H90="",$H90=0,NOT(ISNUMBER($H90)),NOT(ISNUMBER(AM90))),IF(AND($E90&lt;&gt;"",AND(OR(ISNUMBER(AM90),AM90=""),AND(ISNUMBER($H90),$H90&gt;0))),'Feuille de Donnée'!$K$13,""),IF(AM90&lt;$H$168*'Feuille de Donnée'!$I$9,"Négligeable",(IF(AND(AK90&gt;=$F90*(1-'Feuille de Donnée'!$E$12),AK90&lt;=$F90*(1+'Feuille de Donnée'!$F$12)),'Feuille de Donnée'!$F$17,IF(AK90&lt;$F90*(1-'Feuille de Donnée'!$E$12),'Feuille de Donnée'!$F$18,'Feuille de Donnée'!$F$16))&amp;""&amp;IF(AND(AL90&gt;=$G90*(1-'Feuille de Donnée'!$E$27),AL90&lt;=$G90*(1+'Feuille de Donnée'!$F$27)),'Feuille de Donnée'!$F$32,IF(AL90&lt;$G90*(1-'Feuille de Donnée'!$E$27),'Feuille de Donnée'!$F$33,'Feuille de Donnée'!$F$31)))))</f>
        <v/>
      </c>
      <c r="AR90" s="138"/>
      <c r="AS90" s="103"/>
      <c r="AT90" s="27"/>
      <c r="AU90" s="27"/>
      <c r="AV90" s="27" t="str">
        <f t="shared" si="51"/>
        <v/>
      </c>
      <c r="AW90" s="121" t="str">
        <f t="shared" si="52"/>
        <v/>
      </c>
      <c r="AX90" s="121" t="str">
        <f t="shared" si="53"/>
        <v/>
      </c>
      <c r="AY90" s="27" t="str">
        <f>IF(AND(ISBLANK(BA90),AZ90=""),"",1+MAX(AY$21:AY89))</f>
        <v/>
      </c>
      <c r="AZ90" s="137" t="str">
        <f>IF(OR(AV90="",AV90=0,$H90="",$H90=0,NOT(ISNUMBER($H90)),NOT(ISNUMBER(AV90))),IF(AND($E90&lt;&gt;"",AND(OR(ISNUMBER(AV90),AV90=""),AND(ISNUMBER($H90),$H90&gt;0))),'Feuille de Donnée'!$K$13,""),IF(AV90&lt;$H$168*'Feuille de Donnée'!$I$9,"Négligeable",(IF(AND(AT90&gt;=$F90*(1-'Feuille de Donnée'!$E$12),AT90&lt;=$F90*(1+'Feuille de Donnée'!$F$12)),'Feuille de Donnée'!$F$17,IF(AT90&lt;$F90*(1-'Feuille de Donnée'!$E$12),'Feuille de Donnée'!$F$18,'Feuille de Donnée'!$F$16))&amp;""&amp;IF(AND(AU90&gt;=$G90*(1-'Feuille de Donnée'!$E$27),AU90&lt;=$G90*(1+'Feuille de Donnée'!$F$27)),'Feuille de Donnée'!$F$32,IF(AU90&lt;$G90*(1-'Feuille de Donnée'!$E$27),'Feuille de Donnée'!$F$33,'Feuille de Donnée'!$F$31)))))</f>
        <v/>
      </c>
      <c r="BA90" s="138"/>
      <c r="BB90" s="103"/>
      <c r="BC90" s="27"/>
      <c r="BD90" s="27"/>
      <c r="BE90" s="27" t="str">
        <f t="shared" si="54"/>
        <v/>
      </c>
      <c r="BF90" s="121" t="str">
        <f t="shared" si="55"/>
        <v/>
      </c>
      <c r="BG90" s="121" t="str">
        <f t="shared" si="56"/>
        <v/>
      </c>
      <c r="BH90" s="27" t="str">
        <f>IF(AND(ISBLANK(BJ90),BI90=""),"",1+MAX(BH$21:BH89))</f>
        <v/>
      </c>
      <c r="BI90" s="137" t="str">
        <f>IF(OR(BE90="",BE90=0,$H90="",$H90=0,NOT(ISNUMBER($H90)),NOT(ISNUMBER(BE90))),IF(AND($E90&lt;&gt;"",AND(OR(ISNUMBER(BE90),BE90=""),AND(ISNUMBER($H90),$H90&gt;0))),'Feuille de Donnée'!$K$13,""),IF(BE90&lt;$H$168*'Feuille de Donnée'!$I$9,"Négligeable",(IF(AND(BC90&gt;=$F90*(1-'Feuille de Donnée'!$E$12),BC90&lt;=$F90*(1+'Feuille de Donnée'!$F$12)),'Feuille de Donnée'!$F$17,IF(BC90&lt;$F90*(1-'Feuille de Donnée'!$E$12),'Feuille de Donnée'!$F$18,'Feuille de Donnée'!$F$16))&amp;""&amp;IF(AND(BD90&gt;=$G90*(1-'Feuille de Donnée'!$E$27),BD90&lt;=$G90*(1+'Feuille de Donnée'!$F$27)),'Feuille de Donnée'!$F$32,IF(BD90&lt;$G90*(1-'Feuille de Donnée'!$E$27),'Feuille de Donnée'!$F$33,'Feuille de Donnée'!$F$31)))))</f>
        <v/>
      </c>
      <c r="BJ90" s="138"/>
      <c r="BK90" s="140"/>
    </row>
    <row r="91" spans="1:63" s="6" customFormat="1" x14ac:dyDescent="0.3">
      <c r="A91" s="23"/>
      <c r="B91" s="24"/>
      <c r="C91" s="24"/>
      <c r="D91" s="24"/>
      <c r="E91" s="22"/>
      <c r="F91" s="25"/>
      <c r="G91" s="26"/>
      <c r="H91" s="102" t="str">
        <f t="shared" si="38"/>
        <v/>
      </c>
      <c r="I91" s="103"/>
      <c r="J91" s="27"/>
      <c r="K91" s="27"/>
      <c r="L91" s="27" t="str">
        <f t="shared" si="39"/>
        <v/>
      </c>
      <c r="M91" s="121" t="str">
        <f t="shared" si="40"/>
        <v/>
      </c>
      <c r="N91" s="121" t="str">
        <f t="shared" si="41"/>
        <v/>
      </c>
      <c r="O91" s="27" t="str">
        <f>IF(AND(ISBLANK(Q91),P91=""),"",1+MAX(O$21:O90))</f>
        <v/>
      </c>
      <c r="P91" s="137" t="str">
        <f>IF(OR(L91="",L91=0,$H91="",$H91=0,NOT(ISNUMBER($H91)),NOT(ISNUMBER(L91))),IF(AND($E91&lt;&gt;"",AND(OR(ISNUMBER(L91),L91=""),AND(ISNUMBER($H91),$H91&gt;0))),'Feuille de Donnée'!$K$13,""),IF(L91&lt;$H$168*'Feuille de Donnée'!$I$9,"Négligeable",(IF(AND(J91&gt;=$F91*(1-'Feuille de Donnée'!$E$12),J91&lt;=$F91*(1+'Feuille de Donnée'!$F$12)),'Feuille de Donnée'!$F$17,IF(J91&lt;$F91*(1-'Feuille de Donnée'!$E$12),'Feuille de Donnée'!$F$18,'Feuille de Donnée'!$F$16))&amp;""&amp;IF(AND(K91&gt;=$G91*(1-'Feuille de Donnée'!$E$27),K91&lt;=$G91*(1+'Feuille de Donnée'!$F$27)),'Feuille de Donnée'!$F$32,IF(K91&lt;$G91*(1-'Feuille de Donnée'!$E$27),'Feuille de Donnée'!$F$33,'Feuille de Donnée'!$F$31)))))</f>
        <v/>
      </c>
      <c r="Q91" s="138"/>
      <c r="R91" s="103"/>
      <c r="S91" s="27"/>
      <c r="T91" s="27"/>
      <c r="U91" s="27" t="str">
        <f t="shared" si="42"/>
        <v/>
      </c>
      <c r="V91" s="121" t="str">
        <f t="shared" si="43"/>
        <v/>
      </c>
      <c r="W91" s="121" t="str">
        <f t="shared" si="44"/>
        <v/>
      </c>
      <c r="X91" s="27" t="str">
        <f>IF(AND(ISBLANK(Z91),Y91=""),"",1+MAX(X$21:X90))</f>
        <v/>
      </c>
      <c r="Y91" s="137" t="str">
        <f>IF(OR(U91="",U91=0,$H91="",$H91=0,NOT(ISNUMBER($H91)),NOT(ISNUMBER(U91))),IF(AND($E91&lt;&gt;"",AND(OR(ISNUMBER(U91),U91=""),AND(ISNUMBER($H91),$H91&gt;0))),'Feuille de Donnée'!$K$13,""),IF(U91&lt;$H$168*'Feuille de Donnée'!$I$9,"Négligeable",(IF(AND(S91&gt;=$F91*(1-'Feuille de Donnée'!$E$12),S91&lt;=$F91*(1+'Feuille de Donnée'!$F$12)),'Feuille de Donnée'!$F$17,IF(S91&lt;$F91*(1-'Feuille de Donnée'!$E$12),'Feuille de Donnée'!$F$18,'Feuille de Donnée'!$F$16))&amp;""&amp;IF(AND(T91&gt;=$G91*(1-'Feuille de Donnée'!$E$27),T91&lt;=$G91*(1+'Feuille de Donnée'!$F$27)),'Feuille de Donnée'!$F$32,IF(T91&lt;$G91*(1-'Feuille de Donnée'!$E$27),'Feuille de Donnée'!$F$33,'Feuille de Donnée'!$F$31)))))</f>
        <v/>
      </c>
      <c r="Z91" s="138"/>
      <c r="AA91" s="103"/>
      <c r="AB91" s="27"/>
      <c r="AC91" s="27"/>
      <c r="AD91" s="27" t="str">
        <f t="shared" si="45"/>
        <v/>
      </c>
      <c r="AE91" s="121" t="str">
        <f t="shared" si="46"/>
        <v/>
      </c>
      <c r="AF91" s="121" t="str">
        <f t="shared" si="47"/>
        <v/>
      </c>
      <c r="AG91" s="27" t="str">
        <f>IF(AND(ISBLANK(AI91),AH91=""),"",1+MAX(AG$21:AG90))</f>
        <v/>
      </c>
      <c r="AH91" s="137" t="str">
        <f>IF(OR(AD91="",AD91=0,$H91="",$H91=0,NOT(ISNUMBER($H91)),NOT(ISNUMBER(AD91))),IF(AND($E91&lt;&gt;"",AND(OR(ISNUMBER(AD91),AD91=""),AND(ISNUMBER($H91),$H91&gt;0))),'Feuille de Donnée'!$K$13,""),IF(AD91&lt;$H$168*'Feuille de Donnée'!$I$9,"Négligeable",(IF(AND(AB91&gt;=$F91*(1-'Feuille de Donnée'!$E$12),AB91&lt;=$F91*(1+'Feuille de Donnée'!$F$12)),'Feuille de Donnée'!$F$17,IF(AB91&lt;$F91*(1-'Feuille de Donnée'!$E$12),'Feuille de Donnée'!$F$18,'Feuille de Donnée'!$F$16))&amp;""&amp;IF(AND(AC91&gt;=$G91*(1-'Feuille de Donnée'!$E$27),AC91&lt;=$G91*(1+'Feuille de Donnée'!$F$27)),'Feuille de Donnée'!$F$32,IF(AC91&lt;$G91*(1-'Feuille de Donnée'!$E$27),'Feuille de Donnée'!$F$33,'Feuille de Donnée'!$F$31)))))</f>
        <v/>
      </c>
      <c r="AI91" s="138"/>
      <c r="AJ91" s="103"/>
      <c r="AK91" s="27"/>
      <c r="AL91" s="27"/>
      <c r="AM91" s="27" t="str">
        <f t="shared" si="48"/>
        <v/>
      </c>
      <c r="AN91" s="121" t="str">
        <f t="shared" si="49"/>
        <v/>
      </c>
      <c r="AO91" s="121" t="str">
        <f t="shared" si="50"/>
        <v/>
      </c>
      <c r="AP91" s="27" t="str">
        <f>IF(AND(ISBLANK(AR91),AQ91=""),"",1+MAX(AP$21:AP90))</f>
        <v/>
      </c>
      <c r="AQ91" s="137" t="str">
        <f>IF(OR(AM91="",AM91=0,$H91="",$H91=0,NOT(ISNUMBER($H91)),NOT(ISNUMBER(AM91))),IF(AND($E91&lt;&gt;"",AND(OR(ISNUMBER(AM91),AM91=""),AND(ISNUMBER($H91),$H91&gt;0))),'Feuille de Donnée'!$K$13,""),IF(AM91&lt;$H$168*'Feuille de Donnée'!$I$9,"Négligeable",(IF(AND(AK91&gt;=$F91*(1-'Feuille de Donnée'!$E$12),AK91&lt;=$F91*(1+'Feuille de Donnée'!$F$12)),'Feuille de Donnée'!$F$17,IF(AK91&lt;$F91*(1-'Feuille de Donnée'!$E$12),'Feuille de Donnée'!$F$18,'Feuille de Donnée'!$F$16))&amp;""&amp;IF(AND(AL91&gt;=$G91*(1-'Feuille de Donnée'!$E$27),AL91&lt;=$G91*(1+'Feuille de Donnée'!$F$27)),'Feuille de Donnée'!$F$32,IF(AL91&lt;$G91*(1-'Feuille de Donnée'!$E$27),'Feuille de Donnée'!$F$33,'Feuille de Donnée'!$F$31)))))</f>
        <v/>
      </c>
      <c r="AR91" s="138"/>
      <c r="AS91" s="103"/>
      <c r="AT91" s="27"/>
      <c r="AU91" s="27"/>
      <c r="AV91" s="27" t="str">
        <f t="shared" si="51"/>
        <v/>
      </c>
      <c r="AW91" s="121" t="str">
        <f t="shared" si="52"/>
        <v/>
      </c>
      <c r="AX91" s="121" t="str">
        <f t="shared" si="53"/>
        <v/>
      </c>
      <c r="AY91" s="27" t="str">
        <f>IF(AND(ISBLANK(BA91),AZ91=""),"",1+MAX(AY$21:AY90))</f>
        <v/>
      </c>
      <c r="AZ91" s="137" t="str">
        <f>IF(OR(AV91="",AV91=0,$H91="",$H91=0,NOT(ISNUMBER($H91)),NOT(ISNUMBER(AV91))),IF(AND($E91&lt;&gt;"",AND(OR(ISNUMBER(AV91),AV91=""),AND(ISNUMBER($H91),$H91&gt;0))),'Feuille de Donnée'!$K$13,""),IF(AV91&lt;$H$168*'Feuille de Donnée'!$I$9,"Négligeable",(IF(AND(AT91&gt;=$F91*(1-'Feuille de Donnée'!$E$12),AT91&lt;=$F91*(1+'Feuille de Donnée'!$F$12)),'Feuille de Donnée'!$F$17,IF(AT91&lt;$F91*(1-'Feuille de Donnée'!$E$12),'Feuille de Donnée'!$F$18,'Feuille de Donnée'!$F$16))&amp;""&amp;IF(AND(AU91&gt;=$G91*(1-'Feuille de Donnée'!$E$27),AU91&lt;=$G91*(1+'Feuille de Donnée'!$F$27)),'Feuille de Donnée'!$F$32,IF(AU91&lt;$G91*(1-'Feuille de Donnée'!$E$27),'Feuille de Donnée'!$F$33,'Feuille de Donnée'!$F$31)))))</f>
        <v/>
      </c>
      <c r="BA91" s="138"/>
      <c r="BB91" s="103"/>
      <c r="BC91" s="27"/>
      <c r="BD91" s="27"/>
      <c r="BE91" s="27" t="str">
        <f t="shared" si="54"/>
        <v/>
      </c>
      <c r="BF91" s="121" t="str">
        <f t="shared" si="55"/>
        <v/>
      </c>
      <c r="BG91" s="121" t="str">
        <f t="shared" si="56"/>
        <v/>
      </c>
      <c r="BH91" s="27" t="str">
        <f>IF(AND(ISBLANK(BJ91),BI91=""),"",1+MAX(BH$21:BH90))</f>
        <v/>
      </c>
      <c r="BI91" s="137" t="str">
        <f>IF(OR(BE91="",BE91=0,$H91="",$H91=0,NOT(ISNUMBER($H91)),NOT(ISNUMBER(BE91))),IF(AND($E91&lt;&gt;"",AND(OR(ISNUMBER(BE91),BE91=""),AND(ISNUMBER($H91),$H91&gt;0))),'Feuille de Donnée'!$K$13,""),IF(BE91&lt;$H$168*'Feuille de Donnée'!$I$9,"Négligeable",(IF(AND(BC91&gt;=$F91*(1-'Feuille de Donnée'!$E$12),BC91&lt;=$F91*(1+'Feuille de Donnée'!$F$12)),'Feuille de Donnée'!$F$17,IF(BC91&lt;$F91*(1-'Feuille de Donnée'!$E$12),'Feuille de Donnée'!$F$18,'Feuille de Donnée'!$F$16))&amp;""&amp;IF(AND(BD91&gt;=$G91*(1-'Feuille de Donnée'!$E$27),BD91&lt;=$G91*(1+'Feuille de Donnée'!$F$27)),'Feuille de Donnée'!$F$32,IF(BD91&lt;$G91*(1-'Feuille de Donnée'!$E$27),'Feuille de Donnée'!$F$33,'Feuille de Donnée'!$F$31)))))</f>
        <v/>
      </c>
      <c r="BJ91" s="138"/>
      <c r="BK91" s="140"/>
    </row>
    <row r="92" spans="1:63" s="6" customFormat="1" x14ac:dyDescent="0.3">
      <c r="A92" s="23"/>
      <c r="B92" s="24"/>
      <c r="C92" s="24"/>
      <c r="D92" s="24"/>
      <c r="E92" s="22"/>
      <c r="F92" s="25"/>
      <c r="G92" s="26"/>
      <c r="H92" s="102" t="str">
        <f t="shared" si="38"/>
        <v/>
      </c>
      <c r="I92" s="103"/>
      <c r="J92" s="27"/>
      <c r="K92" s="27"/>
      <c r="L92" s="27" t="str">
        <f t="shared" si="39"/>
        <v/>
      </c>
      <c r="M92" s="121" t="str">
        <f t="shared" si="40"/>
        <v/>
      </c>
      <c r="N92" s="121" t="str">
        <f t="shared" si="41"/>
        <v/>
      </c>
      <c r="O92" s="27" t="str">
        <f>IF(AND(ISBLANK(Q92),P92=""),"",1+MAX(O$21:O91))</f>
        <v/>
      </c>
      <c r="P92" s="137" t="str">
        <f>IF(OR(L92="",L92=0,$H92="",$H92=0,NOT(ISNUMBER($H92)),NOT(ISNUMBER(L92))),IF(AND($E92&lt;&gt;"",AND(OR(ISNUMBER(L92),L92=""),AND(ISNUMBER($H92),$H92&gt;0))),'Feuille de Donnée'!$K$13,""),IF(L92&lt;$H$168*'Feuille de Donnée'!$I$9,"Négligeable",(IF(AND(J92&gt;=$F92*(1-'Feuille de Donnée'!$E$12),J92&lt;=$F92*(1+'Feuille de Donnée'!$F$12)),'Feuille de Donnée'!$F$17,IF(J92&lt;$F92*(1-'Feuille de Donnée'!$E$12),'Feuille de Donnée'!$F$18,'Feuille de Donnée'!$F$16))&amp;""&amp;IF(AND(K92&gt;=$G92*(1-'Feuille de Donnée'!$E$27),K92&lt;=$G92*(1+'Feuille de Donnée'!$F$27)),'Feuille de Donnée'!$F$32,IF(K92&lt;$G92*(1-'Feuille de Donnée'!$E$27),'Feuille de Donnée'!$F$33,'Feuille de Donnée'!$F$31)))))</f>
        <v/>
      </c>
      <c r="Q92" s="138"/>
      <c r="R92" s="103"/>
      <c r="S92" s="27"/>
      <c r="T92" s="27"/>
      <c r="U92" s="27" t="str">
        <f t="shared" si="42"/>
        <v/>
      </c>
      <c r="V92" s="121" t="str">
        <f t="shared" si="43"/>
        <v/>
      </c>
      <c r="W92" s="121" t="str">
        <f t="shared" si="44"/>
        <v/>
      </c>
      <c r="X92" s="27" t="str">
        <f>IF(AND(ISBLANK(Z92),Y92=""),"",1+MAX(X$21:X91))</f>
        <v/>
      </c>
      <c r="Y92" s="137" t="str">
        <f>IF(OR(U92="",U92=0,$H92="",$H92=0,NOT(ISNUMBER($H92)),NOT(ISNUMBER(U92))),IF(AND($E92&lt;&gt;"",AND(OR(ISNUMBER(U92),U92=""),AND(ISNUMBER($H92),$H92&gt;0))),'Feuille de Donnée'!$K$13,""),IF(U92&lt;$H$168*'Feuille de Donnée'!$I$9,"Négligeable",(IF(AND(S92&gt;=$F92*(1-'Feuille de Donnée'!$E$12),S92&lt;=$F92*(1+'Feuille de Donnée'!$F$12)),'Feuille de Donnée'!$F$17,IF(S92&lt;$F92*(1-'Feuille de Donnée'!$E$12),'Feuille de Donnée'!$F$18,'Feuille de Donnée'!$F$16))&amp;""&amp;IF(AND(T92&gt;=$G92*(1-'Feuille de Donnée'!$E$27),T92&lt;=$G92*(1+'Feuille de Donnée'!$F$27)),'Feuille de Donnée'!$F$32,IF(T92&lt;$G92*(1-'Feuille de Donnée'!$E$27),'Feuille de Donnée'!$F$33,'Feuille de Donnée'!$F$31)))))</f>
        <v/>
      </c>
      <c r="Z92" s="138"/>
      <c r="AA92" s="103"/>
      <c r="AB92" s="27"/>
      <c r="AC92" s="27"/>
      <c r="AD92" s="27" t="str">
        <f t="shared" si="45"/>
        <v/>
      </c>
      <c r="AE92" s="121" t="str">
        <f t="shared" si="46"/>
        <v/>
      </c>
      <c r="AF92" s="121" t="str">
        <f t="shared" si="47"/>
        <v/>
      </c>
      <c r="AG92" s="27" t="str">
        <f>IF(AND(ISBLANK(AI92),AH92=""),"",1+MAX(AG$21:AG91))</f>
        <v/>
      </c>
      <c r="AH92" s="137" t="str">
        <f>IF(OR(AD92="",AD92=0,$H92="",$H92=0,NOT(ISNUMBER($H92)),NOT(ISNUMBER(AD92))),IF(AND($E92&lt;&gt;"",AND(OR(ISNUMBER(AD92),AD92=""),AND(ISNUMBER($H92),$H92&gt;0))),'Feuille de Donnée'!$K$13,""),IF(AD92&lt;$H$168*'Feuille de Donnée'!$I$9,"Négligeable",(IF(AND(AB92&gt;=$F92*(1-'Feuille de Donnée'!$E$12),AB92&lt;=$F92*(1+'Feuille de Donnée'!$F$12)),'Feuille de Donnée'!$F$17,IF(AB92&lt;$F92*(1-'Feuille de Donnée'!$E$12),'Feuille de Donnée'!$F$18,'Feuille de Donnée'!$F$16))&amp;""&amp;IF(AND(AC92&gt;=$G92*(1-'Feuille de Donnée'!$E$27),AC92&lt;=$G92*(1+'Feuille de Donnée'!$F$27)),'Feuille de Donnée'!$F$32,IF(AC92&lt;$G92*(1-'Feuille de Donnée'!$E$27),'Feuille de Donnée'!$F$33,'Feuille de Donnée'!$F$31)))))</f>
        <v/>
      </c>
      <c r="AI92" s="138"/>
      <c r="AJ92" s="103"/>
      <c r="AK92" s="27"/>
      <c r="AL92" s="27"/>
      <c r="AM92" s="27" t="str">
        <f t="shared" si="48"/>
        <v/>
      </c>
      <c r="AN92" s="121" t="str">
        <f t="shared" si="49"/>
        <v/>
      </c>
      <c r="AO92" s="121" t="str">
        <f t="shared" si="50"/>
        <v/>
      </c>
      <c r="AP92" s="27" t="str">
        <f>IF(AND(ISBLANK(AR92),AQ92=""),"",1+MAX(AP$21:AP91))</f>
        <v/>
      </c>
      <c r="AQ92" s="137" t="str">
        <f>IF(OR(AM92="",AM92=0,$H92="",$H92=0,NOT(ISNUMBER($H92)),NOT(ISNUMBER(AM92))),IF(AND($E92&lt;&gt;"",AND(OR(ISNUMBER(AM92),AM92=""),AND(ISNUMBER($H92),$H92&gt;0))),'Feuille de Donnée'!$K$13,""),IF(AM92&lt;$H$168*'Feuille de Donnée'!$I$9,"Négligeable",(IF(AND(AK92&gt;=$F92*(1-'Feuille de Donnée'!$E$12),AK92&lt;=$F92*(1+'Feuille de Donnée'!$F$12)),'Feuille de Donnée'!$F$17,IF(AK92&lt;$F92*(1-'Feuille de Donnée'!$E$12),'Feuille de Donnée'!$F$18,'Feuille de Donnée'!$F$16))&amp;""&amp;IF(AND(AL92&gt;=$G92*(1-'Feuille de Donnée'!$E$27),AL92&lt;=$G92*(1+'Feuille de Donnée'!$F$27)),'Feuille de Donnée'!$F$32,IF(AL92&lt;$G92*(1-'Feuille de Donnée'!$E$27),'Feuille de Donnée'!$F$33,'Feuille de Donnée'!$F$31)))))</f>
        <v/>
      </c>
      <c r="AR92" s="138"/>
      <c r="AS92" s="103"/>
      <c r="AT92" s="27"/>
      <c r="AU92" s="27"/>
      <c r="AV92" s="27" t="str">
        <f t="shared" si="51"/>
        <v/>
      </c>
      <c r="AW92" s="121" t="str">
        <f t="shared" si="52"/>
        <v/>
      </c>
      <c r="AX92" s="121" t="str">
        <f t="shared" si="53"/>
        <v/>
      </c>
      <c r="AY92" s="27" t="str">
        <f>IF(AND(ISBLANK(BA92),AZ92=""),"",1+MAX(AY$21:AY91))</f>
        <v/>
      </c>
      <c r="AZ92" s="137" t="str">
        <f>IF(OR(AV92="",AV92=0,$H92="",$H92=0,NOT(ISNUMBER($H92)),NOT(ISNUMBER(AV92))),IF(AND($E92&lt;&gt;"",AND(OR(ISNUMBER(AV92),AV92=""),AND(ISNUMBER($H92),$H92&gt;0))),'Feuille de Donnée'!$K$13,""),IF(AV92&lt;$H$168*'Feuille de Donnée'!$I$9,"Négligeable",(IF(AND(AT92&gt;=$F92*(1-'Feuille de Donnée'!$E$12),AT92&lt;=$F92*(1+'Feuille de Donnée'!$F$12)),'Feuille de Donnée'!$F$17,IF(AT92&lt;$F92*(1-'Feuille de Donnée'!$E$12),'Feuille de Donnée'!$F$18,'Feuille de Donnée'!$F$16))&amp;""&amp;IF(AND(AU92&gt;=$G92*(1-'Feuille de Donnée'!$E$27),AU92&lt;=$G92*(1+'Feuille de Donnée'!$F$27)),'Feuille de Donnée'!$F$32,IF(AU92&lt;$G92*(1-'Feuille de Donnée'!$E$27),'Feuille de Donnée'!$F$33,'Feuille de Donnée'!$F$31)))))</f>
        <v/>
      </c>
      <c r="BA92" s="138"/>
      <c r="BB92" s="103"/>
      <c r="BC92" s="27"/>
      <c r="BD92" s="27"/>
      <c r="BE92" s="27" t="str">
        <f t="shared" si="54"/>
        <v/>
      </c>
      <c r="BF92" s="121" t="str">
        <f t="shared" si="55"/>
        <v/>
      </c>
      <c r="BG92" s="121" t="str">
        <f t="shared" si="56"/>
        <v/>
      </c>
      <c r="BH92" s="27" t="str">
        <f>IF(AND(ISBLANK(BJ92),BI92=""),"",1+MAX(BH$21:BH91))</f>
        <v/>
      </c>
      <c r="BI92" s="137" t="str">
        <f>IF(OR(BE92="",BE92=0,$H92="",$H92=0,NOT(ISNUMBER($H92)),NOT(ISNUMBER(BE92))),IF(AND($E92&lt;&gt;"",AND(OR(ISNUMBER(BE92),BE92=""),AND(ISNUMBER($H92),$H92&gt;0))),'Feuille de Donnée'!$K$13,""),IF(BE92&lt;$H$168*'Feuille de Donnée'!$I$9,"Négligeable",(IF(AND(BC92&gt;=$F92*(1-'Feuille de Donnée'!$E$12),BC92&lt;=$F92*(1+'Feuille de Donnée'!$F$12)),'Feuille de Donnée'!$F$17,IF(BC92&lt;$F92*(1-'Feuille de Donnée'!$E$12),'Feuille de Donnée'!$F$18,'Feuille de Donnée'!$F$16))&amp;""&amp;IF(AND(BD92&gt;=$G92*(1-'Feuille de Donnée'!$E$27),BD92&lt;=$G92*(1+'Feuille de Donnée'!$F$27)),'Feuille de Donnée'!$F$32,IF(BD92&lt;$G92*(1-'Feuille de Donnée'!$E$27),'Feuille de Donnée'!$F$33,'Feuille de Donnée'!$F$31)))))</f>
        <v/>
      </c>
      <c r="BJ92" s="138"/>
      <c r="BK92" s="140"/>
    </row>
    <row r="93" spans="1:63" s="6" customFormat="1" x14ac:dyDescent="0.3">
      <c r="A93" s="23"/>
      <c r="B93" s="24"/>
      <c r="C93" s="24"/>
      <c r="D93" s="24"/>
      <c r="E93" s="22"/>
      <c r="F93" s="25"/>
      <c r="G93" s="26"/>
      <c r="H93" s="102" t="str">
        <f t="shared" si="38"/>
        <v/>
      </c>
      <c r="I93" s="103"/>
      <c r="J93" s="27"/>
      <c r="K93" s="27"/>
      <c r="L93" s="27" t="str">
        <f t="shared" si="39"/>
        <v/>
      </c>
      <c r="M93" s="121" t="str">
        <f t="shared" si="40"/>
        <v/>
      </c>
      <c r="N93" s="121" t="str">
        <f t="shared" si="41"/>
        <v/>
      </c>
      <c r="O93" s="27" t="str">
        <f>IF(AND(ISBLANK(Q93),P93=""),"",1+MAX(O$21:O92))</f>
        <v/>
      </c>
      <c r="P93" s="137" t="str">
        <f>IF(OR(L93="",L93=0,$H93="",$H93=0,NOT(ISNUMBER($H93)),NOT(ISNUMBER(L93))),IF(AND($E93&lt;&gt;"",AND(OR(ISNUMBER(L93),L93=""),AND(ISNUMBER($H93),$H93&gt;0))),'Feuille de Donnée'!$K$13,""),IF(L93&lt;$H$168*'Feuille de Donnée'!$I$9,"Négligeable",(IF(AND(J93&gt;=$F93*(1-'Feuille de Donnée'!$E$12),J93&lt;=$F93*(1+'Feuille de Donnée'!$F$12)),'Feuille de Donnée'!$F$17,IF(J93&lt;$F93*(1-'Feuille de Donnée'!$E$12),'Feuille de Donnée'!$F$18,'Feuille de Donnée'!$F$16))&amp;""&amp;IF(AND(K93&gt;=$G93*(1-'Feuille de Donnée'!$E$27),K93&lt;=$G93*(1+'Feuille de Donnée'!$F$27)),'Feuille de Donnée'!$F$32,IF(K93&lt;$G93*(1-'Feuille de Donnée'!$E$27),'Feuille de Donnée'!$F$33,'Feuille de Donnée'!$F$31)))))</f>
        <v/>
      </c>
      <c r="Q93" s="138"/>
      <c r="R93" s="103"/>
      <c r="S93" s="27"/>
      <c r="T93" s="27"/>
      <c r="U93" s="27" t="str">
        <f t="shared" si="42"/>
        <v/>
      </c>
      <c r="V93" s="121" t="str">
        <f t="shared" si="43"/>
        <v/>
      </c>
      <c r="W93" s="121" t="str">
        <f t="shared" si="44"/>
        <v/>
      </c>
      <c r="X93" s="27" t="str">
        <f>IF(AND(ISBLANK(Z93),Y93=""),"",1+MAX(X$21:X92))</f>
        <v/>
      </c>
      <c r="Y93" s="137" t="str">
        <f>IF(OR(U93="",U93=0,$H93="",$H93=0,NOT(ISNUMBER($H93)),NOT(ISNUMBER(U93))),IF(AND($E93&lt;&gt;"",AND(OR(ISNUMBER(U93),U93=""),AND(ISNUMBER($H93),$H93&gt;0))),'Feuille de Donnée'!$K$13,""),IF(U93&lt;$H$168*'Feuille de Donnée'!$I$9,"Négligeable",(IF(AND(S93&gt;=$F93*(1-'Feuille de Donnée'!$E$12),S93&lt;=$F93*(1+'Feuille de Donnée'!$F$12)),'Feuille de Donnée'!$F$17,IF(S93&lt;$F93*(1-'Feuille de Donnée'!$E$12),'Feuille de Donnée'!$F$18,'Feuille de Donnée'!$F$16))&amp;""&amp;IF(AND(T93&gt;=$G93*(1-'Feuille de Donnée'!$E$27),T93&lt;=$G93*(1+'Feuille de Donnée'!$F$27)),'Feuille de Donnée'!$F$32,IF(T93&lt;$G93*(1-'Feuille de Donnée'!$E$27),'Feuille de Donnée'!$F$33,'Feuille de Donnée'!$F$31)))))</f>
        <v/>
      </c>
      <c r="Z93" s="138"/>
      <c r="AA93" s="103"/>
      <c r="AB93" s="27"/>
      <c r="AC93" s="27"/>
      <c r="AD93" s="27" t="str">
        <f t="shared" si="45"/>
        <v/>
      </c>
      <c r="AE93" s="121" t="str">
        <f t="shared" si="46"/>
        <v/>
      </c>
      <c r="AF93" s="121" t="str">
        <f t="shared" si="47"/>
        <v/>
      </c>
      <c r="AG93" s="27" t="str">
        <f>IF(AND(ISBLANK(AI93),AH93=""),"",1+MAX(AG$21:AG92))</f>
        <v/>
      </c>
      <c r="AH93" s="137" t="str">
        <f>IF(OR(AD93="",AD93=0,$H93="",$H93=0,NOT(ISNUMBER($H93)),NOT(ISNUMBER(AD93))),IF(AND($E93&lt;&gt;"",AND(OR(ISNUMBER(AD93),AD93=""),AND(ISNUMBER($H93),$H93&gt;0))),'Feuille de Donnée'!$K$13,""),IF(AD93&lt;$H$168*'Feuille de Donnée'!$I$9,"Négligeable",(IF(AND(AB93&gt;=$F93*(1-'Feuille de Donnée'!$E$12),AB93&lt;=$F93*(1+'Feuille de Donnée'!$F$12)),'Feuille de Donnée'!$F$17,IF(AB93&lt;$F93*(1-'Feuille de Donnée'!$E$12),'Feuille de Donnée'!$F$18,'Feuille de Donnée'!$F$16))&amp;""&amp;IF(AND(AC93&gt;=$G93*(1-'Feuille de Donnée'!$E$27),AC93&lt;=$G93*(1+'Feuille de Donnée'!$F$27)),'Feuille de Donnée'!$F$32,IF(AC93&lt;$G93*(1-'Feuille de Donnée'!$E$27),'Feuille de Donnée'!$F$33,'Feuille de Donnée'!$F$31)))))</f>
        <v/>
      </c>
      <c r="AI93" s="138"/>
      <c r="AJ93" s="103"/>
      <c r="AK93" s="27"/>
      <c r="AL93" s="27"/>
      <c r="AM93" s="27" t="str">
        <f t="shared" si="48"/>
        <v/>
      </c>
      <c r="AN93" s="121" t="str">
        <f t="shared" si="49"/>
        <v/>
      </c>
      <c r="AO93" s="121" t="str">
        <f t="shared" si="50"/>
        <v/>
      </c>
      <c r="AP93" s="27" t="str">
        <f>IF(AND(ISBLANK(AR93),AQ93=""),"",1+MAX(AP$21:AP92))</f>
        <v/>
      </c>
      <c r="AQ93" s="137" t="str">
        <f>IF(OR(AM93="",AM93=0,$H93="",$H93=0,NOT(ISNUMBER($H93)),NOT(ISNUMBER(AM93))),IF(AND($E93&lt;&gt;"",AND(OR(ISNUMBER(AM93),AM93=""),AND(ISNUMBER($H93),$H93&gt;0))),'Feuille de Donnée'!$K$13,""),IF(AM93&lt;$H$168*'Feuille de Donnée'!$I$9,"Négligeable",(IF(AND(AK93&gt;=$F93*(1-'Feuille de Donnée'!$E$12),AK93&lt;=$F93*(1+'Feuille de Donnée'!$F$12)),'Feuille de Donnée'!$F$17,IF(AK93&lt;$F93*(1-'Feuille de Donnée'!$E$12),'Feuille de Donnée'!$F$18,'Feuille de Donnée'!$F$16))&amp;""&amp;IF(AND(AL93&gt;=$G93*(1-'Feuille de Donnée'!$E$27),AL93&lt;=$G93*(1+'Feuille de Donnée'!$F$27)),'Feuille de Donnée'!$F$32,IF(AL93&lt;$G93*(1-'Feuille de Donnée'!$E$27),'Feuille de Donnée'!$F$33,'Feuille de Donnée'!$F$31)))))</f>
        <v/>
      </c>
      <c r="AR93" s="138"/>
      <c r="AS93" s="103"/>
      <c r="AT93" s="27"/>
      <c r="AU93" s="27"/>
      <c r="AV93" s="27" t="str">
        <f t="shared" si="51"/>
        <v/>
      </c>
      <c r="AW93" s="121" t="str">
        <f t="shared" si="52"/>
        <v/>
      </c>
      <c r="AX93" s="121" t="str">
        <f t="shared" si="53"/>
        <v/>
      </c>
      <c r="AY93" s="27" t="str">
        <f>IF(AND(ISBLANK(BA93),AZ93=""),"",1+MAX(AY$21:AY92))</f>
        <v/>
      </c>
      <c r="AZ93" s="137" t="str">
        <f>IF(OR(AV93="",AV93=0,$H93="",$H93=0,NOT(ISNUMBER($H93)),NOT(ISNUMBER(AV93))),IF(AND($E93&lt;&gt;"",AND(OR(ISNUMBER(AV93),AV93=""),AND(ISNUMBER($H93),$H93&gt;0))),'Feuille de Donnée'!$K$13,""),IF(AV93&lt;$H$168*'Feuille de Donnée'!$I$9,"Négligeable",(IF(AND(AT93&gt;=$F93*(1-'Feuille de Donnée'!$E$12),AT93&lt;=$F93*(1+'Feuille de Donnée'!$F$12)),'Feuille de Donnée'!$F$17,IF(AT93&lt;$F93*(1-'Feuille de Donnée'!$E$12),'Feuille de Donnée'!$F$18,'Feuille de Donnée'!$F$16))&amp;""&amp;IF(AND(AU93&gt;=$G93*(1-'Feuille de Donnée'!$E$27),AU93&lt;=$G93*(1+'Feuille de Donnée'!$F$27)),'Feuille de Donnée'!$F$32,IF(AU93&lt;$G93*(1-'Feuille de Donnée'!$E$27),'Feuille de Donnée'!$F$33,'Feuille de Donnée'!$F$31)))))</f>
        <v/>
      </c>
      <c r="BA93" s="138"/>
      <c r="BB93" s="103"/>
      <c r="BC93" s="27"/>
      <c r="BD93" s="27"/>
      <c r="BE93" s="27" t="str">
        <f t="shared" si="54"/>
        <v/>
      </c>
      <c r="BF93" s="121" t="str">
        <f t="shared" si="55"/>
        <v/>
      </c>
      <c r="BG93" s="121" t="str">
        <f t="shared" si="56"/>
        <v/>
      </c>
      <c r="BH93" s="27" t="str">
        <f>IF(AND(ISBLANK(BJ93),BI93=""),"",1+MAX(BH$21:BH92))</f>
        <v/>
      </c>
      <c r="BI93" s="137" t="str">
        <f>IF(OR(BE93="",BE93=0,$H93="",$H93=0,NOT(ISNUMBER($H93)),NOT(ISNUMBER(BE93))),IF(AND($E93&lt;&gt;"",AND(OR(ISNUMBER(BE93),BE93=""),AND(ISNUMBER($H93),$H93&gt;0))),'Feuille de Donnée'!$K$13,""),IF(BE93&lt;$H$168*'Feuille de Donnée'!$I$9,"Négligeable",(IF(AND(BC93&gt;=$F93*(1-'Feuille de Donnée'!$E$12),BC93&lt;=$F93*(1+'Feuille de Donnée'!$F$12)),'Feuille de Donnée'!$F$17,IF(BC93&lt;$F93*(1-'Feuille de Donnée'!$E$12),'Feuille de Donnée'!$F$18,'Feuille de Donnée'!$F$16))&amp;""&amp;IF(AND(BD93&gt;=$G93*(1-'Feuille de Donnée'!$E$27),BD93&lt;=$G93*(1+'Feuille de Donnée'!$F$27)),'Feuille de Donnée'!$F$32,IF(BD93&lt;$G93*(1-'Feuille de Donnée'!$E$27),'Feuille de Donnée'!$F$33,'Feuille de Donnée'!$F$31)))))</f>
        <v/>
      </c>
      <c r="BJ93" s="138"/>
      <c r="BK93" s="140"/>
    </row>
    <row r="94" spans="1:63" s="6" customFormat="1" x14ac:dyDescent="0.3">
      <c r="A94" s="23"/>
      <c r="B94" s="24"/>
      <c r="C94" s="24"/>
      <c r="D94" s="24"/>
      <c r="E94" s="22"/>
      <c r="F94" s="25"/>
      <c r="G94" s="26"/>
      <c r="H94" s="102" t="str">
        <f t="shared" si="38"/>
        <v/>
      </c>
      <c r="I94" s="103"/>
      <c r="J94" s="27"/>
      <c r="K94" s="27"/>
      <c r="L94" s="27" t="str">
        <f t="shared" si="39"/>
        <v/>
      </c>
      <c r="M94" s="121" t="str">
        <f t="shared" si="40"/>
        <v/>
      </c>
      <c r="N94" s="121" t="str">
        <f t="shared" si="41"/>
        <v/>
      </c>
      <c r="O94" s="27" t="str">
        <f>IF(AND(ISBLANK(Q94),P94=""),"",1+MAX(O$21:O93))</f>
        <v/>
      </c>
      <c r="P94" s="137" t="str">
        <f>IF(OR(L94="",L94=0,$H94="",$H94=0,NOT(ISNUMBER($H94)),NOT(ISNUMBER(L94))),IF(AND($E94&lt;&gt;"",AND(OR(ISNUMBER(L94),L94=""),AND(ISNUMBER($H94),$H94&gt;0))),'Feuille de Donnée'!$K$13,""),IF(L94&lt;$H$168*'Feuille de Donnée'!$I$9,"Négligeable",(IF(AND(J94&gt;=$F94*(1-'Feuille de Donnée'!$E$12),J94&lt;=$F94*(1+'Feuille de Donnée'!$F$12)),'Feuille de Donnée'!$F$17,IF(J94&lt;$F94*(1-'Feuille de Donnée'!$E$12),'Feuille de Donnée'!$F$18,'Feuille de Donnée'!$F$16))&amp;""&amp;IF(AND(K94&gt;=$G94*(1-'Feuille de Donnée'!$E$27),K94&lt;=$G94*(1+'Feuille de Donnée'!$F$27)),'Feuille de Donnée'!$F$32,IF(K94&lt;$G94*(1-'Feuille de Donnée'!$E$27),'Feuille de Donnée'!$F$33,'Feuille de Donnée'!$F$31)))))</f>
        <v/>
      </c>
      <c r="Q94" s="138"/>
      <c r="R94" s="103"/>
      <c r="S94" s="27"/>
      <c r="T94" s="27"/>
      <c r="U94" s="27" t="str">
        <f t="shared" si="42"/>
        <v/>
      </c>
      <c r="V94" s="121" t="str">
        <f t="shared" si="43"/>
        <v/>
      </c>
      <c r="W94" s="121" t="str">
        <f t="shared" si="44"/>
        <v/>
      </c>
      <c r="X94" s="27" t="str">
        <f>IF(AND(ISBLANK(Z94),Y94=""),"",1+MAX(X$21:X93))</f>
        <v/>
      </c>
      <c r="Y94" s="137" t="str">
        <f>IF(OR(U94="",U94=0,$H94="",$H94=0,NOT(ISNUMBER($H94)),NOT(ISNUMBER(U94))),IF(AND($E94&lt;&gt;"",AND(OR(ISNUMBER(U94),U94=""),AND(ISNUMBER($H94),$H94&gt;0))),'Feuille de Donnée'!$K$13,""),IF(U94&lt;$H$168*'Feuille de Donnée'!$I$9,"Négligeable",(IF(AND(S94&gt;=$F94*(1-'Feuille de Donnée'!$E$12),S94&lt;=$F94*(1+'Feuille de Donnée'!$F$12)),'Feuille de Donnée'!$F$17,IF(S94&lt;$F94*(1-'Feuille de Donnée'!$E$12),'Feuille de Donnée'!$F$18,'Feuille de Donnée'!$F$16))&amp;""&amp;IF(AND(T94&gt;=$G94*(1-'Feuille de Donnée'!$E$27),T94&lt;=$G94*(1+'Feuille de Donnée'!$F$27)),'Feuille de Donnée'!$F$32,IF(T94&lt;$G94*(1-'Feuille de Donnée'!$E$27),'Feuille de Donnée'!$F$33,'Feuille de Donnée'!$F$31)))))</f>
        <v/>
      </c>
      <c r="Z94" s="138"/>
      <c r="AA94" s="103"/>
      <c r="AB94" s="27"/>
      <c r="AC94" s="27"/>
      <c r="AD94" s="27" t="str">
        <f t="shared" si="45"/>
        <v/>
      </c>
      <c r="AE94" s="121" t="str">
        <f t="shared" si="46"/>
        <v/>
      </c>
      <c r="AF94" s="121" t="str">
        <f t="shared" si="47"/>
        <v/>
      </c>
      <c r="AG94" s="27" t="str">
        <f>IF(AND(ISBLANK(AI94),AH94=""),"",1+MAX(AG$21:AG93))</f>
        <v/>
      </c>
      <c r="AH94" s="137" t="str">
        <f>IF(OR(AD94="",AD94=0,$H94="",$H94=0,NOT(ISNUMBER($H94)),NOT(ISNUMBER(AD94))),IF(AND($E94&lt;&gt;"",AND(OR(ISNUMBER(AD94),AD94=""),AND(ISNUMBER($H94),$H94&gt;0))),'Feuille de Donnée'!$K$13,""),IF(AD94&lt;$H$168*'Feuille de Donnée'!$I$9,"Négligeable",(IF(AND(AB94&gt;=$F94*(1-'Feuille de Donnée'!$E$12),AB94&lt;=$F94*(1+'Feuille de Donnée'!$F$12)),'Feuille de Donnée'!$F$17,IF(AB94&lt;$F94*(1-'Feuille de Donnée'!$E$12),'Feuille de Donnée'!$F$18,'Feuille de Donnée'!$F$16))&amp;""&amp;IF(AND(AC94&gt;=$G94*(1-'Feuille de Donnée'!$E$27),AC94&lt;=$G94*(1+'Feuille de Donnée'!$F$27)),'Feuille de Donnée'!$F$32,IF(AC94&lt;$G94*(1-'Feuille de Donnée'!$E$27),'Feuille de Donnée'!$F$33,'Feuille de Donnée'!$F$31)))))</f>
        <v/>
      </c>
      <c r="AI94" s="138"/>
      <c r="AJ94" s="103"/>
      <c r="AK94" s="27"/>
      <c r="AL94" s="27"/>
      <c r="AM94" s="27" t="str">
        <f t="shared" si="48"/>
        <v/>
      </c>
      <c r="AN94" s="121" t="str">
        <f t="shared" si="49"/>
        <v/>
      </c>
      <c r="AO94" s="121" t="str">
        <f t="shared" si="50"/>
        <v/>
      </c>
      <c r="AP94" s="27" t="str">
        <f>IF(AND(ISBLANK(AR94),AQ94=""),"",1+MAX(AP$21:AP93))</f>
        <v/>
      </c>
      <c r="AQ94" s="137" t="str">
        <f>IF(OR(AM94="",AM94=0,$H94="",$H94=0,NOT(ISNUMBER($H94)),NOT(ISNUMBER(AM94))),IF(AND($E94&lt;&gt;"",AND(OR(ISNUMBER(AM94),AM94=""),AND(ISNUMBER($H94),$H94&gt;0))),'Feuille de Donnée'!$K$13,""),IF(AM94&lt;$H$168*'Feuille de Donnée'!$I$9,"Négligeable",(IF(AND(AK94&gt;=$F94*(1-'Feuille de Donnée'!$E$12),AK94&lt;=$F94*(1+'Feuille de Donnée'!$F$12)),'Feuille de Donnée'!$F$17,IF(AK94&lt;$F94*(1-'Feuille de Donnée'!$E$12),'Feuille de Donnée'!$F$18,'Feuille de Donnée'!$F$16))&amp;""&amp;IF(AND(AL94&gt;=$G94*(1-'Feuille de Donnée'!$E$27),AL94&lt;=$G94*(1+'Feuille de Donnée'!$F$27)),'Feuille de Donnée'!$F$32,IF(AL94&lt;$G94*(1-'Feuille de Donnée'!$E$27),'Feuille de Donnée'!$F$33,'Feuille de Donnée'!$F$31)))))</f>
        <v/>
      </c>
      <c r="AR94" s="138"/>
      <c r="AS94" s="103"/>
      <c r="AT94" s="27"/>
      <c r="AU94" s="27"/>
      <c r="AV94" s="27" t="str">
        <f t="shared" si="51"/>
        <v/>
      </c>
      <c r="AW94" s="121" t="str">
        <f t="shared" si="52"/>
        <v/>
      </c>
      <c r="AX94" s="121" t="str">
        <f t="shared" si="53"/>
        <v/>
      </c>
      <c r="AY94" s="27" t="str">
        <f>IF(AND(ISBLANK(BA94),AZ94=""),"",1+MAX(AY$21:AY93))</f>
        <v/>
      </c>
      <c r="AZ94" s="137" t="str">
        <f>IF(OR(AV94="",AV94=0,$H94="",$H94=0,NOT(ISNUMBER($H94)),NOT(ISNUMBER(AV94))),IF(AND($E94&lt;&gt;"",AND(OR(ISNUMBER(AV94),AV94=""),AND(ISNUMBER($H94),$H94&gt;0))),'Feuille de Donnée'!$K$13,""),IF(AV94&lt;$H$168*'Feuille de Donnée'!$I$9,"Négligeable",(IF(AND(AT94&gt;=$F94*(1-'Feuille de Donnée'!$E$12),AT94&lt;=$F94*(1+'Feuille de Donnée'!$F$12)),'Feuille de Donnée'!$F$17,IF(AT94&lt;$F94*(1-'Feuille de Donnée'!$E$12),'Feuille de Donnée'!$F$18,'Feuille de Donnée'!$F$16))&amp;""&amp;IF(AND(AU94&gt;=$G94*(1-'Feuille de Donnée'!$E$27),AU94&lt;=$G94*(1+'Feuille de Donnée'!$F$27)),'Feuille de Donnée'!$F$32,IF(AU94&lt;$G94*(1-'Feuille de Donnée'!$E$27),'Feuille de Donnée'!$F$33,'Feuille de Donnée'!$F$31)))))</f>
        <v/>
      </c>
      <c r="BA94" s="138"/>
      <c r="BB94" s="103"/>
      <c r="BC94" s="27"/>
      <c r="BD94" s="27"/>
      <c r="BE94" s="27" t="str">
        <f t="shared" si="54"/>
        <v/>
      </c>
      <c r="BF94" s="121" t="str">
        <f t="shared" si="55"/>
        <v/>
      </c>
      <c r="BG94" s="121" t="str">
        <f t="shared" si="56"/>
        <v/>
      </c>
      <c r="BH94" s="27" t="str">
        <f>IF(AND(ISBLANK(BJ94),BI94=""),"",1+MAX(BH$21:BH93))</f>
        <v/>
      </c>
      <c r="BI94" s="137" t="str">
        <f>IF(OR(BE94="",BE94=0,$H94="",$H94=0,NOT(ISNUMBER($H94)),NOT(ISNUMBER(BE94))),IF(AND($E94&lt;&gt;"",AND(OR(ISNUMBER(BE94),BE94=""),AND(ISNUMBER($H94),$H94&gt;0))),'Feuille de Donnée'!$K$13,""),IF(BE94&lt;$H$168*'Feuille de Donnée'!$I$9,"Négligeable",(IF(AND(BC94&gt;=$F94*(1-'Feuille de Donnée'!$E$12),BC94&lt;=$F94*(1+'Feuille de Donnée'!$F$12)),'Feuille de Donnée'!$F$17,IF(BC94&lt;$F94*(1-'Feuille de Donnée'!$E$12),'Feuille de Donnée'!$F$18,'Feuille de Donnée'!$F$16))&amp;""&amp;IF(AND(BD94&gt;=$G94*(1-'Feuille de Donnée'!$E$27),BD94&lt;=$G94*(1+'Feuille de Donnée'!$F$27)),'Feuille de Donnée'!$F$32,IF(BD94&lt;$G94*(1-'Feuille de Donnée'!$E$27),'Feuille de Donnée'!$F$33,'Feuille de Donnée'!$F$31)))))</f>
        <v/>
      </c>
      <c r="BJ94" s="138"/>
      <c r="BK94" s="140"/>
    </row>
    <row r="95" spans="1:63" s="6" customFormat="1" x14ac:dyDescent="0.3">
      <c r="A95" s="23"/>
      <c r="B95" s="24"/>
      <c r="C95" s="24"/>
      <c r="D95" s="24"/>
      <c r="E95" s="22"/>
      <c r="F95" s="25"/>
      <c r="G95" s="26"/>
      <c r="H95" s="102" t="str">
        <f t="shared" si="38"/>
        <v/>
      </c>
      <c r="I95" s="103"/>
      <c r="J95" s="27"/>
      <c r="K95" s="27"/>
      <c r="L95" s="27" t="str">
        <f t="shared" si="39"/>
        <v/>
      </c>
      <c r="M95" s="121" t="str">
        <f t="shared" si="40"/>
        <v/>
      </c>
      <c r="N95" s="121" t="str">
        <f t="shared" si="41"/>
        <v/>
      </c>
      <c r="O95" s="27" t="str">
        <f>IF(AND(ISBLANK(Q95),P95=""),"",1+MAX(O$21:O94))</f>
        <v/>
      </c>
      <c r="P95" s="137" t="str">
        <f>IF(OR(L95="",L95=0,$H95="",$H95=0,NOT(ISNUMBER($H95)),NOT(ISNUMBER(L95))),IF(AND($E95&lt;&gt;"",AND(OR(ISNUMBER(L95),L95=""),AND(ISNUMBER($H95),$H95&gt;0))),'Feuille de Donnée'!$K$13,""),IF(L95&lt;$H$168*'Feuille de Donnée'!$I$9,"Négligeable",(IF(AND(J95&gt;=$F95*(1-'Feuille de Donnée'!$E$12),J95&lt;=$F95*(1+'Feuille de Donnée'!$F$12)),'Feuille de Donnée'!$F$17,IF(J95&lt;$F95*(1-'Feuille de Donnée'!$E$12),'Feuille de Donnée'!$F$18,'Feuille de Donnée'!$F$16))&amp;""&amp;IF(AND(K95&gt;=$G95*(1-'Feuille de Donnée'!$E$27),K95&lt;=$G95*(1+'Feuille de Donnée'!$F$27)),'Feuille de Donnée'!$F$32,IF(K95&lt;$G95*(1-'Feuille de Donnée'!$E$27),'Feuille de Donnée'!$F$33,'Feuille de Donnée'!$F$31)))))</f>
        <v/>
      </c>
      <c r="Q95" s="138"/>
      <c r="R95" s="103"/>
      <c r="S95" s="27"/>
      <c r="T95" s="27"/>
      <c r="U95" s="27" t="str">
        <f t="shared" si="42"/>
        <v/>
      </c>
      <c r="V95" s="121" t="str">
        <f t="shared" si="43"/>
        <v/>
      </c>
      <c r="W95" s="121" t="str">
        <f t="shared" si="44"/>
        <v/>
      </c>
      <c r="X95" s="27" t="str">
        <f>IF(AND(ISBLANK(Z95),Y95=""),"",1+MAX(X$21:X94))</f>
        <v/>
      </c>
      <c r="Y95" s="137" t="str">
        <f>IF(OR(U95="",U95=0,$H95="",$H95=0,NOT(ISNUMBER($H95)),NOT(ISNUMBER(U95))),IF(AND($E95&lt;&gt;"",AND(OR(ISNUMBER(U95),U95=""),AND(ISNUMBER($H95),$H95&gt;0))),'Feuille de Donnée'!$K$13,""),IF(U95&lt;$H$168*'Feuille de Donnée'!$I$9,"Négligeable",(IF(AND(S95&gt;=$F95*(1-'Feuille de Donnée'!$E$12),S95&lt;=$F95*(1+'Feuille de Donnée'!$F$12)),'Feuille de Donnée'!$F$17,IF(S95&lt;$F95*(1-'Feuille de Donnée'!$E$12),'Feuille de Donnée'!$F$18,'Feuille de Donnée'!$F$16))&amp;""&amp;IF(AND(T95&gt;=$G95*(1-'Feuille de Donnée'!$E$27),T95&lt;=$G95*(1+'Feuille de Donnée'!$F$27)),'Feuille de Donnée'!$F$32,IF(T95&lt;$G95*(1-'Feuille de Donnée'!$E$27),'Feuille de Donnée'!$F$33,'Feuille de Donnée'!$F$31)))))</f>
        <v/>
      </c>
      <c r="Z95" s="138"/>
      <c r="AA95" s="103"/>
      <c r="AB95" s="27"/>
      <c r="AC95" s="27"/>
      <c r="AD95" s="27" t="str">
        <f t="shared" si="45"/>
        <v/>
      </c>
      <c r="AE95" s="121" t="str">
        <f t="shared" si="46"/>
        <v/>
      </c>
      <c r="AF95" s="121" t="str">
        <f t="shared" si="47"/>
        <v/>
      </c>
      <c r="AG95" s="27" t="str">
        <f>IF(AND(ISBLANK(AI95),AH95=""),"",1+MAX(AG$21:AG94))</f>
        <v/>
      </c>
      <c r="AH95" s="137" t="str">
        <f>IF(OR(AD95="",AD95=0,$H95="",$H95=0,NOT(ISNUMBER($H95)),NOT(ISNUMBER(AD95))),IF(AND($E95&lt;&gt;"",AND(OR(ISNUMBER(AD95),AD95=""),AND(ISNUMBER($H95),$H95&gt;0))),'Feuille de Donnée'!$K$13,""),IF(AD95&lt;$H$168*'Feuille de Donnée'!$I$9,"Négligeable",(IF(AND(AB95&gt;=$F95*(1-'Feuille de Donnée'!$E$12),AB95&lt;=$F95*(1+'Feuille de Donnée'!$F$12)),'Feuille de Donnée'!$F$17,IF(AB95&lt;$F95*(1-'Feuille de Donnée'!$E$12),'Feuille de Donnée'!$F$18,'Feuille de Donnée'!$F$16))&amp;""&amp;IF(AND(AC95&gt;=$G95*(1-'Feuille de Donnée'!$E$27),AC95&lt;=$G95*(1+'Feuille de Donnée'!$F$27)),'Feuille de Donnée'!$F$32,IF(AC95&lt;$G95*(1-'Feuille de Donnée'!$E$27),'Feuille de Donnée'!$F$33,'Feuille de Donnée'!$F$31)))))</f>
        <v/>
      </c>
      <c r="AI95" s="138"/>
      <c r="AJ95" s="103"/>
      <c r="AK95" s="27"/>
      <c r="AL95" s="27"/>
      <c r="AM95" s="27" t="str">
        <f t="shared" si="48"/>
        <v/>
      </c>
      <c r="AN95" s="121" t="str">
        <f t="shared" si="49"/>
        <v/>
      </c>
      <c r="AO95" s="121" t="str">
        <f t="shared" si="50"/>
        <v/>
      </c>
      <c r="AP95" s="27" t="str">
        <f>IF(AND(ISBLANK(AR95),AQ95=""),"",1+MAX(AP$21:AP94))</f>
        <v/>
      </c>
      <c r="AQ95" s="137" t="str">
        <f>IF(OR(AM95="",AM95=0,$H95="",$H95=0,NOT(ISNUMBER($H95)),NOT(ISNUMBER(AM95))),IF(AND($E95&lt;&gt;"",AND(OR(ISNUMBER(AM95),AM95=""),AND(ISNUMBER($H95),$H95&gt;0))),'Feuille de Donnée'!$K$13,""),IF(AM95&lt;$H$168*'Feuille de Donnée'!$I$9,"Négligeable",(IF(AND(AK95&gt;=$F95*(1-'Feuille de Donnée'!$E$12),AK95&lt;=$F95*(1+'Feuille de Donnée'!$F$12)),'Feuille de Donnée'!$F$17,IF(AK95&lt;$F95*(1-'Feuille de Donnée'!$E$12),'Feuille de Donnée'!$F$18,'Feuille de Donnée'!$F$16))&amp;""&amp;IF(AND(AL95&gt;=$G95*(1-'Feuille de Donnée'!$E$27),AL95&lt;=$G95*(1+'Feuille de Donnée'!$F$27)),'Feuille de Donnée'!$F$32,IF(AL95&lt;$G95*(1-'Feuille de Donnée'!$E$27),'Feuille de Donnée'!$F$33,'Feuille de Donnée'!$F$31)))))</f>
        <v/>
      </c>
      <c r="AR95" s="138"/>
      <c r="AS95" s="103"/>
      <c r="AT95" s="27"/>
      <c r="AU95" s="27"/>
      <c r="AV95" s="27" t="str">
        <f t="shared" si="51"/>
        <v/>
      </c>
      <c r="AW95" s="121" t="str">
        <f t="shared" si="52"/>
        <v/>
      </c>
      <c r="AX95" s="121" t="str">
        <f t="shared" si="53"/>
        <v/>
      </c>
      <c r="AY95" s="27" t="str">
        <f>IF(AND(ISBLANK(BA95),AZ95=""),"",1+MAX(AY$21:AY94))</f>
        <v/>
      </c>
      <c r="AZ95" s="137" t="str">
        <f>IF(OR(AV95="",AV95=0,$H95="",$H95=0,NOT(ISNUMBER($H95)),NOT(ISNUMBER(AV95))),IF(AND($E95&lt;&gt;"",AND(OR(ISNUMBER(AV95),AV95=""),AND(ISNUMBER($H95),$H95&gt;0))),'Feuille de Donnée'!$K$13,""),IF(AV95&lt;$H$168*'Feuille de Donnée'!$I$9,"Négligeable",(IF(AND(AT95&gt;=$F95*(1-'Feuille de Donnée'!$E$12),AT95&lt;=$F95*(1+'Feuille de Donnée'!$F$12)),'Feuille de Donnée'!$F$17,IF(AT95&lt;$F95*(1-'Feuille de Donnée'!$E$12),'Feuille de Donnée'!$F$18,'Feuille de Donnée'!$F$16))&amp;""&amp;IF(AND(AU95&gt;=$G95*(1-'Feuille de Donnée'!$E$27),AU95&lt;=$G95*(1+'Feuille de Donnée'!$F$27)),'Feuille de Donnée'!$F$32,IF(AU95&lt;$G95*(1-'Feuille de Donnée'!$E$27),'Feuille de Donnée'!$F$33,'Feuille de Donnée'!$F$31)))))</f>
        <v/>
      </c>
      <c r="BA95" s="138"/>
      <c r="BB95" s="103"/>
      <c r="BC95" s="27"/>
      <c r="BD95" s="27"/>
      <c r="BE95" s="27" t="str">
        <f t="shared" si="54"/>
        <v/>
      </c>
      <c r="BF95" s="121" t="str">
        <f t="shared" si="55"/>
        <v/>
      </c>
      <c r="BG95" s="121" t="str">
        <f t="shared" si="56"/>
        <v/>
      </c>
      <c r="BH95" s="27" t="str">
        <f>IF(AND(ISBLANK(BJ95),BI95=""),"",1+MAX(BH$21:BH94))</f>
        <v/>
      </c>
      <c r="BI95" s="137" t="str">
        <f>IF(OR(BE95="",BE95=0,$H95="",$H95=0,NOT(ISNUMBER($H95)),NOT(ISNUMBER(BE95))),IF(AND($E95&lt;&gt;"",AND(OR(ISNUMBER(BE95),BE95=""),AND(ISNUMBER($H95),$H95&gt;0))),'Feuille de Donnée'!$K$13,""),IF(BE95&lt;$H$168*'Feuille de Donnée'!$I$9,"Négligeable",(IF(AND(BC95&gt;=$F95*(1-'Feuille de Donnée'!$E$12),BC95&lt;=$F95*(1+'Feuille de Donnée'!$F$12)),'Feuille de Donnée'!$F$17,IF(BC95&lt;$F95*(1-'Feuille de Donnée'!$E$12),'Feuille de Donnée'!$F$18,'Feuille de Donnée'!$F$16))&amp;""&amp;IF(AND(BD95&gt;=$G95*(1-'Feuille de Donnée'!$E$27),BD95&lt;=$G95*(1+'Feuille de Donnée'!$F$27)),'Feuille de Donnée'!$F$32,IF(BD95&lt;$G95*(1-'Feuille de Donnée'!$E$27),'Feuille de Donnée'!$F$33,'Feuille de Donnée'!$F$31)))))</f>
        <v/>
      </c>
      <c r="BJ95" s="138"/>
      <c r="BK95" s="140"/>
    </row>
    <row r="96" spans="1:63" s="6" customFormat="1" x14ac:dyDescent="0.3">
      <c r="A96" s="23"/>
      <c r="B96" s="24"/>
      <c r="C96" s="24"/>
      <c r="D96" s="24"/>
      <c r="E96" s="22"/>
      <c r="F96" s="25"/>
      <c r="G96" s="26"/>
      <c r="H96" s="102" t="str">
        <f t="shared" si="38"/>
        <v/>
      </c>
      <c r="I96" s="103"/>
      <c r="J96" s="27"/>
      <c r="K96" s="27"/>
      <c r="L96" s="27" t="str">
        <f t="shared" si="39"/>
        <v/>
      </c>
      <c r="M96" s="121" t="str">
        <f t="shared" si="40"/>
        <v/>
      </c>
      <c r="N96" s="121" t="str">
        <f t="shared" si="41"/>
        <v/>
      </c>
      <c r="O96" s="27" t="str">
        <f>IF(AND(ISBLANK(Q96),P96=""),"",1+MAX(O$21:O95))</f>
        <v/>
      </c>
      <c r="P96" s="137" t="str">
        <f>IF(OR(L96="",L96=0,$H96="",$H96=0,NOT(ISNUMBER($H96)),NOT(ISNUMBER(L96))),IF(AND($E96&lt;&gt;"",AND(OR(ISNUMBER(L96),L96=""),AND(ISNUMBER($H96),$H96&gt;0))),'Feuille de Donnée'!$K$13,""),IF(L96&lt;$H$168*'Feuille de Donnée'!$I$9,"Négligeable",(IF(AND(J96&gt;=$F96*(1-'Feuille de Donnée'!$E$12),J96&lt;=$F96*(1+'Feuille de Donnée'!$F$12)),'Feuille de Donnée'!$F$17,IF(J96&lt;$F96*(1-'Feuille de Donnée'!$E$12),'Feuille de Donnée'!$F$18,'Feuille de Donnée'!$F$16))&amp;""&amp;IF(AND(K96&gt;=$G96*(1-'Feuille de Donnée'!$E$27),K96&lt;=$G96*(1+'Feuille de Donnée'!$F$27)),'Feuille de Donnée'!$F$32,IF(K96&lt;$G96*(1-'Feuille de Donnée'!$E$27),'Feuille de Donnée'!$F$33,'Feuille de Donnée'!$F$31)))))</f>
        <v/>
      </c>
      <c r="Q96" s="138"/>
      <c r="R96" s="103"/>
      <c r="S96" s="27"/>
      <c r="T96" s="27"/>
      <c r="U96" s="27" t="str">
        <f t="shared" si="42"/>
        <v/>
      </c>
      <c r="V96" s="121" t="str">
        <f t="shared" si="43"/>
        <v/>
      </c>
      <c r="W96" s="121" t="str">
        <f t="shared" si="44"/>
        <v/>
      </c>
      <c r="X96" s="27" t="str">
        <f>IF(AND(ISBLANK(Z96),Y96=""),"",1+MAX(X$21:X95))</f>
        <v/>
      </c>
      <c r="Y96" s="137" t="str">
        <f>IF(OR(U96="",U96=0,$H96="",$H96=0,NOT(ISNUMBER($H96)),NOT(ISNUMBER(U96))),IF(AND($E96&lt;&gt;"",AND(OR(ISNUMBER(U96),U96=""),AND(ISNUMBER($H96),$H96&gt;0))),'Feuille de Donnée'!$K$13,""),IF(U96&lt;$H$168*'Feuille de Donnée'!$I$9,"Négligeable",(IF(AND(S96&gt;=$F96*(1-'Feuille de Donnée'!$E$12),S96&lt;=$F96*(1+'Feuille de Donnée'!$F$12)),'Feuille de Donnée'!$F$17,IF(S96&lt;$F96*(1-'Feuille de Donnée'!$E$12),'Feuille de Donnée'!$F$18,'Feuille de Donnée'!$F$16))&amp;""&amp;IF(AND(T96&gt;=$G96*(1-'Feuille de Donnée'!$E$27),T96&lt;=$G96*(1+'Feuille de Donnée'!$F$27)),'Feuille de Donnée'!$F$32,IF(T96&lt;$G96*(1-'Feuille de Donnée'!$E$27),'Feuille de Donnée'!$F$33,'Feuille de Donnée'!$F$31)))))</f>
        <v/>
      </c>
      <c r="Z96" s="138"/>
      <c r="AA96" s="103"/>
      <c r="AB96" s="27"/>
      <c r="AC96" s="27"/>
      <c r="AD96" s="27" t="str">
        <f t="shared" si="45"/>
        <v/>
      </c>
      <c r="AE96" s="121" t="str">
        <f t="shared" si="46"/>
        <v/>
      </c>
      <c r="AF96" s="121" t="str">
        <f t="shared" si="47"/>
        <v/>
      </c>
      <c r="AG96" s="27" t="str">
        <f>IF(AND(ISBLANK(AI96),AH96=""),"",1+MAX(AG$21:AG95))</f>
        <v/>
      </c>
      <c r="AH96" s="137" t="str">
        <f>IF(OR(AD96="",AD96=0,$H96="",$H96=0,NOT(ISNUMBER($H96)),NOT(ISNUMBER(AD96))),IF(AND($E96&lt;&gt;"",AND(OR(ISNUMBER(AD96),AD96=""),AND(ISNUMBER($H96),$H96&gt;0))),'Feuille de Donnée'!$K$13,""),IF(AD96&lt;$H$168*'Feuille de Donnée'!$I$9,"Négligeable",(IF(AND(AB96&gt;=$F96*(1-'Feuille de Donnée'!$E$12),AB96&lt;=$F96*(1+'Feuille de Donnée'!$F$12)),'Feuille de Donnée'!$F$17,IF(AB96&lt;$F96*(1-'Feuille de Donnée'!$E$12),'Feuille de Donnée'!$F$18,'Feuille de Donnée'!$F$16))&amp;""&amp;IF(AND(AC96&gt;=$G96*(1-'Feuille de Donnée'!$E$27),AC96&lt;=$G96*(1+'Feuille de Donnée'!$F$27)),'Feuille de Donnée'!$F$32,IF(AC96&lt;$G96*(1-'Feuille de Donnée'!$E$27),'Feuille de Donnée'!$F$33,'Feuille de Donnée'!$F$31)))))</f>
        <v/>
      </c>
      <c r="AI96" s="138"/>
      <c r="AJ96" s="103"/>
      <c r="AK96" s="27"/>
      <c r="AL96" s="27"/>
      <c r="AM96" s="27" t="str">
        <f t="shared" si="48"/>
        <v/>
      </c>
      <c r="AN96" s="121" t="str">
        <f t="shared" si="49"/>
        <v/>
      </c>
      <c r="AO96" s="121" t="str">
        <f t="shared" si="50"/>
        <v/>
      </c>
      <c r="AP96" s="27" t="str">
        <f>IF(AND(ISBLANK(AR96),AQ96=""),"",1+MAX(AP$21:AP95))</f>
        <v/>
      </c>
      <c r="AQ96" s="137" t="str">
        <f>IF(OR(AM96="",AM96=0,$H96="",$H96=0,NOT(ISNUMBER($H96)),NOT(ISNUMBER(AM96))),IF(AND($E96&lt;&gt;"",AND(OR(ISNUMBER(AM96),AM96=""),AND(ISNUMBER($H96),$H96&gt;0))),'Feuille de Donnée'!$K$13,""),IF(AM96&lt;$H$168*'Feuille de Donnée'!$I$9,"Négligeable",(IF(AND(AK96&gt;=$F96*(1-'Feuille de Donnée'!$E$12),AK96&lt;=$F96*(1+'Feuille de Donnée'!$F$12)),'Feuille de Donnée'!$F$17,IF(AK96&lt;$F96*(1-'Feuille de Donnée'!$E$12),'Feuille de Donnée'!$F$18,'Feuille de Donnée'!$F$16))&amp;""&amp;IF(AND(AL96&gt;=$G96*(1-'Feuille de Donnée'!$E$27),AL96&lt;=$G96*(1+'Feuille de Donnée'!$F$27)),'Feuille de Donnée'!$F$32,IF(AL96&lt;$G96*(1-'Feuille de Donnée'!$E$27),'Feuille de Donnée'!$F$33,'Feuille de Donnée'!$F$31)))))</f>
        <v/>
      </c>
      <c r="AR96" s="138"/>
      <c r="AS96" s="103"/>
      <c r="AT96" s="27"/>
      <c r="AU96" s="27"/>
      <c r="AV96" s="27" t="str">
        <f t="shared" si="51"/>
        <v/>
      </c>
      <c r="AW96" s="121" t="str">
        <f t="shared" si="52"/>
        <v/>
      </c>
      <c r="AX96" s="121" t="str">
        <f t="shared" si="53"/>
        <v/>
      </c>
      <c r="AY96" s="27" t="str">
        <f>IF(AND(ISBLANK(BA96),AZ96=""),"",1+MAX(AY$21:AY95))</f>
        <v/>
      </c>
      <c r="AZ96" s="137" t="str">
        <f>IF(OR(AV96="",AV96=0,$H96="",$H96=0,NOT(ISNUMBER($H96)),NOT(ISNUMBER(AV96))),IF(AND($E96&lt;&gt;"",AND(OR(ISNUMBER(AV96),AV96=""),AND(ISNUMBER($H96),$H96&gt;0))),'Feuille de Donnée'!$K$13,""),IF(AV96&lt;$H$168*'Feuille de Donnée'!$I$9,"Négligeable",(IF(AND(AT96&gt;=$F96*(1-'Feuille de Donnée'!$E$12),AT96&lt;=$F96*(1+'Feuille de Donnée'!$F$12)),'Feuille de Donnée'!$F$17,IF(AT96&lt;$F96*(1-'Feuille de Donnée'!$E$12),'Feuille de Donnée'!$F$18,'Feuille de Donnée'!$F$16))&amp;""&amp;IF(AND(AU96&gt;=$G96*(1-'Feuille de Donnée'!$E$27),AU96&lt;=$G96*(1+'Feuille de Donnée'!$F$27)),'Feuille de Donnée'!$F$32,IF(AU96&lt;$G96*(1-'Feuille de Donnée'!$E$27),'Feuille de Donnée'!$F$33,'Feuille de Donnée'!$F$31)))))</f>
        <v/>
      </c>
      <c r="BA96" s="138"/>
      <c r="BB96" s="103"/>
      <c r="BC96" s="27"/>
      <c r="BD96" s="27"/>
      <c r="BE96" s="27" t="str">
        <f t="shared" si="54"/>
        <v/>
      </c>
      <c r="BF96" s="121" t="str">
        <f t="shared" si="55"/>
        <v/>
      </c>
      <c r="BG96" s="121" t="str">
        <f t="shared" si="56"/>
        <v/>
      </c>
      <c r="BH96" s="27" t="str">
        <f>IF(AND(ISBLANK(BJ96),BI96=""),"",1+MAX(BH$21:BH95))</f>
        <v/>
      </c>
      <c r="BI96" s="137" t="str">
        <f>IF(OR(BE96="",BE96=0,$H96="",$H96=0,NOT(ISNUMBER($H96)),NOT(ISNUMBER(BE96))),IF(AND($E96&lt;&gt;"",AND(OR(ISNUMBER(BE96),BE96=""),AND(ISNUMBER($H96),$H96&gt;0))),'Feuille de Donnée'!$K$13,""),IF(BE96&lt;$H$168*'Feuille de Donnée'!$I$9,"Négligeable",(IF(AND(BC96&gt;=$F96*(1-'Feuille de Donnée'!$E$12),BC96&lt;=$F96*(1+'Feuille de Donnée'!$F$12)),'Feuille de Donnée'!$F$17,IF(BC96&lt;$F96*(1-'Feuille de Donnée'!$E$12),'Feuille de Donnée'!$F$18,'Feuille de Donnée'!$F$16))&amp;""&amp;IF(AND(BD96&gt;=$G96*(1-'Feuille de Donnée'!$E$27),BD96&lt;=$G96*(1+'Feuille de Donnée'!$F$27)),'Feuille de Donnée'!$F$32,IF(BD96&lt;$G96*(1-'Feuille de Donnée'!$E$27),'Feuille de Donnée'!$F$33,'Feuille de Donnée'!$F$31)))))</f>
        <v/>
      </c>
      <c r="BJ96" s="138"/>
      <c r="BK96" s="140"/>
    </row>
    <row r="97" spans="1:63" s="6" customFormat="1" x14ac:dyDescent="0.3">
      <c r="A97" s="23"/>
      <c r="B97" s="24"/>
      <c r="C97" s="24"/>
      <c r="D97" s="24"/>
      <c r="E97" s="22"/>
      <c r="F97" s="25"/>
      <c r="G97" s="26"/>
      <c r="H97" s="102" t="str">
        <f t="shared" si="38"/>
        <v/>
      </c>
      <c r="I97" s="103"/>
      <c r="J97" s="27"/>
      <c r="K97" s="27"/>
      <c r="L97" s="27" t="str">
        <f t="shared" si="39"/>
        <v/>
      </c>
      <c r="M97" s="121" t="str">
        <f t="shared" si="40"/>
        <v/>
      </c>
      <c r="N97" s="121" t="str">
        <f t="shared" si="41"/>
        <v/>
      </c>
      <c r="O97" s="27" t="str">
        <f>IF(AND(ISBLANK(Q97),P97=""),"",1+MAX(O$21:O96))</f>
        <v/>
      </c>
      <c r="P97" s="137" t="str">
        <f>IF(OR(L97="",L97=0,$H97="",$H97=0,NOT(ISNUMBER($H97)),NOT(ISNUMBER(L97))),IF(AND($E97&lt;&gt;"",AND(OR(ISNUMBER(L97),L97=""),AND(ISNUMBER($H97),$H97&gt;0))),'Feuille de Donnée'!$K$13,""),IF(L97&lt;$H$168*'Feuille de Donnée'!$I$9,"Négligeable",(IF(AND(J97&gt;=$F97*(1-'Feuille de Donnée'!$E$12),J97&lt;=$F97*(1+'Feuille de Donnée'!$F$12)),'Feuille de Donnée'!$F$17,IF(J97&lt;$F97*(1-'Feuille de Donnée'!$E$12),'Feuille de Donnée'!$F$18,'Feuille de Donnée'!$F$16))&amp;""&amp;IF(AND(K97&gt;=$G97*(1-'Feuille de Donnée'!$E$27),K97&lt;=$G97*(1+'Feuille de Donnée'!$F$27)),'Feuille de Donnée'!$F$32,IF(K97&lt;$G97*(1-'Feuille de Donnée'!$E$27),'Feuille de Donnée'!$F$33,'Feuille de Donnée'!$F$31)))))</f>
        <v/>
      </c>
      <c r="Q97" s="138"/>
      <c r="R97" s="103"/>
      <c r="S97" s="27"/>
      <c r="T97" s="27"/>
      <c r="U97" s="27" t="str">
        <f t="shared" si="42"/>
        <v/>
      </c>
      <c r="V97" s="121" t="str">
        <f t="shared" si="43"/>
        <v/>
      </c>
      <c r="W97" s="121" t="str">
        <f t="shared" si="44"/>
        <v/>
      </c>
      <c r="X97" s="27" t="str">
        <f>IF(AND(ISBLANK(Z97),Y97=""),"",1+MAX(X$21:X96))</f>
        <v/>
      </c>
      <c r="Y97" s="137" t="str">
        <f>IF(OR(U97="",U97=0,$H97="",$H97=0,NOT(ISNUMBER($H97)),NOT(ISNUMBER(U97))),IF(AND($E97&lt;&gt;"",AND(OR(ISNUMBER(U97),U97=""),AND(ISNUMBER($H97),$H97&gt;0))),'Feuille de Donnée'!$K$13,""),IF(U97&lt;$H$168*'Feuille de Donnée'!$I$9,"Négligeable",(IF(AND(S97&gt;=$F97*(1-'Feuille de Donnée'!$E$12),S97&lt;=$F97*(1+'Feuille de Donnée'!$F$12)),'Feuille de Donnée'!$F$17,IF(S97&lt;$F97*(1-'Feuille de Donnée'!$E$12),'Feuille de Donnée'!$F$18,'Feuille de Donnée'!$F$16))&amp;""&amp;IF(AND(T97&gt;=$G97*(1-'Feuille de Donnée'!$E$27),T97&lt;=$G97*(1+'Feuille de Donnée'!$F$27)),'Feuille de Donnée'!$F$32,IF(T97&lt;$G97*(1-'Feuille de Donnée'!$E$27),'Feuille de Donnée'!$F$33,'Feuille de Donnée'!$F$31)))))</f>
        <v/>
      </c>
      <c r="Z97" s="138"/>
      <c r="AA97" s="103"/>
      <c r="AB97" s="27"/>
      <c r="AC97" s="27"/>
      <c r="AD97" s="27" t="str">
        <f t="shared" si="45"/>
        <v/>
      </c>
      <c r="AE97" s="121" t="str">
        <f t="shared" si="46"/>
        <v/>
      </c>
      <c r="AF97" s="121" t="str">
        <f t="shared" si="47"/>
        <v/>
      </c>
      <c r="AG97" s="27" t="str">
        <f>IF(AND(ISBLANK(AI97),AH97=""),"",1+MAX(AG$21:AG96))</f>
        <v/>
      </c>
      <c r="AH97" s="137" t="str">
        <f>IF(OR(AD97="",AD97=0,$H97="",$H97=0,NOT(ISNUMBER($H97)),NOT(ISNUMBER(AD97))),IF(AND($E97&lt;&gt;"",AND(OR(ISNUMBER(AD97),AD97=""),AND(ISNUMBER($H97),$H97&gt;0))),'Feuille de Donnée'!$K$13,""),IF(AD97&lt;$H$168*'Feuille de Donnée'!$I$9,"Négligeable",(IF(AND(AB97&gt;=$F97*(1-'Feuille de Donnée'!$E$12),AB97&lt;=$F97*(1+'Feuille de Donnée'!$F$12)),'Feuille de Donnée'!$F$17,IF(AB97&lt;$F97*(1-'Feuille de Donnée'!$E$12),'Feuille de Donnée'!$F$18,'Feuille de Donnée'!$F$16))&amp;""&amp;IF(AND(AC97&gt;=$G97*(1-'Feuille de Donnée'!$E$27),AC97&lt;=$G97*(1+'Feuille de Donnée'!$F$27)),'Feuille de Donnée'!$F$32,IF(AC97&lt;$G97*(1-'Feuille de Donnée'!$E$27),'Feuille de Donnée'!$F$33,'Feuille de Donnée'!$F$31)))))</f>
        <v/>
      </c>
      <c r="AI97" s="138"/>
      <c r="AJ97" s="103"/>
      <c r="AK97" s="27"/>
      <c r="AL97" s="27"/>
      <c r="AM97" s="27" t="str">
        <f t="shared" si="48"/>
        <v/>
      </c>
      <c r="AN97" s="121" t="str">
        <f t="shared" si="49"/>
        <v/>
      </c>
      <c r="AO97" s="121" t="str">
        <f t="shared" si="50"/>
        <v/>
      </c>
      <c r="AP97" s="27" t="str">
        <f>IF(AND(ISBLANK(AR97),AQ97=""),"",1+MAX(AP$21:AP96))</f>
        <v/>
      </c>
      <c r="AQ97" s="137" t="str">
        <f>IF(OR(AM97="",AM97=0,$H97="",$H97=0,NOT(ISNUMBER($H97)),NOT(ISNUMBER(AM97))),IF(AND($E97&lt;&gt;"",AND(OR(ISNUMBER(AM97),AM97=""),AND(ISNUMBER($H97),$H97&gt;0))),'Feuille de Donnée'!$K$13,""),IF(AM97&lt;$H$168*'Feuille de Donnée'!$I$9,"Négligeable",(IF(AND(AK97&gt;=$F97*(1-'Feuille de Donnée'!$E$12),AK97&lt;=$F97*(1+'Feuille de Donnée'!$F$12)),'Feuille de Donnée'!$F$17,IF(AK97&lt;$F97*(1-'Feuille de Donnée'!$E$12),'Feuille de Donnée'!$F$18,'Feuille de Donnée'!$F$16))&amp;""&amp;IF(AND(AL97&gt;=$G97*(1-'Feuille de Donnée'!$E$27),AL97&lt;=$G97*(1+'Feuille de Donnée'!$F$27)),'Feuille de Donnée'!$F$32,IF(AL97&lt;$G97*(1-'Feuille de Donnée'!$E$27),'Feuille de Donnée'!$F$33,'Feuille de Donnée'!$F$31)))))</f>
        <v/>
      </c>
      <c r="AR97" s="138"/>
      <c r="AS97" s="103"/>
      <c r="AT97" s="27"/>
      <c r="AU97" s="27"/>
      <c r="AV97" s="27" t="str">
        <f t="shared" si="51"/>
        <v/>
      </c>
      <c r="AW97" s="121" t="str">
        <f t="shared" si="52"/>
        <v/>
      </c>
      <c r="AX97" s="121" t="str">
        <f t="shared" si="53"/>
        <v/>
      </c>
      <c r="AY97" s="27" t="str">
        <f>IF(AND(ISBLANK(BA97),AZ97=""),"",1+MAX(AY$21:AY96))</f>
        <v/>
      </c>
      <c r="AZ97" s="137" t="str">
        <f>IF(OR(AV97="",AV97=0,$H97="",$H97=0,NOT(ISNUMBER($H97)),NOT(ISNUMBER(AV97))),IF(AND($E97&lt;&gt;"",AND(OR(ISNUMBER(AV97),AV97=""),AND(ISNUMBER($H97),$H97&gt;0))),'Feuille de Donnée'!$K$13,""),IF(AV97&lt;$H$168*'Feuille de Donnée'!$I$9,"Négligeable",(IF(AND(AT97&gt;=$F97*(1-'Feuille de Donnée'!$E$12),AT97&lt;=$F97*(1+'Feuille de Donnée'!$F$12)),'Feuille de Donnée'!$F$17,IF(AT97&lt;$F97*(1-'Feuille de Donnée'!$E$12),'Feuille de Donnée'!$F$18,'Feuille de Donnée'!$F$16))&amp;""&amp;IF(AND(AU97&gt;=$G97*(1-'Feuille de Donnée'!$E$27),AU97&lt;=$G97*(1+'Feuille de Donnée'!$F$27)),'Feuille de Donnée'!$F$32,IF(AU97&lt;$G97*(1-'Feuille de Donnée'!$E$27),'Feuille de Donnée'!$F$33,'Feuille de Donnée'!$F$31)))))</f>
        <v/>
      </c>
      <c r="BA97" s="138"/>
      <c r="BB97" s="103"/>
      <c r="BC97" s="27"/>
      <c r="BD97" s="27"/>
      <c r="BE97" s="27" t="str">
        <f t="shared" si="54"/>
        <v/>
      </c>
      <c r="BF97" s="121" t="str">
        <f t="shared" si="55"/>
        <v/>
      </c>
      <c r="BG97" s="121" t="str">
        <f t="shared" si="56"/>
        <v/>
      </c>
      <c r="BH97" s="27" t="str">
        <f>IF(AND(ISBLANK(BJ97),BI97=""),"",1+MAX(BH$21:BH96))</f>
        <v/>
      </c>
      <c r="BI97" s="137" t="str">
        <f>IF(OR(BE97="",BE97=0,$H97="",$H97=0,NOT(ISNUMBER($H97)),NOT(ISNUMBER(BE97))),IF(AND($E97&lt;&gt;"",AND(OR(ISNUMBER(BE97),BE97=""),AND(ISNUMBER($H97),$H97&gt;0))),'Feuille de Donnée'!$K$13,""),IF(BE97&lt;$H$168*'Feuille de Donnée'!$I$9,"Négligeable",(IF(AND(BC97&gt;=$F97*(1-'Feuille de Donnée'!$E$12),BC97&lt;=$F97*(1+'Feuille de Donnée'!$F$12)),'Feuille de Donnée'!$F$17,IF(BC97&lt;$F97*(1-'Feuille de Donnée'!$E$12),'Feuille de Donnée'!$F$18,'Feuille de Donnée'!$F$16))&amp;""&amp;IF(AND(BD97&gt;=$G97*(1-'Feuille de Donnée'!$E$27),BD97&lt;=$G97*(1+'Feuille de Donnée'!$F$27)),'Feuille de Donnée'!$F$32,IF(BD97&lt;$G97*(1-'Feuille de Donnée'!$E$27),'Feuille de Donnée'!$F$33,'Feuille de Donnée'!$F$31)))))</f>
        <v/>
      </c>
      <c r="BJ97" s="138"/>
      <c r="BK97" s="140"/>
    </row>
    <row r="98" spans="1:63" s="6" customFormat="1" x14ac:dyDescent="0.3">
      <c r="A98" s="23"/>
      <c r="B98" s="24"/>
      <c r="C98" s="24"/>
      <c r="D98" s="24"/>
      <c r="E98" s="22"/>
      <c r="F98" s="25"/>
      <c r="G98" s="26"/>
      <c r="H98" s="102" t="str">
        <f t="shared" si="38"/>
        <v/>
      </c>
      <c r="I98" s="103"/>
      <c r="J98" s="27"/>
      <c r="K98" s="27"/>
      <c r="L98" s="27" t="str">
        <f t="shared" si="39"/>
        <v/>
      </c>
      <c r="M98" s="121" t="str">
        <f t="shared" si="40"/>
        <v/>
      </c>
      <c r="N98" s="121" t="str">
        <f t="shared" si="41"/>
        <v/>
      </c>
      <c r="O98" s="27" t="str">
        <f>IF(AND(ISBLANK(Q98),P98=""),"",1+MAX(O$21:O97))</f>
        <v/>
      </c>
      <c r="P98" s="137" t="str">
        <f>IF(OR(L98="",L98=0,$H98="",$H98=0,NOT(ISNUMBER($H98)),NOT(ISNUMBER(L98))),IF(AND($E98&lt;&gt;"",AND(OR(ISNUMBER(L98),L98=""),AND(ISNUMBER($H98),$H98&gt;0))),'Feuille de Donnée'!$K$13,""),IF(L98&lt;$H$168*'Feuille de Donnée'!$I$9,"Négligeable",(IF(AND(J98&gt;=$F98*(1-'Feuille de Donnée'!$E$12),J98&lt;=$F98*(1+'Feuille de Donnée'!$F$12)),'Feuille de Donnée'!$F$17,IF(J98&lt;$F98*(1-'Feuille de Donnée'!$E$12),'Feuille de Donnée'!$F$18,'Feuille de Donnée'!$F$16))&amp;""&amp;IF(AND(K98&gt;=$G98*(1-'Feuille de Donnée'!$E$27),K98&lt;=$G98*(1+'Feuille de Donnée'!$F$27)),'Feuille de Donnée'!$F$32,IF(K98&lt;$G98*(1-'Feuille de Donnée'!$E$27),'Feuille de Donnée'!$F$33,'Feuille de Donnée'!$F$31)))))</f>
        <v/>
      </c>
      <c r="Q98" s="138"/>
      <c r="R98" s="103"/>
      <c r="S98" s="27"/>
      <c r="T98" s="27"/>
      <c r="U98" s="27" t="str">
        <f t="shared" si="42"/>
        <v/>
      </c>
      <c r="V98" s="121" t="str">
        <f t="shared" si="43"/>
        <v/>
      </c>
      <c r="W98" s="121" t="str">
        <f t="shared" si="44"/>
        <v/>
      </c>
      <c r="X98" s="27" t="str">
        <f>IF(AND(ISBLANK(Z98),Y98=""),"",1+MAX(X$21:X97))</f>
        <v/>
      </c>
      <c r="Y98" s="137" t="str">
        <f>IF(OR(U98="",U98=0,$H98="",$H98=0,NOT(ISNUMBER($H98)),NOT(ISNUMBER(U98))),IF(AND($E98&lt;&gt;"",AND(OR(ISNUMBER(U98),U98=""),AND(ISNUMBER($H98),$H98&gt;0))),'Feuille de Donnée'!$K$13,""),IF(U98&lt;$H$168*'Feuille de Donnée'!$I$9,"Négligeable",(IF(AND(S98&gt;=$F98*(1-'Feuille de Donnée'!$E$12),S98&lt;=$F98*(1+'Feuille de Donnée'!$F$12)),'Feuille de Donnée'!$F$17,IF(S98&lt;$F98*(1-'Feuille de Donnée'!$E$12),'Feuille de Donnée'!$F$18,'Feuille de Donnée'!$F$16))&amp;""&amp;IF(AND(T98&gt;=$G98*(1-'Feuille de Donnée'!$E$27),T98&lt;=$G98*(1+'Feuille de Donnée'!$F$27)),'Feuille de Donnée'!$F$32,IF(T98&lt;$G98*(1-'Feuille de Donnée'!$E$27),'Feuille de Donnée'!$F$33,'Feuille de Donnée'!$F$31)))))</f>
        <v/>
      </c>
      <c r="Z98" s="138"/>
      <c r="AA98" s="103"/>
      <c r="AB98" s="27"/>
      <c r="AC98" s="27"/>
      <c r="AD98" s="27" t="str">
        <f t="shared" si="45"/>
        <v/>
      </c>
      <c r="AE98" s="121" t="str">
        <f t="shared" si="46"/>
        <v/>
      </c>
      <c r="AF98" s="121" t="str">
        <f t="shared" si="47"/>
        <v/>
      </c>
      <c r="AG98" s="27" t="str">
        <f>IF(AND(ISBLANK(AI98),AH98=""),"",1+MAX(AG$21:AG97))</f>
        <v/>
      </c>
      <c r="AH98" s="137" t="str">
        <f>IF(OR(AD98="",AD98=0,$H98="",$H98=0,NOT(ISNUMBER($H98)),NOT(ISNUMBER(AD98))),IF(AND($E98&lt;&gt;"",AND(OR(ISNUMBER(AD98),AD98=""),AND(ISNUMBER($H98),$H98&gt;0))),'Feuille de Donnée'!$K$13,""),IF(AD98&lt;$H$168*'Feuille de Donnée'!$I$9,"Négligeable",(IF(AND(AB98&gt;=$F98*(1-'Feuille de Donnée'!$E$12),AB98&lt;=$F98*(1+'Feuille de Donnée'!$F$12)),'Feuille de Donnée'!$F$17,IF(AB98&lt;$F98*(1-'Feuille de Donnée'!$E$12),'Feuille de Donnée'!$F$18,'Feuille de Donnée'!$F$16))&amp;""&amp;IF(AND(AC98&gt;=$G98*(1-'Feuille de Donnée'!$E$27),AC98&lt;=$G98*(1+'Feuille de Donnée'!$F$27)),'Feuille de Donnée'!$F$32,IF(AC98&lt;$G98*(1-'Feuille de Donnée'!$E$27),'Feuille de Donnée'!$F$33,'Feuille de Donnée'!$F$31)))))</f>
        <v/>
      </c>
      <c r="AI98" s="138"/>
      <c r="AJ98" s="103"/>
      <c r="AK98" s="27"/>
      <c r="AL98" s="27"/>
      <c r="AM98" s="27" t="str">
        <f t="shared" si="48"/>
        <v/>
      </c>
      <c r="AN98" s="121" t="str">
        <f t="shared" si="49"/>
        <v/>
      </c>
      <c r="AO98" s="121" t="str">
        <f t="shared" si="50"/>
        <v/>
      </c>
      <c r="AP98" s="27" t="str">
        <f>IF(AND(ISBLANK(AR98),AQ98=""),"",1+MAX(AP$21:AP97))</f>
        <v/>
      </c>
      <c r="AQ98" s="137" t="str">
        <f>IF(OR(AM98="",AM98=0,$H98="",$H98=0,NOT(ISNUMBER($H98)),NOT(ISNUMBER(AM98))),IF(AND($E98&lt;&gt;"",AND(OR(ISNUMBER(AM98),AM98=""),AND(ISNUMBER($H98),$H98&gt;0))),'Feuille de Donnée'!$K$13,""),IF(AM98&lt;$H$168*'Feuille de Donnée'!$I$9,"Négligeable",(IF(AND(AK98&gt;=$F98*(1-'Feuille de Donnée'!$E$12),AK98&lt;=$F98*(1+'Feuille de Donnée'!$F$12)),'Feuille de Donnée'!$F$17,IF(AK98&lt;$F98*(1-'Feuille de Donnée'!$E$12),'Feuille de Donnée'!$F$18,'Feuille de Donnée'!$F$16))&amp;""&amp;IF(AND(AL98&gt;=$G98*(1-'Feuille de Donnée'!$E$27),AL98&lt;=$G98*(1+'Feuille de Donnée'!$F$27)),'Feuille de Donnée'!$F$32,IF(AL98&lt;$G98*(1-'Feuille de Donnée'!$E$27),'Feuille de Donnée'!$F$33,'Feuille de Donnée'!$F$31)))))</f>
        <v/>
      </c>
      <c r="AR98" s="138"/>
      <c r="AS98" s="103"/>
      <c r="AT98" s="27"/>
      <c r="AU98" s="27"/>
      <c r="AV98" s="27" t="str">
        <f t="shared" si="51"/>
        <v/>
      </c>
      <c r="AW98" s="121" t="str">
        <f t="shared" si="52"/>
        <v/>
      </c>
      <c r="AX98" s="121" t="str">
        <f t="shared" si="53"/>
        <v/>
      </c>
      <c r="AY98" s="27" t="str">
        <f>IF(AND(ISBLANK(BA98),AZ98=""),"",1+MAX(AY$21:AY97))</f>
        <v/>
      </c>
      <c r="AZ98" s="137" t="str">
        <f>IF(OR(AV98="",AV98=0,$H98="",$H98=0,NOT(ISNUMBER($H98)),NOT(ISNUMBER(AV98))),IF(AND($E98&lt;&gt;"",AND(OR(ISNUMBER(AV98),AV98=""),AND(ISNUMBER($H98),$H98&gt;0))),'Feuille de Donnée'!$K$13,""),IF(AV98&lt;$H$168*'Feuille de Donnée'!$I$9,"Négligeable",(IF(AND(AT98&gt;=$F98*(1-'Feuille de Donnée'!$E$12),AT98&lt;=$F98*(1+'Feuille de Donnée'!$F$12)),'Feuille de Donnée'!$F$17,IF(AT98&lt;$F98*(1-'Feuille de Donnée'!$E$12),'Feuille de Donnée'!$F$18,'Feuille de Donnée'!$F$16))&amp;""&amp;IF(AND(AU98&gt;=$G98*(1-'Feuille de Donnée'!$E$27),AU98&lt;=$G98*(1+'Feuille de Donnée'!$F$27)),'Feuille de Donnée'!$F$32,IF(AU98&lt;$G98*(1-'Feuille de Donnée'!$E$27),'Feuille de Donnée'!$F$33,'Feuille de Donnée'!$F$31)))))</f>
        <v/>
      </c>
      <c r="BA98" s="138"/>
      <c r="BB98" s="103"/>
      <c r="BC98" s="27"/>
      <c r="BD98" s="27"/>
      <c r="BE98" s="27" t="str">
        <f t="shared" si="54"/>
        <v/>
      </c>
      <c r="BF98" s="121" t="str">
        <f t="shared" si="55"/>
        <v/>
      </c>
      <c r="BG98" s="121" t="str">
        <f t="shared" si="56"/>
        <v/>
      </c>
      <c r="BH98" s="27" t="str">
        <f>IF(AND(ISBLANK(BJ98),BI98=""),"",1+MAX(BH$21:BH97))</f>
        <v/>
      </c>
      <c r="BI98" s="137" t="str">
        <f>IF(OR(BE98="",BE98=0,$H98="",$H98=0,NOT(ISNUMBER($H98)),NOT(ISNUMBER(BE98))),IF(AND($E98&lt;&gt;"",AND(OR(ISNUMBER(BE98),BE98=""),AND(ISNUMBER($H98),$H98&gt;0))),'Feuille de Donnée'!$K$13,""),IF(BE98&lt;$H$168*'Feuille de Donnée'!$I$9,"Négligeable",(IF(AND(BC98&gt;=$F98*(1-'Feuille de Donnée'!$E$12),BC98&lt;=$F98*(1+'Feuille de Donnée'!$F$12)),'Feuille de Donnée'!$F$17,IF(BC98&lt;$F98*(1-'Feuille de Donnée'!$E$12),'Feuille de Donnée'!$F$18,'Feuille de Donnée'!$F$16))&amp;""&amp;IF(AND(BD98&gt;=$G98*(1-'Feuille de Donnée'!$E$27),BD98&lt;=$G98*(1+'Feuille de Donnée'!$F$27)),'Feuille de Donnée'!$F$32,IF(BD98&lt;$G98*(1-'Feuille de Donnée'!$E$27),'Feuille de Donnée'!$F$33,'Feuille de Donnée'!$F$31)))))</f>
        <v/>
      </c>
      <c r="BJ98" s="138"/>
      <c r="BK98" s="140"/>
    </row>
    <row r="99" spans="1:63" s="6" customFormat="1" x14ac:dyDescent="0.3">
      <c r="A99" s="23"/>
      <c r="B99" s="24"/>
      <c r="C99" s="24"/>
      <c r="D99" s="24"/>
      <c r="E99" s="22"/>
      <c r="F99" s="25"/>
      <c r="G99" s="26"/>
      <c r="H99" s="102" t="str">
        <f t="shared" si="38"/>
        <v/>
      </c>
      <c r="I99" s="103"/>
      <c r="J99" s="27"/>
      <c r="K99" s="27"/>
      <c r="L99" s="27" t="str">
        <f t="shared" si="39"/>
        <v/>
      </c>
      <c r="M99" s="121" t="str">
        <f t="shared" si="40"/>
        <v/>
      </c>
      <c r="N99" s="121" t="str">
        <f t="shared" si="41"/>
        <v/>
      </c>
      <c r="O99" s="27" t="str">
        <f>IF(AND(ISBLANK(Q99),P99=""),"",1+MAX(O$21:O98))</f>
        <v/>
      </c>
      <c r="P99" s="137" t="str">
        <f>IF(OR(L99="",L99=0,$H99="",$H99=0,NOT(ISNUMBER($H99)),NOT(ISNUMBER(L99))),IF(AND($E99&lt;&gt;"",AND(OR(ISNUMBER(L99),L99=""),AND(ISNUMBER($H99),$H99&gt;0))),'Feuille de Donnée'!$K$13,""),IF(L99&lt;$H$168*'Feuille de Donnée'!$I$9,"Négligeable",(IF(AND(J99&gt;=$F99*(1-'Feuille de Donnée'!$E$12),J99&lt;=$F99*(1+'Feuille de Donnée'!$F$12)),'Feuille de Donnée'!$F$17,IF(J99&lt;$F99*(1-'Feuille de Donnée'!$E$12),'Feuille de Donnée'!$F$18,'Feuille de Donnée'!$F$16))&amp;""&amp;IF(AND(K99&gt;=$G99*(1-'Feuille de Donnée'!$E$27),K99&lt;=$G99*(1+'Feuille de Donnée'!$F$27)),'Feuille de Donnée'!$F$32,IF(K99&lt;$G99*(1-'Feuille de Donnée'!$E$27),'Feuille de Donnée'!$F$33,'Feuille de Donnée'!$F$31)))))</f>
        <v/>
      </c>
      <c r="Q99" s="138"/>
      <c r="R99" s="103"/>
      <c r="S99" s="27"/>
      <c r="T99" s="27"/>
      <c r="U99" s="27" t="str">
        <f t="shared" si="42"/>
        <v/>
      </c>
      <c r="V99" s="121" t="str">
        <f t="shared" si="43"/>
        <v/>
      </c>
      <c r="W99" s="121" t="str">
        <f t="shared" si="44"/>
        <v/>
      </c>
      <c r="X99" s="27" t="str">
        <f>IF(AND(ISBLANK(Z99),Y99=""),"",1+MAX(X$21:X98))</f>
        <v/>
      </c>
      <c r="Y99" s="137" t="str">
        <f>IF(OR(U99="",U99=0,$H99="",$H99=0,NOT(ISNUMBER($H99)),NOT(ISNUMBER(U99))),IF(AND($E99&lt;&gt;"",AND(OR(ISNUMBER(U99),U99=""),AND(ISNUMBER($H99),$H99&gt;0))),'Feuille de Donnée'!$K$13,""),IF(U99&lt;$H$168*'Feuille de Donnée'!$I$9,"Négligeable",(IF(AND(S99&gt;=$F99*(1-'Feuille de Donnée'!$E$12),S99&lt;=$F99*(1+'Feuille de Donnée'!$F$12)),'Feuille de Donnée'!$F$17,IF(S99&lt;$F99*(1-'Feuille de Donnée'!$E$12),'Feuille de Donnée'!$F$18,'Feuille de Donnée'!$F$16))&amp;""&amp;IF(AND(T99&gt;=$G99*(1-'Feuille de Donnée'!$E$27),T99&lt;=$G99*(1+'Feuille de Donnée'!$F$27)),'Feuille de Donnée'!$F$32,IF(T99&lt;$G99*(1-'Feuille de Donnée'!$E$27),'Feuille de Donnée'!$F$33,'Feuille de Donnée'!$F$31)))))</f>
        <v/>
      </c>
      <c r="Z99" s="138"/>
      <c r="AA99" s="103"/>
      <c r="AB99" s="27"/>
      <c r="AC99" s="27"/>
      <c r="AD99" s="27" t="str">
        <f t="shared" si="45"/>
        <v/>
      </c>
      <c r="AE99" s="121" t="str">
        <f t="shared" si="46"/>
        <v/>
      </c>
      <c r="AF99" s="121" t="str">
        <f t="shared" si="47"/>
        <v/>
      </c>
      <c r="AG99" s="27" t="str">
        <f>IF(AND(ISBLANK(AI99),AH99=""),"",1+MAX(AG$21:AG98))</f>
        <v/>
      </c>
      <c r="AH99" s="137" t="str">
        <f>IF(OR(AD99="",AD99=0,$H99="",$H99=0,NOT(ISNUMBER($H99)),NOT(ISNUMBER(AD99))),IF(AND($E99&lt;&gt;"",AND(OR(ISNUMBER(AD99),AD99=""),AND(ISNUMBER($H99),$H99&gt;0))),'Feuille de Donnée'!$K$13,""),IF(AD99&lt;$H$168*'Feuille de Donnée'!$I$9,"Négligeable",(IF(AND(AB99&gt;=$F99*(1-'Feuille de Donnée'!$E$12),AB99&lt;=$F99*(1+'Feuille de Donnée'!$F$12)),'Feuille de Donnée'!$F$17,IF(AB99&lt;$F99*(1-'Feuille de Donnée'!$E$12),'Feuille de Donnée'!$F$18,'Feuille de Donnée'!$F$16))&amp;""&amp;IF(AND(AC99&gt;=$G99*(1-'Feuille de Donnée'!$E$27),AC99&lt;=$G99*(1+'Feuille de Donnée'!$F$27)),'Feuille de Donnée'!$F$32,IF(AC99&lt;$G99*(1-'Feuille de Donnée'!$E$27),'Feuille de Donnée'!$F$33,'Feuille de Donnée'!$F$31)))))</f>
        <v/>
      </c>
      <c r="AI99" s="138"/>
      <c r="AJ99" s="103"/>
      <c r="AK99" s="27"/>
      <c r="AL99" s="27"/>
      <c r="AM99" s="27" t="str">
        <f t="shared" si="48"/>
        <v/>
      </c>
      <c r="AN99" s="121" t="str">
        <f t="shared" si="49"/>
        <v/>
      </c>
      <c r="AO99" s="121" t="str">
        <f t="shared" si="50"/>
        <v/>
      </c>
      <c r="AP99" s="27" t="str">
        <f>IF(AND(ISBLANK(AR99),AQ99=""),"",1+MAX(AP$21:AP98))</f>
        <v/>
      </c>
      <c r="AQ99" s="137" t="str">
        <f>IF(OR(AM99="",AM99=0,$H99="",$H99=0,NOT(ISNUMBER($H99)),NOT(ISNUMBER(AM99))),IF(AND($E99&lt;&gt;"",AND(OR(ISNUMBER(AM99),AM99=""),AND(ISNUMBER($H99),$H99&gt;0))),'Feuille de Donnée'!$K$13,""),IF(AM99&lt;$H$168*'Feuille de Donnée'!$I$9,"Négligeable",(IF(AND(AK99&gt;=$F99*(1-'Feuille de Donnée'!$E$12),AK99&lt;=$F99*(1+'Feuille de Donnée'!$F$12)),'Feuille de Donnée'!$F$17,IF(AK99&lt;$F99*(1-'Feuille de Donnée'!$E$12),'Feuille de Donnée'!$F$18,'Feuille de Donnée'!$F$16))&amp;""&amp;IF(AND(AL99&gt;=$G99*(1-'Feuille de Donnée'!$E$27),AL99&lt;=$G99*(1+'Feuille de Donnée'!$F$27)),'Feuille de Donnée'!$F$32,IF(AL99&lt;$G99*(1-'Feuille de Donnée'!$E$27),'Feuille de Donnée'!$F$33,'Feuille de Donnée'!$F$31)))))</f>
        <v/>
      </c>
      <c r="AR99" s="138"/>
      <c r="AS99" s="103"/>
      <c r="AT99" s="27"/>
      <c r="AU99" s="27"/>
      <c r="AV99" s="27" t="str">
        <f t="shared" si="51"/>
        <v/>
      </c>
      <c r="AW99" s="121" t="str">
        <f t="shared" si="52"/>
        <v/>
      </c>
      <c r="AX99" s="121" t="str">
        <f t="shared" si="53"/>
        <v/>
      </c>
      <c r="AY99" s="27" t="str">
        <f>IF(AND(ISBLANK(BA99),AZ99=""),"",1+MAX(AY$21:AY98))</f>
        <v/>
      </c>
      <c r="AZ99" s="137" t="str">
        <f>IF(OR(AV99="",AV99=0,$H99="",$H99=0,NOT(ISNUMBER($H99)),NOT(ISNUMBER(AV99))),IF(AND($E99&lt;&gt;"",AND(OR(ISNUMBER(AV99),AV99=""),AND(ISNUMBER($H99),$H99&gt;0))),'Feuille de Donnée'!$K$13,""),IF(AV99&lt;$H$168*'Feuille de Donnée'!$I$9,"Négligeable",(IF(AND(AT99&gt;=$F99*(1-'Feuille de Donnée'!$E$12),AT99&lt;=$F99*(1+'Feuille de Donnée'!$F$12)),'Feuille de Donnée'!$F$17,IF(AT99&lt;$F99*(1-'Feuille de Donnée'!$E$12),'Feuille de Donnée'!$F$18,'Feuille de Donnée'!$F$16))&amp;""&amp;IF(AND(AU99&gt;=$G99*(1-'Feuille de Donnée'!$E$27),AU99&lt;=$G99*(1+'Feuille de Donnée'!$F$27)),'Feuille de Donnée'!$F$32,IF(AU99&lt;$G99*(1-'Feuille de Donnée'!$E$27),'Feuille de Donnée'!$F$33,'Feuille de Donnée'!$F$31)))))</f>
        <v/>
      </c>
      <c r="BA99" s="138"/>
      <c r="BB99" s="103"/>
      <c r="BC99" s="27"/>
      <c r="BD99" s="27"/>
      <c r="BE99" s="27" t="str">
        <f t="shared" si="54"/>
        <v/>
      </c>
      <c r="BF99" s="121" t="str">
        <f t="shared" si="55"/>
        <v/>
      </c>
      <c r="BG99" s="121" t="str">
        <f t="shared" si="56"/>
        <v/>
      </c>
      <c r="BH99" s="27" t="str">
        <f>IF(AND(ISBLANK(BJ99),BI99=""),"",1+MAX(BH$21:BH98))</f>
        <v/>
      </c>
      <c r="BI99" s="137" t="str">
        <f>IF(OR(BE99="",BE99=0,$H99="",$H99=0,NOT(ISNUMBER($H99)),NOT(ISNUMBER(BE99))),IF(AND($E99&lt;&gt;"",AND(OR(ISNUMBER(BE99),BE99=""),AND(ISNUMBER($H99),$H99&gt;0))),'Feuille de Donnée'!$K$13,""),IF(BE99&lt;$H$168*'Feuille de Donnée'!$I$9,"Négligeable",(IF(AND(BC99&gt;=$F99*(1-'Feuille de Donnée'!$E$12),BC99&lt;=$F99*(1+'Feuille de Donnée'!$F$12)),'Feuille de Donnée'!$F$17,IF(BC99&lt;$F99*(1-'Feuille de Donnée'!$E$12),'Feuille de Donnée'!$F$18,'Feuille de Donnée'!$F$16))&amp;""&amp;IF(AND(BD99&gt;=$G99*(1-'Feuille de Donnée'!$E$27),BD99&lt;=$G99*(1+'Feuille de Donnée'!$F$27)),'Feuille de Donnée'!$F$32,IF(BD99&lt;$G99*(1-'Feuille de Donnée'!$E$27),'Feuille de Donnée'!$F$33,'Feuille de Donnée'!$F$31)))))</f>
        <v/>
      </c>
      <c r="BJ99" s="138"/>
      <c r="BK99" s="140"/>
    </row>
    <row r="100" spans="1:63" s="6" customFormat="1" x14ac:dyDescent="0.3">
      <c r="A100" s="23"/>
      <c r="B100" s="24"/>
      <c r="C100" s="24"/>
      <c r="D100" s="24"/>
      <c r="E100" s="22"/>
      <c r="F100" s="25"/>
      <c r="G100" s="26"/>
      <c r="H100" s="102" t="str">
        <f t="shared" si="38"/>
        <v/>
      </c>
      <c r="I100" s="103"/>
      <c r="J100" s="27"/>
      <c r="K100" s="27"/>
      <c r="L100" s="27" t="str">
        <f t="shared" si="39"/>
        <v/>
      </c>
      <c r="M100" s="121" t="str">
        <f t="shared" si="40"/>
        <v/>
      </c>
      <c r="N100" s="121" t="str">
        <f t="shared" si="41"/>
        <v/>
      </c>
      <c r="O100" s="27" t="str">
        <f>IF(AND(ISBLANK(Q100),P100=""),"",1+MAX(O$21:O99))</f>
        <v/>
      </c>
      <c r="P100" s="137" t="str">
        <f>IF(OR(L100="",L100=0,$H100="",$H100=0,NOT(ISNUMBER($H100)),NOT(ISNUMBER(L100))),IF(AND($E100&lt;&gt;"",AND(OR(ISNUMBER(L100),L100=""),AND(ISNUMBER($H100),$H100&gt;0))),'Feuille de Donnée'!$K$13,""),IF(L100&lt;$H$168*'Feuille de Donnée'!$I$9,"Négligeable",(IF(AND(J100&gt;=$F100*(1-'Feuille de Donnée'!$E$12),J100&lt;=$F100*(1+'Feuille de Donnée'!$F$12)),'Feuille de Donnée'!$F$17,IF(J100&lt;$F100*(1-'Feuille de Donnée'!$E$12),'Feuille de Donnée'!$F$18,'Feuille de Donnée'!$F$16))&amp;""&amp;IF(AND(K100&gt;=$G100*(1-'Feuille de Donnée'!$E$27),K100&lt;=$G100*(1+'Feuille de Donnée'!$F$27)),'Feuille de Donnée'!$F$32,IF(K100&lt;$G100*(1-'Feuille de Donnée'!$E$27),'Feuille de Donnée'!$F$33,'Feuille de Donnée'!$F$31)))))</f>
        <v/>
      </c>
      <c r="Q100" s="138"/>
      <c r="R100" s="103"/>
      <c r="S100" s="27"/>
      <c r="T100" s="27"/>
      <c r="U100" s="27" t="str">
        <f t="shared" si="42"/>
        <v/>
      </c>
      <c r="V100" s="121" t="str">
        <f t="shared" si="43"/>
        <v/>
      </c>
      <c r="W100" s="121" t="str">
        <f t="shared" si="44"/>
        <v/>
      </c>
      <c r="X100" s="27" t="str">
        <f>IF(AND(ISBLANK(Z100),Y100=""),"",1+MAX(X$21:X99))</f>
        <v/>
      </c>
      <c r="Y100" s="137" t="str">
        <f>IF(OR(U100="",U100=0,$H100="",$H100=0,NOT(ISNUMBER($H100)),NOT(ISNUMBER(U100))),IF(AND($E100&lt;&gt;"",AND(OR(ISNUMBER(U100),U100=""),AND(ISNUMBER($H100),$H100&gt;0))),'Feuille de Donnée'!$K$13,""),IF(U100&lt;$H$168*'Feuille de Donnée'!$I$9,"Négligeable",(IF(AND(S100&gt;=$F100*(1-'Feuille de Donnée'!$E$12),S100&lt;=$F100*(1+'Feuille de Donnée'!$F$12)),'Feuille de Donnée'!$F$17,IF(S100&lt;$F100*(1-'Feuille de Donnée'!$E$12),'Feuille de Donnée'!$F$18,'Feuille de Donnée'!$F$16))&amp;""&amp;IF(AND(T100&gt;=$G100*(1-'Feuille de Donnée'!$E$27),T100&lt;=$G100*(1+'Feuille de Donnée'!$F$27)),'Feuille de Donnée'!$F$32,IF(T100&lt;$G100*(1-'Feuille de Donnée'!$E$27),'Feuille de Donnée'!$F$33,'Feuille de Donnée'!$F$31)))))</f>
        <v/>
      </c>
      <c r="Z100" s="138"/>
      <c r="AA100" s="103"/>
      <c r="AB100" s="27"/>
      <c r="AC100" s="27"/>
      <c r="AD100" s="27" t="str">
        <f t="shared" si="45"/>
        <v/>
      </c>
      <c r="AE100" s="121" t="str">
        <f t="shared" si="46"/>
        <v/>
      </c>
      <c r="AF100" s="121" t="str">
        <f t="shared" si="47"/>
        <v/>
      </c>
      <c r="AG100" s="27" t="str">
        <f>IF(AND(ISBLANK(AI100),AH100=""),"",1+MAX(AG$21:AG99))</f>
        <v/>
      </c>
      <c r="AH100" s="137" t="str">
        <f>IF(OR(AD100="",AD100=0,$H100="",$H100=0,NOT(ISNUMBER($H100)),NOT(ISNUMBER(AD100))),IF(AND($E100&lt;&gt;"",AND(OR(ISNUMBER(AD100),AD100=""),AND(ISNUMBER($H100),$H100&gt;0))),'Feuille de Donnée'!$K$13,""),IF(AD100&lt;$H$168*'Feuille de Donnée'!$I$9,"Négligeable",(IF(AND(AB100&gt;=$F100*(1-'Feuille de Donnée'!$E$12),AB100&lt;=$F100*(1+'Feuille de Donnée'!$F$12)),'Feuille de Donnée'!$F$17,IF(AB100&lt;$F100*(1-'Feuille de Donnée'!$E$12),'Feuille de Donnée'!$F$18,'Feuille de Donnée'!$F$16))&amp;""&amp;IF(AND(AC100&gt;=$G100*(1-'Feuille de Donnée'!$E$27),AC100&lt;=$G100*(1+'Feuille de Donnée'!$F$27)),'Feuille de Donnée'!$F$32,IF(AC100&lt;$G100*(1-'Feuille de Donnée'!$E$27),'Feuille de Donnée'!$F$33,'Feuille de Donnée'!$F$31)))))</f>
        <v/>
      </c>
      <c r="AI100" s="138"/>
      <c r="AJ100" s="103"/>
      <c r="AK100" s="27"/>
      <c r="AL100" s="27"/>
      <c r="AM100" s="27" t="str">
        <f t="shared" si="48"/>
        <v/>
      </c>
      <c r="AN100" s="121" t="str">
        <f t="shared" si="49"/>
        <v/>
      </c>
      <c r="AO100" s="121" t="str">
        <f t="shared" si="50"/>
        <v/>
      </c>
      <c r="AP100" s="27" t="str">
        <f>IF(AND(ISBLANK(AR100),AQ100=""),"",1+MAX(AP$21:AP99))</f>
        <v/>
      </c>
      <c r="AQ100" s="137" t="str">
        <f>IF(OR(AM100="",AM100=0,$H100="",$H100=0,NOT(ISNUMBER($H100)),NOT(ISNUMBER(AM100))),IF(AND($E100&lt;&gt;"",AND(OR(ISNUMBER(AM100),AM100=""),AND(ISNUMBER($H100),$H100&gt;0))),'Feuille de Donnée'!$K$13,""),IF(AM100&lt;$H$168*'Feuille de Donnée'!$I$9,"Négligeable",(IF(AND(AK100&gt;=$F100*(1-'Feuille de Donnée'!$E$12),AK100&lt;=$F100*(1+'Feuille de Donnée'!$F$12)),'Feuille de Donnée'!$F$17,IF(AK100&lt;$F100*(1-'Feuille de Donnée'!$E$12),'Feuille de Donnée'!$F$18,'Feuille de Donnée'!$F$16))&amp;""&amp;IF(AND(AL100&gt;=$G100*(1-'Feuille de Donnée'!$E$27),AL100&lt;=$G100*(1+'Feuille de Donnée'!$F$27)),'Feuille de Donnée'!$F$32,IF(AL100&lt;$G100*(1-'Feuille de Donnée'!$E$27),'Feuille de Donnée'!$F$33,'Feuille de Donnée'!$F$31)))))</f>
        <v/>
      </c>
      <c r="AR100" s="138"/>
      <c r="AS100" s="103"/>
      <c r="AT100" s="27"/>
      <c r="AU100" s="27"/>
      <c r="AV100" s="27" t="str">
        <f t="shared" si="51"/>
        <v/>
      </c>
      <c r="AW100" s="121" t="str">
        <f t="shared" si="52"/>
        <v/>
      </c>
      <c r="AX100" s="121" t="str">
        <f t="shared" si="53"/>
        <v/>
      </c>
      <c r="AY100" s="27" t="str">
        <f>IF(AND(ISBLANK(BA100),AZ100=""),"",1+MAX(AY$21:AY99))</f>
        <v/>
      </c>
      <c r="AZ100" s="137" t="str">
        <f>IF(OR(AV100="",AV100=0,$H100="",$H100=0,NOT(ISNUMBER($H100)),NOT(ISNUMBER(AV100))),IF(AND($E100&lt;&gt;"",AND(OR(ISNUMBER(AV100),AV100=""),AND(ISNUMBER($H100),$H100&gt;0))),'Feuille de Donnée'!$K$13,""),IF(AV100&lt;$H$168*'Feuille de Donnée'!$I$9,"Négligeable",(IF(AND(AT100&gt;=$F100*(1-'Feuille de Donnée'!$E$12),AT100&lt;=$F100*(1+'Feuille de Donnée'!$F$12)),'Feuille de Donnée'!$F$17,IF(AT100&lt;$F100*(1-'Feuille de Donnée'!$E$12),'Feuille de Donnée'!$F$18,'Feuille de Donnée'!$F$16))&amp;""&amp;IF(AND(AU100&gt;=$G100*(1-'Feuille de Donnée'!$E$27),AU100&lt;=$G100*(1+'Feuille de Donnée'!$F$27)),'Feuille de Donnée'!$F$32,IF(AU100&lt;$G100*(1-'Feuille de Donnée'!$E$27),'Feuille de Donnée'!$F$33,'Feuille de Donnée'!$F$31)))))</f>
        <v/>
      </c>
      <c r="BA100" s="138"/>
      <c r="BB100" s="103"/>
      <c r="BC100" s="27"/>
      <c r="BD100" s="27"/>
      <c r="BE100" s="27" t="str">
        <f t="shared" si="54"/>
        <v/>
      </c>
      <c r="BF100" s="121" t="str">
        <f t="shared" si="55"/>
        <v/>
      </c>
      <c r="BG100" s="121" t="str">
        <f t="shared" si="56"/>
        <v/>
      </c>
      <c r="BH100" s="27" t="str">
        <f>IF(AND(ISBLANK(BJ100),BI100=""),"",1+MAX(BH$21:BH99))</f>
        <v/>
      </c>
      <c r="BI100" s="137" t="str">
        <f>IF(OR(BE100="",BE100=0,$H100="",$H100=0,NOT(ISNUMBER($H100)),NOT(ISNUMBER(BE100))),IF(AND($E100&lt;&gt;"",AND(OR(ISNUMBER(BE100),BE100=""),AND(ISNUMBER($H100),$H100&gt;0))),'Feuille de Donnée'!$K$13,""),IF(BE100&lt;$H$168*'Feuille de Donnée'!$I$9,"Négligeable",(IF(AND(BC100&gt;=$F100*(1-'Feuille de Donnée'!$E$12),BC100&lt;=$F100*(1+'Feuille de Donnée'!$F$12)),'Feuille de Donnée'!$F$17,IF(BC100&lt;$F100*(1-'Feuille de Donnée'!$E$12),'Feuille de Donnée'!$F$18,'Feuille de Donnée'!$F$16))&amp;""&amp;IF(AND(BD100&gt;=$G100*(1-'Feuille de Donnée'!$E$27),BD100&lt;=$G100*(1+'Feuille de Donnée'!$F$27)),'Feuille de Donnée'!$F$32,IF(BD100&lt;$G100*(1-'Feuille de Donnée'!$E$27),'Feuille de Donnée'!$F$33,'Feuille de Donnée'!$F$31)))))</f>
        <v/>
      </c>
      <c r="BJ100" s="138"/>
      <c r="BK100" s="140"/>
    </row>
    <row r="101" spans="1:63" s="6" customFormat="1" x14ac:dyDescent="0.3">
      <c r="A101" s="23"/>
      <c r="B101" s="24"/>
      <c r="C101" s="24"/>
      <c r="D101" s="24"/>
      <c r="E101" s="22"/>
      <c r="F101" s="25"/>
      <c r="G101" s="26"/>
      <c r="H101" s="102" t="str">
        <f t="shared" si="38"/>
        <v/>
      </c>
      <c r="I101" s="103"/>
      <c r="J101" s="27"/>
      <c r="K101" s="27"/>
      <c r="L101" s="27" t="str">
        <f t="shared" si="39"/>
        <v/>
      </c>
      <c r="M101" s="121" t="str">
        <f t="shared" si="40"/>
        <v/>
      </c>
      <c r="N101" s="121" t="str">
        <f t="shared" si="41"/>
        <v/>
      </c>
      <c r="O101" s="27" t="str">
        <f>IF(AND(ISBLANK(Q101),P101=""),"",1+MAX(O$21:O100))</f>
        <v/>
      </c>
      <c r="P101" s="137" t="str">
        <f>IF(OR(L101="",L101=0,$H101="",$H101=0,NOT(ISNUMBER($H101)),NOT(ISNUMBER(L101))),IF(AND($E101&lt;&gt;"",AND(OR(ISNUMBER(L101),L101=""),AND(ISNUMBER($H101),$H101&gt;0))),'Feuille de Donnée'!$K$13,""),IF(L101&lt;$H$168*'Feuille de Donnée'!$I$9,"Négligeable",(IF(AND(J101&gt;=$F101*(1-'Feuille de Donnée'!$E$12),J101&lt;=$F101*(1+'Feuille de Donnée'!$F$12)),'Feuille de Donnée'!$F$17,IF(J101&lt;$F101*(1-'Feuille de Donnée'!$E$12),'Feuille de Donnée'!$F$18,'Feuille de Donnée'!$F$16))&amp;""&amp;IF(AND(K101&gt;=$G101*(1-'Feuille de Donnée'!$E$27),K101&lt;=$G101*(1+'Feuille de Donnée'!$F$27)),'Feuille de Donnée'!$F$32,IF(K101&lt;$G101*(1-'Feuille de Donnée'!$E$27),'Feuille de Donnée'!$F$33,'Feuille de Donnée'!$F$31)))))</f>
        <v/>
      </c>
      <c r="Q101" s="138"/>
      <c r="R101" s="103"/>
      <c r="S101" s="27"/>
      <c r="T101" s="27"/>
      <c r="U101" s="27" t="str">
        <f t="shared" si="42"/>
        <v/>
      </c>
      <c r="V101" s="121" t="str">
        <f t="shared" si="43"/>
        <v/>
      </c>
      <c r="W101" s="121" t="str">
        <f t="shared" si="44"/>
        <v/>
      </c>
      <c r="X101" s="27" t="str">
        <f>IF(AND(ISBLANK(Z101),Y101=""),"",1+MAX(X$21:X100))</f>
        <v/>
      </c>
      <c r="Y101" s="137" t="str">
        <f>IF(OR(U101="",U101=0,$H101="",$H101=0,NOT(ISNUMBER($H101)),NOT(ISNUMBER(U101))),IF(AND($E101&lt;&gt;"",AND(OR(ISNUMBER(U101),U101=""),AND(ISNUMBER($H101),$H101&gt;0))),'Feuille de Donnée'!$K$13,""),IF(U101&lt;$H$168*'Feuille de Donnée'!$I$9,"Négligeable",(IF(AND(S101&gt;=$F101*(1-'Feuille de Donnée'!$E$12),S101&lt;=$F101*(1+'Feuille de Donnée'!$F$12)),'Feuille de Donnée'!$F$17,IF(S101&lt;$F101*(1-'Feuille de Donnée'!$E$12),'Feuille de Donnée'!$F$18,'Feuille de Donnée'!$F$16))&amp;""&amp;IF(AND(T101&gt;=$G101*(1-'Feuille de Donnée'!$E$27),T101&lt;=$G101*(1+'Feuille de Donnée'!$F$27)),'Feuille de Donnée'!$F$32,IF(T101&lt;$G101*(1-'Feuille de Donnée'!$E$27),'Feuille de Donnée'!$F$33,'Feuille de Donnée'!$F$31)))))</f>
        <v/>
      </c>
      <c r="Z101" s="138"/>
      <c r="AA101" s="103"/>
      <c r="AB101" s="27"/>
      <c r="AC101" s="27"/>
      <c r="AD101" s="27" t="str">
        <f t="shared" si="45"/>
        <v/>
      </c>
      <c r="AE101" s="121" t="str">
        <f t="shared" si="46"/>
        <v/>
      </c>
      <c r="AF101" s="121" t="str">
        <f t="shared" si="47"/>
        <v/>
      </c>
      <c r="AG101" s="27" t="str">
        <f>IF(AND(ISBLANK(AI101),AH101=""),"",1+MAX(AG$21:AG100))</f>
        <v/>
      </c>
      <c r="AH101" s="137" t="str">
        <f>IF(OR(AD101="",AD101=0,$H101="",$H101=0,NOT(ISNUMBER($H101)),NOT(ISNUMBER(AD101))),IF(AND($E101&lt;&gt;"",AND(OR(ISNUMBER(AD101),AD101=""),AND(ISNUMBER($H101),$H101&gt;0))),'Feuille de Donnée'!$K$13,""),IF(AD101&lt;$H$168*'Feuille de Donnée'!$I$9,"Négligeable",(IF(AND(AB101&gt;=$F101*(1-'Feuille de Donnée'!$E$12),AB101&lt;=$F101*(1+'Feuille de Donnée'!$F$12)),'Feuille de Donnée'!$F$17,IF(AB101&lt;$F101*(1-'Feuille de Donnée'!$E$12),'Feuille de Donnée'!$F$18,'Feuille de Donnée'!$F$16))&amp;""&amp;IF(AND(AC101&gt;=$G101*(1-'Feuille de Donnée'!$E$27),AC101&lt;=$G101*(1+'Feuille de Donnée'!$F$27)),'Feuille de Donnée'!$F$32,IF(AC101&lt;$G101*(1-'Feuille de Donnée'!$E$27),'Feuille de Donnée'!$F$33,'Feuille de Donnée'!$F$31)))))</f>
        <v/>
      </c>
      <c r="AI101" s="138"/>
      <c r="AJ101" s="103"/>
      <c r="AK101" s="27"/>
      <c r="AL101" s="27"/>
      <c r="AM101" s="27" t="str">
        <f t="shared" si="48"/>
        <v/>
      </c>
      <c r="AN101" s="121" t="str">
        <f t="shared" si="49"/>
        <v/>
      </c>
      <c r="AO101" s="121" t="str">
        <f t="shared" si="50"/>
        <v/>
      </c>
      <c r="AP101" s="27" t="str">
        <f>IF(AND(ISBLANK(AR101),AQ101=""),"",1+MAX(AP$21:AP100))</f>
        <v/>
      </c>
      <c r="AQ101" s="137" t="str">
        <f>IF(OR(AM101="",AM101=0,$H101="",$H101=0,NOT(ISNUMBER($H101)),NOT(ISNUMBER(AM101))),IF(AND($E101&lt;&gt;"",AND(OR(ISNUMBER(AM101),AM101=""),AND(ISNUMBER($H101),$H101&gt;0))),'Feuille de Donnée'!$K$13,""),IF(AM101&lt;$H$168*'Feuille de Donnée'!$I$9,"Négligeable",(IF(AND(AK101&gt;=$F101*(1-'Feuille de Donnée'!$E$12),AK101&lt;=$F101*(1+'Feuille de Donnée'!$F$12)),'Feuille de Donnée'!$F$17,IF(AK101&lt;$F101*(1-'Feuille de Donnée'!$E$12),'Feuille de Donnée'!$F$18,'Feuille de Donnée'!$F$16))&amp;""&amp;IF(AND(AL101&gt;=$G101*(1-'Feuille de Donnée'!$E$27),AL101&lt;=$G101*(1+'Feuille de Donnée'!$F$27)),'Feuille de Donnée'!$F$32,IF(AL101&lt;$G101*(1-'Feuille de Donnée'!$E$27),'Feuille de Donnée'!$F$33,'Feuille de Donnée'!$F$31)))))</f>
        <v/>
      </c>
      <c r="AR101" s="138"/>
      <c r="AS101" s="103"/>
      <c r="AT101" s="27"/>
      <c r="AU101" s="27"/>
      <c r="AV101" s="27" t="str">
        <f t="shared" si="51"/>
        <v/>
      </c>
      <c r="AW101" s="121" t="str">
        <f t="shared" si="52"/>
        <v/>
      </c>
      <c r="AX101" s="121" t="str">
        <f t="shared" si="53"/>
        <v/>
      </c>
      <c r="AY101" s="27" t="str">
        <f>IF(AND(ISBLANK(BA101),AZ101=""),"",1+MAX(AY$21:AY100))</f>
        <v/>
      </c>
      <c r="AZ101" s="137" t="str">
        <f>IF(OR(AV101="",AV101=0,$H101="",$H101=0,NOT(ISNUMBER($H101)),NOT(ISNUMBER(AV101))),IF(AND($E101&lt;&gt;"",AND(OR(ISNUMBER(AV101),AV101=""),AND(ISNUMBER($H101),$H101&gt;0))),'Feuille de Donnée'!$K$13,""),IF(AV101&lt;$H$168*'Feuille de Donnée'!$I$9,"Négligeable",(IF(AND(AT101&gt;=$F101*(1-'Feuille de Donnée'!$E$12),AT101&lt;=$F101*(1+'Feuille de Donnée'!$F$12)),'Feuille de Donnée'!$F$17,IF(AT101&lt;$F101*(1-'Feuille de Donnée'!$E$12),'Feuille de Donnée'!$F$18,'Feuille de Donnée'!$F$16))&amp;""&amp;IF(AND(AU101&gt;=$G101*(1-'Feuille de Donnée'!$E$27),AU101&lt;=$G101*(1+'Feuille de Donnée'!$F$27)),'Feuille de Donnée'!$F$32,IF(AU101&lt;$G101*(1-'Feuille de Donnée'!$E$27),'Feuille de Donnée'!$F$33,'Feuille de Donnée'!$F$31)))))</f>
        <v/>
      </c>
      <c r="BA101" s="138"/>
      <c r="BB101" s="103"/>
      <c r="BC101" s="27"/>
      <c r="BD101" s="27"/>
      <c r="BE101" s="27" t="str">
        <f t="shared" si="54"/>
        <v/>
      </c>
      <c r="BF101" s="121" t="str">
        <f t="shared" si="55"/>
        <v/>
      </c>
      <c r="BG101" s="121" t="str">
        <f t="shared" si="56"/>
        <v/>
      </c>
      <c r="BH101" s="27" t="str">
        <f>IF(AND(ISBLANK(BJ101),BI101=""),"",1+MAX(BH$21:BH100))</f>
        <v/>
      </c>
      <c r="BI101" s="137" t="str">
        <f>IF(OR(BE101="",BE101=0,$H101="",$H101=0,NOT(ISNUMBER($H101)),NOT(ISNUMBER(BE101))),IF(AND($E101&lt;&gt;"",AND(OR(ISNUMBER(BE101),BE101=""),AND(ISNUMBER($H101),$H101&gt;0))),'Feuille de Donnée'!$K$13,""),IF(BE101&lt;$H$168*'Feuille de Donnée'!$I$9,"Négligeable",(IF(AND(BC101&gt;=$F101*(1-'Feuille de Donnée'!$E$12),BC101&lt;=$F101*(1+'Feuille de Donnée'!$F$12)),'Feuille de Donnée'!$F$17,IF(BC101&lt;$F101*(1-'Feuille de Donnée'!$E$12),'Feuille de Donnée'!$F$18,'Feuille de Donnée'!$F$16))&amp;""&amp;IF(AND(BD101&gt;=$G101*(1-'Feuille de Donnée'!$E$27),BD101&lt;=$G101*(1+'Feuille de Donnée'!$F$27)),'Feuille de Donnée'!$F$32,IF(BD101&lt;$G101*(1-'Feuille de Donnée'!$E$27),'Feuille de Donnée'!$F$33,'Feuille de Donnée'!$F$31)))))</f>
        <v/>
      </c>
      <c r="BJ101" s="138"/>
      <c r="BK101" s="140"/>
    </row>
    <row r="102" spans="1:63" s="6" customFormat="1" x14ac:dyDescent="0.3">
      <c r="A102" s="23"/>
      <c r="B102" s="24"/>
      <c r="C102" s="24"/>
      <c r="D102" s="24"/>
      <c r="E102" s="22"/>
      <c r="F102" s="25"/>
      <c r="G102" s="26"/>
      <c r="H102" s="102" t="str">
        <f t="shared" si="38"/>
        <v/>
      </c>
      <c r="I102" s="103"/>
      <c r="J102" s="27"/>
      <c r="K102" s="27"/>
      <c r="L102" s="27" t="str">
        <f t="shared" si="39"/>
        <v/>
      </c>
      <c r="M102" s="121" t="str">
        <f t="shared" si="40"/>
        <v/>
      </c>
      <c r="N102" s="121" t="str">
        <f t="shared" si="41"/>
        <v/>
      </c>
      <c r="O102" s="27" t="str">
        <f>IF(AND(ISBLANK(Q102),P102=""),"",1+MAX(O$21:O101))</f>
        <v/>
      </c>
      <c r="P102" s="137" t="str">
        <f>IF(OR(L102="",L102=0,$H102="",$H102=0,NOT(ISNUMBER($H102)),NOT(ISNUMBER(L102))),IF(AND($E102&lt;&gt;"",AND(OR(ISNUMBER(L102),L102=""),AND(ISNUMBER($H102),$H102&gt;0))),'Feuille de Donnée'!$K$13,""),IF(L102&lt;$H$168*'Feuille de Donnée'!$I$9,"Négligeable",(IF(AND(J102&gt;=$F102*(1-'Feuille de Donnée'!$E$12),J102&lt;=$F102*(1+'Feuille de Donnée'!$F$12)),'Feuille de Donnée'!$F$17,IF(J102&lt;$F102*(1-'Feuille de Donnée'!$E$12),'Feuille de Donnée'!$F$18,'Feuille de Donnée'!$F$16))&amp;""&amp;IF(AND(K102&gt;=$G102*(1-'Feuille de Donnée'!$E$27),K102&lt;=$G102*(1+'Feuille de Donnée'!$F$27)),'Feuille de Donnée'!$F$32,IF(K102&lt;$G102*(1-'Feuille de Donnée'!$E$27),'Feuille de Donnée'!$F$33,'Feuille de Donnée'!$F$31)))))</f>
        <v/>
      </c>
      <c r="Q102" s="138"/>
      <c r="R102" s="103"/>
      <c r="S102" s="27"/>
      <c r="T102" s="27"/>
      <c r="U102" s="27" t="str">
        <f t="shared" si="42"/>
        <v/>
      </c>
      <c r="V102" s="121" t="str">
        <f t="shared" si="43"/>
        <v/>
      </c>
      <c r="W102" s="121" t="str">
        <f t="shared" si="44"/>
        <v/>
      </c>
      <c r="X102" s="27" t="str">
        <f>IF(AND(ISBLANK(Z102),Y102=""),"",1+MAX(X$21:X101))</f>
        <v/>
      </c>
      <c r="Y102" s="137" t="str">
        <f>IF(OR(U102="",U102=0,$H102="",$H102=0,NOT(ISNUMBER($H102)),NOT(ISNUMBER(U102))),IF(AND($E102&lt;&gt;"",AND(OR(ISNUMBER(U102),U102=""),AND(ISNUMBER($H102),$H102&gt;0))),'Feuille de Donnée'!$K$13,""),IF(U102&lt;$H$168*'Feuille de Donnée'!$I$9,"Négligeable",(IF(AND(S102&gt;=$F102*(1-'Feuille de Donnée'!$E$12),S102&lt;=$F102*(1+'Feuille de Donnée'!$F$12)),'Feuille de Donnée'!$F$17,IF(S102&lt;$F102*(1-'Feuille de Donnée'!$E$12),'Feuille de Donnée'!$F$18,'Feuille de Donnée'!$F$16))&amp;""&amp;IF(AND(T102&gt;=$G102*(1-'Feuille de Donnée'!$E$27),T102&lt;=$G102*(1+'Feuille de Donnée'!$F$27)),'Feuille de Donnée'!$F$32,IF(T102&lt;$G102*(1-'Feuille de Donnée'!$E$27),'Feuille de Donnée'!$F$33,'Feuille de Donnée'!$F$31)))))</f>
        <v/>
      </c>
      <c r="Z102" s="138"/>
      <c r="AA102" s="103"/>
      <c r="AB102" s="27"/>
      <c r="AC102" s="27"/>
      <c r="AD102" s="27" t="str">
        <f t="shared" si="45"/>
        <v/>
      </c>
      <c r="AE102" s="121" t="str">
        <f t="shared" si="46"/>
        <v/>
      </c>
      <c r="AF102" s="121" t="str">
        <f t="shared" si="47"/>
        <v/>
      </c>
      <c r="AG102" s="27" t="str">
        <f>IF(AND(ISBLANK(AI102),AH102=""),"",1+MAX(AG$21:AG101))</f>
        <v/>
      </c>
      <c r="AH102" s="137" t="str">
        <f>IF(OR(AD102="",AD102=0,$H102="",$H102=0,NOT(ISNUMBER($H102)),NOT(ISNUMBER(AD102))),IF(AND($E102&lt;&gt;"",AND(OR(ISNUMBER(AD102),AD102=""),AND(ISNUMBER($H102),$H102&gt;0))),'Feuille de Donnée'!$K$13,""),IF(AD102&lt;$H$168*'Feuille de Donnée'!$I$9,"Négligeable",(IF(AND(AB102&gt;=$F102*(1-'Feuille de Donnée'!$E$12),AB102&lt;=$F102*(1+'Feuille de Donnée'!$F$12)),'Feuille de Donnée'!$F$17,IF(AB102&lt;$F102*(1-'Feuille de Donnée'!$E$12),'Feuille de Donnée'!$F$18,'Feuille de Donnée'!$F$16))&amp;""&amp;IF(AND(AC102&gt;=$G102*(1-'Feuille de Donnée'!$E$27),AC102&lt;=$G102*(1+'Feuille de Donnée'!$F$27)),'Feuille de Donnée'!$F$32,IF(AC102&lt;$G102*(1-'Feuille de Donnée'!$E$27),'Feuille de Donnée'!$F$33,'Feuille de Donnée'!$F$31)))))</f>
        <v/>
      </c>
      <c r="AI102" s="138"/>
      <c r="AJ102" s="103"/>
      <c r="AK102" s="27"/>
      <c r="AL102" s="27"/>
      <c r="AM102" s="27" t="str">
        <f t="shared" si="48"/>
        <v/>
      </c>
      <c r="AN102" s="121" t="str">
        <f t="shared" si="49"/>
        <v/>
      </c>
      <c r="AO102" s="121" t="str">
        <f t="shared" si="50"/>
        <v/>
      </c>
      <c r="AP102" s="27" t="str">
        <f>IF(AND(ISBLANK(AR102),AQ102=""),"",1+MAX(AP$21:AP101))</f>
        <v/>
      </c>
      <c r="AQ102" s="137" t="str">
        <f>IF(OR(AM102="",AM102=0,$H102="",$H102=0,NOT(ISNUMBER($H102)),NOT(ISNUMBER(AM102))),IF(AND($E102&lt;&gt;"",AND(OR(ISNUMBER(AM102),AM102=""),AND(ISNUMBER($H102),$H102&gt;0))),'Feuille de Donnée'!$K$13,""),IF(AM102&lt;$H$168*'Feuille de Donnée'!$I$9,"Négligeable",(IF(AND(AK102&gt;=$F102*(1-'Feuille de Donnée'!$E$12),AK102&lt;=$F102*(1+'Feuille de Donnée'!$F$12)),'Feuille de Donnée'!$F$17,IF(AK102&lt;$F102*(1-'Feuille de Donnée'!$E$12),'Feuille de Donnée'!$F$18,'Feuille de Donnée'!$F$16))&amp;""&amp;IF(AND(AL102&gt;=$G102*(1-'Feuille de Donnée'!$E$27),AL102&lt;=$G102*(1+'Feuille de Donnée'!$F$27)),'Feuille de Donnée'!$F$32,IF(AL102&lt;$G102*(1-'Feuille de Donnée'!$E$27),'Feuille de Donnée'!$F$33,'Feuille de Donnée'!$F$31)))))</f>
        <v/>
      </c>
      <c r="AR102" s="138"/>
      <c r="AS102" s="103"/>
      <c r="AT102" s="27"/>
      <c r="AU102" s="27"/>
      <c r="AV102" s="27" t="str">
        <f t="shared" si="51"/>
        <v/>
      </c>
      <c r="AW102" s="121" t="str">
        <f t="shared" si="52"/>
        <v/>
      </c>
      <c r="AX102" s="121" t="str">
        <f t="shared" si="53"/>
        <v/>
      </c>
      <c r="AY102" s="27" t="str">
        <f>IF(AND(ISBLANK(BA102),AZ102=""),"",1+MAX(AY$21:AY101))</f>
        <v/>
      </c>
      <c r="AZ102" s="137" t="str">
        <f>IF(OR(AV102="",AV102=0,$H102="",$H102=0,NOT(ISNUMBER($H102)),NOT(ISNUMBER(AV102))),IF(AND($E102&lt;&gt;"",AND(OR(ISNUMBER(AV102),AV102=""),AND(ISNUMBER($H102),$H102&gt;0))),'Feuille de Donnée'!$K$13,""),IF(AV102&lt;$H$168*'Feuille de Donnée'!$I$9,"Négligeable",(IF(AND(AT102&gt;=$F102*(1-'Feuille de Donnée'!$E$12),AT102&lt;=$F102*(1+'Feuille de Donnée'!$F$12)),'Feuille de Donnée'!$F$17,IF(AT102&lt;$F102*(1-'Feuille de Donnée'!$E$12),'Feuille de Donnée'!$F$18,'Feuille de Donnée'!$F$16))&amp;""&amp;IF(AND(AU102&gt;=$G102*(1-'Feuille de Donnée'!$E$27),AU102&lt;=$G102*(1+'Feuille de Donnée'!$F$27)),'Feuille de Donnée'!$F$32,IF(AU102&lt;$G102*(1-'Feuille de Donnée'!$E$27),'Feuille de Donnée'!$F$33,'Feuille de Donnée'!$F$31)))))</f>
        <v/>
      </c>
      <c r="BA102" s="138"/>
      <c r="BB102" s="103"/>
      <c r="BC102" s="27"/>
      <c r="BD102" s="27"/>
      <c r="BE102" s="27" t="str">
        <f t="shared" si="54"/>
        <v/>
      </c>
      <c r="BF102" s="121" t="str">
        <f t="shared" si="55"/>
        <v/>
      </c>
      <c r="BG102" s="121" t="str">
        <f t="shared" si="56"/>
        <v/>
      </c>
      <c r="BH102" s="27" t="str">
        <f>IF(AND(ISBLANK(BJ102),BI102=""),"",1+MAX(BH$21:BH101))</f>
        <v/>
      </c>
      <c r="BI102" s="137" t="str">
        <f>IF(OR(BE102="",BE102=0,$H102="",$H102=0,NOT(ISNUMBER($H102)),NOT(ISNUMBER(BE102))),IF(AND($E102&lt;&gt;"",AND(OR(ISNUMBER(BE102),BE102=""),AND(ISNUMBER($H102),$H102&gt;0))),'Feuille de Donnée'!$K$13,""),IF(BE102&lt;$H$168*'Feuille de Donnée'!$I$9,"Négligeable",(IF(AND(BC102&gt;=$F102*(1-'Feuille de Donnée'!$E$12),BC102&lt;=$F102*(1+'Feuille de Donnée'!$F$12)),'Feuille de Donnée'!$F$17,IF(BC102&lt;$F102*(1-'Feuille de Donnée'!$E$12),'Feuille de Donnée'!$F$18,'Feuille de Donnée'!$F$16))&amp;""&amp;IF(AND(BD102&gt;=$G102*(1-'Feuille de Donnée'!$E$27),BD102&lt;=$G102*(1+'Feuille de Donnée'!$F$27)),'Feuille de Donnée'!$F$32,IF(BD102&lt;$G102*(1-'Feuille de Donnée'!$E$27),'Feuille de Donnée'!$F$33,'Feuille de Donnée'!$F$31)))))</f>
        <v/>
      </c>
      <c r="BJ102" s="138"/>
      <c r="BK102" s="140"/>
    </row>
    <row r="103" spans="1:63" s="6" customFormat="1" x14ac:dyDescent="0.3">
      <c r="A103" s="23"/>
      <c r="B103" s="24"/>
      <c r="C103" s="24"/>
      <c r="D103" s="24"/>
      <c r="E103" s="22"/>
      <c r="F103" s="25"/>
      <c r="G103" s="26"/>
      <c r="H103" s="102" t="str">
        <f t="shared" si="38"/>
        <v/>
      </c>
      <c r="I103" s="103"/>
      <c r="J103" s="27"/>
      <c r="K103" s="27"/>
      <c r="L103" s="27" t="str">
        <f t="shared" si="39"/>
        <v/>
      </c>
      <c r="M103" s="121" t="str">
        <f t="shared" si="40"/>
        <v/>
      </c>
      <c r="N103" s="121" t="str">
        <f t="shared" si="41"/>
        <v/>
      </c>
      <c r="O103" s="27" t="str">
        <f>IF(AND(ISBLANK(Q103),P103=""),"",1+MAX(O$21:O102))</f>
        <v/>
      </c>
      <c r="P103" s="137" t="str">
        <f>IF(OR(L103="",L103=0,$H103="",$H103=0,NOT(ISNUMBER($H103)),NOT(ISNUMBER(L103))),IF(AND($E103&lt;&gt;"",AND(OR(ISNUMBER(L103),L103=""),AND(ISNUMBER($H103),$H103&gt;0))),'Feuille de Donnée'!$K$13,""),IF(L103&lt;$H$168*'Feuille de Donnée'!$I$9,"Négligeable",(IF(AND(J103&gt;=$F103*(1-'Feuille de Donnée'!$E$12),J103&lt;=$F103*(1+'Feuille de Donnée'!$F$12)),'Feuille de Donnée'!$F$17,IF(J103&lt;$F103*(1-'Feuille de Donnée'!$E$12),'Feuille de Donnée'!$F$18,'Feuille de Donnée'!$F$16))&amp;""&amp;IF(AND(K103&gt;=$G103*(1-'Feuille de Donnée'!$E$27),K103&lt;=$G103*(1+'Feuille de Donnée'!$F$27)),'Feuille de Donnée'!$F$32,IF(K103&lt;$G103*(1-'Feuille de Donnée'!$E$27),'Feuille de Donnée'!$F$33,'Feuille de Donnée'!$F$31)))))</f>
        <v/>
      </c>
      <c r="Q103" s="138"/>
      <c r="R103" s="103"/>
      <c r="S103" s="27"/>
      <c r="T103" s="27"/>
      <c r="U103" s="27" t="str">
        <f t="shared" si="42"/>
        <v/>
      </c>
      <c r="V103" s="121" t="str">
        <f t="shared" si="43"/>
        <v/>
      </c>
      <c r="W103" s="121" t="str">
        <f t="shared" si="44"/>
        <v/>
      </c>
      <c r="X103" s="27" t="str">
        <f>IF(AND(ISBLANK(Z103),Y103=""),"",1+MAX(X$21:X102))</f>
        <v/>
      </c>
      <c r="Y103" s="137" t="str">
        <f>IF(OR(U103="",U103=0,$H103="",$H103=0,NOT(ISNUMBER($H103)),NOT(ISNUMBER(U103))),IF(AND($E103&lt;&gt;"",AND(OR(ISNUMBER(U103),U103=""),AND(ISNUMBER($H103),$H103&gt;0))),'Feuille de Donnée'!$K$13,""),IF(U103&lt;$H$168*'Feuille de Donnée'!$I$9,"Négligeable",(IF(AND(S103&gt;=$F103*(1-'Feuille de Donnée'!$E$12),S103&lt;=$F103*(1+'Feuille de Donnée'!$F$12)),'Feuille de Donnée'!$F$17,IF(S103&lt;$F103*(1-'Feuille de Donnée'!$E$12),'Feuille de Donnée'!$F$18,'Feuille de Donnée'!$F$16))&amp;""&amp;IF(AND(T103&gt;=$G103*(1-'Feuille de Donnée'!$E$27),T103&lt;=$G103*(1+'Feuille de Donnée'!$F$27)),'Feuille de Donnée'!$F$32,IF(T103&lt;$G103*(1-'Feuille de Donnée'!$E$27),'Feuille de Donnée'!$F$33,'Feuille de Donnée'!$F$31)))))</f>
        <v/>
      </c>
      <c r="Z103" s="138"/>
      <c r="AA103" s="103"/>
      <c r="AB103" s="27"/>
      <c r="AC103" s="27"/>
      <c r="AD103" s="27" t="str">
        <f t="shared" si="45"/>
        <v/>
      </c>
      <c r="AE103" s="121" t="str">
        <f t="shared" si="46"/>
        <v/>
      </c>
      <c r="AF103" s="121" t="str">
        <f t="shared" si="47"/>
        <v/>
      </c>
      <c r="AG103" s="27" t="str">
        <f>IF(AND(ISBLANK(AI103),AH103=""),"",1+MAX(AG$21:AG102))</f>
        <v/>
      </c>
      <c r="AH103" s="137" t="str">
        <f>IF(OR(AD103="",AD103=0,$H103="",$H103=0,NOT(ISNUMBER($H103)),NOT(ISNUMBER(AD103))),IF(AND($E103&lt;&gt;"",AND(OR(ISNUMBER(AD103),AD103=""),AND(ISNUMBER($H103),$H103&gt;0))),'Feuille de Donnée'!$K$13,""),IF(AD103&lt;$H$168*'Feuille de Donnée'!$I$9,"Négligeable",(IF(AND(AB103&gt;=$F103*(1-'Feuille de Donnée'!$E$12),AB103&lt;=$F103*(1+'Feuille de Donnée'!$F$12)),'Feuille de Donnée'!$F$17,IF(AB103&lt;$F103*(1-'Feuille de Donnée'!$E$12),'Feuille de Donnée'!$F$18,'Feuille de Donnée'!$F$16))&amp;""&amp;IF(AND(AC103&gt;=$G103*(1-'Feuille de Donnée'!$E$27),AC103&lt;=$G103*(1+'Feuille de Donnée'!$F$27)),'Feuille de Donnée'!$F$32,IF(AC103&lt;$G103*(1-'Feuille de Donnée'!$E$27),'Feuille de Donnée'!$F$33,'Feuille de Donnée'!$F$31)))))</f>
        <v/>
      </c>
      <c r="AI103" s="138"/>
      <c r="AJ103" s="103"/>
      <c r="AK103" s="27"/>
      <c r="AL103" s="27"/>
      <c r="AM103" s="27" t="str">
        <f t="shared" si="48"/>
        <v/>
      </c>
      <c r="AN103" s="121" t="str">
        <f t="shared" si="49"/>
        <v/>
      </c>
      <c r="AO103" s="121" t="str">
        <f t="shared" si="50"/>
        <v/>
      </c>
      <c r="AP103" s="27" t="str">
        <f>IF(AND(ISBLANK(AR103),AQ103=""),"",1+MAX(AP$21:AP102))</f>
        <v/>
      </c>
      <c r="AQ103" s="137" t="str">
        <f>IF(OR(AM103="",AM103=0,$H103="",$H103=0,NOT(ISNUMBER($H103)),NOT(ISNUMBER(AM103))),IF(AND($E103&lt;&gt;"",AND(OR(ISNUMBER(AM103),AM103=""),AND(ISNUMBER($H103),$H103&gt;0))),'Feuille de Donnée'!$K$13,""),IF(AM103&lt;$H$168*'Feuille de Donnée'!$I$9,"Négligeable",(IF(AND(AK103&gt;=$F103*(1-'Feuille de Donnée'!$E$12),AK103&lt;=$F103*(1+'Feuille de Donnée'!$F$12)),'Feuille de Donnée'!$F$17,IF(AK103&lt;$F103*(1-'Feuille de Donnée'!$E$12),'Feuille de Donnée'!$F$18,'Feuille de Donnée'!$F$16))&amp;""&amp;IF(AND(AL103&gt;=$G103*(1-'Feuille de Donnée'!$E$27),AL103&lt;=$G103*(1+'Feuille de Donnée'!$F$27)),'Feuille de Donnée'!$F$32,IF(AL103&lt;$G103*(1-'Feuille de Donnée'!$E$27),'Feuille de Donnée'!$F$33,'Feuille de Donnée'!$F$31)))))</f>
        <v/>
      </c>
      <c r="AR103" s="138"/>
      <c r="AS103" s="103"/>
      <c r="AT103" s="27"/>
      <c r="AU103" s="27"/>
      <c r="AV103" s="27" t="str">
        <f t="shared" si="51"/>
        <v/>
      </c>
      <c r="AW103" s="121" t="str">
        <f t="shared" si="52"/>
        <v/>
      </c>
      <c r="AX103" s="121" t="str">
        <f t="shared" si="53"/>
        <v/>
      </c>
      <c r="AY103" s="27" t="str">
        <f>IF(AND(ISBLANK(BA103),AZ103=""),"",1+MAX(AY$21:AY102))</f>
        <v/>
      </c>
      <c r="AZ103" s="137" t="str">
        <f>IF(OR(AV103="",AV103=0,$H103="",$H103=0,NOT(ISNUMBER($H103)),NOT(ISNUMBER(AV103))),IF(AND($E103&lt;&gt;"",AND(OR(ISNUMBER(AV103),AV103=""),AND(ISNUMBER($H103),$H103&gt;0))),'Feuille de Donnée'!$K$13,""),IF(AV103&lt;$H$168*'Feuille de Donnée'!$I$9,"Négligeable",(IF(AND(AT103&gt;=$F103*(1-'Feuille de Donnée'!$E$12),AT103&lt;=$F103*(1+'Feuille de Donnée'!$F$12)),'Feuille de Donnée'!$F$17,IF(AT103&lt;$F103*(1-'Feuille de Donnée'!$E$12),'Feuille de Donnée'!$F$18,'Feuille de Donnée'!$F$16))&amp;""&amp;IF(AND(AU103&gt;=$G103*(1-'Feuille de Donnée'!$E$27),AU103&lt;=$G103*(1+'Feuille de Donnée'!$F$27)),'Feuille de Donnée'!$F$32,IF(AU103&lt;$G103*(1-'Feuille de Donnée'!$E$27),'Feuille de Donnée'!$F$33,'Feuille de Donnée'!$F$31)))))</f>
        <v/>
      </c>
      <c r="BA103" s="138"/>
      <c r="BB103" s="103"/>
      <c r="BC103" s="27"/>
      <c r="BD103" s="27"/>
      <c r="BE103" s="27" t="str">
        <f t="shared" si="54"/>
        <v/>
      </c>
      <c r="BF103" s="121" t="str">
        <f t="shared" si="55"/>
        <v/>
      </c>
      <c r="BG103" s="121" t="str">
        <f t="shared" si="56"/>
        <v/>
      </c>
      <c r="BH103" s="27" t="str">
        <f>IF(AND(ISBLANK(BJ103),BI103=""),"",1+MAX(BH$21:BH102))</f>
        <v/>
      </c>
      <c r="BI103" s="137" t="str">
        <f>IF(OR(BE103="",BE103=0,$H103="",$H103=0,NOT(ISNUMBER($H103)),NOT(ISNUMBER(BE103))),IF(AND($E103&lt;&gt;"",AND(OR(ISNUMBER(BE103),BE103=""),AND(ISNUMBER($H103),$H103&gt;0))),'Feuille de Donnée'!$K$13,""),IF(BE103&lt;$H$168*'Feuille de Donnée'!$I$9,"Négligeable",(IF(AND(BC103&gt;=$F103*(1-'Feuille de Donnée'!$E$12),BC103&lt;=$F103*(1+'Feuille de Donnée'!$F$12)),'Feuille de Donnée'!$F$17,IF(BC103&lt;$F103*(1-'Feuille de Donnée'!$E$12),'Feuille de Donnée'!$F$18,'Feuille de Donnée'!$F$16))&amp;""&amp;IF(AND(BD103&gt;=$G103*(1-'Feuille de Donnée'!$E$27),BD103&lt;=$G103*(1+'Feuille de Donnée'!$F$27)),'Feuille de Donnée'!$F$32,IF(BD103&lt;$G103*(1-'Feuille de Donnée'!$E$27),'Feuille de Donnée'!$F$33,'Feuille de Donnée'!$F$31)))))</f>
        <v/>
      </c>
      <c r="BJ103" s="138"/>
      <c r="BK103" s="140"/>
    </row>
    <row r="104" spans="1:63" s="6" customFormat="1" x14ac:dyDescent="0.3">
      <c r="A104" s="23"/>
      <c r="B104" s="24"/>
      <c r="C104" s="24"/>
      <c r="D104" s="24"/>
      <c r="E104" s="22"/>
      <c r="F104" s="25"/>
      <c r="G104" s="26"/>
      <c r="H104" s="102" t="str">
        <f t="shared" si="38"/>
        <v/>
      </c>
      <c r="I104" s="103"/>
      <c r="J104" s="27"/>
      <c r="K104" s="27"/>
      <c r="L104" s="27" t="str">
        <f t="shared" si="39"/>
        <v/>
      </c>
      <c r="M104" s="121" t="str">
        <f t="shared" si="40"/>
        <v/>
      </c>
      <c r="N104" s="121" t="str">
        <f t="shared" si="41"/>
        <v/>
      </c>
      <c r="O104" s="27" t="str">
        <f>IF(AND(ISBLANK(Q104),P104=""),"",1+MAX(O$21:O103))</f>
        <v/>
      </c>
      <c r="P104" s="137" t="str">
        <f>IF(OR(L104="",L104=0,$H104="",$H104=0,NOT(ISNUMBER($H104)),NOT(ISNUMBER(L104))),IF(AND($E104&lt;&gt;"",AND(OR(ISNUMBER(L104),L104=""),AND(ISNUMBER($H104),$H104&gt;0))),'Feuille de Donnée'!$K$13,""),IF(L104&lt;$H$168*'Feuille de Donnée'!$I$9,"Négligeable",(IF(AND(J104&gt;=$F104*(1-'Feuille de Donnée'!$E$12),J104&lt;=$F104*(1+'Feuille de Donnée'!$F$12)),'Feuille de Donnée'!$F$17,IF(J104&lt;$F104*(1-'Feuille de Donnée'!$E$12),'Feuille de Donnée'!$F$18,'Feuille de Donnée'!$F$16))&amp;""&amp;IF(AND(K104&gt;=$G104*(1-'Feuille de Donnée'!$E$27),K104&lt;=$G104*(1+'Feuille de Donnée'!$F$27)),'Feuille de Donnée'!$F$32,IF(K104&lt;$G104*(1-'Feuille de Donnée'!$E$27),'Feuille de Donnée'!$F$33,'Feuille de Donnée'!$F$31)))))</f>
        <v/>
      </c>
      <c r="Q104" s="138"/>
      <c r="R104" s="103"/>
      <c r="S104" s="27"/>
      <c r="T104" s="27"/>
      <c r="U104" s="27" t="str">
        <f t="shared" si="42"/>
        <v/>
      </c>
      <c r="V104" s="121" t="str">
        <f t="shared" si="43"/>
        <v/>
      </c>
      <c r="W104" s="121" t="str">
        <f t="shared" si="44"/>
        <v/>
      </c>
      <c r="X104" s="27" t="str">
        <f>IF(AND(ISBLANK(Z104),Y104=""),"",1+MAX(X$21:X103))</f>
        <v/>
      </c>
      <c r="Y104" s="137" t="str">
        <f>IF(OR(U104="",U104=0,$H104="",$H104=0,NOT(ISNUMBER($H104)),NOT(ISNUMBER(U104))),IF(AND($E104&lt;&gt;"",AND(OR(ISNUMBER(U104),U104=""),AND(ISNUMBER($H104),$H104&gt;0))),'Feuille de Donnée'!$K$13,""),IF(U104&lt;$H$168*'Feuille de Donnée'!$I$9,"Négligeable",(IF(AND(S104&gt;=$F104*(1-'Feuille de Donnée'!$E$12),S104&lt;=$F104*(1+'Feuille de Donnée'!$F$12)),'Feuille de Donnée'!$F$17,IF(S104&lt;$F104*(1-'Feuille de Donnée'!$E$12),'Feuille de Donnée'!$F$18,'Feuille de Donnée'!$F$16))&amp;""&amp;IF(AND(T104&gt;=$G104*(1-'Feuille de Donnée'!$E$27),T104&lt;=$G104*(1+'Feuille de Donnée'!$F$27)),'Feuille de Donnée'!$F$32,IF(T104&lt;$G104*(1-'Feuille de Donnée'!$E$27),'Feuille de Donnée'!$F$33,'Feuille de Donnée'!$F$31)))))</f>
        <v/>
      </c>
      <c r="Z104" s="138"/>
      <c r="AA104" s="103"/>
      <c r="AB104" s="27"/>
      <c r="AC104" s="27"/>
      <c r="AD104" s="27" t="str">
        <f t="shared" si="45"/>
        <v/>
      </c>
      <c r="AE104" s="121" t="str">
        <f t="shared" si="46"/>
        <v/>
      </c>
      <c r="AF104" s="121" t="str">
        <f t="shared" si="47"/>
        <v/>
      </c>
      <c r="AG104" s="27" t="str">
        <f>IF(AND(ISBLANK(AI104),AH104=""),"",1+MAX(AG$21:AG103))</f>
        <v/>
      </c>
      <c r="AH104" s="137" t="str">
        <f>IF(OR(AD104="",AD104=0,$H104="",$H104=0,NOT(ISNUMBER($H104)),NOT(ISNUMBER(AD104))),IF(AND($E104&lt;&gt;"",AND(OR(ISNUMBER(AD104),AD104=""),AND(ISNUMBER($H104),$H104&gt;0))),'Feuille de Donnée'!$K$13,""),IF(AD104&lt;$H$168*'Feuille de Donnée'!$I$9,"Négligeable",(IF(AND(AB104&gt;=$F104*(1-'Feuille de Donnée'!$E$12),AB104&lt;=$F104*(1+'Feuille de Donnée'!$F$12)),'Feuille de Donnée'!$F$17,IF(AB104&lt;$F104*(1-'Feuille de Donnée'!$E$12),'Feuille de Donnée'!$F$18,'Feuille de Donnée'!$F$16))&amp;""&amp;IF(AND(AC104&gt;=$G104*(1-'Feuille de Donnée'!$E$27),AC104&lt;=$G104*(1+'Feuille de Donnée'!$F$27)),'Feuille de Donnée'!$F$32,IF(AC104&lt;$G104*(1-'Feuille de Donnée'!$E$27),'Feuille de Donnée'!$F$33,'Feuille de Donnée'!$F$31)))))</f>
        <v/>
      </c>
      <c r="AI104" s="138"/>
      <c r="AJ104" s="103"/>
      <c r="AK104" s="27"/>
      <c r="AL104" s="27"/>
      <c r="AM104" s="27" t="str">
        <f t="shared" si="48"/>
        <v/>
      </c>
      <c r="AN104" s="121" t="str">
        <f t="shared" si="49"/>
        <v/>
      </c>
      <c r="AO104" s="121" t="str">
        <f t="shared" si="50"/>
        <v/>
      </c>
      <c r="AP104" s="27" t="str">
        <f>IF(AND(ISBLANK(AR104),AQ104=""),"",1+MAX(AP$21:AP103))</f>
        <v/>
      </c>
      <c r="AQ104" s="137" t="str">
        <f>IF(OR(AM104="",AM104=0,$H104="",$H104=0,NOT(ISNUMBER($H104)),NOT(ISNUMBER(AM104))),IF(AND($E104&lt;&gt;"",AND(OR(ISNUMBER(AM104),AM104=""),AND(ISNUMBER($H104),$H104&gt;0))),'Feuille de Donnée'!$K$13,""),IF(AM104&lt;$H$168*'Feuille de Donnée'!$I$9,"Négligeable",(IF(AND(AK104&gt;=$F104*(1-'Feuille de Donnée'!$E$12),AK104&lt;=$F104*(1+'Feuille de Donnée'!$F$12)),'Feuille de Donnée'!$F$17,IF(AK104&lt;$F104*(1-'Feuille de Donnée'!$E$12),'Feuille de Donnée'!$F$18,'Feuille de Donnée'!$F$16))&amp;""&amp;IF(AND(AL104&gt;=$G104*(1-'Feuille de Donnée'!$E$27),AL104&lt;=$G104*(1+'Feuille de Donnée'!$F$27)),'Feuille de Donnée'!$F$32,IF(AL104&lt;$G104*(1-'Feuille de Donnée'!$E$27),'Feuille de Donnée'!$F$33,'Feuille de Donnée'!$F$31)))))</f>
        <v/>
      </c>
      <c r="AR104" s="138"/>
      <c r="AS104" s="103"/>
      <c r="AT104" s="27"/>
      <c r="AU104" s="27"/>
      <c r="AV104" s="27" t="str">
        <f t="shared" si="51"/>
        <v/>
      </c>
      <c r="AW104" s="121" t="str">
        <f t="shared" si="52"/>
        <v/>
      </c>
      <c r="AX104" s="121" t="str">
        <f t="shared" si="53"/>
        <v/>
      </c>
      <c r="AY104" s="27" t="str">
        <f>IF(AND(ISBLANK(BA104),AZ104=""),"",1+MAX(AY$21:AY103))</f>
        <v/>
      </c>
      <c r="AZ104" s="137" t="str">
        <f>IF(OR(AV104="",AV104=0,$H104="",$H104=0,NOT(ISNUMBER($H104)),NOT(ISNUMBER(AV104))),IF(AND($E104&lt;&gt;"",AND(OR(ISNUMBER(AV104),AV104=""),AND(ISNUMBER($H104),$H104&gt;0))),'Feuille de Donnée'!$K$13,""),IF(AV104&lt;$H$168*'Feuille de Donnée'!$I$9,"Négligeable",(IF(AND(AT104&gt;=$F104*(1-'Feuille de Donnée'!$E$12),AT104&lt;=$F104*(1+'Feuille de Donnée'!$F$12)),'Feuille de Donnée'!$F$17,IF(AT104&lt;$F104*(1-'Feuille de Donnée'!$E$12),'Feuille de Donnée'!$F$18,'Feuille de Donnée'!$F$16))&amp;""&amp;IF(AND(AU104&gt;=$G104*(1-'Feuille de Donnée'!$E$27),AU104&lt;=$G104*(1+'Feuille de Donnée'!$F$27)),'Feuille de Donnée'!$F$32,IF(AU104&lt;$G104*(1-'Feuille de Donnée'!$E$27),'Feuille de Donnée'!$F$33,'Feuille de Donnée'!$F$31)))))</f>
        <v/>
      </c>
      <c r="BA104" s="138"/>
      <c r="BB104" s="103"/>
      <c r="BC104" s="27"/>
      <c r="BD104" s="27"/>
      <c r="BE104" s="27" t="str">
        <f t="shared" si="54"/>
        <v/>
      </c>
      <c r="BF104" s="121" t="str">
        <f t="shared" si="55"/>
        <v/>
      </c>
      <c r="BG104" s="121" t="str">
        <f t="shared" si="56"/>
        <v/>
      </c>
      <c r="BH104" s="27" t="str">
        <f>IF(AND(ISBLANK(BJ104),BI104=""),"",1+MAX(BH$21:BH103))</f>
        <v/>
      </c>
      <c r="BI104" s="137" t="str">
        <f>IF(OR(BE104="",BE104=0,$H104="",$H104=0,NOT(ISNUMBER($H104)),NOT(ISNUMBER(BE104))),IF(AND($E104&lt;&gt;"",AND(OR(ISNUMBER(BE104),BE104=""),AND(ISNUMBER($H104),$H104&gt;0))),'Feuille de Donnée'!$K$13,""),IF(BE104&lt;$H$168*'Feuille de Donnée'!$I$9,"Négligeable",(IF(AND(BC104&gt;=$F104*(1-'Feuille de Donnée'!$E$12),BC104&lt;=$F104*(1+'Feuille de Donnée'!$F$12)),'Feuille de Donnée'!$F$17,IF(BC104&lt;$F104*(1-'Feuille de Donnée'!$E$12),'Feuille de Donnée'!$F$18,'Feuille de Donnée'!$F$16))&amp;""&amp;IF(AND(BD104&gt;=$G104*(1-'Feuille de Donnée'!$E$27),BD104&lt;=$G104*(1+'Feuille de Donnée'!$F$27)),'Feuille de Donnée'!$F$32,IF(BD104&lt;$G104*(1-'Feuille de Donnée'!$E$27),'Feuille de Donnée'!$F$33,'Feuille de Donnée'!$F$31)))))</f>
        <v/>
      </c>
      <c r="BJ104" s="138"/>
      <c r="BK104" s="140"/>
    </row>
    <row r="105" spans="1:63" s="6" customFormat="1" x14ac:dyDescent="0.3">
      <c r="A105" s="23"/>
      <c r="B105" s="24"/>
      <c r="C105" s="24"/>
      <c r="D105" s="24"/>
      <c r="E105" s="22"/>
      <c r="F105" s="25"/>
      <c r="G105" s="26"/>
      <c r="H105" s="102" t="str">
        <f t="shared" si="38"/>
        <v/>
      </c>
      <c r="I105" s="103"/>
      <c r="J105" s="27"/>
      <c r="K105" s="27"/>
      <c r="L105" s="27" t="str">
        <f t="shared" si="39"/>
        <v/>
      </c>
      <c r="M105" s="121" t="str">
        <f t="shared" si="40"/>
        <v/>
      </c>
      <c r="N105" s="121" t="str">
        <f t="shared" si="41"/>
        <v/>
      </c>
      <c r="O105" s="27" t="str">
        <f>IF(AND(ISBLANK(Q105),P105=""),"",1+MAX(O$21:O104))</f>
        <v/>
      </c>
      <c r="P105" s="137" t="str">
        <f>IF(OR(L105="",L105=0,$H105="",$H105=0,NOT(ISNUMBER($H105)),NOT(ISNUMBER(L105))),IF(AND($E105&lt;&gt;"",AND(OR(ISNUMBER(L105),L105=""),AND(ISNUMBER($H105),$H105&gt;0))),'Feuille de Donnée'!$K$13,""),IF(L105&lt;$H$168*'Feuille de Donnée'!$I$9,"Négligeable",(IF(AND(J105&gt;=$F105*(1-'Feuille de Donnée'!$E$12),J105&lt;=$F105*(1+'Feuille de Donnée'!$F$12)),'Feuille de Donnée'!$F$17,IF(J105&lt;$F105*(1-'Feuille de Donnée'!$E$12),'Feuille de Donnée'!$F$18,'Feuille de Donnée'!$F$16))&amp;""&amp;IF(AND(K105&gt;=$G105*(1-'Feuille de Donnée'!$E$27),K105&lt;=$G105*(1+'Feuille de Donnée'!$F$27)),'Feuille de Donnée'!$F$32,IF(K105&lt;$G105*(1-'Feuille de Donnée'!$E$27),'Feuille de Donnée'!$F$33,'Feuille de Donnée'!$F$31)))))</f>
        <v/>
      </c>
      <c r="Q105" s="138"/>
      <c r="R105" s="103"/>
      <c r="S105" s="27"/>
      <c r="T105" s="27"/>
      <c r="U105" s="27" t="str">
        <f t="shared" si="42"/>
        <v/>
      </c>
      <c r="V105" s="121" t="str">
        <f t="shared" si="43"/>
        <v/>
      </c>
      <c r="W105" s="121" t="str">
        <f t="shared" si="44"/>
        <v/>
      </c>
      <c r="X105" s="27" t="str">
        <f>IF(AND(ISBLANK(Z105),Y105=""),"",1+MAX(X$21:X104))</f>
        <v/>
      </c>
      <c r="Y105" s="137" t="str">
        <f>IF(OR(U105="",U105=0,$H105="",$H105=0,NOT(ISNUMBER($H105)),NOT(ISNUMBER(U105))),IF(AND($E105&lt;&gt;"",AND(OR(ISNUMBER(U105),U105=""),AND(ISNUMBER($H105),$H105&gt;0))),'Feuille de Donnée'!$K$13,""),IF(U105&lt;$H$168*'Feuille de Donnée'!$I$9,"Négligeable",(IF(AND(S105&gt;=$F105*(1-'Feuille de Donnée'!$E$12),S105&lt;=$F105*(1+'Feuille de Donnée'!$F$12)),'Feuille de Donnée'!$F$17,IF(S105&lt;$F105*(1-'Feuille de Donnée'!$E$12),'Feuille de Donnée'!$F$18,'Feuille de Donnée'!$F$16))&amp;""&amp;IF(AND(T105&gt;=$G105*(1-'Feuille de Donnée'!$E$27),T105&lt;=$G105*(1+'Feuille de Donnée'!$F$27)),'Feuille de Donnée'!$F$32,IF(T105&lt;$G105*(1-'Feuille de Donnée'!$E$27),'Feuille de Donnée'!$F$33,'Feuille de Donnée'!$F$31)))))</f>
        <v/>
      </c>
      <c r="Z105" s="138"/>
      <c r="AA105" s="103"/>
      <c r="AB105" s="27"/>
      <c r="AC105" s="27"/>
      <c r="AD105" s="27" t="str">
        <f t="shared" si="45"/>
        <v/>
      </c>
      <c r="AE105" s="121" t="str">
        <f t="shared" si="46"/>
        <v/>
      </c>
      <c r="AF105" s="121" t="str">
        <f t="shared" si="47"/>
        <v/>
      </c>
      <c r="AG105" s="27" t="str">
        <f>IF(AND(ISBLANK(AI105),AH105=""),"",1+MAX(AG$21:AG104))</f>
        <v/>
      </c>
      <c r="AH105" s="137" t="str">
        <f>IF(OR(AD105="",AD105=0,$H105="",$H105=0,NOT(ISNUMBER($H105)),NOT(ISNUMBER(AD105))),IF(AND($E105&lt;&gt;"",AND(OR(ISNUMBER(AD105),AD105=""),AND(ISNUMBER($H105),$H105&gt;0))),'Feuille de Donnée'!$K$13,""),IF(AD105&lt;$H$168*'Feuille de Donnée'!$I$9,"Négligeable",(IF(AND(AB105&gt;=$F105*(1-'Feuille de Donnée'!$E$12),AB105&lt;=$F105*(1+'Feuille de Donnée'!$F$12)),'Feuille de Donnée'!$F$17,IF(AB105&lt;$F105*(1-'Feuille de Donnée'!$E$12),'Feuille de Donnée'!$F$18,'Feuille de Donnée'!$F$16))&amp;""&amp;IF(AND(AC105&gt;=$G105*(1-'Feuille de Donnée'!$E$27),AC105&lt;=$G105*(1+'Feuille de Donnée'!$F$27)),'Feuille de Donnée'!$F$32,IF(AC105&lt;$G105*(1-'Feuille de Donnée'!$E$27),'Feuille de Donnée'!$F$33,'Feuille de Donnée'!$F$31)))))</f>
        <v/>
      </c>
      <c r="AI105" s="138"/>
      <c r="AJ105" s="103"/>
      <c r="AK105" s="27"/>
      <c r="AL105" s="27"/>
      <c r="AM105" s="27" t="str">
        <f t="shared" si="48"/>
        <v/>
      </c>
      <c r="AN105" s="121" t="str">
        <f t="shared" si="49"/>
        <v/>
      </c>
      <c r="AO105" s="121" t="str">
        <f t="shared" si="50"/>
        <v/>
      </c>
      <c r="AP105" s="27" t="str">
        <f>IF(AND(ISBLANK(AR105),AQ105=""),"",1+MAX(AP$21:AP104))</f>
        <v/>
      </c>
      <c r="AQ105" s="137" t="str">
        <f>IF(OR(AM105="",AM105=0,$H105="",$H105=0,NOT(ISNUMBER($H105)),NOT(ISNUMBER(AM105))),IF(AND($E105&lt;&gt;"",AND(OR(ISNUMBER(AM105),AM105=""),AND(ISNUMBER($H105),$H105&gt;0))),'Feuille de Donnée'!$K$13,""),IF(AM105&lt;$H$168*'Feuille de Donnée'!$I$9,"Négligeable",(IF(AND(AK105&gt;=$F105*(1-'Feuille de Donnée'!$E$12),AK105&lt;=$F105*(1+'Feuille de Donnée'!$F$12)),'Feuille de Donnée'!$F$17,IF(AK105&lt;$F105*(1-'Feuille de Donnée'!$E$12),'Feuille de Donnée'!$F$18,'Feuille de Donnée'!$F$16))&amp;""&amp;IF(AND(AL105&gt;=$G105*(1-'Feuille de Donnée'!$E$27),AL105&lt;=$G105*(1+'Feuille de Donnée'!$F$27)),'Feuille de Donnée'!$F$32,IF(AL105&lt;$G105*(1-'Feuille de Donnée'!$E$27),'Feuille de Donnée'!$F$33,'Feuille de Donnée'!$F$31)))))</f>
        <v/>
      </c>
      <c r="AR105" s="138"/>
      <c r="AS105" s="103"/>
      <c r="AT105" s="27"/>
      <c r="AU105" s="27"/>
      <c r="AV105" s="27" t="str">
        <f t="shared" si="51"/>
        <v/>
      </c>
      <c r="AW105" s="121" t="str">
        <f t="shared" si="52"/>
        <v/>
      </c>
      <c r="AX105" s="121" t="str">
        <f t="shared" si="53"/>
        <v/>
      </c>
      <c r="AY105" s="27" t="str">
        <f>IF(AND(ISBLANK(BA105),AZ105=""),"",1+MAX(AY$21:AY104))</f>
        <v/>
      </c>
      <c r="AZ105" s="137" t="str">
        <f>IF(OR(AV105="",AV105=0,$H105="",$H105=0,NOT(ISNUMBER($H105)),NOT(ISNUMBER(AV105))),IF(AND($E105&lt;&gt;"",AND(OR(ISNUMBER(AV105),AV105=""),AND(ISNUMBER($H105),$H105&gt;0))),'Feuille de Donnée'!$K$13,""),IF(AV105&lt;$H$168*'Feuille de Donnée'!$I$9,"Négligeable",(IF(AND(AT105&gt;=$F105*(1-'Feuille de Donnée'!$E$12),AT105&lt;=$F105*(1+'Feuille de Donnée'!$F$12)),'Feuille de Donnée'!$F$17,IF(AT105&lt;$F105*(1-'Feuille de Donnée'!$E$12),'Feuille de Donnée'!$F$18,'Feuille de Donnée'!$F$16))&amp;""&amp;IF(AND(AU105&gt;=$G105*(1-'Feuille de Donnée'!$E$27),AU105&lt;=$G105*(1+'Feuille de Donnée'!$F$27)),'Feuille de Donnée'!$F$32,IF(AU105&lt;$G105*(1-'Feuille de Donnée'!$E$27),'Feuille de Donnée'!$F$33,'Feuille de Donnée'!$F$31)))))</f>
        <v/>
      </c>
      <c r="BA105" s="138"/>
      <c r="BB105" s="103"/>
      <c r="BC105" s="27"/>
      <c r="BD105" s="27"/>
      <c r="BE105" s="27" t="str">
        <f t="shared" si="54"/>
        <v/>
      </c>
      <c r="BF105" s="121" t="str">
        <f t="shared" si="55"/>
        <v/>
      </c>
      <c r="BG105" s="121" t="str">
        <f t="shared" si="56"/>
        <v/>
      </c>
      <c r="BH105" s="27" t="str">
        <f>IF(AND(ISBLANK(BJ105),BI105=""),"",1+MAX(BH$21:BH104))</f>
        <v/>
      </c>
      <c r="BI105" s="137" t="str">
        <f>IF(OR(BE105="",BE105=0,$H105="",$H105=0,NOT(ISNUMBER($H105)),NOT(ISNUMBER(BE105))),IF(AND($E105&lt;&gt;"",AND(OR(ISNUMBER(BE105),BE105=""),AND(ISNUMBER($H105),$H105&gt;0))),'Feuille de Donnée'!$K$13,""),IF(BE105&lt;$H$168*'Feuille de Donnée'!$I$9,"Négligeable",(IF(AND(BC105&gt;=$F105*(1-'Feuille de Donnée'!$E$12),BC105&lt;=$F105*(1+'Feuille de Donnée'!$F$12)),'Feuille de Donnée'!$F$17,IF(BC105&lt;$F105*(1-'Feuille de Donnée'!$E$12),'Feuille de Donnée'!$F$18,'Feuille de Donnée'!$F$16))&amp;""&amp;IF(AND(BD105&gt;=$G105*(1-'Feuille de Donnée'!$E$27),BD105&lt;=$G105*(1+'Feuille de Donnée'!$F$27)),'Feuille de Donnée'!$F$32,IF(BD105&lt;$G105*(1-'Feuille de Donnée'!$E$27),'Feuille de Donnée'!$F$33,'Feuille de Donnée'!$F$31)))))</f>
        <v/>
      </c>
      <c r="BJ105" s="138"/>
      <c r="BK105" s="140"/>
    </row>
    <row r="106" spans="1:63" s="6" customFormat="1" x14ac:dyDescent="0.3">
      <c r="A106" s="23"/>
      <c r="B106" s="24"/>
      <c r="C106" s="24"/>
      <c r="D106" s="24"/>
      <c r="E106" s="22"/>
      <c r="F106" s="25"/>
      <c r="G106" s="26"/>
      <c r="H106" s="102" t="str">
        <f t="shared" si="38"/>
        <v/>
      </c>
      <c r="I106" s="103"/>
      <c r="J106" s="27"/>
      <c r="K106" s="27"/>
      <c r="L106" s="27" t="str">
        <f t="shared" si="39"/>
        <v/>
      </c>
      <c r="M106" s="121" t="str">
        <f t="shared" si="40"/>
        <v/>
      </c>
      <c r="N106" s="121" t="str">
        <f t="shared" si="41"/>
        <v/>
      </c>
      <c r="O106" s="27" t="str">
        <f>IF(AND(ISBLANK(Q106),P106=""),"",1+MAX(O$21:O105))</f>
        <v/>
      </c>
      <c r="P106" s="137" t="str">
        <f>IF(OR(L106="",L106=0,$H106="",$H106=0,NOT(ISNUMBER($H106)),NOT(ISNUMBER(L106))),IF(AND($E106&lt;&gt;"",AND(OR(ISNUMBER(L106),L106=""),AND(ISNUMBER($H106),$H106&gt;0))),'Feuille de Donnée'!$K$13,""),IF(L106&lt;$H$168*'Feuille de Donnée'!$I$9,"Négligeable",(IF(AND(J106&gt;=$F106*(1-'Feuille de Donnée'!$E$12),J106&lt;=$F106*(1+'Feuille de Donnée'!$F$12)),'Feuille de Donnée'!$F$17,IF(J106&lt;$F106*(1-'Feuille de Donnée'!$E$12),'Feuille de Donnée'!$F$18,'Feuille de Donnée'!$F$16))&amp;""&amp;IF(AND(K106&gt;=$G106*(1-'Feuille de Donnée'!$E$27),K106&lt;=$G106*(1+'Feuille de Donnée'!$F$27)),'Feuille de Donnée'!$F$32,IF(K106&lt;$G106*(1-'Feuille de Donnée'!$E$27),'Feuille de Donnée'!$F$33,'Feuille de Donnée'!$F$31)))))</f>
        <v/>
      </c>
      <c r="Q106" s="138"/>
      <c r="R106" s="103"/>
      <c r="S106" s="27"/>
      <c r="T106" s="27"/>
      <c r="U106" s="27" t="str">
        <f t="shared" si="42"/>
        <v/>
      </c>
      <c r="V106" s="121" t="str">
        <f t="shared" si="43"/>
        <v/>
      </c>
      <c r="W106" s="121" t="str">
        <f t="shared" si="44"/>
        <v/>
      </c>
      <c r="X106" s="27" t="str">
        <f>IF(AND(ISBLANK(Z106),Y106=""),"",1+MAX(X$21:X105))</f>
        <v/>
      </c>
      <c r="Y106" s="137" t="str">
        <f>IF(OR(U106="",U106=0,$H106="",$H106=0,NOT(ISNUMBER($H106)),NOT(ISNUMBER(U106))),IF(AND($E106&lt;&gt;"",AND(OR(ISNUMBER(U106),U106=""),AND(ISNUMBER($H106),$H106&gt;0))),'Feuille de Donnée'!$K$13,""),IF(U106&lt;$H$168*'Feuille de Donnée'!$I$9,"Négligeable",(IF(AND(S106&gt;=$F106*(1-'Feuille de Donnée'!$E$12),S106&lt;=$F106*(1+'Feuille de Donnée'!$F$12)),'Feuille de Donnée'!$F$17,IF(S106&lt;$F106*(1-'Feuille de Donnée'!$E$12),'Feuille de Donnée'!$F$18,'Feuille de Donnée'!$F$16))&amp;""&amp;IF(AND(T106&gt;=$G106*(1-'Feuille de Donnée'!$E$27),T106&lt;=$G106*(1+'Feuille de Donnée'!$F$27)),'Feuille de Donnée'!$F$32,IF(T106&lt;$G106*(1-'Feuille de Donnée'!$E$27),'Feuille de Donnée'!$F$33,'Feuille de Donnée'!$F$31)))))</f>
        <v/>
      </c>
      <c r="Z106" s="138"/>
      <c r="AA106" s="103"/>
      <c r="AB106" s="27"/>
      <c r="AC106" s="27"/>
      <c r="AD106" s="27" t="str">
        <f t="shared" si="45"/>
        <v/>
      </c>
      <c r="AE106" s="121" t="str">
        <f t="shared" si="46"/>
        <v/>
      </c>
      <c r="AF106" s="121" t="str">
        <f t="shared" si="47"/>
        <v/>
      </c>
      <c r="AG106" s="27" t="str">
        <f>IF(AND(ISBLANK(AI106),AH106=""),"",1+MAX(AG$21:AG105))</f>
        <v/>
      </c>
      <c r="AH106" s="137" t="str">
        <f>IF(OR(AD106="",AD106=0,$H106="",$H106=0,NOT(ISNUMBER($H106)),NOT(ISNUMBER(AD106))),IF(AND($E106&lt;&gt;"",AND(OR(ISNUMBER(AD106),AD106=""),AND(ISNUMBER($H106),$H106&gt;0))),'Feuille de Donnée'!$K$13,""),IF(AD106&lt;$H$168*'Feuille de Donnée'!$I$9,"Négligeable",(IF(AND(AB106&gt;=$F106*(1-'Feuille de Donnée'!$E$12),AB106&lt;=$F106*(1+'Feuille de Donnée'!$F$12)),'Feuille de Donnée'!$F$17,IF(AB106&lt;$F106*(1-'Feuille de Donnée'!$E$12),'Feuille de Donnée'!$F$18,'Feuille de Donnée'!$F$16))&amp;""&amp;IF(AND(AC106&gt;=$G106*(1-'Feuille de Donnée'!$E$27),AC106&lt;=$G106*(1+'Feuille de Donnée'!$F$27)),'Feuille de Donnée'!$F$32,IF(AC106&lt;$G106*(1-'Feuille de Donnée'!$E$27),'Feuille de Donnée'!$F$33,'Feuille de Donnée'!$F$31)))))</f>
        <v/>
      </c>
      <c r="AI106" s="138"/>
      <c r="AJ106" s="103"/>
      <c r="AK106" s="27"/>
      <c r="AL106" s="27"/>
      <c r="AM106" s="27" t="str">
        <f t="shared" si="48"/>
        <v/>
      </c>
      <c r="AN106" s="121" t="str">
        <f t="shared" si="49"/>
        <v/>
      </c>
      <c r="AO106" s="121" t="str">
        <f t="shared" si="50"/>
        <v/>
      </c>
      <c r="AP106" s="27" t="str">
        <f>IF(AND(ISBLANK(AR106),AQ106=""),"",1+MAX(AP$21:AP105))</f>
        <v/>
      </c>
      <c r="AQ106" s="137" t="str">
        <f>IF(OR(AM106="",AM106=0,$H106="",$H106=0,NOT(ISNUMBER($H106)),NOT(ISNUMBER(AM106))),IF(AND($E106&lt;&gt;"",AND(OR(ISNUMBER(AM106),AM106=""),AND(ISNUMBER($H106),$H106&gt;0))),'Feuille de Donnée'!$K$13,""),IF(AM106&lt;$H$168*'Feuille de Donnée'!$I$9,"Négligeable",(IF(AND(AK106&gt;=$F106*(1-'Feuille de Donnée'!$E$12),AK106&lt;=$F106*(1+'Feuille de Donnée'!$F$12)),'Feuille de Donnée'!$F$17,IF(AK106&lt;$F106*(1-'Feuille de Donnée'!$E$12),'Feuille de Donnée'!$F$18,'Feuille de Donnée'!$F$16))&amp;""&amp;IF(AND(AL106&gt;=$G106*(1-'Feuille de Donnée'!$E$27),AL106&lt;=$G106*(1+'Feuille de Donnée'!$F$27)),'Feuille de Donnée'!$F$32,IF(AL106&lt;$G106*(1-'Feuille de Donnée'!$E$27),'Feuille de Donnée'!$F$33,'Feuille de Donnée'!$F$31)))))</f>
        <v/>
      </c>
      <c r="AR106" s="138"/>
      <c r="AS106" s="103"/>
      <c r="AT106" s="27"/>
      <c r="AU106" s="27"/>
      <c r="AV106" s="27" t="str">
        <f t="shared" si="51"/>
        <v/>
      </c>
      <c r="AW106" s="121" t="str">
        <f t="shared" si="52"/>
        <v/>
      </c>
      <c r="AX106" s="121" t="str">
        <f t="shared" si="53"/>
        <v/>
      </c>
      <c r="AY106" s="27" t="str">
        <f>IF(AND(ISBLANK(BA106),AZ106=""),"",1+MAX(AY$21:AY105))</f>
        <v/>
      </c>
      <c r="AZ106" s="137" t="str">
        <f>IF(OR(AV106="",AV106=0,$H106="",$H106=0,NOT(ISNUMBER($H106)),NOT(ISNUMBER(AV106))),IF(AND($E106&lt;&gt;"",AND(OR(ISNUMBER(AV106),AV106=""),AND(ISNUMBER($H106),$H106&gt;0))),'Feuille de Donnée'!$K$13,""),IF(AV106&lt;$H$168*'Feuille de Donnée'!$I$9,"Négligeable",(IF(AND(AT106&gt;=$F106*(1-'Feuille de Donnée'!$E$12),AT106&lt;=$F106*(1+'Feuille de Donnée'!$F$12)),'Feuille de Donnée'!$F$17,IF(AT106&lt;$F106*(1-'Feuille de Donnée'!$E$12),'Feuille de Donnée'!$F$18,'Feuille de Donnée'!$F$16))&amp;""&amp;IF(AND(AU106&gt;=$G106*(1-'Feuille de Donnée'!$E$27),AU106&lt;=$G106*(1+'Feuille de Donnée'!$F$27)),'Feuille de Donnée'!$F$32,IF(AU106&lt;$G106*(1-'Feuille de Donnée'!$E$27),'Feuille de Donnée'!$F$33,'Feuille de Donnée'!$F$31)))))</f>
        <v/>
      </c>
      <c r="BA106" s="138"/>
      <c r="BB106" s="103"/>
      <c r="BC106" s="27"/>
      <c r="BD106" s="27"/>
      <c r="BE106" s="27" t="str">
        <f t="shared" si="54"/>
        <v/>
      </c>
      <c r="BF106" s="121" t="str">
        <f t="shared" si="55"/>
        <v/>
      </c>
      <c r="BG106" s="121" t="str">
        <f t="shared" si="56"/>
        <v/>
      </c>
      <c r="BH106" s="27" t="str">
        <f>IF(AND(ISBLANK(BJ106),BI106=""),"",1+MAX(BH$21:BH105))</f>
        <v/>
      </c>
      <c r="BI106" s="137" t="str">
        <f>IF(OR(BE106="",BE106=0,$H106="",$H106=0,NOT(ISNUMBER($H106)),NOT(ISNUMBER(BE106))),IF(AND($E106&lt;&gt;"",AND(OR(ISNUMBER(BE106),BE106=""),AND(ISNUMBER($H106),$H106&gt;0))),'Feuille de Donnée'!$K$13,""),IF(BE106&lt;$H$168*'Feuille de Donnée'!$I$9,"Négligeable",(IF(AND(BC106&gt;=$F106*(1-'Feuille de Donnée'!$E$12),BC106&lt;=$F106*(1+'Feuille de Donnée'!$F$12)),'Feuille de Donnée'!$F$17,IF(BC106&lt;$F106*(1-'Feuille de Donnée'!$E$12),'Feuille de Donnée'!$F$18,'Feuille de Donnée'!$F$16))&amp;""&amp;IF(AND(BD106&gt;=$G106*(1-'Feuille de Donnée'!$E$27),BD106&lt;=$G106*(1+'Feuille de Donnée'!$F$27)),'Feuille de Donnée'!$F$32,IF(BD106&lt;$G106*(1-'Feuille de Donnée'!$E$27),'Feuille de Donnée'!$F$33,'Feuille de Donnée'!$F$31)))))</f>
        <v/>
      </c>
      <c r="BJ106" s="138"/>
      <c r="BK106" s="140"/>
    </row>
    <row r="107" spans="1:63" s="6" customFormat="1" x14ac:dyDescent="0.3">
      <c r="A107" s="23"/>
      <c r="B107" s="24"/>
      <c r="C107" s="24"/>
      <c r="D107" s="24"/>
      <c r="E107" s="22"/>
      <c r="F107" s="25"/>
      <c r="G107" s="26"/>
      <c r="H107" s="102" t="str">
        <f t="shared" si="38"/>
        <v/>
      </c>
      <c r="I107" s="103"/>
      <c r="J107" s="27"/>
      <c r="K107" s="27"/>
      <c r="L107" s="27" t="str">
        <f t="shared" si="39"/>
        <v/>
      </c>
      <c r="M107" s="121" t="str">
        <f t="shared" si="40"/>
        <v/>
      </c>
      <c r="N107" s="121" t="str">
        <f t="shared" si="41"/>
        <v/>
      </c>
      <c r="O107" s="27" t="str">
        <f>IF(AND(ISBLANK(Q107),P107=""),"",1+MAX(O$21:O106))</f>
        <v/>
      </c>
      <c r="P107" s="137" t="str">
        <f>IF(OR(L107="",L107=0,$H107="",$H107=0,NOT(ISNUMBER($H107)),NOT(ISNUMBER(L107))),IF(AND($E107&lt;&gt;"",AND(OR(ISNUMBER(L107),L107=""),AND(ISNUMBER($H107),$H107&gt;0))),'Feuille de Donnée'!$K$13,""),IF(L107&lt;$H$168*'Feuille de Donnée'!$I$9,"Négligeable",(IF(AND(J107&gt;=$F107*(1-'Feuille de Donnée'!$E$12),J107&lt;=$F107*(1+'Feuille de Donnée'!$F$12)),'Feuille de Donnée'!$F$17,IF(J107&lt;$F107*(1-'Feuille de Donnée'!$E$12),'Feuille de Donnée'!$F$18,'Feuille de Donnée'!$F$16))&amp;""&amp;IF(AND(K107&gt;=$G107*(1-'Feuille de Donnée'!$E$27),K107&lt;=$G107*(1+'Feuille de Donnée'!$F$27)),'Feuille de Donnée'!$F$32,IF(K107&lt;$G107*(1-'Feuille de Donnée'!$E$27),'Feuille de Donnée'!$F$33,'Feuille de Donnée'!$F$31)))))</f>
        <v/>
      </c>
      <c r="Q107" s="138"/>
      <c r="R107" s="103"/>
      <c r="S107" s="27"/>
      <c r="T107" s="27"/>
      <c r="U107" s="27" t="str">
        <f t="shared" si="42"/>
        <v/>
      </c>
      <c r="V107" s="121" t="str">
        <f t="shared" si="43"/>
        <v/>
      </c>
      <c r="W107" s="121" t="str">
        <f t="shared" si="44"/>
        <v/>
      </c>
      <c r="X107" s="27" t="str">
        <f>IF(AND(ISBLANK(Z107),Y107=""),"",1+MAX(X$21:X106))</f>
        <v/>
      </c>
      <c r="Y107" s="137" t="str">
        <f>IF(OR(U107="",U107=0,$H107="",$H107=0,NOT(ISNUMBER($H107)),NOT(ISNUMBER(U107))),IF(AND($E107&lt;&gt;"",AND(OR(ISNUMBER(U107),U107=""),AND(ISNUMBER($H107),$H107&gt;0))),'Feuille de Donnée'!$K$13,""),IF(U107&lt;$H$168*'Feuille de Donnée'!$I$9,"Négligeable",(IF(AND(S107&gt;=$F107*(1-'Feuille de Donnée'!$E$12),S107&lt;=$F107*(1+'Feuille de Donnée'!$F$12)),'Feuille de Donnée'!$F$17,IF(S107&lt;$F107*(1-'Feuille de Donnée'!$E$12),'Feuille de Donnée'!$F$18,'Feuille de Donnée'!$F$16))&amp;""&amp;IF(AND(T107&gt;=$G107*(1-'Feuille de Donnée'!$E$27),T107&lt;=$G107*(1+'Feuille de Donnée'!$F$27)),'Feuille de Donnée'!$F$32,IF(T107&lt;$G107*(1-'Feuille de Donnée'!$E$27),'Feuille de Donnée'!$F$33,'Feuille de Donnée'!$F$31)))))</f>
        <v/>
      </c>
      <c r="Z107" s="138"/>
      <c r="AA107" s="103"/>
      <c r="AB107" s="27"/>
      <c r="AC107" s="27"/>
      <c r="AD107" s="27" t="str">
        <f t="shared" si="45"/>
        <v/>
      </c>
      <c r="AE107" s="121" t="str">
        <f t="shared" si="46"/>
        <v/>
      </c>
      <c r="AF107" s="121" t="str">
        <f t="shared" si="47"/>
        <v/>
      </c>
      <c r="AG107" s="27" t="str">
        <f>IF(AND(ISBLANK(AI107),AH107=""),"",1+MAX(AG$21:AG106))</f>
        <v/>
      </c>
      <c r="AH107" s="137" t="str">
        <f>IF(OR(AD107="",AD107=0,$H107="",$H107=0,NOT(ISNUMBER($H107)),NOT(ISNUMBER(AD107))),IF(AND($E107&lt;&gt;"",AND(OR(ISNUMBER(AD107),AD107=""),AND(ISNUMBER($H107),$H107&gt;0))),'Feuille de Donnée'!$K$13,""),IF(AD107&lt;$H$168*'Feuille de Donnée'!$I$9,"Négligeable",(IF(AND(AB107&gt;=$F107*(1-'Feuille de Donnée'!$E$12),AB107&lt;=$F107*(1+'Feuille de Donnée'!$F$12)),'Feuille de Donnée'!$F$17,IF(AB107&lt;$F107*(1-'Feuille de Donnée'!$E$12),'Feuille de Donnée'!$F$18,'Feuille de Donnée'!$F$16))&amp;""&amp;IF(AND(AC107&gt;=$G107*(1-'Feuille de Donnée'!$E$27),AC107&lt;=$G107*(1+'Feuille de Donnée'!$F$27)),'Feuille de Donnée'!$F$32,IF(AC107&lt;$G107*(1-'Feuille de Donnée'!$E$27),'Feuille de Donnée'!$F$33,'Feuille de Donnée'!$F$31)))))</f>
        <v/>
      </c>
      <c r="AI107" s="138"/>
      <c r="AJ107" s="103"/>
      <c r="AK107" s="27"/>
      <c r="AL107" s="27"/>
      <c r="AM107" s="27" t="str">
        <f t="shared" si="48"/>
        <v/>
      </c>
      <c r="AN107" s="121" t="str">
        <f t="shared" si="49"/>
        <v/>
      </c>
      <c r="AO107" s="121" t="str">
        <f t="shared" si="50"/>
        <v/>
      </c>
      <c r="AP107" s="27" t="str">
        <f>IF(AND(ISBLANK(AR107),AQ107=""),"",1+MAX(AP$21:AP106))</f>
        <v/>
      </c>
      <c r="AQ107" s="137" t="str">
        <f>IF(OR(AM107="",AM107=0,$H107="",$H107=0,NOT(ISNUMBER($H107)),NOT(ISNUMBER(AM107))),IF(AND($E107&lt;&gt;"",AND(OR(ISNUMBER(AM107),AM107=""),AND(ISNUMBER($H107),$H107&gt;0))),'Feuille de Donnée'!$K$13,""),IF(AM107&lt;$H$168*'Feuille de Donnée'!$I$9,"Négligeable",(IF(AND(AK107&gt;=$F107*(1-'Feuille de Donnée'!$E$12),AK107&lt;=$F107*(1+'Feuille de Donnée'!$F$12)),'Feuille de Donnée'!$F$17,IF(AK107&lt;$F107*(1-'Feuille de Donnée'!$E$12),'Feuille de Donnée'!$F$18,'Feuille de Donnée'!$F$16))&amp;""&amp;IF(AND(AL107&gt;=$G107*(1-'Feuille de Donnée'!$E$27),AL107&lt;=$G107*(1+'Feuille de Donnée'!$F$27)),'Feuille de Donnée'!$F$32,IF(AL107&lt;$G107*(1-'Feuille de Donnée'!$E$27),'Feuille de Donnée'!$F$33,'Feuille de Donnée'!$F$31)))))</f>
        <v/>
      </c>
      <c r="AR107" s="138"/>
      <c r="AS107" s="103"/>
      <c r="AT107" s="27"/>
      <c r="AU107" s="27"/>
      <c r="AV107" s="27" t="str">
        <f t="shared" si="51"/>
        <v/>
      </c>
      <c r="AW107" s="121" t="str">
        <f t="shared" si="52"/>
        <v/>
      </c>
      <c r="AX107" s="121" t="str">
        <f t="shared" si="53"/>
        <v/>
      </c>
      <c r="AY107" s="27" t="str">
        <f>IF(AND(ISBLANK(BA107),AZ107=""),"",1+MAX(AY$21:AY106))</f>
        <v/>
      </c>
      <c r="AZ107" s="137" t="str">
        <f>IF(OR(AV107="",AV107=0,$H107="",$H107=0,NOT(ISNUMBER($H107)),NOT(ISNUMBER(AV107))),IF(AND($E107&lt;&gt;"",AND(OR(ISNUMBER(AV107),AV107=""),AND(ISNUMBER($H107),$H107&gt;0))),'Feuille de Donnée'!$K$13,""),IF(AV107&lt;$H$168*'Feuille de Donnée'!$I$9,"Négligeable",(IF(AND(AT107&gt;=$F107*(1-'Feuille de Donnée'!$E$12),AT107&lt;=$F107*(1+'Feuille de Donnée'!$F$12)),'Feuille de Donnée'!$F$17,IF(AT107&lt;$F107*(1-'Feuille de Donnée'!$E$12),'Feuille de Donnée'!$F$18,'Feuille de Donnée'!$F$16))&amp;""&amp;IF(AND(AU107&gt;=$G107*(1-'Feuille de Donnée'!$E$27),AU107&lt;=$G107*(1+'Feuille de Donnée'!$F$27)),'Feuille de Donnée'!$F$32,IF(AU107&lt;$G107*(1-'Feuille de Donnée'!$E$27),'Feuille de Donnée'!$F$33,'Feuille de Donnée'!$F$31)))))</f>
        <v/>
      </c>
      <c r="BA107" s="138"/>
      <c r="BB107" s="103"/>
      <c r="BC107" s="27"/>
      <c r="BD107" s="27"/>
      <c r="BE107" s="27" t="str">
        <f t="shared" si="54"/>
        <v/>
      </c>
      <c r="BF107" s="121" t="str">
        <f t="shared" si="55"/>
        <v/>
      </c>
      <c r="BG107" s="121" t="str">
        <f t="shared" si="56"/>
        <v/>
      </c>
      <c r="BH107" s="27" t="str">
        <f>IF(AND(ISBLANK(BJ107),BI107=""),"",1+MAX(BH$21:BH106))</f>
        <v/>
      </c>
      <c r="BI107" s="137" t="str">
        <f>IF(OR(BE107="",BE107=0,$H107="",$H107=0,NOT(ISNUMBER($H107)),NOT(ISNUMBER(BE107))),IF(AND($E107&lt;&gt;"",AND(OR(ISNUMBER(BE107),BE107=""),AND(ISNUMBER($H107),$H107&gt;0))),'Feuille de Donnée'!$K$13,""),IF(BE107&lt;$H$168*'Feuille de Donnée'!$I$9,"Négligeable",(IF(AND(BC107&gt;=$F107*(1-'Feuille de Donnée'!$E$12),BC107&lt;=$F107*(1+'Feuille de Donnée'!$F$12)),'Feuille de Donnée'!$F$17,IF(BC107&lt;$F107*(1-'Feuille de Donnée'!$E$12),'Feuille de Donnée'!$F$18,'Feuille de Donnée'!$F$16))&amp;""&amp;IF(AND(BD107&gt;=$G107*(1-'Feuille de Donnée'!$E$27),BD107&lt;=$G107*(1+'Feuille de Donnée'!$F$27)),'Feuille de Donnée'!$F$32,IF(BD107&lt;$G107*(1-'Feuille de Donnée'!$E$27),'Feuille de Donnée'!$F$33,'Feuille de Donnée'!$F$31)))))</f>
        <v/>
      </c>
      <c r="BJ107" s="138"/>
      <c r="BK107" s="140"/>
    </row>
    <row r="108" spans="1:63" s="6" customFormat="1" x14ac:dyDescent="0.3">
      <c r="A108" s="23"/>
      <c r="B108" s="24"/>
      <c r="C108" s="24"/>
      <c r="D108" s="24"/>
      <c r="E108" s="22"/>
      <c r="F108" s="25"/>
      <c r="G108" s="26"/>
      <c r="H108" s="102" t="str">
        <f t="shared" si="38"/>
        <v/>
      </c>
      <c r="I108" s="103"/>
      <c r="J108" s="27"/>
      <c r="K108" s="27"/>
      <c r="L108" s="27" t="str">
        <f t="shared" si="39"/>
        <v/>
      </c>
      <c r="M108" s="121" t="str">
        <f t="shared" si="40"/>
        <v/>
      </c>
      <c r="N108" s="121" t="str">
        <f t="shared" si="41"/>
        <v/>
      </c>
      <c r="O108" s="27" t="str">
        <f>IF(AND(ISBLANK(Q108),P108=""),"",1+MAX(O$21:O107))</f>
        <v/>
      </c>
      <c r="P108" s="137" t="str">
        <f>IF(OR(L108="",L108=0,$H108="",$H108=0,NOT(ISNUMBER($H108)),NOT(ISNUMBER(L108))),IF(AND($E108&lt;&gt;"",AND(OR(ISNUMBER(L108),L108=""),AND(ISNUMBER($H108),$H108&gt;0))),'Feuille de Donnée'!$K$13,""),IF(L108&lt;$H$168*'Feuille de Donnée'!$I$9,"Négligeable",(IF(AND(J108&gt;=$F108*(1-'Feuille de Donnée'!$E$12),J108&lt;=$F108*(1+'Feuille de Donnée'!$F$12)),'Feuille de Donnée'!$F$17,IF(J108&lt;$F108*(1-'Feuille de Donnée'!$E$12),'Feuille de Donnée'!$F$18,'Feuille de Donnée'!$F$16))&amp;""&amp;IF(AND(K108&gt;=$G108*(1-'Feuille de Donnée'!$E$27),K108&lt;=$G108*(1+'Feuille de Donnée'!$F$27)),'Feuille de Donnée'!$F$32,IF(K108&lt;$G108*(1-'Feuille de Donnée'!$E$27),'Feuille de Donnée'!$F$33,'Feuille de Donnée'!$F$31)))))</f>
        <v/>
      </c>
      <c r="Q108" s="138"/>
      <c r="R108" s="103"/>
      <c r="S108" s="27"/>
      <c r="T108" s="27"/>
      <c r="U108" s="27" t="str">
        <f t="shared" si="42"/>
        <v/>
      </c>
      <c r="V108" s="121" t="str">
        <f t="shared" si="43"/>
        <v/>
      </c>
      <c r="W108" s="121" t="str">
        <f t="shared" si="44"/>
        <v/>
      </c>
      <c r="X108" s="27" t="str">
        <f>IF(AND(ISBLANK(Z108),Y108=""),"",1+MAX(X$21:X107))</f>
        <v/>
      </c>
      <c r="Y108" s="137" t="str">
        <f>IF(OR(U108="",U108=0,$H108="",$H108=0,NOT(ISNUMBER($H108)),NOT(ISNUMBER(U108))),IF(AND($E108&lt;&gt;"",AND(OR(ISNUMBER(U108),U108=""),AND(ISNUMBER($H108),$H108&gt;0))),'Feuille de Donnée'!$K$13,""),IF(U108&lt;$H$168*'Feuille de Donnée'!$I$9,"Négligeable",(IF(AND(S108&gt;=$F108*(1-'Feuille de Donnée'!$E$12),S108&lt;=$F108*(1+'Feuille de Donnée'!$F$12)),'Feuille de Donnée'!$F$17,IF(S108&lt;$F108*(1-'Feuille de Donnée'!$E$12),'Feuille de Donnée'!$F$18,'Feuille de Donnée'!$F$16))&amp;""&amp;IF(AND(T108&gt;=$G108*(1-'Feuille de Donnée'!$E$27),T108&lt;=$G108*(1+'Feuille de Donnée'!$F$27)),'Feuille de Donnée'!$F$32,IF(T108&lt;$G108*(1-'Feuille de Donnée'!$E$27),'Feuille de Donnée'!$F$33,'Feuille de Donnée'!$F$31)))))</f>
        <v/>
      </c>
      <c r="Z108" s="138"/>
      <c r="AA108" s="103"/>
      <c r="AB108" s="27"/>
      <c r="AC108" s="27"/>
      <c r="AD108" s="27" t="str">
        <f t="shared" si="45"/>
        <v/>
      </c>
      <c r="AE108" s="121" t="str">
        <f t="shared" si="46"/>
        <v/>
      </c>
      <c r="AF108" s="121" t="str">
        <f t="shared" si="47"/>
        <v/>
      </c>
      <c r="AG108" s="27" t="str">
        <f>IF(AND(ISBLANK(AI108),AH108=""),"",1+MAX(AG$21:AG107))</f>
        <v/>
      </c>
      <c r="AH108" s="137" t="str">
        <f>IF(OR(AD108="",AD108=0,$H108="",$H108=0,NOT(ISNUMBER($H108)),NOT(ISNUMBER(AD108))),IF(AND($E108&lt;&gt;"",AND(OR(ISNUMBER(AD108),AD108=""),AND(ISNUMBER($H108),$H108&gt;0))),'Feuille de Donnée'!$K$13,""),IF(AD108&lt;$H$168*'Feuille de Donnée'!$I$9,"Négligeable",(IF(AND(AB108&gt;=$F108*(1-'Feuille de Donnée'!$E$12),AB108&lt;=$F108*(1+'Feuille de Donnée'!$F$12)),'Feuille de Donnée'!$F$17,IF(AB108&lt;$F108*(1-'Feuille de Donnée'!$E$12),'Feuille de Donnée'!$F$18,'Feuille de Donnée'!$F$16))&amp;""&amp;IF(AND(AC108&gt;=$G108*(1-'Feuille de Donnée'!$E$27),AC108&lt;=$G108*(1+'Feuille de Donnée'!$F$27)),'Feuille de Donnée'!$F$32,IF(AC108&lt;$G108*(1-'Feuille de Donnée'!$E$27),'Feuille de Donnée'!$F$33,'Feuille de Donnée'!$F$31)))))</f>
        <v/>
      </c>
      <c r="AI108" s="138"/>
      <c r="AJ108" s="103"/>
      <c r="AK108" s="27"/>
      <c r="AL108" s="27"/>
      <c r="AM108" s="27" t="str">
        <f t="shared" si="48"/>
        <v/>
      </c>
      <c r="AN108" s="121" t="str">
        <f t="shared" si="49"/>
        <v/>
      </c>
      <c r="AO108" s="121" t="str">
        <f t="shared" si="50"/>
        <v/>
      </c>
      <c r="AP108" s="27" t="str">
        <f>IF(AND(ISBLANK(AR108),AQ108=""),"",1+MAX(AP$21:AP107))</f>
        <v/>
      </c>
      <c r="AQ108" s="137" t="str">
        <f>IF(OR(AM108="",AM108=0,$H108="",$H108=0,NOT(ISNUMBER($H108)),NOT(ISNUMBER(AM108))),IF(AND($E108&lt;&gt;"",AND(OR(ISNUMBER(AM108),AM108=""),AND(ISNUMBER($H108),$H108&gt;0))),'Feuille de Donnée'!$K$13,""),IF(AM108&lt;$H$168*'Feuille de Donnée'!$I$9,"Négligeable",(IF(AND(AK108&gt;=$F108*(1-'Feuille de Donnée'!$E$12),AK108&lt;=$F108*(1+'Feuille de Donnée'!$F$12)),'Feuille de Donnée'!$F$17,IF(AK108&lt;$F108*(1-'Feuille de Donnée'!$E$12),'Feuille de Donnée'!$F$18,'Feuille de Donnée'!$F$16))&amp;""&amp;IF(AND(AL108&gt;=$G108*(1-'Feuille de Donnée'!$E$27),AL108&lt;=$G108*(1+'Feuille de Donnée'!$F$27)),'Feuille de Donnée'!$F$32,IF(AL108&lt;$G108*(1-'Feuille de Donnée'!$E$27),'Feuille de Donnée'!$F$33,'Feuille de Donnée'!$F$31)))))</f>
        <v/>
      </c>
      <c r="AR108" s="138"/>
      <c r="AS108" s="103"/>
      <c r="AT108" s="27"/>
      <c r="AU108" s="27"/>
      <c r="AV108" s="27" t="str">
        <f t="shared" si="51"/>
        <v/>
      </c>
      <c r="AW108" s="121" t="str">
        <f t="shared" si="52"/>
        <v/>
      </c>
      <c r="AX108" s="121" t="str">
        <f t="shared" si="53"/>
        <v/>
      </c>
      <c r="AY108" s="27" t="str">
        <f>IF(AND(ISBLANK(BA108),AZ108=""),"",1+MAX(AY$21:AY107))</f>
        <v/>
      </c>
      <c r="AZ108" s="137" t="str">
        <f>IF(OR(AV108="",AV108=0,$H108="",$H108=0,NOT(ISNUMBER($H108)),NOT(ISNUMBER(AV108))),IF(AND($E108&lt;&gt;"",AND(OR(ISNUMBER(AV108),AV108=""),AND(ISNUMBER($H108),$H108&gt;0))),'Feuille de Donnée'!$K$13,""),IF(AV108&lt;$H$168*'Feuille de Donnée'!$I$9,"Négligeable",(IF(AND(AT108&gt;=$F108*(1-'Feuille de Donnée'!$E$12),AT108&lt;=$F108*(1+'Feuille de Donnée'!$F$12)),'Feuille de Donnée'!$F$17,IF(AT108&lt;$F108*(1-'Feuille de Donnée'!$E$12),'Feuille de Donnée'!$F$18,'Feuille de Donnée'!$F$16))&amp;""&amp;IF(AND(AU108&gt;=$G108*(1-'Feuille de Donnée'!$E$27),AU108&lt;=$G108*(1+'Feuille de Donnée'!$F$27)),'Feuille de Donnée'!$F$32,IF(AU108&lt;$G108*(1-'Feuille de Donnée'!$E$27),'Feuille de Donnée'!$F$33,'Feuille de Donnée'!$F$31)))))</f>
        <v/>
      </c>
      <c r="BA108" s="138"/>
      <c r="BB108" s="103"/>
      <c r="BC108" s="27"/>
      <c r="BD108" s="27"/>
      <c r="BE108" s="27" t="str">
        <f t="shared" si="54"/>
        <v/>
      </c>
      <c r="BF108" s="121" t="str">
        <f t="shared" si="55"/>
        <v/>
      </c>
      <c r="BG108" s="121" t="str">
        <f t="shared" si="56"/>
        <v/>
      </c>
      <c r="BH108" s="27" t="str">
        <f>IF(AND(ISBLANK(BJ108),BI108=""),"",1+MAX(BH$21:BH107))</f>
        <v/>
      </c>
      <c r="BI108" s="137" t="str">
        <f>IF(OR(BE108="",BE108=0,$H108="",$H108=0,NOT(ISNUMBER($H108)),NOT(ISNUMBER(BE108))),IF(AND($E108&lt;&gt;"",AND(OR(ISNUMBER(BE108),BE108=""),AND(ISNUMBER($H108),$H108&gt;0))),'Feuille de Donnée'!$K$13,""),IF(BE108&lt;$H$168*'Feuille de Donnée'!$I$9,"Négligeable",(IF(AND(BC108&gt;=$F108*(1-'Feuille de Donnée'!$E$12),BC108&lt;=$F108*(1+'Feuille de Donnée'!$F$12)),'Feuille de Donnée'!$F$17,IF(BC108&lt;$F108*(1-'Feuille de Donnée'!$E$12),'Feuille de Donnée'!$F$18,'Feuille de Donnée'!$F$16))&amp;""&amp;IF(AND(BD108&gt;=$G108*(1-'Feuille de Donnée'!$E$27),BD108&lt;=$G108*(1+'Feuille de Donnée'!$F$27)),'Feuille de Donnée'!$F$32,IF(BD108&lt;$G108*(1-'Feuille de Donnée'!$E$27),'Feuille de Donnée'!$F$33,'Feuille de Donnée'!$F$31)))))</f>
        <v/>
      </c>
      <c r="BJ108" s="138"/>
      <c r="BK108" s="140"/>
    </row>
    <row r="109" spans="1:63" s="6" customFormat="1" x14ac:dyDescent="0.3">
      <c r="A109" s="23"/>
      <c r="B109" s="24"/>
      <c r="C109" s="24"/>
      <c r="D109" s="24"/>
      <c r="E109" s="22"/>
      <c r="F109" s="25"/>
      <c r="G109" s="26"/>
      <c r="H109" s="102" t="str">
        <f t="shared" si="38"/>
        <v/>
      </c>
      <c r="I109" s="103"/>
      <c r="J109" s="27"/>
      <c r="K109" s="27"/>
      <c r="L109" s="27" t="str">
        <f t="shared" si="39"/>
        <v/>
      </c>
      <c r="M109" s="121" t="str">
        <f t="shared" si="40"/>
        <v/>
      </c>
      <c r="N109" s="121" t="str">
        <f t="shared" si="41"/>
        <v/>
      </c>
      <c r="O109" s="27" t="str">
        <f>IF(AND(ISBLANK(Q109),P109=""),"",1+MAX(O$21:O108))</f>
        <v/>
      </c>
      <c r="P109" s="137" t="str">
        <f>IF(OR(L109="",L109=0,$H109="",$H109=0,NOT(ISNUMBER($H109)),NOT(ISNUMBER(L109))),IF(AND($E109&lt;&gt;"",AND(OR(ISNUMBER(L109),L109=""),AND(ISNUMBER($H109),$H109&gt;0))),'Feuille de Donnée'!$K$13,""),IF(L109&lt;$H$168*'Feuille de Donnée'!$I$9,"Négligeable",(IF(AND(J109&gt;=$F109*(1-'Feuille de Donnée'!$E$12),J109&lt;=$F109*(1+'Feuille de Donnée'!$F$12)),'Feuille de Donnée'!$F$17,IF(J109&lt;$F109*(1-'Feuille de Donnée'!$E$12),'Feuille de Donnée'!$F$18,'Feuille de Donnée'!$F$16))&amp;""&amp;IF(AND(K109&gt;=$G109*(1-'Feuille de Donnée'!$E$27),K109&lt;=$G109*(1+'Feuille de Donnée'!$F$27)),'Feuille de Donnée'!$F$32,IF(K109&lt;$G109*(1-'Feuille de Donnée'!$E$27),'Feuille de Donnée'!$F$33,'Feuille de Donnée'!$F$31)))))</f>
        <v/>
      </c>
      <c r="Q109" s="138"/>
      <c r="R109" s="103"/>
      <c r="S109" s="27"/>
      <c r="T109" s="27"/>
      <c r="U109" s="27" t="str">
        <f t="shared" si="42"/>
        <v/>
      </c>
      <c r="V109" s="121" t="str">
        <f t="shared" si="43"/>
        <v/>
      </c>
      <c r="W109" s="121" t="str">
        <f t="shared" si="44"/>
        <v/>
      </c>
      <c r="X109" s="27" t="str">
        <f>IF(AND(ISBLANK(Z109),Y109=""),"",1+MAX(X$21:X108))</f>
        <v/>
      </c>
      <c r="Y109" s="137" t="str">
        <f>IF(OR(U109="",U109=0,$H109="",$H109=0,NOT(ISNUMBER($H109)),NOT(ISNUMBER(U109))),IF(AND($E109&lt;&gt;"",AND(OR(ISNUMBER(U109),U109=""),AND(ISNUMBER($H109),$H109&gt;0))),'Feuille de Donnée'!$K$13,""),IF(U109&lt;$H$168*'Feuille de Donnée'!$I$9,"Négligeable",(IF(AND(S109&gt;=$F109*(1-'Feuille de Donnée'!$E$12),S109&lt;=$F109*(1+'Feuille de Donnée'!$F$12)),'Feuille de Donnée'!$F$17,IF(S109&lt;$F109*(1-'Feuille de Donnée'!$E$12),'Feuille de Donnée'!$F$18,'Feuille de Donnée'!$F$16))&amp;""&amp;IF(AND(T109&gt;=$G109*(1-'Feuille de Donnée'!$E$27),T109&lt;=$G109*(1+'Feuille de Donnée'!$F$27)),'Feuille de Donnée'!$F$32,IF(T109&lt;$G109*(1-'Feuille de Donnée'!$E$27),'Feuille de Donnée'!$F$33,'Feuille de Donnée'!$F$31)))))</f>
        <v/>
      </c>
      <c r="Z109" s="138"/>
      <c r="AA109" s="103"/>
      <c r="AB109" s="27"/>
      <c r="AC109" s="27"/>
      <c r="AD109" s="27" t="str">
        <f t="shared" si="45"/>
        <v/>
      </c>
      <c r="AE109" s="121" t="str">
        <f t="shared" si="46"/>
        <v/>
      </c>
      <c r="AF109" s="121" t="str">
        <f t="shared" si="47"/>
        <v/>
      </c>
      <c r="AG109" s="27" t="str">
        <f>IF(AND(ISBLANK(AI109),AH109=""),"",1+MAX(AG$21:AG108))</f>
        <v/>
      </c>
      <c r="AH109" s="137" t="str">
        <f>IF(OR(AD109="",AD109=0,$H109="",$H109=0,NOT(ISNUMBER($H109)),NOT(ISNUMBER(AD109))),IF(AND($E109&lt;&gt;"",AND(OR(ISNUMBER(AD109),AD109=""),AND(ISNUMBER($H109),$H109&gt;0))),'Feuille de Donnée'!$K$13,""),IF(AD109&lt;$H$168*'Feuille de Donnée'!$I$9,"Négligeable",(IF(AND(AB109&gt;=$F109*(1-'Feuille de Donnée'!$E$12),AB109&lt;=$F109*(1+'Feuille de Donnée'!$F$12)),'Feuille de Donnée'!$F$17,IF(AB109&lt;$F109*(1-'Feuille de Donnée'!$E$12),'Feuille de Donnée'!$F$18,'Feuille de Donnée'!$F$16))&amp;""&amp;IF(AND(AC109&gt;=$G109*(1-'Feuille de Donnée'!$E$27),AC109&lt;=$G109*(1+'Feuille de Donnée'!$F$27)),'Feuille de Donnée'!$F$32,IF(AC109&lt;$G109*(1-'Feuille de Donnée'!$E$27),'Feuille de Donnée'!$F$33,'Feuille de Donnée'!$F$31)))))</f>
        <v/>
      </c>
      <c r="AI109" s="138"/>
      <c r="AJ109" s="103"/>
      <c r="AK109" s="27"/>
      <c r="AL109" s="27"/>
      <c r="AM109" s="27" t="str">
        <f t="shared" si="48"/>
        <v/>
      </c>
      <c r="AN109" s="121" t="str">
        <f t="shared" si="49"/>
        <v/>
      </c>
      <c r="AO109" s="121" t="str">
        <f t="shared" si="50"/>
        <v/>
      </c>
      <c r="AP109" s="27" t="str">
        <f>IF(AND(ISBLANK(AR109),AQ109=""),"",1+MAX(AP$21:AP108))</f>
        <v/>
      </c>
      <c r="AQ109" s="137" t="str">
        <f>IF(OR(AM109="",AM109=0,$H109="",$H109=0,NOT(ISNUMBER($H109)),NOT(ISNUMBER(AM109))),IF(AND($E109&lt;&gt;"",AND(OR(ISNUMBER(AM109),AM109=""),AND(ISNUMBER($H109),$H109&gt;0))),'Feuille de Donnée'!$K$13,""),IF(AM109&lt;$H$168*'Feuille de Donnée'!$I$9,"Négligeable",(IF(AND(AK109&gt;=$F109*(1-'Feuille de Donnée'!$E$12),AK109&lt;=$F109*(1+'Feuille de Donnée'!$F$12)),'Feuille de Donnée'!$F$17,IF(AK109&lt;$F109*(1-'Feuille de Donnée'!$E$12),'Feuille de Donnée'!$F$18,'Feuille de Donnée'!$F$16))&amp;""&amp;IF(AND(AL109&gt;=$G109*(1-'Feuille de Donnée'!$E$27),AL109&lt;=$G109*(1+'Feuille de Donnée'!$F$27)),'Feuille de Donnée'!$F$32,IF(AL109&lt;$G109*(1-'Feuille de Donnée'!$E$27),'Feuille de Donnée'!$F$33,'Feuille de Donnée'!$F$31)))))</f>
        <v/>
      </c>
      <c r="AR109" s="138"/>
      <c r="AS109" s="103"/>
      <c r="AT109" s="27"/>
      <c r="AU109" s="27"/>
      <c r="AV109" s="27" t="str">
        <f t="shared" si="51"/>
        <v/>
      </c>
      <c r="AW109" s="121" t="str">
        <f t="shared" si="52"/>
        <v/>
      </c>
      <c r="AX109" s="121" t="str">
        <f t="shared" si="53"/>
        <v/>
      </c>
      <c r="AY109" s="27" t="str">
        <f>IF(AND(ISBLANK(BA109),AZ109=""),"",1+MAX(AY$21:AY108))</f>
        <v/>
      </c>
      <c r="AZ109" s="137" t="str">
        <f>IF(OR(AV109="",AV109=0,$H109="",$H109=0,NOT(ISNUMBER($H109)),NOT(ISNUMBER(AV109))),IF(AND($E109&lt;&gt;"",AND(OR(ISNUMBER(AV109),AV109=""),AND(ISNUMBER($H109),$H109&gt;0))),'Feuille de Donnée'!$K$13,""),IF(AV109&lt;$H$168*'Feuille de Donnée'!$I$9,"Négligeable",(IF(AND(AT109&gt;=$F109*(1-'Feuille de Donnée'!$E$12),AT109&lt;=$F109*(1+'Feuille de Donnée'!$F$12)),'Feuille de Donnée'!$F$17,IF(AT109&lt;$F109*(1-'Feuille de Donnée'!$E$12),'Feuille de Donnée'!$F$18,'Feuille de Donnée'!$F$16))&amp;""&amp;IF(AND(AU109&gt;=$G109*(1-'Feuille de Donnée'!$E$27),AU109&lt;=$G109*(1+'Feuille de Donnée'!$F$27)),'Feuille de Donnée'!$F$32,IF(AU109&lt;$G109*(1-'Feuille de Donnée'!$E$27),'Feuille de Donnée'!$F$33,'Feuille de Donnée'!$F$31)))))</f>
        <v/>
      </c>
      <c r="BA109" s="138"/>
      <c r="BB109" s="103"/>
      <c r="BC109" s="27"/>
      <c r="BD109" s="27"/>
      <c r="BE109" s="27" t="str">
        <f t="shared" si="54"/>
        <v/>
      </c>
      <c r="BF109" s="121" t="str">
        <f t="shared" si="55"/>
        <v/>
      </c>
      <c r="BG109" s="121" t="str">
        <f t="shared" si="56"/>
        <v/>
      </c>
      <c r="BH109" s="27" t="str">
        <f>IF(AND(ISBLANK(BJ109),BI109=""),"",1+MAX(BH$21:BH108))</f>
        <v/>
      </c>
      <c r="BI109" s="137" t="str">
        <f>IF(OR(BE109="",BE109=0,$H109="",$H109=0,NOT(ISNUMBER($H109)),NOT(ISNUMBER(BE109))),IF(AND($E109&lt;&gt;"",AND(OR(ISNUMBER(BE109),BE109=""),AND(ISNUMBER($H109),$H109&gt;0))),'Feuille de Donnée'!$K$13,""),IF(BE109&lt;$H$168*'Feuille de Donnée'!$I$9,"Négligeable",(IF(AND(BC109&gt;=$F109*(1-'Feuille de Donnée'!$E$12),BC109&lt;=$F109*(1+'Feuille de Donnée'!$F$12)),'Feuille de Donnée'!$F$17,IF(BC109&lt;$F109*(1-'Feuille de Donnée'!$E$12),'Feuille de Donnée'!$F$18,'Feuille de Donnée'!$F$16))&amp;""&amp;IF(AND(BD109&gt;=$G109*(1-'Feuille de Donnée'!$E$27),BD109&lt;=$G109*(1+'Feuille de Donnée'!$F$27)),'Feuille de Donnée'!$F$32,IF(BD109&lt;$G109*(1-'Feuille de Donnée'!$E$27),'Feuille de Donnée'!$F$33,'Feuille de Donnée'!$F$31)))))</f>
        <v/>
      </c>
      <c r="BJ109" s="138"/>
      <c r="BK109" s="140"/>
    </row>
    <row r="110" spans="1:63" s="6" customFormat="1" x14ac:dyDescent="0.3">
      <c r="A110" s="23"/>
      <c r="B110" s="24"/>
      <c r="C110" s="24"/>
      <c r="D110" s="24"/>
      <c r="E110" s="22"/>
      <c r="F110" s="25"/>
      <c r="G110" s="26"/>
      <c r="H110" s="102" t="str">
        <f t="shared" si="38"/>
        <v/>
      </c>
      <c r="I110" s="103"/>
      <c r="J110" s="27"/>
      <c r="K110" s="27"/>
      <c r="L110" s="27" t="str">
        <f t="shared" si="39"/>
        <v/>
      </c>
      <c r="M110" s="121" t="str">
        <f t="shared" si="40"/>
        <v/>
      </c>
      <c r="N110" s="121" t="str">
        <f t="shared" si="41"/>
        <v/>
      </c>
      <c r="O110" s="27" t="str">
        <f>IF(AND(ISBLANK(Q110),P110=""),"",1+MAX(O$21:O109))</f>
        <v/>
      </c>
      <c r="P110" s="137" t="str">
        <f>IF(OR(L110="",L110=0,$H110="",$H110=0,NOT(ISNUMBER($H110)),NOT(ISNUMBER(L110))),IF(AND($E110&lt;&gt;"",AND(OR(ISNUMBER(L110),L110=""),AND(ISNUMBER($H110),$H110&gt;0))),'Feuille de Donnée'!$K$13,""),IF(L110&lt;$H$168*'Feuille de Donnée'!$I$9,"Négligeable",(IF(AND(J110&gt;=$F110*(1-'Feuille de Donnée'!$E$12),J110&lt;=$F110*(1+'Feuille de Donnée'!$F$12)),'Feuille de Donnée'!$F$17,IF(J110&lt;$F110*(1-'Feuille de Donnée'!$E$12),'Feuille de Donnée'!$F$18,'Feuille de Donnée'!$F$16))&amp;""&amp;IF(AND(K110&gt;=$G110*(1-'Feuille de Donnée'!$E$27),K110&lt;=$G110*(1+'Feuille de Donnée'!$F$27)),'Feuille de Donnée'!$F$32,IF(K110&lt;$G110*(1-'Feuille de Donnée'!$E$27),'Feuille de Donnée'!$F$33,'Feuille de Donnée'!$F$31)))))</f>
        <v/>
      </c>
      <c r="Q110" s="138"/>
      <c r="R110" s="103"/>
      <c r="S110" s="27"/>
      <c r="T110" s="27"/>
      <c r="U110" s="27" t="str">
        <f t="shared" si="42"/>
        <v/>
      </c>
      <c r="V110" s="121" t="str">
        <f t="shared" si="43"/>
        <v/>
      </c>
      <c r="W110" s="121" t="str">
        <f t="shared" si="44"/>
        <v/>
      </c>
      <c r="X110" s="27" t="str">
        <f>IF(AND(ISBLANK(Z110),Y110=""),"",1+MAX(X$21:X109))</f>
        <v/>
      </c>
      <c r="Y110" s="137" t="str">
        <f>IF(OR(U110="",U110=0,$H110="",$H110=0,NOT(ISNUMBER($H110)),NOT(ISNUMBER(U110))),IF(AND($E110&lt;&gt;"",AND(OR(ISNUMBER(U110),U110=""),AND(ISNUMBER($H110),$H110&gt;0))),'Feuille de Donnée'!$K$13,""),IF(U110&lt;$H$168*'Feuille de Donnée'!$I$9,"Négligeable",(IF(AND(S110&gt;=$F110*(1-'Feuille de Donnée'!$E$12),S110&lt;=$F110*(1+'Feuille de Donnée'!$F$12)),'Feuille de Donnée'!$F$17,IF(S110&lt;$F110*(1-'Feuille de Donnée'!$E$12),'Feuille de Donnée'!$F$18,'Feuille de Donnée'!$F$16))&amp;""&amp;IF(AND(T110&gt;=$G110*(1-'Feuille de Donnée'!$E$27),T110&lt;=$G110*(1+'Feuille de Donnée'!$F$27)),'Feuille de Donnée'!$F$32,IF(T110&lt;$G110*(1-'Feuille de Donnée'!$E$27),'Feuille de Donnée'!$F$33,'Feuille de Donnée'!$F$31)))))</f>
        <v/>
      </c>
      <c r="Z110" s="138"/>
      <c r="AA110" s="103"/>
      <c r="AB110" s="27"/>
      <c r="AC110" s="27"/>
      <c r="AD110" s="27" t="str">
        <f t="shared" si="45"/>
        <v/>
      </c>
      <c r="AE110" s="121" t="str">
        <f t="shared" si="46"/>
        <v/>
      </c>
      <c r="AF110" s="121" t="str">
        <f t="shared" si="47"/>
        <v/>
      </c>
      <c r="AG110" s="27" t="str">
        <f>IF(AND(ISBLANK(AI110),AH110=""),"",1+MAX(AG$21:AG109))</f>
        <v/>
      </c>
      <c r="AH110" s="137" t="str">
        <f>IF(OR(AD110="",AD110=0,$H110="",$H110=0,NOT(ISNUMBER($H110)),NOT(ISNUMBER(AD110))),IF(AND($E110&lt;&gt;"",AND(OR(ISNUMBER(AD110),AD110=""),AND(ISNUMBER($H110),$H110&gt;0))),'Feuille de Donnée'!$K$13,""),IF(AD110&lt;$H$168*'Feuille de Donnée'!$I$9,"Négligeable",(IF(AND(AB110&gt;=$F110*(1-'Feuille de Donnée'!$E$12),AB110&lt;=$F110*(1+'Feuille de Donnée'!$F$12)),'Feuille de Donnée'!$F$17,IF(AB110&lt;$F110*(1-'Feuille de Donnée'!$E$12),'Feuille de Donnée'!$F$18,'Feuille de Donnée'!$F$16))&amp;""&amp;IF(AND(AC110&gt;=$G110*(1-'Feuille de Donnée'!$E$27),AC110&lt;=$G110*(1+'Feuille de Donnée'!$F$27)),'Feuille de Donnée'!$F$32,IF(AC110&lt;$G110*(1-'Feuille de Donnée'!$E$27),'Feuille de Donnée'!$F$33,'Feuille de Donnée'!$F$31)))))</f>
        <v/>
      </c>
      <c r="AI110" s="138"/>
      <c r="AJ110" s="103"/>
      <c r="AK110" s="27"/>
      <c r="AL110" s="27"/>
      <c r="AM110" s="27" t="str">
        <f t="shared" si="48"/>
        <v/>
      </c>
      <c r="AN110" s="121" t="str">
        <f t="shared" si="49"/>
        <v/>
      </c>
      <c r="AO110" s="121" t="str">
        <f t="shared" si="50"/>
        <v/>
      </c>
      <c r="AP110" s="27" t="str">
        <f>IF(AND(ISBLANK(AR110),AQ110=""),"",1+MAX(AP$21:AP109))</f>
        <v/>
      </c>
      <c r="AQ110" s="137" t="str">
        <f>IF(OR(AM110="",AM110=0,$H110="",$H110=0,NOT(ISNUMBER($H110)),NOT(ISNUMBER(AM110))),IF(AND($E110&lt;&gt;"",AND(OR(ISNUMBER(AM110),AM110=""),AND(ISNUMBER($H110),$H110&gt;0))),'Feuille de Donnée'!$K$13,""),IF(AM110&lt;$H$168*'Feuille de Donnée'!$I$9,"Négligeable",(IF(AND(AK110&gt;=$F110*(1-'Feuille de Donnée'!$E$12),AK110&lt;=$F110*(1+'Feuille de Donnée'!$F$12)),'Feuille de Donnée'!$F$17,IF(AK110&lt;$F110*(1-'Feuille de Donnée'!$E$12),'Feuille de Donnée'!$F$18,'Feuille de Donnée'!$F$16))&amp;""&amp;IF(AND(AL110&gt;=$G110*(1-'Feuille de Donnée'!$E$27),AL110&lt;=$G110*(1+'Feuille de Donnée'!$F$27)),'Feuille de Donnée'!$F$32,IF(AL110&lt;$G110*(1-'Feuille de Donnée'!$E$27),'Feuille de Donnée'!$F$33,'Feuille de Donnée'!$F$31)))))</f>
        <v/>
      </c>
      <c r="AR110" s="138"/>
      <c r="AS110" s="103"/>
      <c r="AT110" s="27"/>
      <c r="AU110" s="27"/>
      <c r="AV110" s="27" t="str">
        <f t="shared" si="51"/>
        <v/>
      </c>
      <c r="AW110" s="121" t="str">
        <f t="shared" si="52"/>
        <v/>
      </c>
      <c r="AX110" s="121" t="str">
        <f t="shared" si="53"/>
        <v/>
      </c>
      <c r="AY110" s="27" t="str">
        <f>IF(AND(ISBLANK(BA110),AZ110=""),"",1+MAX(AY$21:AY109))</f>
        <v/>
      </c>
      <c r="AZ110" s="137" t="str">
        <f>IF(OR(AV110="",AV110=0,$H110="",$H110=0,NOT(ISNUMBER($H110)),NOT(ISNUMBER(AV110))),IF(AND($E110&lt;&gt;"",AND(OR(ISNUMBER(AV110),AV110=""),AND(ISNUMBER($H110),$H110&gt;0))),'Feuille de Donnée'!$K$13,""),IF(AV110&lt;$H$168*'Feuille de Donnée'!$I$9,"Négligeable",(IF(AND(AT110&gt;=$F110*(1-'Feuille de Donnée'!$E$12),AT110&lt;=$F110*(1+'Feuille de Donnée'!$F$12)),'Feuille de Donnée'!$F$17,IF(AT110&lt;$F110*(1-'Feuille de Donnée'!$E$12),'Feuille de Donnée'!$F$18,'Feuille de Donnée'!$F$16))&amp;""&amp;IF(AND(AU110&gt;=$G110*(1-'Feuille de Donnée'!$E$27),AU110&lt;=$G110*(1+'Feuille de Donnée'!$F$27)),'Feuille de Donnée'!$F$32,IF(AU110&lt;$G110*(1-'Feuille de Donnée'!$E$27),'Feuille de Donnée'!$F$33,'Feuille de Donnée'!$F$31)))))</f>
        <v/>
      </c>
      <c r="BA110" s="138"/>
      <c r="BB110" s="103"/>
      <c r="BC110" s="27"/>
      <c r="BD110" s="27"/>
      <c r="BE110" s="27" t="str">
        <f t="shared" si="54"/>
        <v/>
      </c>
      <c r="BF110" s="121" t="str">
        <f t="shared" si="55"/>
        <v/>
      </c>
      <c r="BG110" s="121" t="str">
        <f t="shared" si="56"/>
        <v/>
      </c>
      <c r="BH110" s="27" t="str">
        <f>IF(AND(ISBLANK(BJ110),BI110=""),"",1+MAX(BH$21:BH109))</f>
        <v/>
      </c>
      <c r="BI110" s="137" t="str">
        <f>IF(OR(BE110="",BE110=0,$H110="",$H110=0,NOT(ISNUMBER($H110)),NOT(ISNUMBER(BE110))),IF(AND($E110&lt;&gt;"",AND(OR(ISNUMBER(BE110),BE110=""),AND(ISNUMBER($H110),$H110&gt;0))),'Feuille de Donnée'!$K$13,""),IF(BE110&lt;$H$168*'Feuille de Donnée'!$I$9,"Négligeable",(IF(AND(BC110&gt;=$F110*(1-'Feuille de Donnée'!$E$12),BC110&lt;=$F110*(1+'Feuille de Donnée'!$F$12)),'Feuille de Donnée'!$F$17,IF(BC110&lt;$F110*(1-'Feuille de Donnée'!$E$12),'Feuille de Donnée'!$F$18,'Feuille de Donnée'!$F$16))&amp;""&amp;IF(AND(BD110&gt;=$G110*(1-'Feuille de Donnée'!$E$27),BD110&lt;=$G110*(1+'Feuille de Donnée'!$F$27)),'Feuille de Donnée'!$F$32,IF(BD110&lt;$G110*(1-'Feuille de Donnée'!$E$27),'Feuille de Donnée'!$F$33,'Feuille de Donnée'!$F$31)))))</f>
        <v/>
      </c>
      <c r="BJ110" s="138"/>
      <c r="BK110" s="140"/>
    </row>
    <row r="111" spans="1:63" s="6" customFormat="1" x14ac:dyDescent="0.3">
      <c r="A111" s="23"/>
      <c r="B111" s="24"/>
      <c r="C111" s="24"/>
      <c r="D111" s="24"/>
      <c r="E111" s="22"/>
      <c r="F111" s="25"/>
      <c r="G111" s="26"/>
      <c r="H111" s="102" t="str">
        <f t="shared" si="38"/>
        <v/>
      </c>
      <c r="I111" s="103"/>
      <c r="J111" s="27"/>
      <c r="K111" s="27"/>
      <c r="L111" s="27" t="str">
        <f t="shared" si="39"/>
        <v/>
      </c>
      <c r="M111" s="121" t="str">
        <f t="shared" si="40"/>
        <v/>
      </c>
      <c r="N111" s="121" t="str">
        <f t="shared" si="41"/>
        <v/>
      </c>
      <c r="O111" s="27" t="str">
        <f>IF(AND(ISBLANK(Q111),P111=""),"",1+MAX(O$21:O110))</f>
        <v/>
      </c>
      <c r="P111" s="137" t="str">
        <f>IF(OR(L111="",L111=0,$H111="",$H111=0,NOT(ISNUMBER($H111)),NOT(ISNUMBER(L111))),IF(AND($E111&lt;&gt;"",AND(OR(ISNUMBER(L111),L111=""),AND(ISNUMBER($H111),$H111&gt;0))),'Feuille de Donnée'!$K$13,""),IF(L111&lt;$H$168*'Feuille de Donnée'!$I$9,"Négligeable",(IF(AND(J111&gt;=$F111*(1-'Feuille de Donnée'!$E$12),J111&lt;=$F111*(1+'Feuille de Donnée'!$F$12)),'Feuille de Donnée'!$F$17,IF(J111&lt;$F111*(1-'Feuille de Donnée'!$E$12),'Feuille de Donnée'!$F$18,'Feuille de Donnée'!$F$16))&amp;""&amp;IF(AND(K111&gt;=$G111*(1-'Feuille de Donnée'!$E$27),K111&lt;=$G111*(1+'Feuille de Donnée'!$F$27)),'Feuille de Donnée'!$F$32,IF(K111&lt;$G111*(1-'Feuille de Donnée'!$E$27),'Feuille de Donnée'!$F$33,'Feuille de Donnée'!$F$31)))))</f>
        <v/>
      </c>
      <c r="Q111" s="138"/>
      <c r="R111" s="103"/>
      <c r="S111" s="27"/>
      <c r="T111" s="27"/>
      <c r="U111" s="27" t="str">
        <f t="shared" si="42"/>
        <v/>
      </c>
      <c r="V111" s="121" t="str">
        <f t="shared" si="43"/>
        <v/>
      </c>
      <c r="W111" s="121" t="str">
        <f t="shared" si="44"/>
        <v/>
      </c>
      <c r="X111" s="27" t="str">
        <f>IF(AND(ISBLANK(Z111),Y111=""),"",1+MAX(X$21:X110))</f>
        <v/>
      </c>
      <c r="Y111" s="137" t="str">
        <f>IF(OR(U111="",U111=0,$H111="",$H111=0,NOT(ISNUMBER($H111)),NOT(ISNUMBER(U111))),IF(AND($E111&lt;&gt;"",AND(OR(ISNUMBER(U111),U111=""),AND(ISNUMBER($H111),$H111&gt;0))),'Feuille de Donnée'!$K$13,""),IF(U111&lt;$H$168*'Feuille de Donnée'!$I$9,"Négligeable",(IF(AND(S111&gt;=$F111*(1-'Feuille de Donnée'!$E$12),S111&lt;=$F111*(1+'Feuille de Donnée'!$F$12)),'Feuille de Donnée'!$F$17,IF(S111&lt;$F111*(1-'Feuille de Donnée'!$E$12),'Feuille de Donnée'!$F$18,'Feuille de Donnée'!$F$16))&amp;""&amp;IF(AND(T111&gt;=$G111*(1-'Feuille de Donnée'!$E$27),T111&lt;=$G111*(1+'Feuille de Donnée'!$F$27)),'Feuille de Donnée'!$F$32,IF(T111&lt;$G111*(1-'Feuille de Donnée'!$E$27),'Feuille de Donnée'!$F$33,'Feuille de Donnée'!$F$31)))))</f>
        <v/>
      </c>
      <c r="Z111" s="138"/>
      <c r="AA111" s="103"/>
      <c r="AB111" s="27"/>
      <c r="AC111" s="27"/>
      <c r="AD111" s="27" t="str">
        <f t="shared" si="45"/>
        <v/>
      </c>
      <c r="AE111" s="121" t="str">
        <f t="shared" si="46"/>
        <v/>
      </c>
      <c r="AF111" s="121" t="str">
        <f t="shared" si="47"/>
        <v/>
      </c>
      <c r="AG111" s="27" t="str">
        <f>IF(AND(ISBLANK(AI111),AH111=""),"",1+MAX(AG$21:AG110))</f>
        <v/>
      </c>
      <c r="AH111" s="137" t="str">
        <f>IF(OR(AD111="",AD111=0,$H111="",$H111=0,NOT(ISNUMBER($H111)),NOT(ISNUMBER(AD111))),IF(AND($E111&lt;&gt;"",AND(OR(ISNUMBER(AD111),AD111=""),AND(ISNUMBER($H111),$H111&gt;0))),'Feuille de Donnée'!$K$13,""),IF(AD111&lt;$H$168*'Feuille de Donnée'!$I$9,"Négligeable",(IF(AND(AB111&gt;=$F111*(1-'Feuille de Donnée'!$E$12),AB111&lt;=$F111*(1+'Feuille de Donnée'!$F$12)),'Feuille de Donnée'!$F$17,IF(AB111&lt;$F111*(1-'Feuille de Donnée'!$E$12),'Feuille de Donnée'!$F$18,'Feuille de Donnée'!$F$16))&amp;""&amp;IF(AND(AC111&gt;=$G111*(1-'Feuille de Donnée'!$E$27),AC111&lt;=$G111*(1+'Feuille de Donnée'!$F$27)),'Feuille de Donnée'!$F$32,IF(AC111&lt;$G111*(1-'Feuille de Donnée'!$E$27),'Feuille de Donnée'!$F$33,'Feuille de Donnée'!$F$31)))))</f>
        <v/>
      </c>
      <c r="AI111" s="138"/>
      <c r="AJ111" s="103"/>
      <c r="AK111" s="27"/>
      <c r="AL111" s="27"/>
      <c r="AM111" s="27" t="str">
        <f t="shared" si="48"/>
        <v/>
      </c>
      <c r="AN111" s="121" t="str">
        <f t="shared" si="49"/>
        <v/>
      </c>
      <c r="AO111" s="121" t="str">
        <f t="shared" si="50"/>
        <v/>
      </c>
      <c r="AP111" s="27" t="str">
        <f>IF(AND(ISBLANK(AR111),AQ111=""),"",1+MAX(AP$21:AP110))</f>
        <v/>
      </c>
      <c r="AQ111" s="137" t="str">
        <f>IF(OR(AM111="",AM111=0,$H111="",$H111=0,NOT(ISNUMBER($H111)),NOT(ISNUMBER(AM111))),IF(AND($E111&lt;&gt;"",AND(OR(ISNUMBER(AM111),AM111=""),AND(ISNUMBER($H111),$H111&gt;0))),'Feuille de Donnée'!$K$13,""),IF(AM111&lt;$H$168*'Feuille de Donnée'!$I$9,"Négligeable",(IF(AND(AK111&gt;=$F111*(1-'Feuille de Donnée'!$E$12),AK111&lt;=$F111*(1+'Feuille de Donnée'!$F$12)),'Feuille de Donnée'!$F$17,IF(AK111&lt;$F111*(1-'Feuille de Donnée'!$E$12),'Feuille de Donnée'!$F$18,'Feuille de Donnée'!$F$16))&amp;""&amp;IF(AND(AL111&gt;=$G111*(1-'Feuille de Donnée'!$E$27),AL111&lt;=$G111*(1+'Feuille de Donnée'!$F$27)),'Feuille de Donnée'!$F$32,IF(AL111&lt;$G111*(1-'Feuille de Donnée'!$E$27),'Feuille de Donnée'!$F$33,'Feuille de Donnée'!$F$31)))))</f>
        <v/>
      </c>
      <c r="AR111" s="138"/>
      <c r="AS111" s="103"/>
      <c r="AT111" s="27"/>
      <c r="AU111" s="27"/>
      <c r="AV111" s="27" t="str">
        <f t="shared" si="51"/>
        <v/>
      </c>
      <c r="AW111" s="121" t="str">
        <f t="shared" si="52"/>
        <v/>
      </c>
      <c r="AX111" s="121" t="str">
        <f t="shared" si="53"/>
        <v/>
      </c>
      <c r="AY111" s="27" t="str">
        <f>IF(AND(ISBLANK(BA111),AZ111=""),"",1+MAX(AY$21:AY110))</f>
        <v/>
      </c>
      <c r="AZ111" s="137" t="str">
        <f>IF(OR(AV111="",AV111=0,$H111="",$H111=0,NOT(ISNUMBER($H111)),NOT(ISNUMBER(AV111))),IF(AND($E111&lt;&gt;"",AND(OR(ISNUMBER(AV111),AV111=""),AND(ISNUMBER($H111),$H111&gt;0))),'Feuille de Donnée'!$K$13,""),IF(AV111&lt;$H$168*'Feuille de Donnée'!$I$9,"Négligeable",(IF(AND(AT111&gt;=$F111*(1-'Feuille de Donnée'!$E$12),AT111&lt;=$F111*(1+'Feuille de Donnée'!$F$12)),'Feuille de Donnée'!$F$17,IF(AT111&lt;$F111*(1-'Feuille de Donnée'!$E$12),'Feuille de Donnée'!$F$18,'Feuille de Donnée'!$F$16))&amp;""&amp;IF(AND(AU111&gt;=$G111*(1-'Feuille de Donnée'!$E$27),AU111&lt;=$G111*(1+'Feuille de Donnée'!$F$27)),'Feuille de Donnée'!$F$32,IF(AU111&lt;$G111*(1-'Feuille de Donnée'!$E$27),'Feuille de Donnée'!$F$33,'Feuille de Donnée'!$F$31)))))</f>
        <v/>
      </c>
      <c r="BA111" s="138"/>
      <c r="BB111" s="103"/>
      <c r="BC111" s="27"/>
      <c r="BD111" s="27"/>
      <c r="BE111" s="27" t="str">
        <f t="shared" si="54"/>
        <v/>
      </c>
      <c r="BF111" s="121" t="str">
        <f t="shared" si="55"/>
        <v/>
      </c>
      <c r="BG111" s="121" t="str">
        <f t="shared" si="56"/>
        <v/>
      </c>
      <c r="BH111" s="27" t="str">
        <f>IF(AND(ISBLANK(BJ111),BI111=""),"",1+MAX(BH$21:BH110))</f>
        <v/>
      </c>
      <c r="BI111" s="137" t="str">
        <f>IF(OR(BE111="",BE111=0,$H111="",$H111=0,NOT(ISNUMBER($H111)),NOT(ISNUMBER(BE111))),IF(AND($E111&lt;&gt;"",AND(OR(ISNUMBER(BE111),BE111=""),AND(ISNUMBER($H111),$H111&gt;0))),'Feuille de Donnée'!$K$13,""),IF(BE111&lt;$H$168*'Feuille de Donnée'!$I$9,"Négligeable",(IF(AND(BC111&gt;=$F111*(1-'Feuille de Donnée'!$E$12),BC111&lt;=$F111*(1+'Feuille de Donnée'!$F$12)),'Feuille de Donnée'!$F$17,IF(BC111&lt;$F111*(1-'Feuille de Donnée'!$E$12),'Feuille de Donnée'!$F$18,'Feuille de Donnée'!$F$16))&amp;""&amp;IF(AND(BD111&gt;=$G111*(1-'Feuille de Donnée'!$E$27),BD111&lt;=$G111*(1+'Feuille de Donnée'!$F$27)),'Feuille de Donnée'!$F$32,IF(BD111&lt;$G111*(1-'Feuille de Donnée'!$E$27),'Feuille de Donnée'!$F$33,'Feuille de Donnée'!$F$31)))))</f>
        <v/>
      </c>
      <c r="BJ111" s="138"/>
      <c r="BK111" s="140"/>
    </row>
    <row r="112" spans="1:63" s="6" customFormat="1" x14ac:dyDescent="0.3">
      <c r="A112" s="23"/>
      <c r="B112" s="24"/>
      <c r="C112" s="24"/>
      <c r="D112" s="24"/>
      <c r="E112" s="22"/>
      <c r="F112" s="25"/>
      <c r="G112" s="26"/>
      <c r="H112" s="102" t="str">
        <f t="shared" si="38"/>
        <v/>
      </c>
      <c r="I112" s="103"/>
      <c r="J112" s="27"/>
      <c r="K112" s="27"/>
      <c r="L112" s="27" t="str">
        <f t="shared" si="39"/>
        <v/>
      </c>
      <c r="M112" s="121" t="str">
        <f t="shared" si="40"/>
        <v/>
      </c>
      <c r="N112" s="121" t="str">
        <f t="shared" si="41"/>
        <v/>
      </c>
      <c r="O112" s="27" t="str">
        <f>IF(AND(ISBLANK(Q112),P112=""),"",1+MAX(O$21:O111))</f>
        <v/>
      </c>
      <c r="P112" s="137" t="str">
        <f>IF(OR(L112="",L112=0,$H112="",$H112=0,NOT(ISNUMBER($H112)),NOT(ISNUMBER(L112))),IF(AND($E112&lt;&gt;"",AND(OR(ISNUMBER(L112),L112=""),AND(ISNUMBER($H112),$H112&gt;0))),'Feuille de Donnée'!$K$13,""),IF(L112&lt;$H$168*'Feuille de Donnée'!$I$9,"Négligeable",(IF(AND(J112&gt;=$F112*(1-'Feuille de Donnée'!$E$12),J112&lt;=$F112*(1+'Feuille de Donnée'!$F$12)),'Feuille de Donnée'!$F$17,IF(J112&lt;$F112*(1-'Feuille de Donnée'!$E$12),'Feuille de Donnée'!$F$18,'Feuille de Donnée'!$F$16))&amp;""&amp;IF(AND(K112&gt;=$G112*(1-'Feuille de Donnée'!$E$27),K112&lt;=$G112*(1+'Feuille de Donnée'!$F$27)),'Feuille de Donnée'!$F$32,IF(K112&lt;$G112*(1-'Feuille de Donnée'!$E$27),'Feuille de Donnée'!$F$33,'Feuille de Donnée'!$F$31)))))</f>
        <v/>
      </c>
      <c r="Q112" s="138"/>
      <c r="R112" s="103"/>
      <c r="S112" s="27"/>
      <c r="T112" s="27"/>
      <c r="U112" s="27" t="str">
        <f t="shared" si="42"/>
        <v/>
      </c>
      <c r="V112" s="121" t="str">
        <f t="shared" si="43"/>
        <v/>
      </c>
      <c r="W112" s="121" t="str">
        <f t="shared" si="44"/>
        <v/>
      </c>
      <c r="X112" s="27" t="str">
        <f>IF(AND(ISBLANK(Z112),Y112=""),"",1+MAX(X$21:X111))</f>
        <v/>
      </c>
      <c r="Y112" s="137" t="str">
        <f>IF(OR(U112="",U112=0,$H112="",$H112=0,NOT(ISNUMBER($H112)),NOT(ISNUMBER(U112))),IF(AND($E112&lt;&gt;"",AND(OR(ISNUMBER(U112),U112=""),AND(ISNUMBER($H112),$H112&gt;0))),'Feuille de Donnée'!$K$13,""),IF(U112&lt;$H$168*'Feuille de Donnée'!$I$9,"Négligeable",(IF(AND(S112&gt;=$F112*(1-'Feuille de Donnée'!$E$12),S112&lt;=$F112*(1+'Feuille de Donnée'!$F$12)),'Feuille de Donnée'!$F$17,IF(S112&lt;$F112*(1-'Feuille de Donnée'!$E$12),'Feuille de Donnée'!$F$18,'Feuille de Donnée'!$F$16))&amp;""&amp;IF(AND(T112&gt;=$G112*(1-'Feuille de Donnée'!$E$27),T112&lt;=$G112*(1+'Feuille de Donnée'!$F$27)),'Feuille de Donnée'!$F$32,IF(T112&lt;$G112*(1-'Feuille de Donnée'!$E$27),'Feuille de Donnée'!$F$33,'Feuille de Donnée'!$F$31)))))</f>
        <v/>
      </c>
      <c r="Z112" s="138"/>
      <c r="AA112" s="103"/>
      <c r="AB112" s="27"/>
      <c r="AC112" s="27"/>
      <c r="AD112" s="27" t="str">
        <f t="shared" si="45"/>
        <v/>
      </c>
      <c r="AE112" s="121" t="str">
        <f t="shared" si="46"/>
        <v/>
      </c>
      <c r="AF112" s="121" t="str">
        <f t="shared" si="47"/>
        <v/>
      </c>
      <c r="AG112" s="27" t="str">
        <f>IF(AND(ISBLANK(AI112),AH112=""),"",1+MAX(AG$21:AG111))</f>
        <v/>
      </c>
      <c r="AH112" s="137" t="str">
        <f>IF(OR(AD112="",AD112=0,$H112="",$H112=0,NOT(ISNUMBER($H112)),NOT(ISNUMBER(AD112))),IF(AND($E112&lt;&gt;"",AND(OR(ISNUMBER(AD112),AD112=""),AND(ISNUMBER($H112),$H112&gt;0))),'Feuille de Donnée'!$K$13,""),IF(AD112&lt;$H$168*'Feuille de Donnée'!$I$9,"Négligeable",(IF(AND(AB112&gt;=$F112*(1-'Feuille de Donnée'!$E$12),AB112&lt;=$F112*(1+'Feuille de Donnée'!$F$12)),'Feuille de Donnée'!$F$17,IF(AB112&lt;$F112*(1-'Feuille de Donnée'!$E$12),'Feuille de Donnée'!$F$18,'Feuille de Donnée'!$F$16))&amp;""&amp;IF(AND(AC112&gt;=$G112*(1-'Feuille de Donnée'!$E$27),AC112&lt;=$G112*(1+'Feuille de Donnée'!$F$27)),'Feuille de Donnée'!$F$32,IF(AC112&lt;$G112*(1-'Feuille de Donnée'!$E$27),'Feuille de Donnée'!$F$33,'Feuille de Donnée'!$F$31)))))</f>
        <v/>
      </c>
      <c r="AI112" s="138"/>
      <c r="AJ112" s="103"/>
      <c r="AK112" s="27"/>
      <c r="AL112" s="27"/>
      <c r="AM112" s="27" t="str">
        <f t="shared" si="48"/>
        <v/>
      </c>
      <c r="AN112" s="121" t="str">
        <f t="shared" si="49"/>
        <v/>
      </c>
      <c r="AO112" s="121" t="str">
        <f t="shared" si="50"/>
        <v/>
      </c>
      <c r="AP112" s="27" t="str">
        <f>IF(AND(ISBLANK(AR112),AQ112=""),"",1+MAX(AP$21:AP111))</f>
        <v/>
      </c>
      <c r="AQ112" s="137" t="str">
        <f>IF(OR(AM112="",AM112=0,$H112="",$H112=0,NOT(ISNUMBER($H112)),NOT(ISNUMBER(AM112))),IF(AND($E112&lt;&gt;"",AND(OR(ISNUMBER(AM112),AM112=""),AND(ISNUMBER($H112),$H112&gt;0))),'Feuille de Donnée'!$K$13,""),IF(AM112&lt;$H$168*'Feuille de Donnée'!$I$9,"Négligeable",(IF(AND(AK112&gt;=$F112*(1-'Feuille de Donnée'!$E$12),AK112&lt;=$F112*(1+'Feuille de Donnée'!$F$12)),'Feuille de Donnée'!$F$17,IF(AK112&lt;$F112*(1-'Feuille de Donnée'!$E$12),'Feuille de Donnée'!$F$18,'Feuille de Donnée'!$F$16))&amp;""&amp;IF(AND(AL112&gt;=$G112*(1-'Feuille de Donnée'!$E$27),AL112&lt;=$G112*(1+'Feuille de Donnée'!$F$27)),'Feuille de Donnée'!$F$32,IF(AL112&lt;$G112*(1-'Feuille de Donnée'!$E$27),'Feuille de Donnée'!$F$33,'Feuille de Donnée'!$F$31)))))</f>
        <v/>
      </c>
      <c r="AR112" s="138"/>
      <c r="AS112" s="103"/>
      <c r="AT112" s="27"/>
      <c r="AU112" s="27"/>
      <c r="AV112" s="27" t="str">
        <f t="shared" si="51"/>
        <v/>
      </c>
      <c r="AW112" s="121" t="str">
        <f t="shared" si="52"/>
        <v/>
      </c>
      <c r="AX112" s="121" t="str">
        <f t="shared" si="53"/>
        <v/>
      </c>
      <c r="AY112" s="27" t="str">
        <f>IF(AND(ISBLANK(BA112),AZ112=""),"",1+MAX(AY$21:AY111))</f>
        <v/>
      </c>
      <c r="AZ112" s="137" t="str">
        <f>IF(OR(AV112="",AV112=0,$H112="",$H112=0,NOT(ISNUMBER($H112)),NOT(ISNUMBER(AV112))),IF(AND($E112&lt;&gt;"",AND(OR(ISNUMBER(AV112),AV112=""),AND(ISNUMBER($H112),$H112&gt;0))),'Feuille de Donnée'!$K$13,""),IF(AV112&lt;$H$168*'Feuille de Donnée'!$I$9,"Négligeable",(IF(AND(AT112&gt;=$F112*(1-'Feuille de Donnée'!$E$12),AT112&lt;=$F112*(1+'Feuille de Donnée'!$F$12)),'Feuille de Donnée'!$F$17,IF(AT112&lt;$F112*(1-'Feuille de Donnée'!$E$12),'Feuille de Donnée'!$F$18,'Feuille de Donnée'!$F$16))&amp;""&amp;IF(AND(AU112&gt;=$G112*(1-'Feuille de Donnée'!$E$27),AU112&lt;=$G112*(1+'Feuille de Donnée'!$F$27)),'Feuille de Donnée'!$F$32,IF(AU112&lt;$G112*(1-'Feuille de Donnée'!$E$27),'Feuille de Donnée'!$F$33,'Feuille de Donnée'!$F$31)))))</f>
        <v/>
      </c>
      <c r="BA112" s="138"/>
      <c r="BB112" s="103"/>
      <c r="BC112" s="27"/>
      <c r="BD112" s="27"/>
      <c r="BE112" s="27" t="str">
        <f t="shared" si="54"/>
        <v/>
      </c>
      <c r="BF112" s="121" t="str">
        <f t="shared" si="55"/>
        <v/>
      </c>
      <c r="BG112" s="121" t="str">
        <f t="shared" si="56"/>
        <v/>
      </c>
      <c r="BH112" s="27" t="str">
        <f>IF(AND(ISBLANK(BJ112),BI112=""),"",1+MAX(BH$21:BH111))</f>
        <v/>
      </c>
      <c r="BI112" s="137" t="str">
        <f>IF(OR(BE112="",BE112=0,$H112="",$H112=0,NOT(ISNUMBER($H112)),NOT(ISNUMBER(BE112))),IF(AND($E112&lt;&gt;"",AND(OR(ISNUMBER(BE112),BE112=""),AND(ISNUMBER($H112),$H112&gt;0))),'Feuille de Donnée'!$K$13,""),IF(BE112&lt;$H$168*'Feuille de Donnée'!$I$9,"Négligeable",(IF(AND(BC112&gt;=$F112*(1-'Feuille de Donnée'!$E$12),BC112&lt;=$F112*(1+'Feuille de Donnée'!$F$12)),'Feuille de Donnée'!$F$17,IF(BC112&lt;$F112*(1-'Feuille de Donnée'!$E$12),'Feuille de Donnée'!$F$18,'Feuille de Donnée'!$F$16))&amp;""&amp;IF(AND(BD112&gt;=$G112*(1-'Feuille de Donnée'!$E$27),BD112&lt;=$G112*(1+'Feuille de Donnée'!$F$27)),'Feuille de Donnée'!$F$32,IF(BD112&lt;$G112*(1-'Feuille de Donnée'!$E$27),'Feuille de Donnée'!$F$33,'Feuille de Donnée'!$F$31)))))</f>
        <v/>
      </c>
      <c r="BJ112" s="138"/>
      <c r="BK112" s="140"/>
    </row>
    <row r="113" spans="1:63" s="6" customFormat="1" x14ac:dyDescent="0.3">
      <c r="A113" s="23"/>
      <c r="B113" s="24"/>
      <c r="C113" s="24"/>
      <c r="D113" s="24"/>
      <c r="E113" s="22"/>
      <c r="F113" s="25"/>
      <c r="G113" s="26"/>
      <c r="H113" s="102" t="str">
        <f t="shared" si="38"/>
        <v/>
      </c>
      <c r="I113" s="103"/>
      <c r="J113" s="27"/>
      <c r="K113" s="27"/>
      <c r="L113" s="27" t="str">
        <f t="shared" si="39"/>
        <v/>
      </c>
      <c r="M113" s="121" t="str">
        <f t="shared" si="40"/>
        <v/>
      </c>
      <c r="N113" s="121" t="str">
        <f t="shared" si="41"/>
        <v/>
      </c>
      <c r="O113" s="27" t="str">
        <f>IF(AND(ISBLANK(Q113),P113=""),"",1+MAX(O$21:O112))</f>
        <v/>
      </c>
      <c r="P113" s="137" t="str">
        <f>IF(OR(L113="",L113=0,$H113="",$H113=0,NOT(ISNUMBER($H113)),NOT(ISNUMBER(L113))),IF(AND($E113&lt;&gt;"",AND(OR(ISNUMBER(L113),L113=""),AND(ISNUMBER($H113),$H113&gt;0))),'Feuille de Donnée'!$K$13,""),IF(L113&lt;$H$168*'Feuille de Donnée'!$I$9,"Négligeable",(IF(AND(J113&gt;=$F113*(1-'Feuille de Donnée'!$E$12),J113&lt;=$F113*(1+'Feuille de Donnée'!$F$12)),'Feuille de Donnée'!$F$17,IF(J113&lt;$F113*(1-'Feuille de Donnée'!$E$12),'Feuille de Donnée'!$F$18,'Feuille de Donnée'!$F$16))&amp;""&amp;IF(AND(K113&gt;=$G113*(1-'Feuille de Donnée'!$E$27),K113&lt;=$G113*(1+'Feuille de Donnée'!$F$27)),'Feuille de Donnée'!$F$32,IF(K113&lt;$G113*(1-'Feuille de Donnée'!$E$27),'Feuille de Donnée'!$F$33,'Feuille de Donnée'!$F$31)))))</f>
        <v/>
      </c>
      <c r="Q113" s="138"/>
      <c r="R113" s="103"/>
      <c r="S113" s="27"/>
      <c r="T113" s="27"/>
      <c r="U113" s="27" t="str">
        <f t="shared" si="42"/>
        <v/>
      </c>
      <c r="V113" s="121" t="str">
        <f t="shared" si="43"/>
        <v/>
      </c>
      <c r="W113" s="121" t="str">
        <f t="shared" si="44"/>
        <v/>
      </c>
      <c r="X113" s="27" t="str">
        <f>IF(AND(ISBLANK(Z113),Y113=""),"",1+MAX(X$21:X112))</f>
        <v/>
      </c>
      <c r="Y113" s="137" t="str">
        <f>IF(OR(U113="",U113=0,$H113="",$H113=0,NOT(ISNUMBER($H113)),NOT(ISNUMBER(U113))),IF(AND($E113&lt;&gt;"",AND(OR(ISNUMBER(U113),U113=""),AND(ISNUMBER($H113),$H113&gt;0))),'Feuille de Donnée'!$K$13,""),IF(U113&lt;$H$168*'Feuille de Donnée'!$I$9,"Négligeable",(IF(AND(S113&gt;=$F113*(1-'Feuille de Donnée'!$E$12),S113&lt;=$F113*(1+'Feuille de Donnée'!$F$12)),'Feuille de Donnée'!$F$17,IF(S113&lt;$F113*(1-'Feuille de Donnée'!$E$12),'Feuille de Donnée'!$F$18,'Feuille de Donnée'!$F$16))&amp;""&amp;IF(AND(T113&gt;=$G113*(1-'Feuille de Donnée'!$E$27),T113&lt;=$G113*(1+'Feuille de Donnée'!$F$27)),'Feuille de Donnée'!$F$32,IF(T113&lt;$G113*(1-'Feuille de Donnée'!$E$27),'Feuille de Donnée'!$F$33,'Feuille de Donnée'!$F$31)))))</f>
        <v/>
      </c>
      <c r="Z113" s="138"/>
      <c r="AA113" s="103"/>
      <c r="AB113" s="27"/>
      <c r="AC113" s="27"/>
      <c r="AD113" s="27" t="str">
        <f t="shared" si="45"/>
        <v/>
      </c>
      <c r="AE113" s="121" t="str">
        <f t="shared" si="46"/>
        <v/>
      </c>
      <c r="AF113" s="121" t="str">
        <f t="shared" si="47"/>
        <v/>
      </c>
      <c r="AG113" s="27" t="str">
        <f>IF(AND(ISBLANK(AI113),AH113=""),"",1+MAX(AG$21:AG112))</f>
        <v/>
      </c>
      <c r="AH113" s="137" t="str">
        <f>IF(OR(AD113="",AD113=0,$H113="",$H113=0,NOT(ISNUMBER($H113)),NOT(ISNUMBER(AD113))),IF(AND($E113&lt;&gt;"",AND(OR(ISNUMBER(AD113),AD113=""),AND(ISNUMBER($H113),$H113&gt;0))),'Feuille de Donnée'!$K$13,""),IF(AD113&lt;$H$168*'Feuille de Donnée'!$I$9,"Négligeable",(IF(AND(AB113&gt;=$F113*(1-'Feuille de Donnée'!$E$12),AB113&lt;=$F113*(1+'Feuille de Donnée'!$F$12)),'Feuille de Donnée'!$F$17,IF(AB113&lt;$F113*(1-'Feuille de Donnée'!$E$12),'Feuille de Donnée'!$F$18,'Feuille de Donnée'!$F$16))&amp;""&amp;IF(AND(AC113&gt;=$G113*(1-'Feuille de Donnée'!$E$27),AC113&lt;=$G113*(1+'Feuille de Donnée'!$F$27)),'Feuille de Donnée'!$F$32,IF(AC113&lt;$G113*(1-'Feuille de Donnée'!$E$27),'Feuille de Donnée'!$F$33,'Feuille de Donnée'!$F$31)))))</f>
        <v/>
      </c>
      <c r="AI113" s="138"/>
      <c r="AJ113" s="103"/>
      <c r="AK113" s="27"/>
      <c r="AL113" s="27"/>
      <c r="AM113" s="27" t="str">
        <f t="shared" si="48"/>
        <v/>
      </c>
      <c r="AN113" s="121" t="str">
        <f t="shared" si="49"/>
        <v/>
      </c>
      <c r="AO113" s="121" t="str">
        <f t="shared" si="50"/>
        <v/>
      </c>
      <c r="AP113" s="27" t="str">
        <f>IF(AND(ISBLANK(AR113),AQ113=""),"",1+MAX(AP$21:AP112))</f>
        <v/>
      </c>
      <c r="AQ113" s="137" t="str">
        <f>IF(OR(AM113="",AM113=0,$H113="",$H113=0,NOT(ISNUMBER($H113)),NOT(ISNUMBER(AM113))),IF(AND($E113&lt;&gt;"",AND(OR(ISNUMBER(AM113),AM113=""),AND(ISNUMBER($H113),$H113&gt;0))),'Feuille de Donnée'!$K$13,""),IF(AM113&lt;$H$168*'Feuille de Donnée'!$I$9,"Négligeable",(IF(AND(AK113&gt;=$F113*(1-'Feuille de Donnée'!$E$12),AK113&lt;=$F113*(1+'Feuille de Donnée'!$F$12)),'Feuille de Donnée'!$F$17,IF(AK113&lt;$F113*(1-'Feuille de Donnée'!$E$12),'Feuille de Donnée'!$F$18,'Feuille de Donnée'!$F$16))&amp;""&amp;IF(AND(AL113&gt;=$G113*(1-'Feuille de Donnée'!$E$27),AL113&lt;=$G113*(1+'Feuille de Donnée'!$F$27)),'Feuille de Donnée'!$F$32,IF(AL113&lt;$G113*(1-'Feuille de Donnée'!$E$27),'Feuille de Donnée'!$F$33,'Feuille de Donnée'!$F$31)))))</f>
        <v/>
      </c>
      <c r="AR113" s="138"/>
      <c r="AS113" s="103"/>
      <c r="AT113" s="27"/>
      <c r="AU113" s="27"/>
      <c r="AV113" s="27" t="str">
        <f t="shared" si="51"/>
        <v/>
      </c>
      <c r="AW113" s="121" t="str">
        <f t="shared" si="52"/>
        <v/>
      </c>
      <c r="AX113" s="121" t="str">
        <f t="shared" si="53"/>
        <v/>
      </c>
      <c r="AY113" s="27" t="str">
        <f>IF(AND(ISBLANK(BA113),AZ113=""),"",1+MAX(AY$21:AY112))</f>
        <v/>
      </c>
      <c r="AZ113" s="137" t="str">
        <f>IF(OR(AV113="",AV113=0,$H113="",$H113=0,NOT(ISNUMBER($H113)),NOT(ISNUMBER(AV113))),IF(AND($E113&lt;&gt;"",AND(OR(ISNUMBER(AV113),AV113=""),AND(ISNUMBER($H113),$H113&gt;0))),'Feuille de Donnée'!$K$13,""),IF(AV113&lt;$H$168*'Feuille de Donnée'!$I$9,"Négligeable",(IF(AND(AT113&gt;=$F113*(1-'Feuille de Donnée'!$E$12),AT113&lt;=$F113*(1+'Feuille de Donnée'!$F$12)),'Feuille de Donnée'!$F$17,IF(AT113&lt;$F113*(1-'Feuille de Donnée'!$E$12),'Feuille de Donnée'!$F$18,'Feuille de Donnée'!$F$16))&amp;""&amp;IF(AND(AU113&gt;=$G113*(1-'Feuille de Donnée'!$E$27),AU113&lt;=$G113*(1+'Feuille de Donnée'!$F$27)),'Feuille de Donnée'!$F$32,IF(AU113&lt;$G113*(1-'Feuille de Donnée'!$E$27),'Feuille de Donnée'!$F$33,'Feuille de Donnée'!$F$31)))))</f>
        <v/>
      </c>
      <c r="BA113" s="138"/>
      <c r="BB113" s="103"/>
      <c r="BC113" s="27"/>
      <c r="BD113" s="27"/>
      <c r="BE113" s="27" t="str">
        <f t="shared" si="54"/>
        <v/>
      </c>
      <c r="BF113" s="121" t="str">
        <f t="shared" si="55"/>
        <v/>
      </c>
      <c r="BG113" s="121" t="str">
        <f t="shared" si="56"/>
        <v/>
      </c>
      <c r="BH113" s="27" t="str">
        <f>IF(AND(ISBLANK(BJ113),BI113=""),"",1+MAX(BH$21:BH112))</f>
        <v/>
      </c>
      <c r="BI113" s="137" t="str">
        <f>IF(OR(BE113="",BE113=0,$H113="",$H113=0,NOT(ISNUMBER($H113)),NOT(ISNUMBER(BE113))),IF(AND($E113&lt;&gt;"",AND(OR(ISNUMBER(BE113),BE113=""),AND(ISNUMBER($H113),$H113&gt;0))),'Feuille de Donnée'!$K$13,""),IF(BE113&lt;$H$168*'Feuille de Donnée'!$I$9,"Négligeable",(IF(AND(BC113&gt;=$F113*(1-'Feuille de Donnée'!$E$12),BC113&lt;=$F113*(1+'Feuille de Donnée'!$F$12)),'Feuille de Donnée'!$F$17,IF(BC113&lt;$F113*(1-'Feuille de Donnée'!$E$12),'Feuille de Donnée'!$F$18,'Feuille de Donnée'!$F$16))&amp;""&amp;IF(AND(BD113&gt;=$G113*(1-'Feuille de Donnée'!$E$27),BD113&lt;=$G113*(1+'Feuille de Donnée'!$F$27)),'Feuille de Donnée'!$F$32,IF(BD113&lt;$G113*(1-'Feuille de Donnée'!$E$27),'Feuille de Donnée'!$F$33,'Feuille de Donnée'!$F$31)))))</f>
        <v/>
      </c>
      <c r="BJ113" s="138"/>
      <c r="BK113" s="140"/>
    </row>
    <row r="114" spans="1:63" s="6" customFormat="1" x14ac:dyDescent="0.3">
      <c r="A114" s="23"/>
      <c r="B114" s="24"/>
      <c r="C114" s="24"/>
      <c r="D114" s="24"/>
      <c r="E114" s="22"/>
      <c r="F114" s="25"/>
      <c r="G114" s="26"/>
      <c r="H114" s="102" t="str">
        <f t="shared" si="38"/>
        <v/>
      </c>
      <c r="I114" s="103"/>
      <c r="J114" s="27"/>
      <c r="K114" s="27"/>
      <c r="L114" s="27" t="str">
        <f t="shared" si="39"/>
        <v/>
      </c>
      <c r="M114" s="121" t="str">
        <f t="shared" si="40"/>
        <v/>
      </c>
      <c r="N114" s="121" t="str">
        <f t="shared" si="41"/>
        <v/>
      </c>
      <c r="O114" s="27" t="str">
        <f>IF(AND(ISBLANK(Q114),P114=""),"",1+MAX(O$21:O113))</f>
        <v/>
      </c>
      <c r="P114" s="137" t="str">
        <f>IF(OR(L114="",L114=0,$H114="",$H114=0,NOT(ISNUMBER($H114)),NOT(ISNUMBER(L114))),IF(AND($E114&lt;&gt;"",AND(OR(ISNUMBER(L114),L114=""),AND(ISNUMBER($H114),$H114&gt;0))),'Feuille de Donnée'!$K$13,""),IF(L114&lt;$H$168*'Feuille de Donnée'!$I$9,"Négligeable",(IF(AND(J114&gt;=$F114*(1-'Feuille de Donnée'!$E$12),J114&lt;=$F114*(1+'Feuille de Donnée'!$F$12)),'Feuille de Donnée'!$F$17,IF(J114&lt;$F114*(1-'Feuille de Donnée'!$E$12),'Feuille de Donnée'!$F$18,'Feuille de Donnée'!$F$16))&amp;""&amp;IF(AND(K114&gt;=$G114*(1-'Feuille de Donnée'!$E$27),K114&lt;=$G114*(1+'Feuille de Donnée'!$F$27)),'Feuille de Donnée'!$F$32,IF(K114&lt;$G114*(1-'Feuille de Donnée'!$E$27),'Feuille de Donnée'!$F$33,'Feuille de Donnée'!$F$31)))))</f>
        <v/>
      </c>
      <c r="Q114" s="138"/>
      <c r="R114" s="103"/>
      <c r="S114" s="27"/>
      <c r="T114" s="27"/>
      <c r="U114" s="27" t="str">
        <f t="shared" si="42"/>
        <v/>
      </c>
      <c r="V114" s="121" t="str">
        <f t="shared" si="43"/>
        <v/>
      </c>
      <c r="W114" s="121" t="str">
        <f t="shared" si="44"/>
        <v/>
      </c>
      <c r="X114" s="27" t="str">
        <f>IF(AND(ISBLANK(Z114),Y114=""),"",1+MAX(X$21:X113))</f>
        <v/>
      </c>
      <c r="Y114" s="137" t="str">
        <f>IF(OR(U114="",U114=0,$H114="",$H114=0,NOT(ISNUMBER($H114)),NOT(ISNUMBER(U114))),IF(AND($E114&lt;&gt;"",AND(OR(ISNUMBER(U114),U114=""),AND(ISNUMBER($H114),$H114&gt;0))),'Feuille de Donnée'!$K$13,""),IF(U114&lt;$H$168*'Feuille de Donnée'!$I$9,"Négligeable",(IF(AND(S114&gt;=$F114*(1-'Feuille de Donnée'!$E$12),S114&lt;=$F114*(1+'Feuille de Donnée'!$F$12)),'Feuille de Donnée'!$F$17,IF(S114&lt;$F114*(1-'Feuille de Donnée'!$E$12),'Feuille de Donnée'!$F$18,'Feuille de Donnée'!$F$16))&amp;""&amp;IF(AND(T114&gt;=$G114*(1-'Feuille de Donnée'!$E$27),T114&lt;=$G114*(1+'Feuille de Donnée'!$F$27)),'Feuille de Donnée'!$F$32,IF(T114&lt;$G114*(1-'Feuille de Donnée'!$E$27),'Feuille de Donnée'!$F$33,'Feuille de Donnée'!$F$31)))))</f>
        <v/>
      </c>
      <c r="Z114" s="138"/>
      <c r="AA114" s="103"/>
      <c r="AB114" s="27"/>
      <c r="AC114" s="27"/>
      <c r="AD114" s="27" t="str">
        <f t="shared" si="45"/>
        <v/>
      </c>
      <c r="AE114" s="121" t="str">
        <f t="shared" si="46"/>
        <v/>
      </c>
      <c r="AF114" s="121" t="str">
        <f t="shared" si="47"/>
        <v/>
      </c>
      <c r="AG114" s="27" t="str">
        <f>IF(AND(ISBLANK(AI114),AH114=""),"",1+MAX(AG$21:AG113))</f>
        <v/>
      </c>
      <c r="AH114" s="137" t="str">
        <f>IF(OR(AD114="",AD114=0,$H114="",$H114=0,NOT(ISNUMBER($H114)),NOT(ISNUMBER(AD114))),IF(AND($E114&lt;&gt;"",AND(OR(ISNUMBER(AD114),AD114=""),AND(ISNUMBER($H114),$H114&gt;0))),'Feuille de Donnée'!$K$13,""),IF(AD114&lt;$H$168*'Feuille de Donnée'!$I$9,"Négligeable",(IF(AND(AB114&gt;=$F114*(1-'Feuille de Donnée'!$E$12),AB114&lt;=$F114*(1+'Feuille de Donnée'!$F$12)),'Feuille de Donnée'!$F$17,IF(AB114&lt;$F114*(1-'Feuille de Donnée'!$E$12),'Feuille de Donnée'!$F$18,'Feuille de Donnée'!$F$16))&amp;""&amp;IF(AND(AC114&gt;=$G114*(1-'Feuille de Donnée'!$E$27),AC114&lt;=$G114*(1+'Feuille de Donnée'!$F$27)),'Feuille de Donnée'!$F$32,IF(AC114&lt;$G114*(1-'Feuille de Donnée'!$E$27),'Feuille de Donnée'!$F$33,'Feuille de Donnée'!$F$31)))))</f>
        <v/>
      </c>
      <c r="AI114" s="138"/>
      <c r="AJ114" s="103"/>
      <c r="AK114" s="27"/>
      <c r="AL114" s="27"/>
      <c r="AM114" s="27" t="str">
        <f t="shared" si="48"/>
        <v/>
      </c>
      <c r="AN114" s="121" t="str">
        <f t="shared" si="49"/>
        <v/>
      </c>
      <c r="AO114" s="121" t="str">
        <f t="shared" si="50"/>
        <v/>
      </c>
      <c r="AP114" s="27" t="str">
        <f>IF(AND(ISBLANK(AR114),AQ114=""),"",1+MAX(AP$21:AP113))</f>
        <v/>
      </c>
      <c r="AQ114" s="137" t="str">
        <f>IF(OR(AM114="",AM114=0,$H114="",$H114=0,NOT(ISNUMBER($H114)),NOT(ISNUMBER(AM114))),IF(AND($E114&lt;&gt;"",AND(OR(ISNUMBER(AM114),AM114=""),AND(ISNUMBER($H114),$H114&gt;0))),'Feuille de Donnée'!$K$13,""),IF(AM114&lt;$H$168*'Feuille de Donnée'!$I$9,"Négligeable",(IF(AND(AK114&gt;=$F114*(1-'Feuille de Donnée'!$E$12),AK114&lt;=$F114*(1+'Feuille de Donnée'!$F$12)),'Feuille de Donnée'!$F$17,IF(AK114&lt;$F114*(1-'Feuille de Donnée'!$E$12),'Feuille de Donnée'!$F$18,'Feuille de Donnée'!$F$16))&amp;""&amp;IF(AND(AL114&gt;=$G114*(1-'Feuille de Donnée'!$E$27),AL114&lt;=$G114*(1+'Feuille de Donnée'!$F$27)),'Feuille de Donnée'!$F$32,IF(AL114&lt;$G114*(1-'Feuille de Donnée'!$E$27),'Feuille de Donnée'!$F$33,'Feuille de Donnée'!$F$31)))))</f>
        <v/>
      </c>
      <c r="AR114" s="138"/>
      <c r="AS114" s="103"/>
      <c r="AT114" s="27"/>
      <c r="AU114" s="27"/>
      <c r="AV114" s="27" t="str">
        <f t="shared" si="51"/>
        <v/>
      </c>
      <c r="AW114" s="121" t="str">
        <f t="shared" si="52"/>
        <v/>
      </c>
      <c r="AX114" s="121" t="str">
        <f t="shared" si="53"/>
        <v/>
      </c>
      <c r="AY114" s="27" t="str">
        <f>IF(AND(ISBLANK(BA114),AZ114=""),"",1+MAX(AY$21:AY113))</f>
        <v/>
      </c>
      <c r="AZ114" s="137" t="str">
        <f>IF(OR(AV114="",AV114=0,$H114="",$H114=0,NOT(ISNUMBER($H114)),NOT(ISNUMBER(AV114))),IF(AND($E114&lt;&gt;"",AND(OR(ISNUMBER(AV114),AV114=""),AND(ISNUMBER($H114),$H114&gt;0))),'Feuille de Donnée'!$K$13,""),IF(AV114&lt;$H$168*'Feuille de Donnée'!$I$9,"Négligeable",(IF(AND(AT114&gt;=$F114*(1-'Feuille de Donnée'!$E$12),AT114&lt;=$F114*(1+'Feuille de Donnée'!$F$12)),'Feuille de Donnée'!$F$17,IF(AT114&lt;$F114*(1-'Feuille de Donnée'!$E$12),'Feuille de Donnée'!$F$18,'Feuille de Donnée'!$F$16))&amp;""&amp;IF(AND(AU114&gt;=$G114*(1-'Feuille de Donnée'!$E$27),AU114&lt;=$G114*(1+'Feuille de Donnée'!$F$27)),'Feuille de Donnée'!$F$32,IF(AU114&lt;$G114*(1-'Feuille de Donnée'!$E$27),'Feuille de Donnée'!$F$33,'Feuille de Donnée'!$F$31)))))</f>
        <v/>
      </c>
      <c r="BA114" s="138"/>
      <c r="BB114" s="103"/>
      <c r="BC114" s="27"/>
      <c r="BD114" s="27"/>
      <c r="BE114" s="27" t="str">
        <f t="shared" si="54"/>
        <v/>
      </c>
      <c r="BF114" s="121" t="str">
        <f t="shared" si="55"/>
        <v/>
      </c>
      <c r="BG114" s="121" t="str">
        <f t="shared" si="56"/>
        <v/>
      </c>
      <c r="BH114" s="27" t="str">
        <f>IF(AND(ISBLANK(BJ114),BI114=""),"",1+MAX(BH$21:BH113))</f>
        <v/>
      </c>
      <c r="BI114" s="137" t="str">
        <f>IF(OR(BE114="",BE114=0,$H114="",$H114=0,NOT(ISNUMBER($H114)),NOT(ISNUMBER(BE114))),IF(AND($E114&lt;&gt;"",AND(OR(ISNUMBER(BE114),BE114=""),AND(ISNUMBER($H114),$H114&gt;0))),'Feuille de Donnée'!$K$13,""),IF(BE114&lt;$H$168*'Feuille de Donnée'!$I$9,"Négligeable",(IF(AND(BC114&gt;=$F114*(1-'Feuille de Donnée'!$E$12),BC114&lt;=$F114*(1+'Feuille de Donnée'!$F$12)),'Feuille de Donnée'!$F$17,IF(BC114&lt;$F114*(1-'Feuille de Donnée'!$E$12),'Feuille de Donnée'!$F$18,'Feuille de Donnée'!$F$16))&amp;""&amp;IF(AND(BD114&gt;=$G114*(1-'Feuille de Donnée'!$E$27),BD114&lt;=$G114*(1+'Feuille de Donnée'!$F$27)),'Feuille de Donnée'!$F$32,IF(BD114&lt;$G114*(1-'Feuille de Donnée'!$E$27),'Feuille de Donnée'!$F$33,'Feuille de Donnée'!$F$31)))))</f>
        <v/>
      </c>
      <c r="BJ114" s="138"/>
      <c r="BK114" s="140"/>
    </row>
    <row r="115" spans="1:63" s="6" customFormat="1" x14ac:dyDescent="0.3">
      <c r="A115" s="23"/>
      <c r="B115" s="24"/>
      <c r="C115" s="24"/>
      <c r="D115" s="24"/>
      <c r="E115" s="22"/>
      <c r="F115" s="25"/>
      <c r="G115" s="26"/>
      <c r="H115" s="102" t="str">
        <f t="shared" si="38"/>
        <v/>
      </c>
      <c r="I115" s="103"/>
      <c r="J115" s="27"/>
      <c r="K115" s="27"/>
      <c r="L115" s="27" t="str">
        <f t="shared" si="39"/>
        <v/>
      </c>
      <c r="M115" s="121" t="str">
        <f t="shared" si="40"/>
        <v/>
      </c>
      <c r="N115" s="121" t="str">
        <f t="shared" si="41"/>
        <v/>
      </c>
      <c r="O115" s="27" t="str">
        <f>IF(AND(ISBLANK(Q115),P115=""),"",1+MAX(O$21:O114))</f>
        <v/>
      </c>
      <c r="P115" s="137" t="str">
        <f>IF(OR(L115="",L115=0,$H115="",$H115=0,NOT(ISNUMBER($H115)),NOT(ISNUMBER(L115))),IF(AND($E115&lt;&gt;"",AND(OR(ISNUMBER(L115),L115=""),AND(ISNUMBER($H115),$H115&gt;0))),'Feuille de Donnée'!$K$13,""),IF(L115&lt;$H$168*'Feuille de Donnée'!$I$9,"Négligeable",(IF(AND(J115&gt;=$F115*(1-'Feuille de Donnée'!$E$12),J115&lt;=$F115*(1+'Feuille de Donnée'!$F$12)),'Feuille de Donnée'!$F$17,IF(J115&lt;$F115*(1-'Feuille de Donnée'!$E$12),'Feuille de Donnée'!$F$18,'Feuille de Donnée'!$F$16))&amp;""&amp;IF(AND(K115&gt;=$G115*(1-'Feuille de Donnée'!$E$27),K115&lt;=$G115*(1+'Feuille de Donnée'!$F$27)),'Feuille de Donnée'!$F$32,IF(K115&lt;$G115*(1-'Feuille de Donnée'!$E$27),'Feuille de Donnée'!$F$33,'Feuille de Donnée'!$F$31)))))</f>
        <v/>
      </c>
      <c r="Q115" s="138"/>
      <c r="R115" s="103"/>
      <c r="S115" s="27"/>
      <c r="T115" s="27"/>
      <c r="U115" s="27" t="str">
        <f t="shared" si="42"/>
        <v/>
      </c>
      <c r="V115" s="121" t="str">
        <f t="shared" si="43"/>
        <v/>
      </c>
      <c r="W115" s="121" t="str">
        <f t="shared" si="44"/>
        <v/>
      </c>
      <c r="X115" s="27" t="str">
        <f>IF(AND(ISBLANK(Z115),Y115=""),"",1+MAX(X$21:X114))</f>
        <v/>
      </c>
      <c r="Y115" s="137" t="str">
        <f>IF(OR(U115="",U115=0,$H115="",$H115=0,NOT(ISNUMBER($H115)),NOT(ISNUMBER(U115))),IF(AND($E115&lt;&gt;"",AND(OR(ISNUMBER(U115),U115=""),AND(ISNUMBER($H115),$H115&gt;0))),'Feuille de Donnée'!$K$13,""),IF(U115&lt;$H$168*'Feuille de Donnée'!$I$9,"Négligeable",(IF(AND(S115&gt;=$F115*(1-'Feuille de Donnée'!$E$12),S115&lt;=$F115*(1+'Feuille de Donnée'!$F$12)),'Feuille de Donnée'!$F$17,IF(S115&lt;$F115*(1-'Feuille de Donnée'!$E$12),'Feuille de Donnée'!$F$18,'Feuille de Donnée'!$F$16))&amp;""&amp;IF(AND(T115&gt;=$G115*(1-'Feuille de Donnée'!$E$27),T115&lt;=$G115*(1+'Feuille de Donnée'!$F$27)),'Feuille de Donnée'!$F$32,IF(T115&lt;$G115*(1-'Feuille de Donnée'!$E$27),'Feuille de Donnée'!$F$33,'Feuille de Donnée'!$F$31)))))</f>
        <v/>
      </c>
      <c r="Z115" s="138"/>
      <c r="AA115" s="103"/>
      <c r="AB115" s="27"/>
      <c r="AC115" s="27"/>
      <c r="AD115" s="27" t="str">
        <f t="shared" si="45"/>
        <v/>
      </c>
      <c r="AE115" s="121" t="str">
        <f t="shared" si="46"/>
        <v/>
      </c>
      <c r="AF115" s="121" t="str">
        <f t="shared" si="47"/>
        <v/>
      </c>
      <c r="AG115" s="27" t="str">
        <f>IF(AND(ISBLANK(AI115),AH115=""),"",1+MAX(AG$21:AG114))</f>
        <v/>
      </c>
      <c r="AH115" s="137" t="str">
        <f>IF(OR(AD115="",AD115=0,$H115="",$H115=0,NOT(ISNUMBER($H115)),NOT(ISNUMBER(AD115))),IF(AND($E115&lt;&gt;"",AND(OR(ISNUMBER(AD115),AD115=""),AND(ISNUMBER($H115),$H115&gt;0))),'Feuille de Donnée'!$K$13,""),IF(AD115&lt;$H$168*'Feuille de Donnée'!$I$9,"Négligeable",(IF(AND(AB115&gt;=$F115*(1-'Feuille de Donnée'!$E$12),AB115&lt;=$F115*(1+'Feuille de Donnée'!$F$12)),'Feuille de Donnée'!$F$17,IF(AB115&lt;$F115*(1-'Feuille de Donnée'!$E$12),'Feuille de Donnée'!$F$18,'Feuille de Donnée'!$F$16))&amp;""&amp;IF(AND(AC115&gt;=$G115*(1-'Feuille de Donnée'!$E$27),AC115&lt;=$G115*(1+'Feuille de Donnée'!$F$27)),'Feuille de Donnée'!$F$32,IF(AC115&lt;$G115*(1-'Feuille de Donnée'!$E$27),'Feuille de Donnée'!$F$33,'Feuille de Donnée'!$F$31)))))</f>
        <v/>
      </c>
      <c r="AI115" s="138"/>
      <c r="AJ115" s="103"/>
      <c r="AK115" s="27"/>
      <c r="AL115" s="27"/>
      <c r="AM115" s="27" t="str">
        <f t="shared" si="48"/>
        <v/>
      </c>
      <c r="AN115" s="121" t="str">
        <f t="shared" si="49"/>
        <v/>
      </c>
      <c r="AO115" s="121" t="str">
        <f t="shared" si="50"/>
        <v/>
      </c>
      <c r="AP115" s="27" t="str">
        <f>IF(AND(ISBLANK(AR115),AQ115=""),"",1+MAX(AP$21:AP114))</f>
        <v/>
      </c>
      <c r="AQ115" s="137" t="str">
        <f>IF(OR(AM115="",AM115=0,$H115="",$H115=0,NOT(ISNUMBER($H115)),NOT(ISNUMBER(AM115))),IF(AND($E115&lt;&gt;"",AND(OR(ISNUMBER(AM115),AM115=""),AND(ISNUMBER($H115),$H115&gt;0))),'Feuille de Donnée'!$K$13,""),IF(AM115&lt;$H$168*'Feuille de Donnée'!$I$9,"Négligeable",(IF(AND(AK115&gt;=$F115*(1-'Feuille de Donnée'!$E$12),AK115&lt;=$F115*(1+'Feuille de Donnée'!$F$12)),'Feuille de Donnée'!$F$17,IF(AK115&lt;$F115*(1-'Feuille de Donnée'!$E$12),'Feuille de Donnée'!$F$18,'Feuille de Donnée'!$F$16))&amp;""&amp;IF(AND(AL115&gt;=$G115*(1-'Feuille de Donnée'!$E$27),AL115&lt;=$G115*(1+'Feuille de Donnée'!$F$27)),'Feuille de Donnée'!$F$32,IF(AL115&lt;$G115*(1-'Feuille de Donnée'!$E$27),'Feuille de Donnée'!$F$33,'Feuille de Donnée'!$F$31)))))</f>
        <v/>
      </c>
      <c r="AR115" s="138"/>
      <c r="AS115" s="103"/>
      <c r="AT115" s="27"/>
      <c r="AU115" s="27"/>
      <c r="AV115" s="27" t="str">
        <f t="shared" si="51"/>
        <v/>
      </c>
      <c r="AW115" s="121" t="str">
        <f t="shared" si="52"/>
        <v/>
      </c>
      <c r="AX115" s="121" t="str">
        <f t="shared" si="53"/>
        <v/>
      </c>
      <c r="AY115" s="27" t="str">
        <f>IF(AND(ISBLANK(BA115),AZ115=""),"",1+MAX(AY$21:AY114))</f>
        <v/>
      </c>
      <c r="AZ115" s="137" t="str">
        <f>IF(OR(AV115="",AV115=0,$H115="",$H115=0,NOT(ISNUMBER($H115)),NOT(ISNUMBER(AV115))),IF(AND($E115&lt;&gt;"",AND(OR(ISNUMBER(AV115),AV115=""),AND(ISNUMBER($H115),$H115&gt;0))),'Feuille de Donnée'!$K$13,""),IF(AV115&lt;$H$168*'Feuille de Donnée'!$I$9,"Négligeable",(IF(AND(AT115&gt;=$F115*(1-'Feuille de Donnée'!$E$12),AT115&lt;=$F115*(1+'Feuille de Donnée'!$F$12)),'Feuille de Donnée'!$F$17,IF(AT115&lt;$F115*(1-'Feuille de Donnée'!$E$12),'Feuille de Donnée'!$F$18,'Feuille de Donnée'!$F$16))&amp;""&amp;IF(AND(AU115&gt;=$G115*(1-'Feuille de Donnée'!$E$27),AU115&lt;=$G115*(1+'Feuille de Donnée'!$F$27)),'Feuille de Donnée'!$F$32,IF(AU115&lt;$G115*(1-'Feuille de Donnée'!$E$27),'Feuille de Donnée'!$F$33,'Feuille de Donnée'!$F$31)))))</f>
        <v/>
      </c>
      <c r="BA115" s="138"/>
      <c r="BB115" s="103"/>
      <c r="BC115" s="27"/>
      <c r="BD115" s="27"/>
      <c r="BE115" s="27" t="str">
        <f t="shared" si="54"/>
        <v/>
      </c>
      <c r="BF115" s="121" t="str">
        <f t="shared" si="55"/>
        <v/>
      </c>
      <c r="BG115" s="121" t="str">
        <f t="shared" si="56"/>
        <v/>
      </c>
      <c r="BH115" s="27" t="str">
        <f>IF(AND(ISBLANK(BJ115),BI115=""),"",1+MAX(BH$21:BH114))</f>
        <v/>
      </c>
      <c r="BI115" s="137" t="str">
        <f>IF(OR(BE115="",BE115=0,$H115="",$H115=0,NOT(ISNUMBER($H115)),NOT(ISNUMBER(BE115))),IF(AND($E115&lt;&gt;"",AND(OR(ISNUMBER(BE115),BE115=""),AND(ISNUMBER($H115),$H115&gt;0))),'Feuille de Donnée'!$K$13,""),IF(BE115&lt;$H$168*'Feuille de Donnée'!$I$9,"Négligeable",(IF(AND(BC115&gt;=$F115*(1-'Feuille de Donnée'!$E$12),BC115&lt;=$F115*(1+'Feuille de Donnée'!$F$12)),'Feuille de Donnée'!$F$17,IF(BC115&lt;$F115*(1-'Feuille de Donnée'!$E$12),'Feuille de Donnée'!$F$18,'Feuille de Donnée'!$F$16))&amp;""&amp;IF(AND(BD115&gt;=$G115*(1-'Feuille de Donnée'!$E$27),BD115&lt;=$G115*(1+'Feuille de Donnée'!$F$27)),'Feuille de Donnée'!$F$32,IF(BD115&lt;$G115*(1-'Feuille de Donnée'!$E$27),'Feuille de Donnée'!$F$33,'Feuille de Donnée'!$F$31)))))</f>
        <v/>
      </c>
      <c r="BJ115" s="138"/>
      <c r="BK115" s="140"/>
    </row>
    <row r="116" spans="1:63" s="6" customFormat="1" x14ac:dyDescent="0.3">
      <c r="A116" s="23"/>
      <c r="B116" s="24"/>
      <c r="C116" s="24"/>
      <c r="D116" s="24"/>
      <c r="E116" s="22"/>
      <c r="F116" s="25"/>
      <c r="G116" s="26"/>
      <c r="H116" s="102" t="str">
        <f t="shared" si="38"/>
        <v/>
      </c>
      <c r="I116" s="103"/>
      <c r="J116" s="27"/>
      <c r="K116" s="27"/>
      <c r="L116" s="27" t="str">
        <f t="shared" si="39"/>
        <v/>
      </c>
      <c r="M116" s="121" t="str">
        <f t="shared" si="40"/>
        <v/>
      </c>
      <c r="N116" s="121" t="str">
        <f t="shared" si="41"/>
        <v/>
      </c>
      <c r="O116" s="27" t="str">
        <f>IF(AND(ISBLANK(Q116),P116=""),"",1+MAX(O$21:O115))</f>
        <v/>
      </c>
      <c r="P116" s="137" t="str">
        <f>IF(OR(L116="",L116=0,$H116="",$H116=0,NOT(ISNUMBER($H116)),NOT(ISNUMBER(L116))),IF(AND($E116&lt;&gt;"",AND(OR(ISNUMBER(L116),L116=""),AND(ISNUMBER($H116),$H116&gt;0))),'Feuille de Donnée'!$K$13,""),IF(L116&lt;$H$168*'Feuille de Donnée'!$I$9,"Négligeable",(IF(AND(J116&gt;=$F116*(1-'Feuille de Donnée'!$E$12),J116&lt;=$F116*(1+'Feuille de Donnée'!$F$12)),'Feuille de Donnée'!$F$17,IF(J116&lt;$F116*(1-'Feuille de Donnée'!$E$12),'Feuille de Donnée'!$F$18,'Feuille de Donnée'!$F$16))&amp;""&amp;IF(AND(K116&gt;=$G116*(1-'Feuille de Donnée'!$E$27),K116&lt;=$G116*(1+'Feuille de Donnée'!$F$27)),'Feuille de Donnée'!$F$32,IF(K116&lt;$G116*(1-'Feuille de Donnée'!$E$27),'Feuille de Donnée'!$F$33,'Feuille de Donnée'!$F$31)))))</f>
        <v/>
      </c>
      <c r="Q116" s="138"/>
      <c r="R116" s="103"/>
      <c r="S116" s="27"/>
      <c r="T116" s="27"/>
      <c r="U116" s="27" t="str">
        <f t="shared" si="42"/>
        <v/>
      </c>
      <c r="V116" s="121" t="str">
        <f t="shared" si="43"/>
        <v/>
      </c>
      <c r="W116" s="121" t="str">
        <f t="shared" si="44"/>
        <v/>
      </c>
      <c r="X116" s="27" t="str">
        <f>IF(AND(ISBLANK(Z116),Y116=""),"",1+MAX(X$21:X115))</f>
        <v/>
      </c>
      <c r="Y116" s="137" t="str">
        <f>IF(OR(U116="",U116=0,$H116="",$H116=0,NOT(ISNUMBER($H116)),NOT(ISNUMBER(U116))),IF(AND($E116&lt;&gt;"",AND(OR(ISNUMBER(U116),U116=""),AND(ISNUMBER($H116),$H116&gt;0))),'Feuille de Donnée'!$K$13,""),IF(U116&lt;$H$168*'Feuille de Donnée'!$I$9,"Négligeable",(IF(AND(S116&gt;=$F116*(1-'Feuille de Donnée'!$E$12),S116&lt;=$F116*(1+'Feuille de Donnée'!$F$12)),'Feuille de Donnée'!$F$17,IF(S116&lt;$F116*(1-'Feuille de Donnée'!$E$12),'Feuille de Donnée'!$F$18,'Feuille de Donnée'!$F$16))&amp;""&amp;IF(AND(T116&gt;=$G116*(1-'Feuille de Donnée'!$E$27),T116&lt;=$G116*(1+'Feuille de Donnée'!$F$27)),'Feuille de Donnée'!$F$32,IF(T116&lt;$G116*(1-'Feuille de Donnée'!$E$27),'Feuille de Donnée'!$F$33,'Feuille de Donnée'!$F$31)))))</f>
        <v/>
      </c>
      <c r="Z116" s="138"/>
      <c r="AA116" s="103"/>
      <c r="AB116" s="27"/>
      <c r="AC116" s="27"/>
      <c r="AD116" s="27" t="str">
        <f t="shared" si="45"/>
        <v/>
      </c>
      <c r="AE116" s="121" t="str">
        <f t="shared" si="46"/>
        <v/>
      </c>
      <c r="AF116" s="121" t="str">
        <f t="shared" si="47"/>
        <v/>
      </c>
      <c r="AG116" s="27" t="str">
        <f>IF(AND(ISBLANK(AI116),AH116=""),"",1+MAX(AG$21:AG115))</f>
        <v/>
      </c>
      <c r="AH116" s="137" t="str">
        <f>IF(OR(AD116="",AD116=0,$H116="",$H116=0,NOT(ISNUMBER($H116)),NOT(ISNUMBER(AD116))),IF(AND($E116&lt;&gt;"",AND(OR(ISNUMBER(AD116),AD116=""),AND(ISNUMBER($H116),$H116&gt;0))),'Feuille de Donnée'!$K$13,""),IF(AD116&lt;$H$168*'Feuille de Donnée'!$I$9,"Négligeable",(IF(AND(AB116&gt;=$F116*(1-'Feuille de Donnée'!$E$12),AB116&lt;=$F116*(1+'Feuille de Donnée'!$F$12)),'Feuille de Donnée'!$F$17,IF(AB116&lt;$F116*(1-'Feuille de Donnée'!$E$12),'Feuille de Donnée'!$F$18,'Feuille de Donnée'!$F$16))&amp;""&amp;IF(AND(AC116&gt;=$G116*(1-'Feuille de Donnée'!$E$27),AC116&lt;=$G116*(1+'Feuille de Donnée'!$F$27)),'Feuille de Donnée'!$F$32,IF(AC116&lt;$G116*(1-'Feuille de Donnée'!$E$27),'Feuille de Donnée'!$F$33,'Feuille de Donnée'!$F$31)))))</f>
        <v/>
      </c>
      <c r="AI116" s="138"/>
      <c r="AJ116" s="103"/>
      <c r="AK116" s="27"/>
      <c r="AL116" s="27"/>
      <c r="AM116" s="27" t="str">
        <f t="shared" si="48"/>
        <v/>
      </c>
      <c r="AN116" s="121" t="str">
        <f t="shared" si="49"/>
        <v/>
      </c>
      <c r="AO116" s="121" t="str">
        <f t="shared" si="50"/>
        <v/>
      </c>
      <c r="AP116" s="27" t="str">
        <f>IF(AND(ISBLANK(AR116),AQ116=""),"",1+MAX(AP$21:AP115))</f>
        <v/>
      </c>
      <c r="AQ116" s="137" t="str">
        <f>IF(OR(AM116="",AM116=0,$H116="",$H116=0,NOT(ISNUMBER($H116)),NOT(ISNUMBER(AM116))),IF(AND($E116&lt;&gt;"",AND(OR(ISNUMBER(AM116),AM116=""),AND(ISNUMBER($H116),$H116&gt;0))),'Feuille de Donnée'!$K$13,""),IF(AM116&lt;$H$168*'Feuille de Donnée'!$I$9,"Négligeable",(IF(AND(AK116&gt;=$F116*(1-'Feuille de Donnée'!$E$12),AK116&lt;=$F116*(1+'Feuille de Donnée'!$F$12)),'Feuille de Donnée'!$F$17,IF(AK116&lt;$F116*(1-'Feuille de Donnée'!$E$12),'Feuille de Donnée'!$F$18,'Feuille de Donnée'!$F$16))&amp;""&amp;IF(AND(AL116&gt;=$G116*(1-'Feuille de Donnée'!$E$27),AL116&lt;=$G116*(1+'Feuille de Donnée'!$F$27)),'Feuille de Donnée'!$F$32,IF(AL116&lt;$G116*(1-'Feuille de Donnée'!$E$27),'Feuille de Donnée'!$F$33,'Feuille de Donnée'!$F$31)))))</f>
        <v/>
      </c>
      <c r="AR116" s="138"/>
      <c r="AS116" s="103"/>
      <c r="AT116" s="27"/>
      <c r="AU116" s="27"/>
      <c r="AV116" s="27" t="str">
        <f t="shared" si="51"/>
        <v/>
      </c>
      <c r="AW116" s="121" t="str">
        <f t="shared" si="52"/>
        <v/>
      </c>
      <c r="AX116" s="121" t="str">
        <f t="shared" si="53"/>
        <v/>
      </c>
      <c r="AY116" s="27" t="str">
        <f>IF(AND(ISBLANK(BA116),AZ116=""),"",1+MAX(AY$21:AY115))</f>
        <v/>
      </c>
      <c r="AZ116" s="137" t="str">
        <f>IF(OR(AV116="",AV116=0,$H116="",$H116=0,NOT(ISNUMBER($H116)),NOT(ISNUMBER(AV116))),IF(AND($E116&lt;&gt;"",AND(OR(ISNUMBER(AV116),AV116=""),AND(ISNUMBER($H116),$H116&gt;0))),'Feuille de Donnée'!$K$13,""),IF(AV116&lt;$H$168*'Feuille de Donnée'!$I$9,"Négligeable",(IF(AND(AT116&gt;=$F116*(1-'Feuille de Donnée'!$E$12),AT116&lt;=$F116*(1+'Feuille de Donnée'!$F$12)),'Feuille de Donnée'!$F$17,IF(AT116&lt;$F116*(1-'Feuille de Donnée'!$E$12),'Feuille de Donnée'!$F$18,'Feuille de Donnée'!$F$16))&amp;""&amp;IF(AND(AU116&gt;=$G116*(1-'Feuille de Donnée'!$E$27),AU116&lt;=$G116*(1+'Feuille de Donnée'!$F$27)),'Feuille de Donnée'!$F$32,IF(AU116&lt;$G116*(1-'Feuille de Donnée'!$E$27),'Feuille de Donnée'!$F$33,'Feuille de Donnée'!$F$31)))))</f>
        <v/>
      </c>
      <c r="BA116" s="138"/>
      <c r="BB116" s="103"/>
      <c r="BC116" s="27"/>
      <c r="BD116" s="27"/>
      <c r="BE116" s="27" t="str">
        <f t="shared" si="54"/>
        <v/>
      </c>
      <c r="BF116" s="121" t="str">
        <f t="shared" si="55"/>
        <v/>
      </c>
      <c r="BG116" s="121" t="str">
        <f t="shared" si="56"/>
        <v/>
      </c>
      <c r="BH116" s="27" t="str">
        <f>IF(AND(ISBLANK(BJ116),BI116=""),"",1+MAX(BH$21:BH115))</f>
        <v/>
      </c>
      <c r="BI116" s="137" t="str">
        <f>IF(OR(BE116="",BE116=0,$H116="",$H116=0,NOT(ISNUMBER($H116)),NOT(ISNUMBER(BE116))),IF(AND($E116&lt;&gt;"",AND(OR(ISNUMBER(BE116),BE116=""),AND(ISNUMBER($H116),$H116&gt;0))),'Feuille de Donnée'!$K$13,""),IF(BE116&lt;$H$168*'Feuille de Donnée'!$I$9,"Négligeable",(IF(AND(BC116&gt;=$F116*(1-'Feuille de Donnée'!$E$12),BC116&lt;=$F116*(1+'Feuille de Donnée'!$F$12)),'Feuille de Donnée'!$F$17,IF(BC116&lt;$F116*(1-'Feuille de Donnée'!$E$12),'Feuille de Donnée'!$F$18,'Feuille de Donnée'!$F$16))&amp;""&amp;IF(AND(BD116&gt;=$G116*(1-'Feuille de Donnée'!$E$27),BD116&lt;=$G116*(1+'Feuille de Donnée'!$F$27)),'Feuille de Donnée'!$F$32,IF(BD116&lt;$G116*(1-'Feuille de Donnée'!$E$27),'Feuille de Donnée'!$F$33,'Feuille de Donnée'!$F$31)))))</f>
        <v/>
      </c>
      <c r="BJ116" s="138"/>
      <c r="BK116" s="140"/>
    </row>
    <row r="117" spans="1:63" s="6" customFormat="1" x14ac:dyDescent="0.3">
      <c r="A117" s="23"/>
      <c r="B117" s="24"/>
      <c r="C117" s="24"/>
      <c r="D117" s="24"/>
      <c r="E117" s="22"/>
      <c r="F117" s="25"/>
      <c r="G117" s="26"/>
      <c r="H117" s="102" t="str">
        <f t="shared" si="38"/>
        <v/>
      </c>
      <c r="I117" s="103"/>
      <c r="J117" s="27"/>
      <c r="K117" s="27"/>
      <c r="L117" s="27" t="str">
        <f t="shared" si="39"/>
        <v/>
      </c>
      <c r="M117" s="121" t="str">
        <f t="shared" si="40"/>
        <v/>
      </c>
      <c r="N117" s="121" t="str">
        <f t="shared" si="41"/>
        <v/>
      </c>
      <c r="O117" s="27" t="str">
        <f>IF(AND(ISBLANK(Q117),P117=""),"",1+MAX(O$21:O116))</f>
        <v/>
      </c>
      <c r="P117" s="137" t="str">
        <f>IF(OR(L117="",L117=0,$H117="",$H117=0,NOT(ISNUMBER($H117)),NOT(ISNUMBER(L117))),IF(AND($E117&lt;&gt;"",AND(OR(ISNUMBER(L117),L117=""),AND(ISNUMBER($H117),$H117&gt;0))),'Feuille de Donnée'!$K$13,""),IF(L117&lt;$H$168*'Feuille de Donnée'!$I$9,"Négligeable",(IF(AND(J117&gt;=$F117*(1-'Feuille de Donnée'!$E$12),J117&lt;=$F117*(1+'Feuille de Donnée'!$F$12)),'Feuille de Donnée'!$F$17,IF(J117&lt;$F117*(1-'Feuille de Donnée'!$E$12),'Feuille de Donnée'!$F$18,'Feuille de Donnée'!$F$16))&amp;""&amp;IF(AND(K117&gt;=$G117*(1-'Feuille de Donnée'!$E$27),K117&lt;=$G117*(1+'Feuille de Donnée'!$F$27)),'Feuille de Donnée'!$F$32,IF(K117&lt;$G117*(1-'Feuille de Donnée'!$E$27),'Feuille de Donnée'!$F$33,'Feuille de Donnée'!$F$31)))))</f>
        <v/>
      </c>
      <c r="Q117" s="138"/>
      <c r="R117" s="103"/>
      <c r="S117" s="27"/>
      <c r="T117" s="27"/>
      <c r="U117" s="27" t="str">
        <f t="shared" si="42"/>
        <v/>
      </c>
      <c r="V117" s="121" t="str">
        <f t="shared" si="43"/>
        <v/>
      </c>
      <c r="W117" s="121" t="str">
        <f t="shared" si="44"/>
        <v/>
      </c>
      <c r="X117" s="27" t="str">
        <f>IF(AND(ISBLANK(Z117),Y117=""),"",1+MAX(X$21:X116))</f>
        <v/>
      </c>
      <c r="Y117" s="137" t="str">
        <f>IF(OR(U117="",U117=0,$H117="",$H117=0,NOT(ISNUMBER($H117)),NOT(ISNUMBER(U117))),IF(AND($E117&lt;&gt;"",AND(OR(ISNUMBER(U117),U117=""),AND(ISNUMBER($H117),$H117&gt;0))),'Feuille de Donnée'!$K$13,""),IF(U117&lt;$H$168*'Feuille de Donnée'!$I$9,"Négligeable",(IF(AND(S117&gt;=$F117*(1-'Feuille de Donnée'!$E$12),S117&lt;=$F117*(1+'Feuille de Donnée'!$F$12)),'Feuille de Donnée'!$F$17,IF(S117&lt;$F117*(1-'Feuille de Donnée'!$E$12),'Feuille de Donnée'!$F$18,'Feuille de Donnée'!$F$16))&amp;""&amp;IF(AND(T117&gt;=$G117*(1-'Feuille de Donnée'!$E$27),T117&lt;=$G117*(1+'Feuille de Donnée'!$F$27)),'Feuille de Donnée'!$F$32,IF(T117&lt;$G117*(1-'Feuille de Donnée'!$E$27),'Feuille de Donnée'!$F$33,'Feuille de Donnée'!$F$31)))))</f>
        <v/>
      </c>
      <c r="Z117" s="138"/>
      <c r="AA117" s="103"/>
      <c r="AB117" s="27"/>
      <c r="AC117" s="27"/>
      <c r="AD117" s="27" t="str">
        <f t="shared" si="45"/>
        <v/>
      </c>
      <c r="AE117" s="121" t="str">
        <f t="shared" si="46"/>
        <v/>
      </c>
      <c r="AF117" s="121" t="str">
        <f t="shared" si="47"/>
        <v/>
      </c>
      <c r="AG117" s="27" t="str">
        <f>IF(AND(ISBLANK(AI117),AH117=""),"",1+MAX(AG$21:AG116))</f>
        <v/>
      </c>
      <c r="AH117" s="137" t="str">
        <f>IF(OR(AD117="",AD117=0,$H117="",$H117=0,NOT(ISNUMBER($H117)),NOT(ISNUMBER(AD117))),IF(AND($E117&lt;&gt;"",AND(OR(ISNUMBER(AD117),AD117=""),AND(ISNUMBER($H117),$H117&gt;0))),'Feuille de Donnée'!$K$13,""),IF(AD117&lt;$H$168*'Feuille de Donnée'!$I$9,"Négligeable",(IF(AND(AB117&gt;=$F117*(1-'Feuille de Donnée'!$E$12),AB117&lt;=$F117*(1+'Feuille de Donnée'!$F$12)),'Feuille de Donnée'!$F$17,IF(AB117&lt;$F117*(1-'Feuille de Donnée'!$E$12),'Feuille de Donnée'!$F$18,'Feuille de Donnée'!$F$16))&amp;""&amp;IF(AND(AC117&gt;=$G117*(1-'Feuille de Donnée'!$E$27),AC117&lt;=$G117*(1+'Feuille de Donnée'!$F$27)),'Feuille de Donnée'!$F$32,IF(AC117&lt;$G117*(1-'Feuille de Donnée'!$E$27),'Feuille de Donnée'!$F$33,'Feuille de Donnée'!$F$31)))))</f>
        <v/>
      </c>
      <c r="AI117" s="138"/>
      <c r="AJ117" s="103"/>
      <c r="AK117" s="27"/>
      <c r="AL117" s="27"/>
      <c r="AM117" s="27" t="str">
        <f t="shared" si="48"/>
        <v/>
      </c>
      <c r="AN117" s="121" t="str">
        <f t="shared" si="49"/>
        <v/>
      </c>
      <c r="AO117" s="121" t="str">
        <f t="shared" si="50"/>
        <v/>
      </c>
      <c r="AP117" s="27" t="str">
        <f>IF(AND(ISBLANK(AR117),AQ117=""),"",1+MAX(AP$21:AP116))</f>
        <v/>
      </c>
      <c r="AQ117" s="137" t="str">
        <f>IF(OR(AM117="",AM117=0,$H117="",$H117=0,NOT(ISNUMBER($H117)),NOT(ISNUMBER(AM117))),IF(AND($E117&lt;&gt;"",AND(OR(ISNUMBER(AM117),AM117=""),AND(ISNUMBER($H117),$H117&gt;0))),'Feuille de Donnée'!$K$13,""),IF(AM117&lt;$H$168*'Feuille de Donnée'!$I$9,"Négligeable",(IF(AND(AK117&gt;=$F117*(1-'Feuille de Donnée'!$E$12),AK117&lt;=$F117*(1+'Feuille de Donnée'!$F$12)),'Feuille de Donnée'!$F$17,IF(AK117&lt;$F117*(1-'Feuille de Donnée'!$E$12),'Feuille de Donnée'!$F$18,'Feuille de Donnée'!$F$16))&amp;""&amp;IF(AND(AL117&gt;=$G117*(1-'Feuille de Donnée'!$E$27),AL117&lt;=$G117*(1+'Feuille de Donnée'!$F$27)),'Feuille de Donnée'!$F$32,IF(AL117&lt;$G117*(1-'Feuille de Donnée'!$E$27),'Feuille de Donnée'!$F$33,'Feuille de Donnée'!$F$31)))))</f>
        <v/>
      </c>
      <c r="AR117" s="138"/>
      <c r="AS117" s="103"/>
      <c r="AT117" s="27"/>
      <c r="AU117" s="27"/>
      <c r="AV117" s="27" t="str">
        <f t="shared" si="51"/>
        <v/>
      </c>
      <c r="AW117" s="121" t="str">
        <f t="shared" si="52"/>
        <v/>
      </c>
      <c r="AX117" s="121" t="str">
        <f t="shared" si="53"/>
        <v/>
      </c>
      <c r="AY117" s="27" t="str">
        <f>IF(AND(ISBLANK(BA117),AZ117=""),"",1+MAX(AY$21:AY116))</f>
        <v/>
      </c>
      <c r="AZ117" s="137" t="str">
        <f>IF(OR(AV117="",AV117=0,$H117="",$H117=0,NOT(ISNUMBER($H117)),NOT(ISNUMBER(AV117))),IF(AND($E117&lt;&gt;"",AND(OR(ISNUMBER(AV117),AV117=""),AND(ISNUMBER($H117),$H117&gt;0))),'Feuille de Donnée'!$K$13,""),IF(AV117&lt;$H$168*'Feuille de Donnée'!$I$9,"Négligeable",(IF(AND(AT117&gt;=$F117*(1-'Feuille de Donnée'!$E$12),AT117&lt;=$F117*(1+'Feuille de Donnée'!$F$12)),'Feuille de Donnée'!$F$17,IF(AT117&lt;$F117*(1-'Feuille de Donnée'!$E$12),'Feuille de Donnée'!$F$18,'Feuille de Donnée'!$F$16))&amp;""&amp;IF(AND(AU117&gt;=$G117*(1-'Feuille de Donnée'!$E$27),AU117&lt;=$G117*(1+'Feuille de Donnée'!$F$27)),'Feuille de Donnée'!$F$32,IF(AU117&lt;$G117*(1-'Feuille de Donnée'!$E$27),'Feuille de Donnée'!$F$33,'Feuille de Donnée'!$F$31)))))</f>
        <v/>
      </c>
      <c r="BA117" s="138"/>
      <c r="BB117" s="103"/>
      <c r="BC117" s="27"/>
      <c r="BD117" s="27"/>
      <c r="BE117" s="27" t="str">
        <f t="shared" si="54"/>
        <v/>
      </c>
      <c r="BF117" s="121" t="str">
        <f t="shared" si="55"/>
        <v/>
      </c>
      <c r="BG117" s="121" t="str">
        <f t="shared" si="56"/>
        <v/>
      </c>
      <c r="BH117" s="27" t="str">
        <f>IF(AND(ISBLANK(BJ117),BI117=""),"",1+MAX(BH$21:BH116))</f>
        <v/>
      </c>
      <c r="BI117" s="137" t="str">
        <f>IF(OR(BE117="",BE117=0,$H117="",$H117=0,NOT(ISNUMBER($H117)),NOT(ISNUMBER(BE117))),IF(AND($E117&lt;&gt;"",AND(OR(ISNUMBER(BE117),BE117=""),AND(ISNUMBER($H117),$H117&gt;0))),'Feuille de Donnée'!$K$13,""),IF(BE117&lt;$H$168*'Feuille de Donnée'!$I$9,"Négligeable",(IF(AND(BC117&gt;=$F117*(1-'Feuille de Donnée'!$E$12),BC117&lt;=$F117*(1+'Feuille de Donnée'!$F$12)),'Feuille de Donnée'!$F$17,IF(BC117&lt;$F117*(1-'Feuille de Donnée'!$E$12),'Feuille de Donnée'!$F$18,'Feuille de Donnée'!$F$16))&amp;""&amp;IF(AND(BD117&gt;=$G117*(1-'Feuille de Donnée'!$E$27),BD117&lt;=$G117*(1+'Feuille de Donnée'!$F$27)),'Feuille de Donnée'!$F$32,IF(BD117&lt;$G117*(1-'Feuille de Donnée'!$E$27),'Feuille de Donnée'!$F$33,'Feuille de Donnée'!$F$31)))))</f>
        <v/>
      </c>
      <c r="BJ117" s="138"/>
      <c r="BK117" s="140"/>
    </row>
    <row r="118" spans="1:63" s="6" customFormat="1" x14ac:dyDescent="0.3">
      <c r="A118" s="23"/>
      <c r="B118" s="24"/>
      <c r="C118" s="24"/>
      <c r="D118" s="24"/>
      <c r="E118" s="22"/>
      <c r="F118" s="25"/>
      <c r="G118" s="26"/>
      <c r="H118" s="102" t="str">
        <f t="shared" si="38"/>
        <v/>
      </c>
      <c r="I118" s="103"/>
      <c r="J118" s="27"/>
      <c r="K118" s="27"/>
      <c r="L118" s="27" t="str">
        <f t="shared" si="39"/>
        <v/>
      </c>
      <c r="M118" s="121" t="str">
        <f t="shared" si="40"/>
        <v/>
      </c>
      <c r="N118" s="121" t="str">
        <f t="shared" si="41"/>
        <v/>
      </c>
      <c r="O118" s="27" t="str">
        <f>IF(AND(ISBLANK(Q118),P118=""),"",1+MAX(O$21:O117))</f>
        <v/>
      </c>
      <c r="P118" s="137" t="str">
        <f>IF(OR(L118="",L118=0,$H118="",$H118=0,NOT(ISNUMBER($H118)),NOT(ISNUMBER(L118))),IF(AND($E118&lt;&gt;"",AND(OR(ISNUMBER(L118),L118=""),AND(ISNUMBER($H118),$H118&gt;0))),'Feuille de Donnée'!$K$13,""),IF(L118&lt;$H$168*'Feuille de Donnée'!$I$9,"Négligeable",(IF(AND(J118&gt;=$F118*(1-'Feuille de Donnée'!$E$12),J118&lt;=$F118*(1+'Feuille de Donnée'!$F$12)),'Feuille de Donnée'!$F$17,IF(J118&lt;$F118*(1-'Feuille de Donnée'!$E$12),'Feuille de Donnée'!$F$18,'Feuille de Donnée'!$F$16))&amp;""&amp;IF(AND(K118&gt;=$G118*(1-'Feuille de Donnée'!$E$27),K118&lt;=$G118*(1+'Feuille de Donnée'!$F$27)),'Feuille de Donnée'!$F$32,IF(K118&lt;$G118*(1-'Feuille de Donnée'!$E$27),'Feuille de Donnée'!$F$33,'Feuille de Donnée'!$F$31)))))</f>
        <v/>
      </c>
      <c r="Q118" s="138"/>
      <c r="R118" s="103"/>
      <c r="S118" s="27"/>
      <c r="T118" s="27"/>
      <c r="U118" s="27" t="str">
        <f t="shared" si="42"/>
        <v/>
      </c>
      <c r="V118" s="121" t="str">
        <f t="shared" si="43"/>
        <v/>
      </c>
      <c r="W118" s="121" t="str">
        <f t="shared" si="44"/>
        <v/>
      </c>
      <c r="X118" s="27" t="str">
        <f>IF(AND(ISBLANK(Z118),Y118=""),"",1+MAX(X$21:X117))</f>
        <v/>
      </c>
      <c r="Y118" s="137" t="str">
        <f>IF(OR(U118="",U118=0,$H118="",$H118=0,NOT(ISNUMBER($H118)),NOT(ISNUMBER(U118))),IF(AND($E118&lt;&gt;"",AND(OR(ISNUMBER(U118),U118=""),AND(ISNUMBER($H118),$H118&gt;0))),'Feuille de Donnée'!$K$13,""),IF(U118&lt;$H$168*'Feuille de Donnée'!$I$9,"Négligeable",(IF(AND(S118&gt;=$F118*(1-'Feuille de Donnée'!$E$12),S118&lt;=$F118*(1+'Feuille de Donnée'!$F$12)),'Feuille de Donnée'!$F$17,IF(S118&lt;$F118*(1-'Feuille de Donnée'!$E$12),'Feuille de Donnée'!$F$18,'Feuille de Donnée'!$F$16))&amp;""&amp;IF(AND(T118&gt;=$G118*(1-'Feuille de Donnée'!$E$27),T118&lt;=$G118*(1+'Feuille de Donnée'!$F$27)),'Feuille de Donnée'!$F$32,IF(T118&lt;$G118*(1-'Feuille de Donnée'!$E$27),'Feuille de Donnée'!$F$33,'Feuille de Donnée'!$F$31)))))</f>
        <v/>
      </c>
      <c r="Z118" s="138"/>
      <c r="AA118" s="103"/>
      <c r="AB118" s="27"/>
      <c r="AC118" s="27"/>
      <c r="AD118" s="27" t="str">
        <f t="shared" si="45"/>
        <v/>
      </c>
      <c r="AE118" s="121" t="str">
        <f t="shared" si="46"/>
        <v/>
      </c>
      <c r="AF118" s="121" t="str">
        <f t="shared" si="47"/>
        <v/>
      </c>
      <c r="AG118" s="27" t="str">
        <f>IF(AND(ISBLANK(AI118),AH118=""),"",1+MAX(AG$21:AG117))</f>
        <v/>
      </c>
      <c r="AH118" s="137" t="str">
        <f>IF(OR(AD118="",AD118=0,$H118="",$H118=0,NOT(ISNUMBER($H118)),NOT(ISNUMBER(AD118))),IF(AND($E118&lt;&gt;"",AND(OR(ISNUMBER(AD118),AD118=""),AND(ISNUMBER($H118),$H118&gt;0))),'Feuille de Donnée'!$K$13,""),IF(AD118&lt;$H$168*'Feuille de Donnée'!$I$9,"Négligeable",(IF(AND(AB118&gt;=$F118*(1-'Feuille de Donnée'!$E$12),AB118&lt;=$F118*(1+'Feuille de Donnée'!$F$12)),'Feuille de Donnée'!$F$17,IF(AB118&lt;$F118*(1-'Feuille de Donnée'!$E$12),'Feuille de Donnée'!$F$18,'Feuille de Donnée'!$F$16))&amp;""&amp;IF(AND(AC118&gt;=$G118*(1-'Feuille de Donnée'!$E$27),AC118&lt;=$G118*(1+'Feuille de Donnée'!$F$27)),'Feuille de Donnée'!$F$32,IF(AC118&lt;$G118*(1-'Feuille de Donnée'!$E$27),'Feuille de Donnée'!$F$33,'Feuille de Donnée'!$F$31)))))</f>
        <v/>
      </c>
      <c r="AI118" s="138"/>
      <c r="AJ118" s="103"/>
      <c r="AK118" s="27"/>
      <c r="AL118" s="27"/>
      <c r="AM118" s="27" t="str">
        <f t="shared" si="48"/>
        <v/>
      </c>
      <c r="AN118" s="121" t="str">
        <f t="shared" si="49"/>
        <v/>
      </c>
      <c r="AO118" s="121" t="str">
        <f t="shared" si="50"/>
        <v/>
      </c>
      <c r="AP118" s="27" t="str">
        <f>IF(AND(ISBLANK(AR118),AQ118=""),"",1+MAX(AP$21:AP117))</f>
        <v/>
      </c>
      <c r="AQ118" s="137" t="str">
        <f>IF(OR(AM118="",AM118=0,$H118="",$H118=0,NOT(ISNUMBER($H118)),NOT(ISNUMBER(AM118))),IF(AND($E118&lt;&gt;"",AND(OR(ISNUMBER(AM118),AM118=""),AND(ISNUMBER($H118),$H118&gt;0))),'Feuille de Donnée'!$K$13,""),IF(AM118&lt;$H$168*'Feuille de Donnée'!$I$9,"Négligeable",(IF(AND(AK118&gt;=$F118*(1-'Feuille de Donnée'!$E$12),AK118&lt;=$F118*(1+'Feuille de Donnée'!$F$12)),'Feuille de Donnée'!$F$17,IF(AK118&lt;$F118*(1-'Feuille de Donnée'!$E$12),'Feuille de Donnée'!$F$18,'Feuille de Donnée'!$F$16))&amp;""&amp;IF(AND(AL118&gt;=$G118*(1-'Feuille de Donnée'!$E$27),AL118&lt;=$G118*(1+'Feuille de Donnée'!$F$27)),'Feuille de Donnée'!$F$32,IF(AL118&lt;$G118*(1-'Feuille de Donnée'!$E$27),'Feuille de Donnée'!$F$33,'Feuille de Donnée'!$F$31)))))</f>
        <v/>
      </c>
      <c r="AR118" s="138"/>
      <c r="AS118" s="103"/>
      <c r="AT118" s="27"/>
      <c r="AU118" s="27"/>
      <c r="AV118" s="27" t="str">
        <f t="shared" si="51"/>
        <v/>
      </c>
      <c r="AW118" s="121" t="str">
        <f t="shared" si="52"/>
        <v/>
      </c>
      <c r="AX118" s="121" t="str">
        <f t="shared" si="53"/>
        <v/>
      </c>
      <c r="AY118" s="27" t="str">
        <f>IF(AND(ISBLANK(BA118),AZ118=""),"",1+MAX(AY$21:AY117))</f>
        <v/>
      </c>
      <c r="AZ118" s="137" t="str">
        <f>IF(OR(AV118="",AV118=0,$H118="",$H118=0,NOT(ISNUMBER($H118)),NOT(ISNUMBER(AV118))),IF(AND($E118&lt;&gt;"",AND(OR(ISNUMBER(AV118),AV118=""),AND(ISNUMBER($H118),$H118&gt;0))),'Feuille de Donnée'!$K$13,""),IF(AV118&lt;$H$168*'Feuille de Donnée'!$I$9,"Négligeable",(IF(AND(AT118&gt;=$F118*(1-'Feuille de Donnée'!$E$12),AT118&lt;=$F118*(1+'Feuille de Donnée'!$F$12)),'Feuille de Donnée'!$F$17,IF(AT118&lt;$F118*(1-'Feuille de Donnée'!$E$12),'Feuille de Donnée'!$F$18,'Feuille de Donnée'!$F$16))&amp;""&amp;IF(AND(AU118&gt;=$G118*(1-'Feuille de Donnée'!$E$27),AU118&lt;=$G118*(1+'Feuille de Donnée'!$F$27)),'Feuille de Donnée'!$F$32,IF(AU118&lt;$G118*(1-'Feuille de Donnée'!$E$27),'Feuille de Donnée'!$F$33,'Feuille de Donnée'!$F$31)))))</f>
        <v/>
      </c>
      <c r="BA118" s="138"/>
      <c r="BB118" s="103"/>
      <c r="BC118" s="27"/>
      <c r="BD118" s="27"/>
      <c r="BE118" s="27" t="str">
        <f t="shared" si="54"/>
        <v/>
      </c>
      <c r="BF118" s="121" t="str">
        <f t="shared" si="55"/>
        <v/>
      </c>
      <c r="BG118" s="121" t="str">
        <f t="shared" si="56"/>
        <v/>
      </c>
      <c r="BH118" s="27" t="str">
        <f>IF(AND(ISBLANK(BJ118),BI118=""),"",1+MAX(BH$21:BH117))</f>
        <v/>
      </c>
      <c r="BI118" s="137" t="str">
        <f>IF(OR(BE118="",BE118=0,$H118="",$H118=0,NOT(ISNUMBER($H118)),NOT(ISNUMBER(BE118))),IF(AND($E118&lt;&gt;"",AND(OR(ISNUMBER(BE118),BE118=""),AND(ISNUMBER($H118),$H118&gt;0))),'Feuille de Donnée'!$K$13,""),IF(BE118&lt;$H$168*'Feuille de Donnée'!$I$9,"Négligeable",(IF(AND(BC118&gt;=$F118*(1-'Feuille de Donnée'!$E$12),BC118&lt;=$F118*(1+'Feuille de Donnée'!$F$12)),'Feuille de Donnée'!$F$17,IF(BC118&lt;$F118*(1-'Feuille de Donnée'!$E$12),'Feuille de Donnée'!$F$18,'Feuille de Donnée'!$F$16))&amp;""&amp;IF(AND(BD118&gt;=$G118*(1-'Feuille de Donnée'!$E$27),BD118&lt;=$G118*(1+'Feuille de Donnée'!$F$27)),'Feuille de Donnée'!$F$32,IF(BD118&lt;$G118*(1-'Feuille de Donnée'!$E$27),'Feuille de Donnée'!$F$33,'Feuille de Donnée'!$F$31)))))</f>
        <v/>
      </c>
      <c r="BJ118" s="138"/>
      <c r="BK118" s="140"/>
    </row>
    <row r="119" spans="1:63" s="6" customFormat="1" x14ac:dyDescent="0.3">
      <c r="A119" s="23"/>
      <c r="B119" s="24"/>
      <c r="C119" s="24"/>
      <c r="D119" s="24"/>
      <c r="E119" s="22"/>
      <c r="F119" s="25"/>
      <c r="G119" s="26"/>
      <c r="H119" s="102" t="str">
        <f t="shared" si="38"/>
        <v/>
      </c>
      <c r="I119" s="103"/>
      <c r="J119" s="27"/>
      <c r="K119" s="27"/>
      <c r="L119" s="27" t="str">
        <f t="shared" si="39"/>
        <v/>
      </c>
      <c r="M119" s="121" t="str">
        <f t="shared" si="40"/>
        <v/>
      </c>
      <c r="N119" s="121" t="str">
        <f t="shared" si="41"/>
        <v/>
      </c>
      <c r="O119" s="27" t="str">
        <f>IF(AND(ISBLANK(Q119),P119=""),"",1+MAX(O$21:O118))</f>
        <v/>
      </c>
      <c r="P119" s="137" t="str">
        <f>IF(OR(L119="",L119=0,$H119="",$H119=0,NOT(ISNUMBER($H119)),NOT(ISNUMBER(L119))),IF(AND($E119&lt;&gt;"",AND(OR(ISNUMBER(L119),L119=""),AND(ISNUMBER($H119),$H119&gt;0))),'Feuille de Donnée'!$K$13,""),IF(L119&lt;$H$168*'Feuille de Donnée'!$I$9,"Négligeable",(IF(AND(J119&gt;=$F119*(1-'Feuille de Donnée'!$E$12),J119&lt;=$F119*(1+'Feuille de Donnée'!$F$12)),'Feuille de Donnée'!$F$17,IF(J119&lt;$F119*(1-'Feuille de Donnée'!$E$12),'Feuille de Donnée'!$F$18,'Feuille de Donnée'!$F$16))&amp;""&amp;IF(AND(K119&gt;=$G119*(1-'Feuille de Donnée'!$E$27),K119&lt;=$G119*(1+'Feuille de Donnée'!$F$27)),'Feuille de Donnée'!$F$32,IF(K119&lt;$G119*(1-'Feuille de Donnée'!$E$27),'Feuille de Donnée'!$F$33,'Feuille de Donnée'!$F$31)))))</f>
        <v/>
      </c>
      <c r="Q119" s="138"/>
      <c r="R119" s="103"/>
      <c r="S119" s="27"/>
      <c r="T119" s="27"/>
      <c r="U119" s="27" t="str">
        <f t="shared" si="42"/>
        <v/>
      </c>
      <c r="V119" s="121" t="str">
        <f t="shared" si="43"/>
        <v/>
      </c>
      <c r="W119" s="121" t="str">
        <f t="shared" si="44"/>
        <v/>
      </c>
      <c r="X119" s="27" t="str">
        <f>IF(AND(ISBLANK(Z119),Y119=""),"",1+MAX(X$21:X118))</f>
        <v/>
      </c>
      <c r="Y119" s="137" t="str">
        <f>IF(OR(U119="",U119=0,$H119="",$H119=0,NOT(ISNUMBER($H119)),NOT(ISNUMBER(U119))),IF(AND($E119&lt;&gt;"",AND(OR(ISNUMBER(U119),U119=""),AND(ISNUMBER($H119),$H119&gt;0))),'Feuille de Donnée'!$K$13,""),IF(U119&lt;$H$168*'Feuille de Donnée'!$I$9,"Négligeable",(IF(AND(S119&gt;=$F119*(1-'Feuille de Donnée'!$E$12),S119&lt;=$F119*(1+'Feuille de Donnée'!$F$12)),'Feuille de Donnée'!$F$17,IF(S119&lt;$F119*(1-'Feuille de Donnée'!$E$12),'Feuille de Donnée'!$F$18,'Feuille de Donnée'!$F$16))&amp;""&amp;IF(AND(T119&gt;=$G119*(1-'Feuille de Donnée'!$E$27),T119&lt;=$G119*(1+'Feuille de Donnée'!$F$27)),'Feuille de Donnée'!$F$32,IF(T119&lt;$G119*(1-'Feuille de Donnée'!$E$27),'Feuille de Donnée'!$F$33,'Feuille de Donnée'!$F$31)))))</f>
        <v/>
      </c>
      <c r="Z119" s="138"/>
      <c r="AA119" s="103"/>
      <c r="AB119" s="27"/>
      <c r="AC119" s="27"/>
      <c r="AD119" s="27" t="str">
        <f t="shared" si="45"/>
        <v/>
      </c>
      <c r="AE119" s="121" t="str">
        <f t="shared" si="46"/>
        <v/>
      </c>
      <c r="AF119" s="121" t="str">
        <f t="shared" si="47"/>
        <v/>
      </c>
      <c r="AG119" s="27" t="str">
        <f>IF(AND(ISBLANK(AI119),AH119=""),"",1+MAX(AG$21:AG118))</f>
        <v/>
      </c>
      <c r="AH119" s="137" t="str">
        <f>IF(OR(AD119="",AD119=0,$H119="",$H119=0,NOT(ISNUMBER($H119)),NOT(ISNUMBER(AD119))),IF(AND($E119&lt;&gt;"",AND(OR(ISNUMBER(AD119),AD119=""),AND(ISNUMBER($H119),$H119&gt;0))),'Feuille de Donnée'!$K$13,""),IF(AD119&lt;$H$168*'Feuille de Donnée'!$I$9,"Négligeable",(IF(AND(AB119&gt;=$F119*(1-'Feuille de Donnée'!$E$12),AB119&lt;=$F119*(1+'Feuille de Donnée'!$F$12)),'Feuille de Donnée'!$F$17,IF(AB119&lt;$F119*(1-'Feuille de Donnée'!$E$12),'Feuille de Donnée'!$F$18,'Feuille de Donnée'!$F$16))&amp;""&amp;IF(AND(AC119&gt;=$G119*(1-'Feuille de Donnée'!$E$27),AC119&lt;=$G119*(1+'Feuille de Donnée'!$F$27)),'Feuille de Donnée'!$F$32,IF(AC119&lt;$G119*(1-'Feuille de Donnée'!$E$27),'Feuille de Donnée'!$F$33,'Feuille de Donnée'!$F$31)))))</f>
        <v/>
      </c>
      <c r="AI119" s="138"/>
      <c r="AJ119" s="103"/>
      <c r="AK119" s="27"/>
      <c r="AL119" s="27"/>
      <c r="AM119" s="27" t="str">
        <f t="shared" si="48"/>
        <v/>
      </c>
      <c r="AN119" s="121" t="str">
        <f t="shared" si="49"/>
        <v/>
      </c>
      <c r="AO119" s="121" t="str">
        <f t="shared" si="50"/>
        <v/>
      </c>
      <c r="AP119" s="27" t="str">
        <f>IF(AND(ISBLANK(AR119),AQ119=""),"",1+MAX(AP$21:AP118))</f>
        <v/>
      </c>
      <c r="AQ119" s="137" t="str">
        <f>IF(OR(AM119="",AM119=0,$H119="",$H119=0,NOT(ISNUMBER($H119)),NOT(ISNUMBER(AM119))),IF(AND($E119&lt;&gt;"",AND(OR(ISNUMBER(AM119),AM119=""),AND(ISNUMBER($H119),$H119&gt;0))),'Feuille de Donnée'!$K$13,""),IF(AM119&lt;$H$168*'Feuille de Donnée'!$I$9,"Négligeable",(IF(AND(AK119&gt;=$F119*(1-'Feuille de Donnée'!$E$12),AK119&lt;=$F119*(1+'Feuille de Donnée'!$F$12)),'Feuille de Donnée'!$F$17,IF(AK119&lt;$F119*(1-'Feuille de Donnée'!$E$12),'Feuille de Donnée'!$F$18,'Feuille de Donnée'!$F$16))&amp;""&amp;IF(AND(AL119&gt;=$G119*(1-'Feuille de Donnée'!$E$27),AL119&lt;=$G119*(1+'Feuille de Donnée'!$F$27)),'Feuille de Donnée'!$F$32,IF(AL119&lt;$G119*(1-'Feuille de Donnée'!$E$27),'Feuille de Donnée'!$F$33,'Feuille de Donnée'!$F$31)))))</f>
        <v/>
      </c>
      <c r="AR119" s="138"/>
      <c r="AS119" s="103"/>
      <c r="AT119" s="27"/>
      <c r="AU119" s="27"/>
      <c r="AV119" s="27" t="str">
        <f t="shared" si="51"/>
        <v/>
      </c>
      <c r="AW119" s="121" t="str">
        <f t="shared" si="52"/>
        <v/>
      </c>
      <c r="AX119" s="121" t="str">
        <f t="shared" si="53"/>
        <v/>
      </c>
      <c r="AY119" s="27" t="str">
        <f>IF(AND(ISBLANK(BA119),AZ119=""),"",1+MAX(AY$21:AY118))</f>
        <v/>
      </c>
      <c r="AZ119" s="137" t="str">
        <f>IF(OR(AV119="",AV119=0,$H119="",$H119=0,NOT(ISNUMBER($H119)),NOT(ISNUMBER(AV119))),IF(AND($E119&lt;&gt;"",AND(OR(ISNUMBER(AV119),AV119=""),AND(ISNUMBER($H119),$H119&gt;0))),'Feuille de Donnée'!$K$13,""),IF(AV119&lt;$H$168*'Feuille de Donnée'!$I$9,"Négligeable",(IF(AND(AT119&gt;=$F119*(1-'Feuille de Donnée'!$E$12),AT119&lt;=$F119*(1+'Feuille de Donnée'!$F$12)),'Feuille de Donnée'!$F$17,IF(AT119&lt;$F119*(1-'Feuille de Donnée'!$E$12),'Feuille de Donnée'!$F$18,'Feuille de Donnée'!$F$16))&amp;""&amp;IF(AND(AU119&gt;=$G119*(1-'Feuille de Donnée'!$E$27),AU119&lt;=$G119*(1+'Feuille de Donnée'!$F$27)),'Feuille de Donnée'!$F$32,IF(AU119&lt;$G119*(1-'Feuille de Donnée'!$E$27),'Feuille de Donnée'!$F$33,'Feuille de Donnée'!$F$31)))))</f>
        <v/>
      </c>
      <c r="BA119" s="138"/>
      <c r="BB119" s="103"/>
      <c r="BC119" s="27"/>
      <c r="BD119" s="27"/>
      <c r="BE119" s="27" t="str">
        <f t="shared" si="54"/>
        <v/>
      </c>
      <c r="BF119" s="121" t="str">
        <f t="shared" si="55"/>
        <v/>
      </c>
      <c r="BG119" s="121" t="str">
        <f t="shared" si="56"/>
        <v/>
      </c>
      <c r="BH119" s="27" t="str">
        <f>IF(AND(ISBLANK(BJ119),BI119=""),"",1+MAX(BH$21:BH118))</f>
        <v/>
      </c>
      <c r="BI119" s="137" t="str">
        <f>IF(OR(BE119="",BE119=0,$H119="",$H119=0,NOT(ISNUMBER($H119)),NOT(ISNUMBER(BE119))),IF(AND($E119&lt;&gt;"",AND(OR(ISNUMBER(BE119),BE119=""),AND(ISNUMBER($H119),$H119&gt;0))),'Feuille de Donnée'!$K$13,""),IF(BE119&lt;$H$168*'Feuille de Donnée'!$I$9,"Négligeable",(IF(AND(BC119&gt;=$F119*(1-'Feuille de Donnée'!$E$12),BC119&lt;=$F119*(1+'Feuille de Donnée'!$F$12)),'Feuille de Donnée'!$F$17,IF(BC119&lt;$F119*(1-'Feuille de Donnée'!$E$12),'Feuille de Donnée'!$F$18,'Feuille de Donnée'!$F$16))&amp;""&amp;IF(AND(BD119&gt;=$G119*(1-'Feuille de Donnée'!$E$27),BD119&lt;=$G119*(1+'Feuille de Donnée'!$F$27)),'Feuille de Donnée'!$F$32,IF(BD119&lt;$G119*(1-'Feuille de Donnée'!$E$27),'Feuille de Donnée'!$F$33,'Feuille de Donnée'!$F$31)))))</f>
        <v/>
      </c>
      <c r="BJ119" s="138"/>
      <c r="BK119" s="140"/>
    </row>
    <row r="120" spans="1:63" s="6" customFormat="1" x14ac:dyDescent="0.3">
      <c r="A120" s="23"/>
      <c r="B120" s="24"/>
      <c r="C120" s="24"/>
      <c r="D120" s="24"/>
      <c r="E120" s="22"/>
      <c r="F120" s="25"/>
      <c r="G120" s="26"/>
      <c r="H120" s="102" t="str">
        <f t="shared" si="38"/>
        <v/>
      </c>
      <c r="I120" s="103"/>
      <c r="J120" s="27"/>
      <c r="K120" s="27"/>
      <c r="L120" s="27" t="str">
        <f t="shared" si="39"/>
        <v/>
      </c>
      <c r="M120" s="121" t="str">
        <f t="shared" si="40"/>
        <v/>
      </c>
      <c r="N120" s="121" t="str">
        <f t="shared" si="41"/>
        <v/>
      </c>
      <c r="O120" s="27" t="str">
        <f>IF(AND(ISBLANK(Q120),P120=""),"",1+MAX(O$21:O119))</f>
        <v/>
      </c>
      <c r="P120" s="137" t="str">
        <f>IF(OR(L120="",L120=0,$H120="",$H120=0,NOT(ISNUMBER($H120)),NOT(ISNUMBER(L120))),IF(AND($E120&lt;&gt;"",AND(OR(ISNUMBER(L120),L120=""),AND(ISNUMBER($H120),$H120&gt;0))),'Feuille de Donnée'!$K$13,""),IF(L120&lt;$H$168*'Feuille de Donnée'!$I$9,"Négligeable",(IF(AND(J120&gt;=$F120*(1-'Feuille de Donnée'!$E$12),J120&lt;=$F120*(1+'Feuille de Donnée'!$F$12)),'Feuille de Donnée'!$F$17,IF(J120&lt;$F120*(1-'Feuille de Donnée'!$E$12),'Feuille de Donnée'!$F$18,'Feuille de Donnée'!$F$16))&amp;""&amp;IF(AND(K120&gt;=$G120*(1-'Feuille de Donnée'!$E$27),K120&lt;=$G120*(1+'Feuille de Donnée'!$F$27)),'Feuille de Donnée'!$F$32,IF(K120&lt;$G120*(1-'Feuille de Donnée'!$E$27),'Feuille de Donnée'!$F$33,'Feuille de Donnée'!$F$31)))))</f>
        <v/>
      </c>
      <c r="Q120" s="138"/>
      <c r="R120" s="103"/>
      <c r="S120" s="27"/>
      <c r="T120" s="27"/>
      <c r="U120" s="27" t="str">
        <f t="shared" si="42"/>
        <v/>
      </c>
      <c r="V120" s="121" t="str">
        <f t="shared" si="43"/>
        <v/>
      </c>
      <c r="W120" s="121" t="str">
        <f t="shared" si="44"/>
        <v/>
      </c>
      <c r="X120" s="27" t="str">
        <f>IF(AND(ISBLANK(Z120),Y120=""),"",1+MAX(X$21:X119))</f>
        <v/>
      </c>
      <c r="Y120" s="137" t="str">
        <f>IF(OR(U120="",U120=0,$H120="",$H120=0,NOT(ISNUMBER($H120)),NOT(ISNUMBER(U120))),IF(AND($E120&lt;&gt;"",AND(OR(ISNUMBER(U120),U120=""),AND(ISNUMBER($H120),$H120&gt;0))),'Feuille de Donnée'!$K$13,""),IF(U120&lt;$H$168*'Feuille de Donnée'!$I$9,"Négligeable",(IF(AND(S120&gt;=$F120*(1-'Feuille de Donnée'!$E$12),S120&lt;=$F120*(1+'Feuille de Donnée'!$F$12)),'Feuille de Donnée'!$F$17,IF(S120&lt;$F120*(1-'Feuille de Donnée'!$E$12),'Feuille de Donnée'!$F$18,'Feuille de Donnée'!$F$16))&amp;""&amp;IF(AND(T120&gt;=$G120*(1-'Feuille de Donnée'!$E$27),T120&lt;=$G120*(1+'Feuille de Donnée'!$F$27)),'Feuille de Donnée'!$F$32,IF(T120&lt;$G120*(1-'Feuille de Donnée'!$E$27),'Feuille de Donnée'!$F$33,'Feuille de Donnée'!$F$31)))))</f>
        <v/>
      </c>
      <c r="Z120" s="138"/>
      <c r="AA120" s="103"/>
      <c r="AB120" s="27"/>
      <c r="AC120" s="27"/>
      <c r="AD120" s="27" t="str">
        <f t="shared" si="45"/>
        <v/>
      </c>
      <c r="AE120" s="121" t="str">
        <f t="shared" si="46"/>
        <v/>
      </c>
      <c r="AF120" s="121" t="str">
        <f t="shared" si="47"/>
        <v/>
      </c>
      <c r="AG120" s="27" t="str">
        <f>IF(AND(ISBLANK(AI120),AH120=""),"",1+MAX(AG$21:AG119))</f>
        <v/>
      </c>
      <c r="AH120" s="137" t="str">
        <f>IF(OR(AD120="",AD120=0,$H120="",$H120=0,NOT(ISNUMBER($H120)),NOT(ISNUMBER(AD120))),IF(AND($E120&lt;&gt;"",AND(OR(ISNUMBER(AD120),AD120=""),AND(ISNUMBER($H120),$H120&gt;0))),'Feuille de Donnée'!$K$13,""),IF(AD120&lt;$H$168*'Feuille de Donnée'!$I$9,"Négligeable",(IF(AND(AB120&gt;=$F120*(1-'Feuille de Donnée'!$E$12),AB120&lt;=$F120*(1+'Feuille de Donnée'!$F$12)),'Feuille de Donnée'!$F$17,IF(AB120&lt;$F120*(1-'Feuille de Donnée'!$E$12),'Feuille de Donnée'!$F$18,'Feuille de Donnée'!$F$16))&amp;""&amp;IF(AND(AC120&gt;=$G120*(1-'Feuille de Donnée'!$E$27),AC120&lt;=$G120*(1+'Feuille de Donnée'!$F$27)),'Feuille de Donnée'!$F$32,IF(AC120&lt;$G120*(1-'Feuille de Donnée'!$E$27),'Feuille de Donnée'!$F$33,'Feuille de Donnée'!$F$31)))))</f>
        <v/>
      </c>
      <c r="AI120" s="138"/>
      <c r="AJ120" s="103"/>
      <c r="AK120" s="27"/>
      <c r="AL120" s="27"/>
      <c r="AM120" s="27" t="str">
        <f t="shared" si="48"/>
        <v/>
      </c>
      <c r="AN120" s="121" t="str">
        <f t="shared" si="49"/>
        <v/>
      </c>
      <c r="AO120" s="121" t="str">
        <f t="shared" si="50"/>
        <v/>
      </c>
      <c r="AP120" s="27" t="str">
        <f>IF(AND(ISBLANK(AR120),AQ120=""),"",1+MAX(AP$21:AP119))</f>
        <v/>
      </c>
      <c r="AQ120" s="137" t="str">
        <f>IF(OR(AM120="",AM120=0,$H120="",$H120=0,NOT(ISNUMBER($H120)),NOT(ISNUMBER(AM120))),IF(AND($E120&lt;&gt;"",AND(OR(ISNUMBER(AM120),AM120=""),AND(ISNUMBER($H120),$H120&gt;0))),'Feuille de Donnée'!$K$13,""),IF(AM120&lt;$H$168*'Feuille de Donnée'!$I$9,"Négligeable",(IF(AND(AK120&gt;=$F120*(1-'Feuille de Donnée'!$E$12),AK120&lt;=$F120*(1+'Feuille de Donnée'!$F$12)),'Feuille de Donnée'!$F$17,IF(AK120&lt;$F120*(1-'Feuille de Donnée'!$E$12),'Feuille de Donnée'!$F$18,'Feuille de Donnée'!$F$16))&amp;""&amp;IF(AND(AL120&gt;=$G120*(1-'Feuille de Donnée'!$E$27),AL120&lt;=$G120*(1+'Feuille de Donnée'!$F$27)),'Feuille de Donnée'!$F$32,IF(AL120&lt;$G120*(1-'Feuille de Donnée'!$E$27),'Feuille de Donnée'!$F$33,'Feuille de Donnée'!$F$31)))))</f>
        <v/>
      </c>
      <c r="AR120" s="138"/>
      <c r="AS120" s="103"/>
      <c r="AT120" s="27"/>
      <c r="AU120" s="27"/>
      <c r="AV120" s="27" t="str">
        <f t="shared" si="51"/>
        <v/>
      </c>
      <c r="AW120" s="121" t="str">
        <f t="shared" si="52"/>
        <v/>
      </c>
      <c r="AX120" s="121" t="str">
        <f t="shared" si="53"/>
        <v/>
      </c>
      <c r="AY120" s="27" t="str">
        <f>IF(AND(ISBLANK(BA120),AZ120=""),"",1+MAX(AY$21:AY119))</f>
        <v/>
      </c>
      <c r="AZ120" s="137" t="str">
        <f>IF(OR(AV120="",AV120=0,$H120="",$H120=0,NOT(ISNUMBER($H120)),NOT(ISNUMBER(AV120))),IF(AND($E120&lt;&gt;"",AND(OR(ISNUMBER(AV120),AV120=""),AND(ISNUMBER($H120),$H120&gt;0))),'Feuille de Donnée'!$K$13,""),IF(AV120&lt;$H$168*'Feuille de Donnée'!$I$9,"Négligeable",(IF(AND(AT120&gt;=$F120*(1-'Feuille de Donnée'!$E$12),AT120&lt;=$F120*(1+'Feuille de Donnée'!$F$12)),'Feuille de Donnée'!$F$17,IF(AT120&lt;$F120*(1-'Feuille de Donnée'!$E$12),'Feuille de Donnée'!$F$18,'Feuille de Donnée'!$F$16))&amp;""&amp;IF(AND(AU120&gt;=$G120*(1-'Feuille de Donnée'!$E$27),AU120&lt;=$G120*(1+'Feuille de Donnée'!$F$27)),'Feuille de Donnée'!$F$32,IF(AU120&lt;$G120*(1-'Feuille de Donnée'!$E$27),'Feuille de Donnée'!$F$33,'Feuille de Donnée'!$F$31)))))</f>
        <v/>
      </c>
      <c r="BA120" s="138"/>
      <c r="BB120" s="103"/>
      <c r="BC120" s="27"/>
      <c r="BD120" s="27"/>
      <c r="BE120" s="27" t="str">
        <f t="shared" si="54"/>
        <v/>
      </c>
      <c r="BF120" s="121" t="str">
        <f t="shared" si="55"/>
        <v/>
      </c>
      <c r="BG120" s="121" t="str">
        <f t="shared" si="56"/>
        <v/>
      </c>
      <c r="BH120" s="27" t="str">
        <f>IF(AND(ISBLANK(BJ120),BI120=""),"",1+MAX(BH$21:BH119))</f>
        <v/>
      </c>
      <c r="BI120" s="137" t="str">
        <f>IF(OR(BE120="",BE120=0,$H120="",$H120=0,NOT(ISNUMBER($H120)),NOT(ISNUMBER(BE120))),IF(AND($E120&lt;&gt;"",AND(OR(ISNUMBER(BE120),BE120=""),AND(ISNUMBER($H120),$H120&gt;0))),'Feuille de Donnée'!$K$13,""),IF(BE120&lt;$H$168*'Feuille de Donnée'!$I$9,"Négligeable",(IF(AND(BC120&gt;=$F120*(1-'Feuille de Donnée'!$E$12),BC120&lt;=$F120*(1+'Feuille de Donnée'!$F$12)),'Feuille de Donnée'!$F$17,IF(BC120&lt;$F120*(1-'Feuille de Donnée'!$E$12),'Feuille de Donnée'!$F$18,'Feuille de Donnée'!$F$16))&amp;""&amp;IF(AND(BD120&gt;=$G120*(1-'Feuille de Donnée'!$E$27),BD120&lt;=$G120*(1+'Feuille de Donnée'!$F$27)),'Feuille de Donnée'!$F$32,IF(BD120&lt;$G120*(1-'Feuille de Donnée'!$E$27),'Feuille de Donnée'!$F$33,'Feuille de Donnée'!$F$31)))))</f>
        <v/>
      </c>
      <c r="BJ120" s="138"/>
      <c r="BK120" s="140"/>
    </row>
    <row r="121" spans="1:63" s="6" customFormat="1" x14ac:dyDescent="0.3">
      <c r="A121" s="23"/>
      <c r="B121" s="24"/>
      <c r="C121" s="24"/>
      <c r="D121" s="24"/>
      <c r="E121" s="22"/>
      <c r="F121" s="25"/>
      <c r="G121" s="26"/>
      <c r="H121" s="102" t="str">
        <f t="shared" si="38"/>
        <v/>
      </c>
      <c r="I121" s="103"/>
      <c r="J121" s="27"/>
      <c r="K121" s="27"/>
      <c r="L121" s="27" t="str">
        <f t="shared" si="39"/>
        <v/>
      </c>
      <c r="M121" s="121" t="str">
        <f t="shared" si="40"/>
        <v/>
      </c>
      <c r="N121" s="121" t="str">
        <f t="shared" si="41"/>
        <v/>
      </c>
      <c r="O121" s="27" t="str">
        <f>IF(AND(ISBLANK(Q121),P121=""),"",1+MAX(O$21:O120))</f>
        <v/>
      </c>
      <c r="P121" s="137" t="str">
        <f>IF(OR(L121="",L121=0,$H121="",$H121=0,NOT(ISNUMBER($H121)),NOT(ISNUMBER(L121))),IF(AND($E121&lt;&gt;"",AND(OR(ISNUMBER(L121),L121=""),AND(ISNUMBER($H121),$H121&gt;0))),'Feuille de Donnée'!$K$13,""),IF(L121&lt;$H$168*'Feuille de Donnée'!$I$9,"Négligeable",(IF(AND(J121&gt;=$F121*(1-'Feuille de Donnée'!$E$12),J121&lt;=$F121*(1+'Feuille de Donnée'!$F$12)),'Feuille de Donnée'!$F$17,IF(J121&lt;$F121*(1-'Feuille de Donnée'!$E$12),'Feuille de Donnée'!$F$18,'Feuille de Donnée'!$F$16))&amp;""&amp;IF(AND(K121&gt;=$G121*(1-'Feuille de Donnée'!$E$27),K121&lt;=$G121*(1+'Feuille de Donnée'!$F$27)),'Feuille de Donnée'!$F$32,IF(K121&lt;$G121*(1-'Feuille de Donnée'!$E$27),'Feuille de Donnée'!$F$33,'Feuille de Donnée'!$F$31)))))</f>
        <v/>
      </c>
      <c r="Q121" s="138"/>
      <c r="R121" s="103"/>
      <c r="S121" s="27"/>
      <c r="T121" s="27"/>
      <c r="U121" s="27" t="str">
        <f t="shared" si="42"/>
        <v/>
      </c>
      <c r="V121" s="121" t="str">
        <f t="shared" si="43"/>
        <v/>
      </c>
      <c r="W121" s="121" t="str">
        <f t="shared" si="44"/>
        <v/>
      </c>
      <c r="X121" s="27" t="str">
        <f>IF(AND(ISBLANK(Z121),Y121=""),"",1+MAX(X$21:X120))</f>
        <v/>
      </c>
      <c r="Y121" s="137" t="str">
        <f>IF(OR(U121="",U121=0,$H121="",$H121=0,NOT(ISNUMBER($H121)),NOT(ISNUMBER(U121))),IF(AND($E121&lt;&gt;"",AND(OR(ISNUMBER(U121),U121=""),AND(ISNUMBER($H121),$H121&gt;0))),'Feuille de Donnée'!$K$13,""),IF(U121&lt;$H$168*'Feuille de Donnée'!$I$9,"Négligeable",(IF(AND(S121&gt;=$F121*(1-'Feuille de Donnée'!$E$12),S121&lt;=$F121*(1+'Feuille de Donnée'!$F$12)),'Feuille de Donnée'!$F$17,IF(S121&lt;$F121*(1-'Feuille de Donnée'!$E$12),'Feuille de Donnée'!$F$18,'Feuille de Donnée'!$F$16))&amp;""&amp;IF(AND(T121&gt;=$G121*(1-'Feuille de Donnée'!$E$27),T121&lt;=$G121*(1+'Feuille de Donnée'!$F$27)),'Feuille de Donnée'!$F$32,IF(T121&lt;$G121*(1-'Feuille de Donnée'!$E$27),'Feuille de Donnée'!$F$33,'Feuille de Donnée'!$F$31)))))</f>
        <v/>
      </c>
      <c r="Z121" s="138"/>
      <c r="AA121" s="103"/>
      <c r="AB121" s="27"/>
      <c r="AC121" s="27"/>
      <c r="AD121" s="27" t="str">
        <f t="shared" si="45"/>
        <v/>
      </c>
      <c r="AE121" s="121" t="str">
        <f t="shared" si="46"/>
        <v/>
      </c>
      <c r="AF121" s="121" t="str">
        <f t="shared" si="47"/>
        <v/>
      </c>
      <c r="AG121" s="27" t="str">
        <f>IF(AND(ISBLANK(AI121),AH121=""),"",1+MAX(AG$21:AG120))</f>
        <v/>
      </c>
      <c r="AH121" s="137" t="str">
        <f>IF(OR(AD121="",AD121=0,$H121="",$H121=0,NOT(ISNUMBER($H121)),NOT(ISNUMBER(AD121))),IF(AND($E121&lt;&gt;"",AND(OR(ISNUMBER(AD121),AD121=""),AND(ISNUMBER($H121),$H121&gt;0))),'Feuille de Donnée'!$K$13,""),IF(AD121&lt;$H$168*'Feuille de Donnée'!$I$9,"Négligeable",(IF(AND(AB121&gt;=$F121*(1-'Feuille de Donnée'!$E$12),AB121&lt;=$F121*(1+'Feuille de Donnée'!$F$12)),'Feuille de Donnée'!$F$17,IF(AB121&lt;$F121*(1-'Feuille de Donnée'!$E$12),'Feuille de Donnée'!$F$18,'Feuille de Donnée'!$F$16))&amp;""&amp;IF(AND(AC121&gt;=$G121*(1-'Feuille de Donnée'!$E$27),AC121&lt;=$G121*(1+'Feuille de Donnée'!$F$27)),'Feuille de Donnée'!$F$32,IF(AC121&lt;$G121*(1-'Feuille de Donnée'!$E$27),'Feuille de Donnée'!$F$33,'Feuille de Donnée'!$F$31)))))</f>
        <v/>
      </c>
      <c r="AI121" s="138"/>
      <c r="AJ121" s="103"/>
      <c r="AK121" s="27"/>
      <c r="AL121" s="27"/>
      <c r="AM121" s="27" t="str">
        <f t="shared" si="48"/>
        <v/>
      </c>
      <c r="AN121" s="121" t="str">
        <f t="shared" si="49"/>
        <v/>
      </c>
      <c r="AO121" s="121" t="str">
        <f t="shared" si="50"/>
        <v/>
      </c>
      <c r="AP121" s="27" t="str">
        <f>IF(AND(ISBLANK(AR121),AQ121=""),"",1+MAX(AP$21:AP120))</f>
        <v/>
      </c>
      <c r="AQ121" s="137" t="str">
        <f>IF(OR(AM121="",AM121=0,$H121="",$H121=0,NOT(ISNUMBER($H121)),NOT(ISNUMBER(AM121))),IF(AND($E121&lt;&gt;"",AND(OR(ISNUMBER(AM121),AM121=""),AND(ISNUMBER($H121),$H121&gt;0))),'Feuille de Donnée'!$K$13,""),IF(AM121&lt;$H$168*'Feuille de Donnée'!$I$9,"Négligeable",(IF(AND(AK121&gt;=$F121*(1-'Feuille de Donnée'!$E$12),AK121&lt;=$F121*(1+'Feuille de Donnée'!$F$12)),'Feuille de Donnée'!$F$17,IF(AK121&lt;$F121*(1-'Feuille de Donnée'!$E$12),'Feuille de Donnée'!$F$18,'Feuille de Donnée'!$F$16))&amp;""&amp;IF(AND(AL121&gt;=$G121*(1-'Feuille de Donnée'!$E$27),AL121&lt;=$G121*(1+'Feuille de Donnée'!$F$27)),'Feuille de Donnée'!$F$32,IF(AL121&lt;$G121*(1-'Feuille de Donnée'!$E$27),'Feuille de Donnée'!$F$33,'Feuille de Donnée'!$F$31)))))</f>
        <v/>
      </c>
      <c r="AR121" s="138"/>
      <c r="AS121" s="103"/>
      <c r="AT121" s="27"/>
      <c r="AU121" s="27"/>
      <c r="AV121" s="27" t="str">
        <f t="shared" si="51"/>
        <v/>
      </c>
      <c r="AW121" s="121" t="str">
        <f t="shared" si="52"/>
        <v/>
      </c>
      <c r="AX121" s="121" t="str">
        <f t="shared" si="53"/>
        <v/>
      </c>
      <c r="AY121" s="27" t="str">
        <f>IF(AND(ISBLANK(BA121),AZ121=""),"",1+MAX(AY$21:AY120))</f>
        <v/>
      </c>
      <c r="AZ121" s="137" t="str">
        <f>IF(OR(AV121="",AV121=0,$H121="",$H121=0,NOT(ISNUMBER($H121)),NOT(ISNUMBER(AV121))),IF(AND($E121&lt;&gt;"",AND(OR(ISNUMBER(AV121),AV121=""),AND(ISNUMBER($H121),$H121&gt;0))),'Feuille de Donnée'!$K$13,""),IF(AV121&lt;$H$168*'Feuille de Donnée'!$I$9,"Négligeable",(IF(AND(AT121&gt;=$F121*(1-'Feuille de Donnée'!$E$12),AT121&lt;=$F121*(1+'Feuille de Donnée'!$F$12)),'Feuille de Donnée'!$F$17,IF(AT121&lt;$F121*(1-'Feuille de Donnée'!$E$12),'Feuille de Donnée'!$F$18,'Feuille de Donnée'!$F$16))&amp;""&amp;IF(AND(AU121&gt;=$G121*(1-'Feuille de Donnée'!$E$27),AU121&lt;=$G121*(1+'Feuille de Donnée'!$F$27)),'Feuille de Donnée'!$F$32,IF(AU121&lt;$G121*(1-'Feuille de Donnée'!$E$27),'Feuille de Donnée'!$F$33,'Feuille de Donnée'!$F$31)))))</f>
        <v/>
      </c>
      <c r="BA121" s="138"/>
      <c r="BB121" s="103"/>
      <c r="BC121" s="27"/>
      <c r="BD121" s="27"/>
      <c r="BE121" s="27" t="str">
        <f t="shared" si="54"/>
        <v/>
      </c>
      <c r="BF121" s="121" t="str">
        <f t="shared" si="55"/>
        <v/>
      </c>
      <c r="BG121" s="121" t="str">
        <f t="shared" si="56"/>
        <v/>
      </c>
      <c r="BH121" s="27" t="str">
        <f>IF(AND(ISBLANK(BJ121),BI121=""),"",1+MAX(BH$21:BH120))</f>
        <v/>
      </c>
      <c r="BI121" s="137" t="str">
        <f>IF(OR(BE121="",BE121=0,$H121="",$H121=0,NOT(ISNUMBER($H121)),NOT(ISNUMBER(BE121))),IF(AND($E121&lt;&gt;"",AND(OR(ISNUMBER(BE121),BE121=""),AND(ISNUMBER($H121),$H121&gt;0))),'Feuille de Donnée'!$K$13,""),IF(BE121&lt;$H$168*'Feuille de Donnée'!$I$9,"Négligeable",(IF(AND(BC121&gt;=$F121*(1-'Feuille de Donnée'!$E$12),BC121&lt;=$F121*(1+'Feuille de Donnée'!$F$12)),'Feuille de Donnée'!$F$17,IF(BC121&lt;$F121*(1-'Feuille de Donnée'!$E$12),'Feuille de Donnée'!$F$18,'Feuille de Donnée'!$F$16))&amp;""&amp;IF(AND(BD121&gt;=$G121*(1-'Feuille de Donnée'!$E$27),BD121&lt;=$G121*(1+'Feuille de Donnée'!$F$27)),'Feuille de Donnée'!$F$32,IF(BD121&lt;$G121*(1-'Feuille de Donnée'!$E$27),'Feuille de Donnée'!$F$33,'Feuille de Donnée'!$F$31)))))</f>
        <v/>
      </c>
      <c r="BJ121" s="138"/>
      <c r="BK121" s="140"/>
    </row>
    <row r="122" spans="1:63" s="6" customFormat="1" x14ac:dyDescent="0.3">
      <c r="A122" s="23"/>
      <c r="B122" s="24"/>
      <c r="C122" s="24"/>
      <c r="D122" s="24"/>
      <c r="E122" s="22"/>
      <c r="F122" s="25"/>
      <c r="G122" s="26"/>
      <c r="H122" s="102" t="str">
        <f t="shared" si="38"/>
        <v/>
      </c>
      <c r="I122" s="103"/>
      <c r="J122" s="27"/>
      <c r="K122" s="27"/>
      <c r="L122" s="27" t="str">
        <f t="shared" si="39"/>
        <v/>
      </c>
      <c r="M122" s="121" t="str">
        <f t="shared" si="40"/>
        <v/>
      </c>
      <c r="N122" s="121" t="str">
        <f t="shared" si="41"/>
        <v/>
      </c>
      <c r="O122" s="27" t="str">
        <f>IF(AND(ISBLANK(Q122),P122=""),"",1+MAX(O$21:O121))</f>
        <v/>
      </c>
      <c r="P122" s="137" t="str">
        <f>IF(OR(L122="",L122=0,$H122="",$H122=0,NOT(ISNUMBER($H122)),NOT(ISNUMBER(L122))),IF(AND($E122&lt;&gt;"",AND(OR(ISNUMBER(L122),L122=""),AND(ISNUMBER($H122),$H122&gt;0))),'Feuille de Donnée'!$K$13,""),IF(L122&lt;$H$168*'Feuille de Donnée'!$I$9,"Négligeable",(IF(AND(J122&gt;=$F122*(1-'Feuille de Donnée'!$E$12),J122&lt;=$F122*(1+'Feuille de Donnée'!$F$12)),'Feuille de Donnée'!$F$17,IF(J122&lt;$F122*(1-'Feuille de Donnée'!$E$12),'Feuille de Donnée'!$F$18,'Feuille de Donnée'!$F$16))&amp;""&amp;IF(AND(K122&gt;=$G122*(1-'Feuille de Donnée'!$E$27),K122&lt;=$G122*(1+'Feuille de Donnée'!$F$27)),'Feuille de Donnée'!$F$32,IF(K122&lt;$G122*(1-'Feuille de Donnée'!$E$27),'Feuille de Donnée'!$F$33,'Feuille de Donnée'!$F$31)))))</f>
        <v/>
      </c>
      <c r="Q122" s="138"/>
      <c r="R122" s="103"/>
      <c r="S122" s="27"/>
      <c r="T122" s="27"/>
      <c r="U122" s="27" t="str">
        <f t="shared" si="42"/>
        <v/>
      </c>
      <c r="V122" s="121" t="str">
        <f t="shared" si="43"/>
        <v/>
      </c>
      <c r="W122" s="121" t="str">
        <f t="shared" si="44"/>
        <v/>
      </c>
      <c r="X122" s="27" t="str">
        <f>IF(AND(ISBLANK(Z122),Y122=""),"",1+MAX(X$21:X121))</f>
        <v/>
      </c>
      <c r="Y122" s="137" t="str">
        <f>IF(OR(U122="",U122=0,$H122="",$H122=0,NOT(ISNUMBER($H122)),NOT(ISNUMBER(U122))),IF(AND($E122&lt;&gt;"",AND(OR(ISNUMBER(U122),U122=""),AND(ISNUMBER($H122),$H122&gt;0))),'Feuille de Donnée'!$K$13,""),IF(U122&lt;$H$168*'Feuille de Donnée'!$I$9,"Négligeable",(IF(AND(S122&gt;=$F122*(1-'Feuille de Donnée'!$E$12),S122&lt;=$F122*(1+'Feuille de Donnée'!$F$12)),'Feuille de Donnée'!$F$17,IF(S122&lt;$F122*(1-'Feuille de Donnée'!$E$12),'Feuille de Donnée'!$F$18,'Feuille de Donnée'!$F$16))&amp;""&amp;IF(AND(T122&gt;=$G122*(1-'Feuille de Donnée'!$E$27),T122&lt;=$G122*(1+'Feuille de Donnée'!$F$27)),'Feuille de Donnée'!$F$32,IF(T122&lt;$G122*(1-'Feuille de Donnée'!$E$27),'Feuille de Donnée'!$F$33,'Feuille de Donnée'!$F$31)))))</f>
        <v/>
      </c>
      <c r="Z122" s="138"/>
      <c r="AA122" s="103"/>
      <c r="AB122" s="27"/>
      <c r="AC122" s="27"/>
      <c r="AD122" s="27" t="str">
        <f t="shared" si="45"/>
        <v/>
      </c>
      <c r="AE122" s="121" t="str">
        <f t="shared" si="46"/>
        <v/>
      </c>
      <c r="AF122" s="121" t="str">
        <f t="shared" si="47"/>
        <v/>
      </c>
      <c r="AG122" s="27" t="str">
        <f>IF(AND(ISBLANK(AI122),AH122=""),"",1+MAX(AG$21:AG121))</f>
        <v/>
      </c>
      <c r="AH122" s="137" t="str">
        <f>IF(OR(AD122="",AD122=0,$H122="",$H122=0,NOT(ISNUMBER($H122)),NOT(ISNUMBER(AD122))),IF(AND($E122&lt;&gt;"",AND(OR(ISNUMBER(AD122),AD122=""),AND(ISNUMBER($H122),$H122&gt;0))),'Feuille de Donnée'!$K$13,""),IF(AD122&lt;$H$168*'Feuille de Donnée'!$I$9,"Négligeable",(IF(AND(AB122&gt;=$F122*(1-'Feuille de Donnée'!$E$12),AB122&lt;=$F122*(1+'Feuille de Donnée'!$F$12)),'Feuille de Donnée'!$F$17,IF(AB122&lt;$F122*(1-'Feuille de Donnée'!$E$12),'Feuille de Donnée'!$F$18,'Feuille de Donnée'!$F$16))&amp;""&amp;IF(AND(AC122&gt;=$G122*(1-'Feuille de Donnée'!$E$27),AC122&lt;=$G122*(1+'Feuille de Donnée'!$F$27)),'Feuille de Donnée'!$F$32,IF(AC122&lt;$G122*(1-'Feuille de Donnée'!$E$27),'Feuille de Donnée'!$F$33,'Feuille de Donnée'!$F$31)))))</f>
        <v/>
      </c>
      <c r="AI122" s="138"/>
      <c r="AJ122" s="103"/>
      <c r="AK122" s="27"/>
      <c r="AL122" s="27"/>
      <c r="AM122" s="27" t="str">
        <f t="shared" si="48"/>
        <v/>
      </c>
      <c r="AN122" s="121" t="str">
        <f t="shared" si="49"/>
        <v/>
      </c>
      <c r="AO122" s="121" t="str">
        <f t="shared" si="50"/>
        <v/>
      </c>
      <c r="AP122" s="27" t="str">
        <f>IF(AND(ISBLANK(AR122),AQ122=""),"",1+MAX(AP$21:AP121))</f>
        <v/>
      </c>
      <c r="AQ122" s="137" t="str">
        <f>IF(OR(AM122="",AM122=0,$H122="",$H122=0,NOT(ISNUMBER($H122)),NOT(ISNUMBER(AM122))),IF(AND($E122&lt;&gt;"",AND(OR(ISNUMBER(AM122),AM122=""),AND(ISNUMBER($H122),$H122&gt;0))),'Feuille de Donnée'!$K$13,""),IF(AM122&lt;$H$168*'Feuille de Donnée'!$I$9,"Négligeable",(IF(AND(AK122&gt;=$F122*(1-'Feuille de Donnée'!$E$12),AK122&lt;=$F122*(1+'Feuille de Donnée'!$F$12)),'Feuille de Donnée'!$F$17,IF(AK122&lt;$F122*(1-'Feuille de Donnée'!$E$12),'Feuille de Donnée'!$F$18,'Feuille de Donnée'!$F$16))&amp;""&amp;IF(AND(AL122&gt;=$G122*(1-'Feuille de Donnée'!$E$27),AL122&lt;=$G122*(1+'Feuille de Donnée'!$F$27)),'Feuille de Donnée'!$F$32,IF(AL122&lt;$G122*(1-'Feuille de Donnée'!$E$27),'Feuille de Donnée'!$F$33,'Feuille de Donnée'!$F$31)))))</f>
        <v/>
      </c>
      <c r="AR122" s="138"/>
      <c r="AS122" s="103"/>
      <c r="AT122" s="27"/>
      <c r="AU122" s="27"/>
      <c r="AV122" s="27" t="str">
        <f t="shared" si="51"/>
        <v/>
      </c>
      <c r="AW122" s="121" t="str">
        <f t="shared" si="52"/>
        <v/>
      </c>
      <c r="AX122" s="121" t="str">
        <f t="shared" si="53"/>
        <v/>
      </c>
      <c r="AY122" s="27" t="str">
        <f>IF(AND(ISBLANK(BA122),AZ122=""),"",1+MAX(AY$21:AY121))</f>
        <v/>
      </c>
      <c r="AZ122" s="137" t="str">
        <f>IF(OR(AV122="",AV122=0,$H122="",$H122=0,NOT(ISNUMBER($H122)),NOT(ISNUMBER(AV122))),IF(AND($E122&lt;&gt;"",AND(OR(ISNUMBER(AV122),AV122=""),AND(ISNUMBER($H122),$H122&gt;0))),'Feuille de Donnée'!$K$13,""),IF(AV122&lt;$H$168*'Feuille de Donnée'!$I$9,"Négligeable",(IF(AND(AT122&gt;=$F122*(1-'Feuille de Donnée'!$E$12),AT122&lt;=$F122*(1+'Feuille de Donnée'!$F$12)),'Feuille de Donnée'!$F$17,IF(AT122&lt;$F122*(1-'Feuille de Donnée'!$E$12),'Feuille de Donnée'!$F$18,'Feuille de Donnée'!$F$16))&amp;""&amp;IF(AND(AU122&gt;=$G122*(1-'Feuille de Donnée'!$E$27),AU122&lt;=$G122*(1+'Feuille de Donnée'!$F$27)),'Feuille de Donnée'!$F$32,IF(AU122&lt;$G122*(1-'Feuille de Donnée'!$E$27),'Feuille de Donnée'!$F$33,'Feuille de Donnée'!$F$31)))))</f>
        <v/>
      </c>
      <c r="BA122" s="138"/>
      <c r="BB122" s="103"/>
      <c r="BC122" s="27"/>
      <c r="BD122" s="27"/>
      <c r="BE122" s="27" t="str">
        <f t="shared" si="54"/>
        <v/>
      </c>
      <c r="BF122" s="121" t="str">
        <f t="shared" si="55"/>
        <v/>
      </c>
      <c r="BG122" s="121" t="str">
        <f t="shared" si="56"/>
        <v/>
      </c>
      <c r="BH122" s="27" t="str">
        <f>IF(AND(ISBLANK(BJ122),BI122=""),"",1+MAX(BH$21:BH121))</f>
        <v/>
      </c>
      <c r="BI122" s="137" t="str">
        <f>IF(OR(BE122="",BE122=0,$H122="",$H122=0,NOT(ISNUMBER($H122)),NOT(ISNUMBER(BE122))),IF(AND($E122&lt;&gt;"",AND(OR(ISNUMBER(BE122),BE122=""),AND(ISNUMBER($H122),$H122&gt;0))),'Feuille de Donnée'!$K$13,""),IF(BE122&lt;$H$168*'Feuille de Donnée'!$I$9,"Négligeable",(IF(AND(BC122&gt;=$F122*(1-'Feuille de Donnée'!$E$12),BC122&lt;=$F122*(1+'Feuille de Donnée'!$F$12)),'Feuille de Donnée'!$F$17,IF(BC122&lt;$F122*(1-'Feuille de Donnée'!$E$12),'Feuille de Donnée'!$F$18,'Feuille de Donnée'!$F$16))&amp;""&amp;IF(AND(BD122&gt;=$G122*(1-'Feuille de Donnée'!$E$27),BD122&lt;=$G122*(1+'Feuille de Donnée'!$F$27)),'Feuille de Donnée'!$F$32,IF(BD122&lt;$G122*(1-'Feuille de Donnée'!$E$27),'Feuille de Donnée'!$F$33,'Feuille de Donnée'!$F$31)))))</f>
        <v/>
      </c>
      <c r="BJ122" s="138"/>
      <c r="BK122" s="140"/>
    </row>
    <row r="123" spans="1:63" s="6" customFormat="1" x14ac:dyDescent="0.3">
      <c r="A123" s="23"/>
      <c r="B123" s="24"/>
      <c r="C123" s="24"/>
      <c r="D123" s="24"/>
      <c r="E123" s="22"/>
      <c r="F123" s="25"/>
      <c r="G123" s="26"/>
      <c r="H123" s="102" t="str">
        <f t="shared" si="38"/>
        <v/>
      </c>
      <c r="I123" s="103"/>
      <c r="J123" s="27"/>
      <c r="K123" s="27"/>
      <c r="L123" s="27" t="str">
        <f t="shared" si="39"/>
        <v/>
      </c>
      <c r="M123" s="121" t="str">
        <f t="shared" si="40"/>
        <v/>
      </c>
      <c r="N123" s="121" t="str">
        <f t="shared" si="41"/>
        <v/>
      </c>
      <c r="O123" s="27" t="str">
        <f>IF(AND(ISBLANK(Q123),P123=""),"",1+MAX(O$21:O122))</f>
        <v/>
      </c>
      <c r="P123" s="137" t="str">
        <f>IF(OR(L123="",L123=0,$H123="",$H123=0,NOT(ISNUMBER($H123)),NOT(ISNUMBER(L123))),IF(AND($E123&lt;&gt;"",AND(OR(ISNUMBER(L123),L123=""),AND(ISNUMBER($H123),$H123&gt;0))),'Feuille de Donnée'!$K$13,""),IF(L123&lt;$H$168*'Feuille de Donnée'!$I$9,"Négligeable",(IF(AND(J123&gt;=$F123*(1-'Feuille de Donnée'!$E$12),J123&lt;=$F123*(1+'Feuille de Donnée'!$F$12)),'Feuille de Donnée'!$F$17,IF(J123&lt;$F123*(1-'Feuille de Donnée'!$E$12),'Feuille de Donnée'!$F$18,'Feuille de Donnée'!$F$16))&amp;""&amp;IF(AND(K123&gt;=$G123*(1-'Feuille de Donnée'!$E$27),K123&lt;=$G123*(1+'Feuille de Donnée'!$F$27)),'Feuille de Donnée'!$F$32,IF(K123&lt;$G123*(1-'Feuille de Donnée'!$E$27),'Feuille de Donnée'!$F$33,'Feuille de Donnée'!$F$31)))))</f>
        <v/>
      </c>
      <c r="Q123" s="138"/>
      <c r="R123" s="103"/>
      <c r="S123" s="27"/>
      <c r="T123" s="27"/>
      <c r="U123" s="27" t="str">
        <f t="shared" si="42"/>
        <v/>
      </c>
      <c r="V123" s="121" t="str">
        <f t="shared" si="43"/>
        <v/>
      </c>
      <c r="W123" s="121" t="str">
        <f t="shared" si="44"/>
        <v/>
      </c>
      <c r="X123" s="27" t="str">
        <f>IF(AND(ISBLANK(Z123),Y123=""),"",1+MAX(X$21:X122))</f>
        <v/>
      </c>
      <c r="Y123" s="137" t="str">
        <f>IF(OR(U123="",U123=0,$H123="",$H123=0,NOT(ISNUMBER($H123)),NOT(ISNUMBER(U123))),IF(AND($E123&lt;&gt;"",AND(OR(ISNUMBER(U123),U123=""),AND(ISNUMBER($H123),$H123&gt;0))),'Feuille de Donnée'!$K$13,""),IF(U123&lt;$H$168*'Feuille de Donnée'!$I$9,"Négligeable",(IF(AND(S123&gt;=$F123*(1-'Feuille de Donnée'!$E$12),S123&lt;=$F123*(1+'Feuille de Donnée'!$F$12)),'Feuille de Donnée'!$F$17,IF(S123&lt;$F123*(1-'Feuille de Donnée'!$E$12),'Feuille de Donnée'!$F$18,'Feuille de Donnée'!$F$16))&amp;""&amp;IF(AND(T123&gt;=$G123*(1-'Feuille de Donnée'!$E$27),T123&lt;=$G123*(1+'Feuille de Donnée'!$F$27)),'Feuille de Donnée'!$F$32,IF(T123&lt;$G123*(1-'Feuille de Donnée'!$E$27),'Feuille de Donnée'!$F$33,'Feuille de Donnée'!$F$31)))))</f>
        <v/>
      </c>
      <c r="Z123" s="138"/>
      <c r="AA123" s="103"/>
      <c r="AB123" s="27"/>
      <c r="AC123" s="27"/>
      <c r="AD123" s="27" t="str">
        <f t="shared" si="45"/>
        <v/>
      </c>
      <c r="AE123" s="121" t="str">
        <f t="shared" si="46"/>
        <v/>
      </c>
      <c r="AF123" s="121" t="str">
        <f t="shared" si="47"/>
        <v/>
      </c>
      <c r="AG123" s="27" t="str">
        <f>IF(AND(ISBLANK(AI123),AH123=""),"",1+MAX(AG$21:AG122))</f>
        <v/>
      </c>
      <c r="AH123" s="137" t="str">
        <f>IF(OR(AD123="",AD123=0,$H123="",$H123=0,NOT(ISNUMBER($H123)),NOT(ISNUMBER(AD123))),IF(AND($E123&lt;&gt;"",AND(OR(ISNUMBER(AD123),AD123=""),AND(ISNUMBER($H123),$H123&gt;0))),'Feuille de Donnée'!$K$13,""),IF(AD123&lt;$H$168*'Feuille de Donnée'!$I$9,"Négligeable",(IF(AND(AB123&gt;=$F123*(1-'Feuille de Donnée'!$E$12),AB123&lt;=$F123*(1+'Feuille de Donnée'!$F$12)),'Feuille de Donnée'!$F$17,IF(AB123&lt;$F123*(1-'Feuille de Donnée'!$E$12),'Feuille de Donnée'!$F$18,'Feuille de Donnée'!$F$16))&amp;""&amp;IF(AND(AC123&gt;=$G123*(1-'Feuille de Donnée'!$E$27),AC123&lt;=$G123*(1+'Feuille de Donnée'!$F$27)),'Feuille de Donnée'!$F$32,IF(AC123&lt;$G123*(1-'Feuille de Donnée'!$E$27),'Feuille de Donnée'!$F$33,'Feuille de Donnée'!$F$31)))))</f>
        <v/>
      </c>
      <c r="AI123" s="138"/>
      <c r="AJ123" s="103"/>
      <c r="AK123" s="27"/>
      <c r="AL123" s="27"/>
      <c r="AM123" s="27" t="str">
        <f t="shared" si="48"/>
        <v/>
      </c>
      <c r="AN123" s="121" t="str">
        <f t="shared" si="49"/>
        <v/>
      </c>
      <c r="AO123" s="121" t="str">
        <f t="shared" si="50"/>
        <v/>
      </c>
      <c r="AP123" s="27" t="str">
        <f>IF(AND(ISBLANK(AR123),AQ123=""),"",1+MAX(AP$21:AP122))</f>
        <v/>
      </c>
      <c r="AQ123" s="137" t="str">
        <f>IF(OR(AM123="",AM123=0,$H123="",$H123=0,NOT(ISNUMBER($H123)),NOT(ISNUMBER(AM123))),IF(AND($E123&lt;&gt;"",AND(OR(ISNUMBER(AM123),AM123=""),AND(ISNUMBER($H123),$H123&gt;0))),'Feuille de Donnée'!$K$13,""),IF(AM123&lt;$H$168*'Feuille de Donnée'!$I$9,"Négligeable",(IF(AND(AK123&gt;=$F123*(1-'Feuille de Donnée'!$E$12),AK123&lt;=$F123*(1+'Feuille de Donnée'!$F$12)),'Feuille de Donnée'!$F$17,IF(AK123&lt;$F123*(1-'Feuille de Donnée'!$E$12),'Feuille de Donnée'!$F$18,'Feuille de Donnée'!$F$16))&amp;""&amp;IF(AND(AL123&gt;=$G123*(1-'Feuille de Donnée'!$E$27),AL123&lt;=$G123*(1+'Feuille de Donnée'!$F$27)),'Feuille de Donnée'!$F$32,IF(AL123&lt;$G123*(1-'Feuille de Donnée'!$E$27),'Feuille de Donnée'!$F$33,'Feuille de Donnée'!$F$31)))))</f>
        <v/>
      </c>
      <c r="AR123" s="138"/>
      <c r="AS123" s="103"/>
      <c r="AT123" s="27"/>
      <c r="AU123" s="27"/>
      <c r="AV123" s="27" t="str">
        <f t="shared" si="51"/>
        <v/>
      </c>
      <c r="AW123" s="121" t="str">
        <f t="shared" si="52"/>
        <v/>
      </c>
      <c r="AX123" s="121" t="str">
        <f t="shared" si="53"/>
        <v/>
      </c>
      <c r="AY123" s="27" t="str">
        <f>IF(AND(ISBLANK(BA123),AZ123=""),"",1+MAX(AY$21:AY122))</f>
        <v/>
      </c>
      <c r="AZ123" s="137" t="str">
        <f>IF(OR(AV123="",AV123=0,$H123="",$H123=0,NOT(ISNUMBER($H123)),NOT(ISNUMBER(AV123))),IF(AND($E123&lt;&gt;"",AND(OR(ISNUMBER(AV123),AV123=""),AND(ISNUMBER($H123),$H123&gt;0))),'Feuille de Donnée'!$K$13,""),IF(AV123&lt;$H$168*'Feuille de Donnée'!$I$9,"Négligeable",(IF(AND(AT123&gt;=$F123*(1-'Feuille de Donnée'!$E$12),AT123&lt;=$F123*(1+'Feuille de Donnée'!$F$12)),'Feuille de Donnée'!$F$17,IF(AT123&lt;$F123*(1-'Feuille de Donnée'!$E$12),'Feuille de Donnée'!$F$18,'Feuille de Donnée'!$F$16))&amp;""&amp;IF(AND(AU123&gt;=$G123*(1-'Feuille de Donnée'!$E$27),AU123&lt;=$G123*(1+'Feuille de Donnée'!$F$27)),'Feuille de Donnée'!$F$32,IF(AU123&lt;$G123*(1-'Feuille de Donnée'!$E$27),'Feuille de Donnée'!$F$33,'Feuille de Donnée'!$F$31)))))</f>
        <v/>
      </c>
      <c r="BA123" s="138"/>
      <c r="BB123" s="103"/>
      <c r="BC123" s="27"/>
      <c r="BD123" s="27"/>
      <c r="BE123" s="27" t="str">
        <f t="shared" si="54"/>
        <v/>
      </c>
      <c r="BF123" s="121" t="str">
        <f t="shared" si="55"/>
        <v/>
      </c>
      <c r="BG123" s="121" t="str">
        <f t="shared" si="56"/>
        <v/>
      </c>
      <c r="BH123" s="27" t="str">
        <f>IF(AND(ISBLANK(BJ123),BI123=""),"",1+MAX(BH$21:BH122))</f>
        <v/>
      </c>
      <c r="BI123" s="137" t="str">
        <f>IF(OR(BE123="",BE123=0,$H123="",$H123=0,NOT(ISNUMBER($H123)),NOT(ISNUMBER(BE123))),IF(AND($E123&lt;&gt;"",AND(OR(ISNUMBER(BE123),BE123=""),AND(ISNUMBER($H123),$H123&gt;0))),'Feuille de Donnée'!$K$13,""),IF(BE123&lt;$H$168*'Feuille de Donnée'!$I$9,"Négligeable",(IF(AND(BC123&gt;=$F123*(1-'Feuille de Donnée'!$E$12),BC123&lt;=$F123*(1+'Feuille de Donnée'!$F$12)),'Feuille de Donnée'!$F$17,IF(BC123&lt;$F123*(1-'Feuille de Donnée'!$E$12),'Feuille de Donnée'!$F$18,'Feuille de Donnée'!$F$16))&amp;""&amp;IF(AND(BD123&gt;=$G123*(1-'Feuille de Donnée'!$E$27),BD123&lt;=$G123*(1+'Feuille de Donnée'!$F$27)),'Feuille de Donnée'!$F$32,IF(BD123&lt;$G123*(1-'Feuille de Donnée'!$E$27),'Feuille de Donnée'!$F$33,'Feuille de Donnée'!$F$31)))))</f>
        <v/>
      </c>
      <c r="BJ123" s="138"/>
      <c r="BK123" s="140"/>
    </row>
    <row r="124" spans="1:63" s="6" customFormat="1" x14ac:dyDescent="0.3">
      <c r="A124" s="23"/>
      <c r="B124" s="24"/>
      <c r="C124" s="24"/>
      <c r="D124" s="24"/>
      <c r="E124" s="22"/>
      <c r="F124" s="25"/>
      <c r="G124" s="26"/>
      <c r="H124" s="102" t="str">
        <f t="shared" si="38"/>
        <v/>
      </c>
      <c r="I124" s="103"/>
      <c r="J124" s="27"/>
      <c r="K124" s="27"/>
      <c r="L124" s="27" t="str">
        <f t="shared" si="39"/>
        <v/>
      </c>
      <c r="M124" s="121" t="str">
        <f t="shared" si="40"/>
        <v/>
      </c>
      <c r="N124" s="121" t="str">
        <f t="shared" si="41"/>
        <v/>
      </c>
      <c r="O124" s="27" t="str">
        <f>IF(AND(ISBLANK(Q124),P124=""),"",1+MAX(O$21:O123))</f>
        <v/>
      </c>
      <c r="P124" s="137" t="str">
        <f>IF(OR(L124="",L124=0,$H124="",$H124=0,NOT(ISNUMBER($H124)),NOT(ISNUMBER(L124))),IF(AND($E124&lt;&gt;"",AND(OR(ISNUMBER(L124),L124=""),AND(ISNUMBER($H124),$H124&gt;0))),'Feuille de Donnée'!$K$13,""),IF(L124&lt;$H$168*'Feuille de Donnée'!$I$9,"Négligeable",(IF(AND(J124&gt;=$F124*(1-'Feuille de Donnée'!$E$12),J124&lt;=$F124*(1+'Feuille de Donnée'!$F$12)),'Feuille de Donnée'!$F$17,IF(J124&lt;$F124*(1-'Feuille de Donnée'!$E$12),'Feuille de Donnée'!$F$18,'Feuille de Donnée'!$F$16))&amp;""&amp;IF(AND(K124&gt;=$G124*(1-'Feuille de Donnée'!$E$27),K124&lt;=$G124*(1+'Feuille de Donnée'!$F$27)),'Feuille de Donnée'!$F$32,IF(K124&lt;$G124*(1-'Feuille de Donnée'!$E$27),'Feuille de Donnée'!$F$33,'Feuille de Donnée'!$F$31)))))</f>
        <v/>
      </c>
      <c r="Q124" s="138"/>
      <c r="R124" s="103"/>
      <c r="S124" s="27"/>
      <c r="T124" s="27"/>
      <c r="U124" s="27" t="str">
        <f t="shared" si="42"/>
        <v/>
      </c>
      <c r="V124" s="121" t="str">
        <f t="shared" si="43"/>
        <v/>
      </c>
      <c r="W124" s="121" t="str">
        <f t="shared" si="44"/>
        <v/>
      </c>
      <c r="X124" s="27" t="str">
        <f>IF(AND(ISBLANK(Z124),Y124=""),"",1+MAX(X$21:X123))</f>
        <v/>
      </c>
      <c r="Y124" s="137" t="str">
        <f>IF(OR(U124="",U124=0,$H124="",$H124=0,NOT(ISNUMBER($H124)),NOT(ISNUMBER(U124))),IF(AND($E124&lt;&gt;"",AND(OR(ISNUMBER(U124),U124=""),AND(ISNUMBER($H124),$H124&gt;0))),'Feuille de Donnée'!$K$13,""),IF(U124&lt;$H$168*'Feuille de Donnée'!$I$9,"Négligeable",(IF(AND(S124&gt;=$F124*(1-'Feuille de Donnée'!$E$12),S124&lt;=$F124*(1+'Feuille de Donnée'!$F$12)),'Feuille de Donnée'!$F$17,IF(S124&lt;$F124*(1-'Feuille de Donnée'!$E$12),'Feuille de Donnée'!$F$18,'Feuille de Donnée'!$F$16))&amp;""&amp;IF(AND(T124&gt;=$G124*(1-'Feuille de Donnée'!$E$27),T124&lt;=$G124*(1+'Feuille de Donnée'!$F$27)),'Feuille de Donnée'!$F$32,IF(T124&lt;$G124*(1-'Feuille de Donnée'!$E$27),'Feuille de Donnée'!$F$33,'Feuille de Donnée'!$F$31)))))</f>
        <v/>
      </c>
      <c r="Z124" s="138"/>
      <c r="AA124" s="103"/>
      <c r="AB124" s="27"/>
      <c r="AC124" s="27"/>
      <c r="AD124" s="27" t="str">
        <f t="shared" si="45"/>
        <v/>
      </c>
      <c r="AE124" s="121" t="str">
        <f t="shared" si="46"/>
        <v/>
      </c>
      <c r="AF124" s="121" t="str">
        <f t="shared" si="47"/>
        <v/>
      </c>
      <c r="AG124" s="27" t="str">
        <f>IF(AND(ISBLANK(AI124),AH124=""),"",1+MAX(AG$21:AG123))</f>
        <v/>
      </c>
      <c r="AH124" s="137" t="str">
        <f>IF(OR(AD124="",AD124=0,$H124="",$H124=0,NOT(ISNUMBER($H124)),NOT(ISNUMBER(AD124))),IF(AND($E124&lt;&gt;"",AND(OR(ISNUMBER(AD124),AD124=""),AND(ISNUMBER($H124),$H124&gt;0))),'Feuille de Donnée'!$K$13,""),IF(AD124&lt;$H$168*'Feuille de Donnée'!$I$9,"Négligeable",(IF(AND(AB124&gt;=$F124*(1-'Feuille de Donnée'!$E$12),AB124&lt;=$F124*(1+'Feuille de Donnée'!$F$12)),'Feuille de Donnée'!$F$17,IF(AB124&lt;$F124*(1-'Feuille de Donnée'!$E$12),'Feuille de Donnée'!$F$18,'Feuille de Donnée'!$F$16))&amp;""&amp;IF(AND(AC124&gt;=$G124*(1-'Feuille de Donnée'!$E$27),AC124&lt;=$G124*(1+'Feuille de Donnée'!$F$27)),'Feuille de Donnée'!$F$32,IF(AC124&lt;$G124*(1-'Feuille de Donnée'!$E$27),'Feuille de Donnée'!$F$33,'Feuille de Donnée'!$F$31)))))</f>
        <v/>
      </c>
      <c r="AI124" s="138"/>
      <c r="AJ124" s="103"/>
      <c r="AK124" s="27"/>
      <c r="AL124" s="27"/>
      <c r="AM124" s="27" t="str">
        <f t="shared" si="48"/>
        <v/>
      </c>
      <c r="AN124" s="121" t="str">
        <f t="shared" si="49"/>
        <v/>
      </c>
      <c r="AO124" s="121" t="str">
        <f t="shared" si="50"/>
        <v/>
      </c>
      <c r="AP124" s="27" t="str">
        <f>IF(AND(ISBLANK(AR124),AQ124=""),"",1+MAX(AP$21:AP123))</f>
        <v/>
      </c>
      <c r="AQ124" s="137" t="str">
        <f>IF(OR(AM124="",AM124=0,$H124="",$H124=0,NOT(ISNUMBER($H124)),NOT(ISNUMBER(AM124))),IF(AND($E124&lt;&gt;"",AND(OR(ISNUMBER(AM124),AM124=""),AND(ISNUMBER($H124),$H124&gt;0))),'Feuille de Donnée'!$K$13,""),IF(AM124&lt;$H$168*'Feuille de Donnée'!$I$9,"Négligeable",(IF(AND(AK124&gt;=$F124*(1-'Feuille de Donnée'!$E$12),AK124&lt;=$F124*(1+'Feuille de Donnée'!$F$12)),'Feuille de Donnée'!$F$17,IF(AK124&lt;$F124*(1-'Feuille de Donnée'!$E$12),'Feuille de Donnée'!$F$18,'Feuille de Donnée'!$F$16))&amp;""&amp;IF(AND(AL124&gt;=$G124*(1-'Feuille de Donnée'!$E$27),AL124&lt;=$G124*(1+'Feuille de Donnée'!$F$27)),'Feuille de Donnée'!$F$32,IF(AL124&lt;$G124*(1-'Feuille de Donnée'!$E$27),'Feuille de Donnée'!$F$33,'Feuille de Donnée'!$F$31)))))</f>
        <v/>
      </c>
      <c r="AR124" s="138"/>
      <c r="AS124" s="103"/>
      <c r="AT124" s="27"/>
      <c r="AU124" s="27"/>
      <c r="AV124" s="27" t="str">
        <f t="shared" si="51"/>
        <v/>
      </c>
      <c r="AW124" s="121" t="str">
        <f t="shared" si="52"/>
        <v/>
      </c>
      <c r="AX124" s="121" t="str">
        <f t="shared" si="53"/>
        <v/>
      </c>
      <c r="AY124" s="27" t="str">
        <f>IF(AND(ISBLANK(BA124),AZ124=""),"",1+MAX(AY$21:AY123))</f>
        <v/>
      </c>
      <c r="AZ124" s="137" t="str">
        <f>IF(OR(AV124="",AV124=0,$H124="",$H124=0,NOT(ISNUMBER($H124)),NOT(ISNUMBER(AV124))),IF(AND($E124&lt;&gt;"",AND(OR(ISNUMBER(AV124),AV124=""),AND(ISNUMBER($H124),$H124&gt;0))),'Feuille de Donnée'!$K$13,""),IF(AV124&lt;$H$168*'Feuille de Donnée'!$I$9,"Négligeable",(IF(AND(AT124&gt;=$F124*(1-'Feuille de Donnée'!$E$12),AT124&lt;=$F124*(1+'Feuille de Donnée'!$F$12)),'Feuille de Donnée'!$F$17,IF(AT124&lt;$F124*(1-'Feuille de Donnée'!$E$12),'Feuille de Donnée'!$F$18,'Feuille de Donnée'!$F$16))&amp;""&amp;IF(AND(AU124&gt;=$G124*(1-'Feuille de Donnée'!$E$27),AU124&lt;=$G124*(1+'Feuille de Donnée'!$F$27)),'Feuille de Donnée'!$F$32,IF(AU124&lt;$G124*(1-'Feuille de Donnée'!$E$27),'Feuille de Donnée'!$F$33,'Feuille de Donnée'!$F$31)))))</f>
        <v/>
      </c>
      <c r="BA124" s="138"/>
      <c r="BB124" s="103"/>
      <c r="BC124" s="27"/>
      <c r="BD124" s="27"/>
      <c r="BE124" s="27" t="str">
        <f t="shared" si="54"/>
        <v/>
      </c>
      <c r="BF124" s="121" t="str">
        <f t="shared" si="55"/>
        <v/>
      </c>
      <c r="BG124" s="121" t="str">
        <f t="shared" si="56"/>
        <v/>
      </c>
      <c r="BH124" s="27" t="str">
        <f>IF(AND(ISBLANK(BJ124),BI124=""),"",1+MAX(BH$21:BH123))</f>
        <v/>
      </c>
      <c r="BI124" s="137" t="str">
        <f>IF(OR(BE124="",BE124=0,$H124="",$H124=0,NOT(ISNUMBER($H124)),NOT(ISNUMBER(BE124))),IF(AND($E124&lt;&gt;"",AND(OR(ISNUMBER(BE124),BE124=""),AND(ISNUMBER($H124),$H124&gt;0))),'Feuille de Donnée'!$K$13,""),IF(BE124&lt;$H$168*'Feuille de Donnée'!$I$9,"Négligeable",(IF(AND(BC124&gt;=$F124*(1-'Feuille de Donnée'!$E$12),BC124&lt;=$F124*(1+'Feuille de Donnée'!$F$12)),'Feuille de Donnée'!$F$17,IF(BC124&lt;$F124*(1-'Feuille de Donnée'!$E$12),'Feuille de Donnée'!$F$18,'Feuille de Donnée'!$F$16))&amp;""&amp;IF(AND(BD124&gt;=$G124*(1-'Feuille de Donnée'!$E$27),BD124&lt;=$G124*(1+'Feuille de Donnée'!$F$27)),'Feuille de Donnée'!$F$32,IF(BD124&lt;$G124*(1-'Feuille de Donnée'!$E$27),'Feuille de Donnée'!$F$33,'Feuille de Donnée'!$F$31)))))</f>
        <v/>
      </c>
      <c r="BJ124" s="138"/>
      <c r="BK124" s="140"/>
    </row>
    <row r="125" spans="1:63" s="6" customFormat="1" x14ac:dyDescent="0.3">
      <c r="A125" s="23"/>
      <c r="B125" s="24"/>
      <c r="C125" s="24"/>
      <c r="D125" s="24"/>
      <c r="E125" s="22"/>
      <c r="F125" s="25"/>
      <c r="G125" s="26"/>
      <c r="H125" s="102" t="str">
        <f t="shared" si="38"/>
        <v/>
      </c>
      <c r="I125" s="103"/>
      <c r="J125" s="27"/>
      <c r="K125" s="27"/>
      <c r="L125" s="27" t="str">
        <f t="shared" si="39"/>
        <v/>
      </c>
      <c r="M125" s="121" t="str">
        <f t="shared" si="40"/>
        <v/>
      </c>
      <c r="N125" s="121" t="str">
        <f t="shared" si="41"/>
        <v/>
      </c>
      <c r="O125" s="27" t="str">
        <f>IF(AND(ISBLANK(Q125),P125=""),"",1+MAX(O$21:O124))</f>
        <v/>
      </c>
      <c r="P125" s="137" t="str">
        <f>IF(OR(L125="",L125=0,$H125="",$H125=0,NOT(ISNUMBER($H125)),NOT(ISNUMBER(L125))),IF(AND($E125&lt;&gt;"",AND(OR(ISNUMBER(L125),L125=""),AND(ISNUMBER($H125),$H125&gt;0))),'Feuille de Donnée'!$K$13,""),IF(L125&lt;$H$168*'Feuille de Donnée'!$I$9,"Négligeable",(IF(AND(J125&gt;=$F125*(1-'Feuille de Donnée'!$E$12),J125&lt;=$F125*(1+'Feuille de Donnée'!$F$12)),'Feuille de Donnée'!$F$17,IF(J125&lt;$F125*(1-'Feuille de Donnée'!$E$12),'Feuille de Donnée'!$F$18,'Feuille de Donnée'!$F$16))&amp;""&amp;IF(AND(K125&gt;=$G125*(1-'Feuille de Donnée'!$E$27),K125&lt;=$G125*(1+'Feuille de Donnée'!$F$27)),'Feuille de Donnée'!$F$32,IF(K125&lt;$G125*(1-'Feuille de Donnée'!$E$27),'Feuille de Donnée'!$F$33,'Feuille de Donnée'!$F$31)))))</f>
        <v/>
      </c>
      <c r="Q125" s="138"/>
      <c r="R125" s="103"/>
      <c r="S125" s="27"/>
      <c r="T125" s="27"/>
      <c r="U125" s="27" t="str">
        <f t="shared" si="42"/>
        <v/>
      </c>
      <c r="V125" s="121" t="str">
        <f t="shared" si="43"/>
        <v/>
      </c>
      <c r="W125" s="121" t="str">
        <f t="shared" si="44"/>
        <v/>
      </c>
      <c r="X125" s="27" t="str">
        <f>IF(AND(ISBLANK(Z125),Y125=""),"",1+MAX(X$21:X124))</f>
        <v/>
      </c>
      <c r="Y125" s="137" t="str">
        <f>IF(OR(U125="",U125=0,$H125="",$H125=0,NOT(ISNUMBER($H125)),NOT(ISNUMBER(U125))),IF(AND($E125&lt;&gt;"",AND(OR(ISNUMBER(U125),U125=""),AND(ISNUMBER($H125),$H125&gt;0))),'Feuille de Donnée'!$K$13,""),IF(U125&lt;$H$168*'Feuille de Donnée'!$I$9,"Négligeable",(IF(AND(S125&gt;=$F125*(1-'Feuille de Donnée'!$E$12),S125&lt;=$F125*(1+'Feuille de Donnée'!$F$12)),'Feuille de Donnée'!$F$17,IF(S125&lt;$F125*(1-'Feuille de Donnée'!$E$12),'Feuille de Donnée'!$F$18,'Feuille de Donnée'!$F$16))&amp;""&amp;IF(AND(T125&gt;=$G125*(1-'Feuille de Donnée'!$E$27),T125&lt;=$G125*(1+'Feuille de Donnée'!$F$27)),'Feuille de Donnée'!$F$32,IF(T125&lt;$G125*(1-'Feuille de Donnée'!$E$27),'Feuille de Donnée'!$F$33,'Feuille de Donnée'!$F$31)))))</f>
        <v/>
      </c>
      <c r="Z125" s="138"/>
      <c r="AA125" s="103"/>
      <c r="AB125" s="27"/>
      <c r="AC125" s="27"/>
      <c r="AD125" s="27" t="str">
        <f t="shared" si="45"/>
        <v/>
      </c>
      <c r="AE125" s="121" t="str">
        <f t="shared" si="46"/>
        <v/>
      </c>
      <c r="AF125" s="121" t="str">
        <f t="shared" si="47"/>
        <v/>
      </c>
      <c r="AG125" s="27" t="str">
        <f>IF(AND(ISBLANK(AI125),AH125=""),"",1+MAX(AG$21:AG124))</f>
        <v/>
      </c>
      <c r="AH125" s="137" t="str">
        <f>IF(OR(AD125="",AD125=0,$H125="",$H125=0,NOT(ISNUMBER($H125)),NOT(ISNUMBER(AD125))),IF(AND($E125&lt;&gt;"",AND(OR(ISNUMBER(AD125),AD125=""),AND(ISNUMBER($H125),$H125&gt;0))),'Feuille de Donnée'!$K$13,""),IF(AD125&lt;$H$168*'Feuille de Donnée'!$I$9,"Négligeable",(IF(AND(AB125&gt;=$F125*(1-'Feuille de Donnée'!$E$12),AB125&lt;=$F125*(1+'Feuille de Donnée'!$F$12)),'Feuille de Donnée'!$F$17,IF(AB125&lt;$F125*(1-'Feuille de Donnée'!$E$12),'Feuille de Donnée'!$F$18,'Feuille de Donnée'!$F$16))&amp;""&amp;IF(AND(AC125&gt;=$G125*(1-'Feuille de Donnée'!$E$27),AC125&lt;=$G125*(1+'Feuille de Donnée'!$F$27)),'Feuille de Donnée'!$F$32,IF(AC125&lt;$G125*(1-'Feuille de Donnée'!$E$27),'Feuille de Donnée'!$F$33,'Feuille de Donnée'!$F$31)))))</f>
        <v/>
      </c>
      <c r="AI125" s="138"/>
      <c r="AJ125" s="103"/>
      <c r="AK125" s="27"/>
      <c r="AL125" s="27"/>
      <c r="AM125" s="27" t="str">
        <f t="shared" si="48"/>
        <v/>
      </c>
      <c r="AN125" s="121" t="str">
        <f t="shared" si="49"/>
        <v/>
      </c>
      <c r="AO125" s="121" t="str">
        <f t="shared" si="50"/>
        <v/>
      </c>
      <c r="AP125" s="27" t="str">
        <f>IF(AND(ISBLANK(AR125),AQ125=""),"",1+MAX(AP$21:AP124))</f>
        <v/>
      </c>
      <c r="AQ125" s="137" t="str">
        <f>IF(OR(AM125="",AM125=0,$H125="",$H125=0,NOT(ISNUMBER($H125)),NOT(ISNUMBER(AM125))),IF(AND($E125&lt;&gt;"",AND(OR(ISNUMBER(AM125),AM125=""),AND(ISNUMBER($H125),$H125&gt;0))),'Feuille de Donnée'!$K$13,""),IF(AM125&lt;$H$168*'Feuille de Donnée'!$I$9,"Négligeable",(IF(AND(AK125&gt;=$F125*(1-'Feuille de Donnée'!$E$12),AK125&lt;=$F125*(1+'Feuille de Donnée'!$F$12)),'Feuille de Donnée'!$F$17,IF(AK125&lt;$F125*(1-'Feuille de Donnée'!$E$12),'Feuille de Donnée'!$F$18,'Feuille de Donnée'!$F$16))&amp;""&amp;IF(AND(AL125&gt;=$G125*(1-'Feuille de Donnée'!$E$27),AL125&lt;=$G125*(1+'Feuille de Donnée'!$F$27)),'Feuille de Donnée'!$F$32,IF(AL125&lt;$G125*(1-'Feuille de Donnée'!$E$27),'Feuille de Donnée'!$F$33,'Feuille de Donnée'!$F$31)))))</f>
        <v/>
      </c>
      <c r="AR125" s="138"/>
      <c r="AS125" s="103"/>
      <c r="AT125" s="27"/>
      <c r="AU125" s="27"/>
      <c r="AV125" s="27" t="str">
        <f t="shared" si="51"/>
        <v/>
      </c>
      <c r="AW125" s="121" t="str">
        <f t="shared" si="52"/>
        <v/>
      </c>
      <c r="AX125" s="121" t="str">
        <f t="shared" si="53"/>
        <v/>
      </c>
      <c r="AY125" s="27" t="str">
        <f>IF(AND(ISBLANK(BA125),AZ125=""),"",1+MAX(AY$21:AY124))</f>
        <v/>
      </c>
      <c r="AZ125" s="137" t="str">
        <f>IF(OR(AV125="",AV125=0,$H125="",$H125=0,NOT(ISNUMBER($H125)),NOT(ISNUMBER(AV125))),IF(AND($E125&lt;&gt;"",AND(OR(ISNUMBER(AV125),AV125=""),AND(ISNUMBER($H125),$H125&gt;0))),'Feuille de Donnée'!$K$13,""),IF(AV125&lt;$H$168*'Feuille de Donnée'!$I$9,"Négligeable",(IF(AND(AT125&gt;=$F125*(1-'Feuille de Donnée'!$E$12),AT125&lt;=$F125*(1+'Feuille de Donnée'!$F$12)),'Feuille de Donnée'!$F$17,IF(AT125&lt;$F125*(1-'Feuille de Donnée'!$E$12),'Feuille de Donnée'!$F$18,'Feuille de Donnée'!$F$16))&amp;""&amp;IF(AND(AU125&gt;=$G125*(1-'Feuille de Donnée'!$E$27),AU125&lt;=$G125*(1+'Feuille de Donnée'!$F$27)),'Feuille de Donnée'!$F$32,IF(AU125&lt;$G125*(1-'Feuille de Donnée'!$E$27),'Feuille de Donnée'!$F$33,'Feuille de Donnée'!$F$31)))))</f>
        <v/>
      </c>
      <c r="BA125" s="138"/>
      <c r="BB125" s="103"/>
      <c r="BC125" s="27"/>
      <c r="BD125" s="27"/>
      <c r="BE125" s="27" t="str">
        <f t="shared" si="54"/>
        <v/>
      </c>
      <c r="BF125" s="121" t="str">
        <f t="shared" si="55"/>
        <v/>
      </c>
      <c r="BG125" s="121" t="str">
        <f t="shared" si="56"/>
        <v/>
      </c>
      <c r="BH125" s="27" t="str">
        <f>IF(AND(ISBLANK(BJ125),BI125=""),"",1+MAX(BH$21:BH124))</f>
        <v/>
      </c>
      <c r="BI125" s="137" t="str">
        <f>IF(OR(BE125="",BE125=0,$H125="",$H125=0,NOT(ISNUMBER($H125)),NOT(ISNUMBER(BE125))),IF(AND($E125&lt;&gt;"",AND(OR(ISNUMBER(BE125),BE125=""),AND(ISNUMBER($H125),$H125&gt;0))),'Feuille de Donnée'!$K$13,""),IF(BE125&lt;$H$168*'Feuille de Donnée'!$I$9,"Négligeable",(IF(AND(BC125&gt;=$F125*(1-'Feuille de Donnée'!$E$12),BC125&lt;=$F125*(1+'Feuille de Donnée'!$F$12)),'Feuille de Donnée'!$F$17,IF(BC125&lt;$F125*(1-'Feuille de Donnée'!$E$12),'Feuille de Donnée'!$F$18,'Feuille de Donnée'!$F$16))&amp;""&amp;IF(AND(BD125&gt;=$G125*(1-'Feuille de Donnée'!$E$27),BD125&lt;=$G125*(1+'Feuille de Donnée'!$F$27)),'Feuille de Donnée'!$F$32,IF(BD125&lt;$G125*(1-'Feuille de Donnée'!$E$27),'Feuille de Donnée'!$F$33,'Feuille de Donnée'!$F$31)))))</f>
        <v/>
      </c>
      <c r="BJ125" s="138"/>
      <c r="BK125" s="140"/>
    </row>
    <row r="126" spans="1:63" s="6" customFormat="1" x14ac:dyDescent="0.3">
      <c r="A126" s="23"/>
      <c r="B126" s="24"/>
      <c r="C126" s="24"/>
      <c r="D126" s="24"/>
      <c r="E126" s="22"/>
      <c r="F126" s="25"/>
      <c r="G126" s="26"/>
      <c r="H126" s="102" t="str">
        <f t="shared" si="38"/>
        <v/>
      </c>
      <c r="I126" s="103"/>
      <c r="J126" s="27"/>
      <c r="K126" s="27"/>
      <c r="L126" s="27" t="str">
        <f t="shared" si="39"/>
        <v/>
      </c>
      <c r="M126" s="121" t="str">
        <f t="shared" si="40"/>
        <v/>
      </c>
      <c r="N126" s="121" t="str">
        <f t="shared" si="41"/>
        <v/>
      </c>
      <c r="O126" s="27" t="str">
        <f>IF(AND(ISBLANK(Q126),P126=""),"",1+MAX(O$21:O125))</f>
        <v/>
      </c>
      <c r="P126" s="137" t="str">
        <f>IF(OR(L126="",L126=0,$H126="",$H126=0,NOT(ISNUMBER($H126)),NOT(ISNUMBER(L126))),IF(AND($E126&lt;&gt;"",AND(OR(ISNUMBER(L126),L126=""),AND(ISNUMBER($H126),$H126&gt;0))),'Feuille de Donnée'!$K$13,""),IF(L126&lt;$H$168*'Feuille de Donnée'!$I$9,"Négligeable",(IF(AND(J126&gt;=$F126*(1-'Feuille de Donnée'!$E$12),J126&lt;=$F126*(1+'Feuille de Donnée'!$F$12)),'Feuille de Donnée'!$F$17,IF(J126&lt;$F126*(1-'Feuille de Donnée'!$E$12),'Feuille de Donnée'!$F$18,'Feuille de Donnée'!$F$16))&amp;""&amp;IF(AND(K126&gt;=$G126*(1-'Feuille de Donnée'!$E$27),K126&lt;=$G126*(1+'Feuille de Donnée'!$F$27)),'Feuille de Donnée'!$F$32,IF(K126&lt;$G126*(1-'Feuille de Donnée'!$E$27),'Feuille de Donnée'!$F$33,'Feuille de Donnée'!$F$31)))))</f>
        <v/>
      </c>
      <c r="Q126" s="138"/>
      <c r="R126" s="103"/>
      <c r="S126" s="27"/>
      <c r="T126" s="27"/>
      <c r="U126" s="27" t="str">
        <f t="shared" si="42"/>
        <v/>
      </c>
      <c r="V126" s="121" t="str">
        <f t="shared" si="43"/>
        <v/>
      </c>
      <c r="W126" s="121" t="str">
        <f t="shared" si="44"/>
        <v/>
      </c>
      <c r="X126" s="27" t="str">
        <f>IF(AND(ISBLANK(Z126),Y126=""),"",1+MAX(X$21:X125))</f>
        <v/>
      </c>
      <c r="Y126" s="137" t="str">
        <f>IF(OR(U126="",U126=0,$H126="",$H126=0,NOT(ISNUMBER($H126)),NOT(ISNUMBER(U126))),IF(AND($E126&lt;&gt;"",AND(OR(ISNUMBER(U126),U126=""),AND(ISNUMBER($H126),$H126&gt;0))),'Feuille de Donnée'!$K$13,""),IF(U126&lt;$H$168*'Feuille de Donnée'!$I$9,"Négligeable",(IF(AND(S126&gt;=$F126*(1-'Feuille de Donnée'!$E$12),S126&lt;=$F126*(1+'Feuille de Donnée'!$F$12)),'Feuille de Donnée'!$F$17,IF(S126&lt;$F126*(1-'Feuille de Donnée'!$E$12),'Feuille de Donnée'!$F$18,'Feuille de Donnée'!$F$16))&amp;""&amp;IF(AND(T126&gt;=$G126*(1-'Feuille de Donnée'!$E$27),T126&lt;=$G126*(1+'Feuille de Donnée'!$F$27)),'Feuille de Donnée'!$F$32,IF(T126&lt;$G126*(1-'Feuille de Donnée'!$E$27),'Feuille de Donnée'!$F$33,'Feuille de Donnée'!$F$31)))))</f>
        <v/>
      </c>
      <c r="Z126" s="138"/>
      <c r="AA126" s="103"/>
      <c r="AB126" s="27"/>
      <c r="AC126" s="27"/>
      <c r="AD126" s="27" t="str">
        <f t="shared" si="45"/>
        <v/>
      </c>
      <c r="AE126" s="121" t="str">
        <f t="shared" si="46"/>
        <v/>
      </c>
      <c r="AF126" s="121" t="str">
        <f t="shared" si="47"/>
        <v/>
      </c>
      <c r="AG126" s="27" t="str">
        <f>IF(AND(ISBLANK(AI126),AH126=""),"",1+MAX(AG$21:AG125))</f>
        <v/>
      </c>
      <c r="AH126" s="137" t="str">
        <f>IF(OR(AD126="",AD126=0,$H126="",$H126=0,NOT(ISNUMBER($H126)),NOT(ISNUMBER(AD126))),IF(AND($E126&lt;&gt;"",AND(OR(ISNUMBER(AD126),AD126=""),AND(ISNUMBER($H126),$H126&gt;0))),'Feuille de Donnée'!$K$13,""),IF(AD126&lt;$H$168*'Feuille de Donnée'!$I$9,"Négligeable",(IF(AND(AB126&gt;=$F126*(1-'Feuille de Donnée'!$E$12),AB126&lt;=$F126*(1+'Feuille de Donnée'!$F$12)),'Feuille de Donnée'!$F$17,IF(AB126&lt;$F126*(1-'Feuille de Donnée'!$E$12),'Feuille de Donnée'!$F$18,'Feuille de Donnée'!$F$16))&amp;""&amp;IF(AND(AC126&gt;=$G126*(1-'Feuille de Donnée'!$E$27),AC126&lt;=$G126*(1+'Feuille de Donnée'!$F$27)),'Feuille de Donnée'!$F$32,IF(AC126&lt;$G126*(1-'Feuille de Donnée'!$E$27),'Feuille de Donnée'!$F$33,'Feuille de Donnée'!$F$31)))))</f>
        <v/>
      </c>
      <c r="AI126" s="138"/>
      <c r="AJ126" s="103"/>
      <c r="AK126" s="27"/>
      <c r="AL126" s="27"/>
      <c r="AM126" s="27" t="str">
        <f t="shared" si="48"/>
        <v/>
      </c>
      <c r="AN126" s="121" t="str">
        <f t="shared" si="49"/>
        <v/>
      </c>
      <c r="AO126" s="121" t="str">
        <f t="shared" si="50"/>
        <v/>
      </c>
      <c r="AP126" s="27" t="str">
        <f>IF(AND(ISBLANK(AR126),AQ126=""),"",1+MAX(AP$21:AP125))</f>
        <v/>
      </c>
      <c r="AQ126" s="137" t="str">
        <f>IF(OR(AM126="",AM126=0,$H126="",$H126=0,NOT(ISNUMBER($H126)),NOT(ISNUMBER(AM126))),IF(AND($E126&lt;&gt;"",AND(OR(ISNUMBER(AM126),AM126=""),AND(ISNUMBER($H126),$H126&gt;0))),'Feuille de Donnée'!$K$13,""),IF(AM126&lt;$H$168*'Feuille de Donnée'!$I$9,"Négligeable",(IF(AND(AK126&gt;=$F126*(1-'Feuille de Donnée'!$E$12),AK126&lt;=$F126*(1+'Feuille de Donnée'!$F$12)),'Feuille de Donnée'!$F$17,IF(AK126&lt;$F126*(1-'Feuille de Donnée'!$E$12),'Feuille de Donnée'!$F$18,'Feuille de Donnée'!$F$16))&amp;""&amp;IF(AND(AL126&gt;=$G126*(1-'Feuille de Donnée'!$E$27),AL126&lt;=$G126*(1+'Feuille de Donnée'!$F$27)),'Feuille de Donnée'!$F$32,IF(AL126&lt;$G126*(1-'Feuille de Donnée'!$E$27),'Feuille de Donnée'!$F$33,'Feuille de Donnée'!$F$31)))))</f>
        <v/>
      </c>
      <c r="AR126" s="138"/>
      <c r="AS126" s="103"/>
      <c r="AT126" s="27"/>
      <c r="AU126" s="27"/>
      <c r="AV126" s="27" t="str">
        <f t="shared" si="51"/>
        <v/>
      </c>
      <c r="AW126" s="121" t="str">
        <f t="shared" si="52"/>
        <v/>
      </c>
      <c r="AX126" s="121" t="str">
        <f t="shared" si="53"/>
        <v/>
      </c>
      <c r="AY126" s="27" t="str">
        <f>IF(AND(ISBLANK(BA126),AZ126=""),"",1+MAX(AY$21:AY125))</f>
        <v/>
      </c>
      <c r="AZ126" s="137" t="str">
        <f>IF(OR(AV126="",AV126=0,$H126="",$H126=0,NOT(ISNUMBER($H126)),NOT(ISNUMBER(AV126))),IF(AND($E126&lt;&gt;"",AND(OR(ISNUMBER(AV126),AV126=""),AND(ISNUMBER($H126),$H126&gt;0))),'Feuille de Donnée'!$K$13,""),IF(AV126&lt;$H$168*'Feuille de Donnée'!$I$9,"Négligeable",(IF(AND(AT126&gt;=$F126*(1-'Feuille de Donnée'!$E$12),AT126&lt;=$F126*(1+'Feuille de Donnée'!$F$12)),'Feuille de Donnée'!$F$17,IF(AT126&lt;$F126*(1-'Feuille de Donnée'!$E$12),'Feuille de Donnée'!$F$18,'Feuille de Donnée'!$F$16))&amp;""&amp;IF(AND(AU126&gt;=$G126*(1-'Feuille de Donnée'!$E$27),AU126&lt;=$G126*(1+'Feuille de Donnée'!$F$27)),'Feuille de Donnée'!$F$32,IF(AU126&lt;$G126*(1-'Feuille de Donnée'!$E$27),'Feuille de Donnée'!$F$33,'Feuille de Donnée'!$F$31)))))</f>
        <v/>
      </c>
      <c r="BA126" s="138"/>
      <c r="BB126" s="103"/>
      <c r="BC126" s="27"/>
      <c r="BD126" s="27"/>
      <c r="BE126" s="27" t="str">
        <f t="shared" si="54"/>
        <v/>
      </c>
      <c r="BF126" s="121" t="str">
        <f t="shared" si="55"/>
        <v/>
      </c>
      <c r="BG126" s="121" t="str">
        <f t="shared" si="56"/>
        <v/>
      </c>
      <c r="BH126" s="27" t="str">
        <f>IF(AND(ISBLANK(BJ126),BI126=""),"",1+MAX(BH$21:BH125))</f>
        <v/>
      </c>
      <c r="BI126" s="137" t="str">
        <f>IF(OR(BE126="",BE126=0,$H126="",$H126=0,NOT(ISNUMBER($H126)),NOT(ISNUMBER(BE126))),IF(AND($E126&lt;&gt;"",AND(OR(ISNUMBER(BE126),BE126=""),AND(ISNUMBER($H126),$H126&gt;0))),'Feuille de Donnée'!$K$13,""),IF(BE126&lt;$H$168*'Feuille de Donnée'!$I$9,"Négligeable",(IF(AND(BC126&gt;=$F126*(1-'Feuille de Donnée'!$E$12),BC126&lt;=$F126*(1+'Feuille de Donnée'!$F$12)),'Feuille de Donnée'!$F$17,IF(BC126&lt;$F126*(1-'Feuille de Donnée'!$E$12),'Feuille de Donnée'!$F$18,'Feuille de Donnée'!$F$16))&amp;""&amp;IF(AND(BD126&gt;=$G126*(1-'Feuille de Donnée'!$E$27),BD126&lt;=$G126*(1+'Feuille de Donnée'!$F$27)),'Feuille de Donnée'!$F$32,IF(BD126&lt;$G126*(1-'Feuille de Donnée'!$E$27),'Feuille de Donnée'!$F$33,'Feuille de Donnée'!$F$31)))))</f>
        <v/>
      </c>
      <c r="BJ126" s="138"/>
      <c r="BK126" s="140"/>
    </row>
    <row r="127" spans="1:63" s="6" customFormat="1" x14ac:dyDescent="0.3">
      <c r="A127" s="23"/>
      <c r="B127" s="24"/>
      <c r="C127" s="24"/>
      <c r="D127" s="24"/>
      <c r="E127" s="22"/>
      <c r="F127" s="25"/>
      <c r="G127" s="26"/>
      <c r="H127" s="102" t="str">
        <f t="shared" si="38"/>
        <v/>
      </c>
      <c r="I127" s="103"/>
      <c r="J127" s="27"/>
      <c r="K127" s="27"/>
      <c r="L127" s="27" t="str">
        <f t="shared" si="39"/>
        <v/>
      </c>
      <c r="M127" s="121" t="str">
        <f t="shared" si="40"/>
        <v/>
      </c>
      <c r="N127" s="121" t="str">
        <f t="shared" si="41"/>
        <v/>
      </c>
      <c r="O127" s="27" t="str">
        <f>IF(AND(ISBLANK(Q127),P127=""),"",1+MAX(O$21:O126))</f>
        <v/>
      </c>
      <c r="P127" s="137" t="str">
        <f>IF(OR(L127="",L127=0,$H127="",$H127=0,NOT(ISNUMBER($H127)),NOT(ISNUMBER(L127))),IF(AND($E127&lt;&gt;"",AND(OR(ISNUMBER(L127),L127=""),AND(ISNUMBER($H127),$H127&gt;0))),'Feuille de Donnée'!$K$13,""),IF(L127&lt;$H$168*'Feuille de Donnée'!$I$9,"Négligeable",(IF(AND(J127&gt;=$F127*(1-'Feuille de Donnée'!$E$12),J127&lt;=$F127*(1+'Feuille de Donnée'!$F$12)),'Feuille de Donnée'!$F$17,IF(J127&lt;$F127*(1-'Feuille de Donnée'!$E$12),'Feuille de Donnée'!$F$18,'Feuille de Donnée'!$F$16))&amp;""&amp;IF(AND(K127&gt;=$G127*(1-'Feuille de Donnée'!$E$27),K127&lt;=$G127*(1+'Feuille de Donnée'!$F$27)),'Feuille de Donnée'!$F$32,IF(K127&lt;$G127*(1-'Feuille de Donnée'!$E$27),'Feuille de Donnée'!$F$33,'Feuille de Donnée'!$F$31)))))</f>
        <v/>
      </c>
      <c r="Q127" s="138"/>
      <c r="R127" s="103"/>
      <c r="S127" s="27"/>
      <c r="T127" s="27"/>
      <c r="U127" s="27" t="str">
        <f t="shared" si="42"/>
        <v/>
      </c>
      <c r="V127" s="121" t="str">
        <f t="shared" si="43"/>
        <v/>
      </c>
      <c r="W127" s="121" t="str">
        <f t="shared" si="44"/>
        <v/>
      </c>
      <c r="X127" s="27" t="str">
        <f>IF(AND(ISBLANK(Z127),Y127=""),"",1+MAX(X$21:X126))</f>
        <v/>
      </c>
      <c r="Y127" s="137" t="str">
        <f>IF(OR(U127="",U127=0,$H127="",$H127=0,NOT(ISNUMBER($H127)),NOT(ISNUMBER(U127))),IF(AND($E127&lt;&gt;"",AND(OR(ISNUMBER(U127),U127=""),AND(ISNUMBER($H127),$H127&gt;0))),'Feuille de Donnée'!$K$13,""),IF(U127&lt;$H$168*'Feuille de Donnée'!$I$9,"Négligeable",(IF(AND(S127&gt;=$F127*(1-'Feuille de Donnée'!$E$12),S127&lt;=$F127*(1+'Feuille de Donnée'!$F$12)),'Feuille de Donnée'!$F$17,IF(S127&lt;$F127*(1-'Feuille de Donnée'!$E$12),'Feuille de Donnée'!$F$18,'Feuille de Donnée'!$F$16))&amp;""&amp;IF(AND(T127&gt;=$G127*(1-'Feuille de Donnée'!$E$27),T127&lt;=$G127*(1+'Feuille de Donnée'!$F$27)),'Feuille de Donnée'!$F$32,IF(T127&lt;$G127*(1-'Feuille de Donnée'!$E$27),'Feuille de Donnée'!$F$33,'Feuille de Donnée'!$F$31)))))</f>
        <v/>
      </c>
      <c r="Z127" s="138"/>
      <c r="AA127" s="103"/>
      <c r="AB127" s="27"/>
      <c r="AC127" s="27"/>
      <c r="AD127" s="27" t="str">
        <f t="shared" si="45"/>
        <v/>
      </c>
      <c r="AE127" s="121" t="str">
        <f t="shared" si="46"/>
        <v/>
      </c>
      <c r="AF127" s="121" t="str">
        <f t="shared" si="47"/>
        <v/>
      </c>
      <c r="AG127" s="27" t="str">
        <f>IF(AND(ISBLANK(AI127),AH127=""),"",1+MAX(AG$21:AG126))</f>
        <v/>
      </c>
      <c r="AH127" s="137" t="str">
        <f>IF(OR(AD127="",AD127=0,$H127="",$H127=0,NOT(ISNUMBER($H127)),NOT(ISNUMBER(AD127))),IF(AND($E127&lt;&gt;"",AND(OR(ISNUMBER(AD127),AD127=""),AND(ISNUMBER($H127),$H127&gt;0))),'Feuille de Donnée'!$K$13,""),IF(AD127&lt;$H$168*'Feuille de Donnée'!$I$9,"Négligeable",(IF(AND(AB127&gt;=$F127*(1-'Feuille de Donnée'!$E$12),AB127&lt;=$F127*(1+'Feuille de Donnée'!$F$12)),'Feuille de Donnée'!$F$17,IF(AB127&lt;$F127*(1-'Feuille de Donnée'!$E$12),'Feuille de Donnée'!$F$18,'Feuille de Donnée'!$F$16))&amp;""&amp;IF(AND(AC127&gt;=$G127*(1-'Feuille de Donnée'!$E$27),AC127&lt;=$G127*(1+'Feuille de Donnée'!$F$27)),'Feuille de Donnée'!$F$32,IF(AC127&lt;$G127*(1-'Feuille de Donnée'!$E$27),'Feuille de Donnée'!$F$33,'Feuille de Donnée'!$F$31)))))</f>
        <v/>
      </c>
      <c r="AI127" s="138"/>
      <c r="AJ127" s="103"/>
      <c r="AK127" s="27"/>
      <c r="AL127" s="27"/>
      <c r="AM127" s="27" t="str">
        <f t="shared" si="48"/>
        <v/>
      </c>
      <c r="AN127" s="121" t="str">
        <f t="shared" si="49"/>
        <v/>
      </c>
      <c r="AO127" s="121" t="str">
        <f t="shared" si="50"/>
        <v/>
      </c>
      <c r="AP127" s="27" t="str">
        <f>IF(AND(ISBLANK(AR127),AQ127=""),"",1+MAX(AP$21:AP126))</f>
        <v/>
      </c>
      <c r="AQ127" s="137" t="str">
        <f>IF(OR(AM127="",AM127=0,$H127="",$H127=0,NOT(ISNUMBER($H127)),NOT(ISNUMBER(AM127))),IF(AND($E127&lt;&gt;"",AND(OR(ISNUMBER(AM127),AM127=""),AND(ISNUMBER($H127),$H127&gt;0))),'Feuille de Donnée'!$K$13,""),IF(AM127&lt;$H$168*'Feuille de Donnée'!$I$9,"Négligeable",(IF(AND(AK127&gt;=$F127*(1-'Feuille de Donnée'!$E$12),AK127&lt;=$F127*(1+'Feuille de Donnée'!$F$12)),'Feuille de Donnée'!$F$17,IF(AK127&lt;$F127*(1-'Feuille de Donnée'!$E$12),'Feuille de Donnée'!$F$18,'Feuille de Donnée'!$F$16))&amp;""&amp;IF(AND(AL127&gt;=$G127*(1-'Feuille de Donnée'!$E$27),AL127&lt;=$G127*(1+'Feuille de Donnée'!$F$27)),'Feuille de Donnée'!$F$32,IF(AL127&lt;$G127*(1-'Feuille de Donnée'!$E$27),'Feuille de Donnée'!$F$33,'Feuille de Donnée'!$F$31)))))</f>
        <v/>
      </c>
      <c r="AR127" s="138"/>
      <c r="AS127" s="103"/>
      <c r="AT127" s="27"/>
      <c r="AU127" s="27"/>
      <c r="AV127" s="27" t="str">
        <f t="shared" si="51"/>
        <v/>
      </c>
      <c r="AW127" s="121" t="str">
        <f t="shared" si="52"/>
        <v/>
      </c>
      <c r="AX127" s="121" t="str">
        <f t="shared" si="53"/>
        <v/>
      </c>
      <c r="AY127" s="27" t="str">
        <f>IF(AND(ISBLANK(BA127),AZ127=""),"",1+MAX(AY$21:AY126))</f>
        <v/>
      </c>
      <c r="AZ127" s="137" t="str">
        <f>IF(OR(AV127="",AV127=0,$H127="",$H127=0,NOT(ISNUMBER($H127)),NOT(ISNUMBER(AV127))),IF(AND($E127&lt;&gt;"",AND(OR(ISNUMBER(AV127),AV127=""),AND(ISNUMBER($H127),$H127&gt;0))),'Feuille de Donnée'!$K$13,""),IF(AV127&lt;$H$168*'Feuille de Donnée'!$I$9,"Négligeable",(IF(AND(AT127&gt;=$F127*(1-'Feuille de Donnée'!$E$12),AT127&lt;=$F127*(1+'Feuille de Donnée'!$F$12)),'Feuille de Donnée'!$F$17,IF(AT127&lt;$F127*(1-'Feuille de Donnée'!$E$12),'Feuille de Donnée'!$F$18,'Feuille de Donnée'!$F$16))&amp;""&amp;IF(AND(AU127&gt;=$G127*(1-'Feuille de Donnée'!$E$27),AU127&lt;=$G127*(1+'Feuille de Donnée'!$F$27)),'Feuille de Donnée'!$F$32,IF(AU127&lt;$G127*(1-'Feuille de Donnée'!$E$27),'Feuille de Donnée'!$F$33,'Feuille de Donnée'!$F$31)))))</f>
        <v/>
      </c>
      <c r="BA127" s="138"/>
      <c r="BB127" s="103"/>
      <c r="BC127" s="27"/>
      <c r="BD127" s="27"/>
      <c r="BE127" s="27" t="str">
        <f t="shared" si="54"/>
        <v/>
      </c>
      <c r="BF127" s="121" t="str">
        <f t="shared" si="55"/>
        <v/>
      </c>
      <c r="BG127" s="121" t="str">
        <f t="shared" si="56"/>
        <v/>
      </c>
      <c r="BH127" s="27" t="str">
        <f>IF(AND(ISBLANK(BJ127),BI127=""),"",1+MAX(BH$21:BH126))</f>
        <v/>
      </c>
      <c r="BI127" s="137" t="str">
        <f>IF(OR(BE127="",BE127=0,$H127="",$H127=0,NOT(ISNUMBER($H127)),NOT(ISNUMBER(BE127))),IF(AND($E127&lt;&gt;"",AND(OR(ISNUMBER(BE127),BE127=""),AND(ISNUMBER($H127),$H127&gt;0))),'Feuille de Donnée'!$K$13,""),IF(BE127&lt;$H$168*'Feuille de Donnée'!$I$9,"Négligeable",(IF(AND(BC127&gt;=$F127*(1-'Feuille de Donnée'!$E$12),BC127&lt;=$F127*(1+'Feuille de Donnée'!$F$12)),'Feuille de Donnée'!$F$17,IF(BC127&lt;$F127*(1-'Feuille de Donnée'!$E$12),'Feuille de Donnée'!$F$18,'Feuille de Donnée'!$F$16))&amp;""&amp;IF(AND(BD127&gt;=$G127*(1-'Feuille de Donnée'!$E$27),BD127&lt;=$G127*(1+'Feuille de Donnée'!$F$27)),'Feuille de Donnée'!$F$32,IF(BD127&lt;$G127*(1-'Feuille de Donnée'!$E$27),'Feuille de Donnée'!$F$33,'Feuille de Donnée'!$F$31)))))</f>
        <v/>
      </c>
      <c r="BJ127" s="138"/>
      <c r="BK127" s="140"/>
    </row>
    <row r="128" spans="1:63" s="6" customFormat="1" x14ac:dyDescent="0.3">
      <c r="A128" s="23"/>
      <c r="B128" s="24"/>
      <c r="C128" s="24"/>
      <c r="D128" s="24"/>
      <c r="E128" s="22"/>
      <c r="F128" s="25"/>
      <c r="G128" s="26"/>
      <c r="H128" s="102" t="str">
        <f t="shared" si="38"/>
        <v/>
      </c>
      <c r="I128" s="103"/>
      <c r="J128" s="27"/>
      <c r="K128" s="27"/>
      <c r="L128" s="27" t="str">
        <f t="shared" si="39"/>
        <v/>
      </c>
      <c r="M128" s="121" t="str">
        <f t="shared" si="40"/>
        <v/>
      </c>
      <c r="N128" s="121" t="str">
        <f t="shared" si="41"/>
        <v/>
      </c>
      <c r="O128" s="27" t="str">
        <f>IF(AND(ISBLANK(Q128),P128=""),"",1+MAX(O$21:O127))</f>
        <v/>
      </c>
      <c r="P128" s="137" t="str">
        <f>IF(OR(L128="",L128=0,$H128="",$H128=0,NOT(ISNUMBER($H128)),NOT(ISNUMBER(L128))),IF(AND($E128&lt;&gt;"",AND(OR(ISNUMBER(L128),L128=""),AND(ISNUMBER($H128),$H128&gt;0))),'Feuille de Donnée'!$K$13,""),IF(L128&lt;$H$168*'Feuille de Donnée'!$I$9,"Négligeable",(IF(AND(J128&gt;=$F128*(1-'Feuille de Donnée'!$E$12),J128&lt;=$F128*(1+'Feuille de Donnée'!$F$12)),'Feuille de Donnée'!$F$17,IF(J128&lt;$F128*(1-'Feuille de Donnée'!$E$12),'Feuille de Donnée'!$F$18,'Feuille de Donnée'!$F$16))&amp;""&amp;IF(AND(K128&gt;=$G128*(1-'Feuille de Donnée'!$E$27),K128&lt;=$G128*(1+'Feuille de Donnée'!$F$27)),'Feuille de Donnée'!$F$32,IF(K128&lt;$G128*(1-'Feuille de Donnée'!$E$27),'Feuille de Donnée'!$F$33,'Feuille de Donnée'!$F$31)))))</f>
        <v/>
      </c>
      <c r="Q128" s="138"/>
      <c r="R128" s="103"/>
      <c r="S128" s="27"/>
      <c r="T128" s="27"/>
      <c r="U128" s="27" t="str">
        <f t="shared" si="42"/>
        <v/>
      </c>
      <c r="V128" s="121" t="str">
        <f t="shared" si="43"/>
        <v/>
      </c>
      <c r="W128" s="121" t="str">
        <f t="shared" si="44"/>
        <v/>
      </c>
      <c r="X128" s="27" t="str">
        <f>IF(AND(ISBLANK(Z128),Y128=""),"",1+MAX(X$21:X127))</f>
        <v/>
      </c>
      <c r="Y128" s="137" t="str">
        <f>IF(OR(U128="",U128=0,$H128="",$H128=0,NOT(ISNUMBER($H128)),NOT(ISNUMBER(U128))),IF(AND($E128&lt;&gt;"",AND(OR(ISNUMBER(U128),U128=""),AND(ISNUMBER($H128),$H128&gt;0))),'Feuille de Donnée'!$K$13,""),IF(U128&lt;$H$168*'Feuille de Donnée'!$I$9,"Négligeable",(IF(AND(S128&gt;=$F128*(1-'Feuille de Donnée'!$E$12),S128&lt;=$F128*(1+'Feuille de Donnée'!$F$12)),'Feuille de Donnée'!$F$17,IF(S128&lt;$F128*(1-'Feuille de Donnée'!$E$12),'Feuille de Donnée'!$F$18,'Feuille de Donnée'!$F$16))&amp;""&amp;IF(AND(T128&gt;=$G128*(1-'Feuille de Donnée'!$E$27),T128&lt;=$G128*(1+'Feuille de Donnée'!$F$27)),'Feuille de Donnée'!$F$32,IF(T128&lt;$G128*(1-'Feuille de Donnée'!$E$27),'Feuille de Donnée'!$F$33,'Feuille de Donnée'!$F$31)))))</f>
        <v/>
      </c>
      <c r="Z128" s="138"/>
      <c r="AA128" s="103"/>
      <c r="AB128" s="27"/>
      <c r="AC128" s="27"/>
      <c r="AD128" s="27" t="str">
        <f t="shared" si="45"/>
        <v/>
      </c>
      <c r="AE128" s="121" t="str">
        <f t="shared" si="46"/>
        <v/>
      </c>
      <c r="AF128" s="121" t="str">
        <f t="shared" si="47"/>
        <v/>
      </c>
      <c r="AG128" s="27" t="str">
        <f>IF(AND(ISBLANK(AI128),AH128=""),"",1+MAX(AG$21:AG127))</f>
        <v/>
      </c>
      <c r="AH128" s="137" t="str">
        <f>IF(OR(AD128="",AD128=0,$H128="",$H128=0,NOT(ISNUMBER($H128)),NOT(ISNUMBER(AD128))),IF(AND($E128&lt;&gt;"",AND(OR(ISNUMBER(AD128),AD128=""),AND(ISNUMBER($H128),$H128&gt;0))),'Feuille de Donnée'!$K$13,""),IF(AD128&lt;$H$168*'Feuille de Donnée'!$I$9,"Négligeable",(IF(AND(AB128&gt;=$F128*(1-'Feuille de Donnée'!$E$12),AB128&lt;=$F128*(1+'Feuille de Donnée'!$F$12)),'Feuille de Donnée'!$F$17,IF(AB128&lt;$F128*(1-'Feuille de Donnée'!$E$12),'Feuille de Donnée'!$F$18,'Feuille de Donnée'!$F$16))&amp;""&amp;IF(AND(AC128&gt;=$G128*(1-'Feuille de Donnée'!$E$27),AC128&lt;=$G128*(1+'Feuille de Donnée'!$F$27)),'Feuille de Donnée'!$F$32,IF(AC128&lt;$G128*(1-'Feuille de Donnée'!$E$27),'Feuille de Donnée'!$F$33,'Feuille de Donnée'!$F$31)))))</f>
        <v/>
      </c>
      <c r="AI128" s="138"/>
      <c r="AJ128" s="103"/>
      <c r="AK128" s="27"/>
      <c r="AL128" s="27"/>
      <c r="AM128" s="27" t="str">
        <f t="shared" si="48"/>
        <v/>
      </c>
      <c r="AN128" s="121" t="str">
        <f t="shared" si="49"/>
        <v/>
      </c>
      <c r="AO128" s="121" t="str">
        <f t="shared" si="50"/>
        <v/>
      </c>
      <c r="AP128" s="27" t="str">
        <f>IF(AND(ISBLANK(AR128),AQ128=""),"",1+MAX(AP$21:AP127))</f>
        <v/>
      </c>
      <c r="AQ128" s="137" t="str">
        <f>IF(OR(AM128="",AM128=0,$H128="",$H128=0,NOT(ISNUMBER($H128)),NOT(ISNUMBER(AM128))),IF(AND($E128&lt;&gt;"",AND(OR(ISNUMBER(AM128),AM128=""),AND(ISNUMBER($H128),$H128&gt;0))),'Feuille de Donnée'!$K$13,""),IF(AM128&lt;$H$168*'Feuille de Donnée'!$I$9,"Négligeable",(IF(AND(AK128&gt;=$F128*(1-'Feuille de Donnée'!$E$12),AK128&lt;=$F128*(1+'Feuille de Donnée'!$F$12)),'Feuille de Donnée'!$F$17,IF(AK128&lt;$F128*(1-'Feuille de Donnée'!$E$12),'Feuille de Donnée'!$F$18,'Feuille de Donnée'!$F$16))&amp;""&amp;IF(AND(AL128&gt;=$G128*(1-'Feuille de Donnée'!$E$27),AL128&lt;=$G128*(1+'Feuille de Donnée'!$F$27)),'Feuille de Donnée'!$F$32,IF(AL128&lt;$G128*(1-'Feuille de Donnée'!$E$27),'Feuille de Donnée'!$F$33,'Feuille de Donnée'!$F$31)))))</f>
        <v/>
      </c>
      <c r="AR128" s="138"/>
      <c r="AS128" s="103"/>
      <c r="AT128" s="27"/>
      <c r="AU128" s="27"/>
      <c r="AV128" s="27" t="str">
        <f t="shared" si="51"/>
        <v/>
      </c>
      <c r="AW128" s="121" t="str">
        <f t="shared" si="52"/>
        <v/>
      </c>
      <c r="AX128" s="121" t="str">
        <f t="shared" si="53"/>
        <v/>
      </c>
      <c r="AY128" s="27" t="str">
        <f>IF(AND(ISBLANK(BA128),AZ128=""),"",1+MAX(AY$21:AY127))</f>
        <v/>
      </c>
      <c r="AZ128" s="137" t="str">
        <f>IF(OR(AV128="",AV128=0,$H128="",$H128=0,NOT(ISNUMBER($H128)),NOT(ISNUMBER(AV128))),IF(AND($E128&lt;&gt;"",AND(OR(ISNUMBER(AV128),AV128=""),AND(ISNUMBER($H128),$H128&gt;0))),'Feuille de Donnée'!$K$13,""),IF(AV128&lt;$H$168*'Feuille de Donnée'!$I$9,"Négligeable",(IF(AND(AT128&gt;=$F128*(1-'Feuille de Donnée'!$E$12),AT128&lt;=$F128*(1+'Feuille de Donnée'!$F$12)),'Feuille de Donnée'!$F$17,IF(AT128&lt;$F128*(1-'Feuille de Donnée'!$E$12),'Feuille de Donnée'!$F$18,'Feuille de Donnée'!$F$16))&amp;""&amp;IF(AND(AU128&gt;=$G128*(1-'Feuille de Donnée'!$E$27),AU128&lt;=$G128*(1+'Feuille de Donnée'!$F$27)),'Feuille de Donnée'!$F$32,IF(AU128&lt;$G128*(1-'Feuille de Donnée'!$E$27),'Feuille de Donnée'!$F$33,'Feuille de Donnée'!$F$31)))))</f>
        <v/>
      </c>
      <c r="BA128" s="138"/>
      <c r="BB128" s="103"/>
      <c r="BC128" s="27"/>
      <c r="BD128" s="27"/>
      <c r="BE128" s="27" t="str">
        <f t="shared" si="54"/>
        <v/>
      </c>
      <c r="BF128" s="121" t="str">
        <f t="shared" si="55"/>
        <v/>
      </c>
      <c r="BG128" s="121" t="str">
        <f t="shared" si="56"/>
        <v/>
      </c>
      <c r="BH128" s="27" t="str">
        <f>IF(AND(ISBLANK(BJ128),BI128=""),"",1+MAX(BH$21:BH127))</f>
        <v/>
      </c>
      <c r="BI128" s="137" t="str">
        <f>IF(OR(BE128="",BE128=0,$H128="",$H128=0,NOT(ISNUMBER($H128)),NOT(ISNUMBER(BE128))),IF(AND($E128&lt;&gt;"",AND(OR(ISNUMBER(BE128),BE128=""),AND(ISNUMBER($H128),$H128&gt;0))),'Feuille de Donnée'!$K$13,""),IF(BE128&lt;$H$168*'Feuille de Donnée'!$I$9,"Négligeable",(IF(AND(BC128&gt;=$F128*(1-'Feuille de Donnée'!$E$12),BC128&lt;=$F128*(1+'Feuille de Donnée'!$F$12)),'Feuille de Donnée'!$F$17,IF(BC128&lt;$F128*(1-'Feuille de Donnée'!$E$12),'Feuille de Donnée'!$F$18,'Feuille de Donnée'!$F$16))&amp;""&amp;IF(AND(BD128&gt;=$G128*(1-'Feuille de Donnée'!$E$27),BD128&lt;=$G128*(1+'Feuille de Donnée'!$F$27)),'Feuille de Donnée'!$F$32,IF(BD128&lt;$G128*(1-'Feuille de Donnée'!$E$27),'Feuille de Donnée'!$F$33,'Feuille de Donnée'!$F$31)))))</f>
        <v/>
      </c>
      <c r="BJ128" s="138"/>
      <c r="BK128" s="140"/>
    </row>
    <row r="129" spans="1:63" s="6" customFormat="1" x14ac:dyDescent="0.3">
      <c r="A129" s="23"/>
      <c r="B129" s="24"/>
      <c r="C129" s="24"/>
      <c r="D129" s="24"/>
      <c r="E129" s="22"/>
      <c r="F129" s="25"/>
      <c r="G129" s="26"/>
      <c r="H129" s="102" t="str">
        <f t="shared" si="38"/>
        <v/>
      </c>
      <c r="I129" s="103"/>
      <c r="J129" s="27"/>
      <c r="K129" s="27"/>
      <c r="L129" s="27" t="str">
        <f t="shared" si="39"/>
        <v/>
      </c>
      <c r="M129" s="121" t="str">
        <f t="shared" si="40"/>
        <v/>
      </c>
      <c r="N129" s="121" t="str">
        <f t="shared" si="41"/>
        <v/>
      </c>
      <c r="O129" s="27" t="str">
        <f>IF(AND(ISBLANK(Q129),P129=""),"",1+MAX(O$21:O128))</f>
        <v/>
      </c>
      <c r="P129" s="137" t="str">
        <f>IF(OR(L129="",L129=0,$H129="",$H129=0,NOT(ISNUMBER($H129)),NOT(ISNUMBER(L129))),IF(AND($E129&lt;&gt;"",AND(OR(ISNUMBER(L129),L129=""),AND(ISNUMBER($H129),$H129&gt;0))),'Feuille de Donnée'!$K$13,""),IF(L129&lt;$H$168*'Feuille de Donnée'!$I$9,"Négligeable",(IF(AND(J129&gt;=$F129*(1-'Feuille de Donnée'!$E$12),J129&lt;=$F129*(1+'Feuille de Donnée'!$F$12)),'Feuille de Donnée'!$F$17,IF(J129&lt;$F129*(1-'Feuille de Donnée'!$E$12),'Feuille de Donnée'!$F$18,'Feuille de Donnée'!$F$16))&amp;""&amp;IF(AND(K129&gt;=$G129*(1-'Feuille de Donnée'!$E$27),K129&lt;=$G129*(1+'Feuille de Donnée'!$F$27)),'Feuille de Donnée'!$F$32,IF(K129&lt;$G129*(1-'Feuille de Donnée'!$E$27),'Feuille de Donnée'!$F$33,'Feuille de Donnée'!$F$31)))))</f>
        <v/>
      </c>
      <c r="Q129" s="138"/>
      <c r="R129" s="103"/>
      <c r="S129" s="27"/>
      <c r="T129" s="27"/>
      <c r="U129" s="27" t="str">
        <f t="shared" si="42"/>
        <v/>
      </c>
      <c r="V129" s="121" t="str">
        <f t="shared" si="43"/>
        <v/>
      </c>
      <c r="W129" s="121" t="str">
        <f t="shared" si="44"/>
        <v/>
      </c>
      <c r="X129" s="27" t="str">
        <f>IF(AND(ISBLANK(Z129),Y129=""),"",1+MAX(X$21:X128))</f>
        <v/>
      </c>
      <c r="Y129" s="137" t="str">
        <f>IF(OR(U129="",U129=0,$H129="",$H129=0,NOT(ISNUMBER($H129)),NOT(ISNUMBER(U129))),IF(AND($E129&lt;&gt;"",AND(OR(ISNUMBER(U129),U129=""),AND(ISNUMBER($H129),$H129&gt;0))),'Feuille de Donnée'!$K$13,""),IF(U129&lt;$H$168*'Feuille de Donnée'!$I$9,"Négligeable",(IF(AND(S129&gt;=$F129*(1-'Feuille de Donnée'!$E$12),S129&lt;=$F129*(1+'Feuille de Donnée'!$F$12)),'Feuille de Donnée'!$F$17,IF(S129&lt;$F129*(1-'Feuille de Donnée'!$E$12),'Feuille de Donnée'!$F$18,'Feuille de Donnée'!$F$16))&amp;""&amp;IF(AND(T129&gt;=$G129*(1-'Feuille de Donnée'!$E$27),T129&lt;=$G129*(1+'Feuille de Donnée'!$F$27)),'Feuille de Donnée'!$F$32,IF(T129&lt;$G129*(1-'Feuille de Donnée'!$E$27),'Feuille de Donnée'!$F$33,'Feuille de Donnée'!$F$31)))))</f>
        <v/>
      </c>
      <c r="Z129" s="138"/>
      <c r="AA129" s="103"/>
      <c r="AB129" s="27"/>
      <c r="AC129" s="27"/>
      <c r="AD129" s="27" t="str">
        <f t="shared" si="45"/>
        <v/>
      </c>
      <c r="AE129" s="121" t="str">
        <f t="shared" si="46"/>
        <v/>
      </c>
      <c r="AF129" s="121" t="str">
        <f t="shared" si="47"/>
        <v/>
      </c>
      <c r="AG129" s="27" t="str">
        <f>IF(AND(ISBLANK(AI129),AH129=""),"",1+MAX(AG$21:AG128))</f>
        <v/>
      </c>
      <c r="AH129" s="137" t="str">
        <f>IF(OR(AD129="",AD129=0,$H129="",$H129=0,NOT(ISNUMBER($H129)),NOT(ISNUMBER(AD129))),IF(AND($E129&lt;&gt;"",AND(OR(ISNUMBER(AD129),AD129=""),AND(ISNUMBER($H129),$H129&gt;0))),'Feuille de Donnée'!$K$13,""),IF(AD129&lt;$H$168*'Feuille de Donnée'!$I$9,"Négligeable",(IF(AND(AB129&gt;=$F129*(1-'Feuille de Donnée'!$E$12),AB129&lt;=$F129*(1+'Feuille de Donnée'!$F$12)),'Feuille de Donnée'!$F$17,IF(AB129&lt;$F129*(1-'Feuille de Donnée'!$E$12),'Feuille de Donnée'!$F$18,'Feuille de Donnée'!$F$16))&amp;""&amp;IF(AND(AC129&gt;=$G129*(1-'Feuille de Donnée'!$E$27),AC129&lt;=$G129*(1+'Feuille de Donnée'!$F$27)),'Feuille de Donnée'!$F$32,IF(AC129&lt;$G129*(1-'Feuille de Donnée'!$E$27),'Feuille de Donnée'!$F$33,'Feuille de Donnée'!$F$31)))))</f>
        <v/>
      </c>
      <c r="AI129" s="138"/>
      <c r="AJ129" s="103"/>
      <c r="AK129" s="27"/>
      <c r="AL129" s="27"/>
      <c r="AM129" s="27" t="str">
        <f t="shared" si="48"/>
        <v/>
      </c>
      <c r="AN129" s="121" t="str">
        <f t="shared" si="49"/>
        <v/>
      </c>
      <c r="AO129" s="121" t="str">
        <f t="shared" si="50"/>
        <v/>
      </c>
      <c r="AP129" s="27" t="str">
        <f>IF(AND(ISBLANK(AR129),AQ129=""),"",1+MAX(AP$21:AP128))</f>
        <v/>
      </c>
      <c r="AQ129" s="137" t="str">
        <f>IF(OR(AM129="",AM129=0,$H129="",$H129=0,NOT(ISNUMBER($H129)),NOT(ISNUMBER(AM129))),IF(AND($E129&lt;&gt;"",AND(OR(ISNUMBER(AM129),AM129=""),AND(ISNUMBER($H129),$H129&gt;0))),'Feuille de Donnée'!$K$13,""),IF(AM129&lt;$H$168*'Feuille de Donnée'!$I$9,"Négligeable",(IF(AND(AK129&gt;=$F129*(1-'Feuille de Donnée'!$E$12),AK129&lt;=$F129*(1+'Feuille de Donnée'!$F$12)),'Feuille de Donnée'!$F$17,IF(AK129&lt;$F129*(1-'Feuille de Donnée'!$E$12),'Feuille de Donnée'!$F$18,'Feuille de Donnée'!$F$16))&amp;""&amp;IF(AND(AL129&gt;=$G129*(1-'Feuille de Donnée'!$E$27),AL129&lt;=$G129*(1+'Feuille de Donnée'!$F$27)),'Feuille de Donnée'!$F$32,IF(AL129&lt;$G129*(1-'Feuille de Donnée'!$E$27),'Feuille de Donnée'!$F$33,'Feuille de Donnée'!$F$31)))))</f>
        <v/>
      </c>
      <c r="AR129" s="138"/>
      <c r="AS129" s="103"/>
      <c r="AT129" s="27"/>
      <c r="AU129" s="27"/>
      <c r="AV129" s="27" t="str">
        <f t="shared" si="51"/>
        <v/>
      </c>
      <c r="AW129" s="121" t="str">
        <f t="shared" si="52"/>
        <v/>
      </c>
      <c r="AX129" s="121" t="str">
        <f t="shared" si="53"/>
        <v/>
      </c>
      <c r="AY129" s="27" t="str">
        <f>IF(AND(ISBLANK(BA129),AZ129=""),"",1+MAX(AY$21:AY128))</f>
        <v/>
      </c>
      <c r="AZ129" s="137" t="str">
        <f>IF(OR(AV129="",AV129=0,$H129="",$H129=0,NOT(ISNUMBER($H129)),NOT(ISNUMBER(AV129))),IF(AND($E129&lt;&gt;"",AND(OR(ISNUMBER(AV129),AV129=""),AND(ISNUMBER($H129),$H129&gt;0))),'Feuille de Donnée'!$K$13,""),IF(AV129&lt;$H$168*'Feuille de Donnée'!$I$9,"Négligeable",(IF(AND(AT129&gt;=$F129*(1-'Feuille de Donnée'!$E$12),AT129&lt;=$F129*(1+'Feuille de Donnée'!$F$12)),'Feuille de Donnée'!$F$17,IF(AT129&lt;$F129*(1-'Feuille de Donnée'!$E$12),'Feuille de Donnée'!$F$18,'Feuille de Donnée'!$F$16))&amp;""&amp;IF(AND(AU129&gt;=$G129*(1-'Feuille de Donnée'!$E$27),AU129&lt;=$G129*(1+'Feuille de Donnée'!$F$27)),'Feuille de Donnée'!$F$32,IF(AU129&lt;$G129*(1-'Feuille de Donnée'!$E$27),'Feuille de Donnée'!$F$33,'Feuille de Donnée'!$F$31)))))</f>
        <v/>
      </c>
      <c r="BA129" s="138"/>
      <c r="BB129" s="103"/>
      <c r="BC129" s="27"/>
      <c r="BD129" s="27"/>
      <c r="BE129" s="27" t="str">
        <f t="shared" si="54"/>
        <v/>
      </c>
      <c r="BF129" s="121" t="str">
        <f t="shared" si="55"/>
        <v/>
      </c>
      <c r="BG129" s="121" t="str">
        <f t="shared" si="56"/>
        <v/>
      </c>
      <c r="BH129" s="27" t="str">
        <f>IF(AND(ISBLANK(BJ129),BI129=""),"",1+MAX(BH$21:BH128))</f>
        <v/>
      </c>
      <c r="BI129" s="137" t="str">
        <f>IF(OR(BE129="",BE129=0,$H129="",$H129=0,NOT(ISNUMBER($H129)),NOT(ISNUMBER(BE129))),IF(AND($E129&lt;&gt;"",AND(OR(ISNUMBER(BE129),BE129=""),AND(ISNUMBER($H129),$H129&gt;0))),'Feuille de Donnée'!$K$13,""),IF(BE129&lt;$H$168*'Feuille de Donnée'!$I$9,"Négligeable",(IF(AND(BC129&gt;=$F129*(1-'Feuille de Donnée'!$E$12),BC129&lt;=$F129*(1+'Feuille de Donnée'!$F$12)),'Feuille de Donnée'!$F$17,IF(BC129&lt;$F129*(1-'Feuille de Donnée'!$E$12),'Feuille de Donnée'!$F$18,'Feuille de Donnée'!$F$16))&amp;""&amp;IF(AND(BD129&gt;=$G129*(1-'Feuille de Donnée'!$E$27),BD129&lt;=$G129*(1+'Feuille de Donnée'!$F$27)),'Feuille de Donnée'!$F$32,IF(BD129&lt;$G129*(1-'Feuille de Donnée'!$E$27),'Feuille de Donnée'!$F$33,'Feuille de Donnée'!$F$31)))))</f>
        <v/>
      </c>
      <c r="BJ129" s="138"/>
      <c r="BK129" s="140"/>
    </row>
    <row r="130" spans="1:63" s="6" customFormat="1" x14ac:dyDescent="0.3">
      <c r="A130" s="23"/>
      <c r="B130" s="24"/>
      <c r="C130" s="24"/>
      <c r="D130" s="24"/>
      <c r="E130" s="22"/>
      <c r="F130" s="25"/>
      <c r="G130" s="26"/>
      <c r="H130" s="102" t="str">
        <f t="shared" si="38"/>
        <v/>
      </c>
      <c r="I130" s="103"/>
      <c r="J130" s="27"/>
      <c r="K130" s="27"/>
      <c r="L130" s="27" t="str">
        <f t="shared" si="39"/>
        <v/>
      </c>
      <c r="M130" s="121" t="str">
        <f t="shared" si="40"/>
        <v/>
      </c>
      <c r="N130" s="121" t="str">
        <f t="shared" si="41"/>
        <v/>
      </c>
      <c r="O130" s="27" t="str">
        <f>IF(AND(ISBLANK(Q130),P130=""),"",1+MAX(O$21:O129))</f>
        <v/>
      </c>
      <c r="P130" s="137" t="str">
        <f>IF(OR(L130="",L130=0,$H130="",$H130=0,NOT(ISNUMBER($H130)),NOT(ISNUMBER(L130))),IF(AND($E130&lt;&gt;"",AND(OR(ISNUMBER(L130),L130=""),AND(ISNUMBER($H130),$H130&gt;0))),'Feuille de Donnée'!$K$13,""),IF(L130&lt;$H$168*'Feuille de Donnée'!$I$9,"Négligeable",(IF(AND(J130&gt;=$F130*(1-'Feuille de Donnée'!$E$12),J130&lt;=$F130*(1+'Feuille de Donnée'!$F$12)),'Feuille de Donnée'!$F$17,IF(J130&lt;$F130*(1-'Feuille de Donnée'!$E$12),'Feuille de Donnée'!$F$18,'Feuille de Donnée'!$F$16))&amp;""&amp;IF(AND(K130&gt;=$G130*(1-'Feuille de Donnée'!$E$27),K130&lt;=$G130*(1+'Feuille de Donnée'!$F$27)),'Feuille de Donnée'!$F$32,IF(K130&lt;$G130*(1-'Feuille de Donnée'!$E$27),'Feuille de Donnée'!$F$33,'Feuille de Donnée'!$F$31)))))</f>
        <v/>
      </c>
      <c r="Q130" s="138"/>
      <c r="R130" s="103"/>
      <c r="S130" s="27"/>
      <c r="T130" s="27"/>
      <c r="U130" s="27" t="str">
        <f t="shared" si="42"/>
        <v/>
      </c>
      <c r="V130" s="121" t="str">
        <f t="shared" si="43"/>
        <v/>
      </c>
      <c r="W130" s="121" t="str">
        <f t="shared" si="44"/>
        <v/>
      </c>
      <c r="X130" s="27" t="str">
        <f>IF(AND(ISBLANK(Z130),Y130=""),"",1+MAX(X$21:X129))</f>
        <v/>
      </c>
      <c r="Y130" s="137" t="str">
        <f>IF(OR(U130="",U130=0,$H130="",$H130=0,NOT(ISNUMBER($H130)),NOT(ISNUMBER(U130))),IF(AND($E130&lt;&gt;"",AND(OR(ISNUMBER(U130),U130=""),AND(ISNUMBER($H130),$H130&gt;0))),'Feuille de Donnée'!$K$13,""),IF(U130&lt;$H$168*'Feuille de Donnée'!$I$9,"Négligeable",(IF(AND(S130&gt;=$F130*(1-'Feuille de Donnée'!$E$12),S130&lt;=$F130*(1+'Feuille de Donnée'!$F$12)),'Feuille de Donnée'!$F$17,IF(S130&lt;$F130*(1-'Feuille de Donnée'!$E$12),'Feuille de Donnée'!$F$18,'Feuille de Donnée'!$F$16))&amp;""&amp;IF(AND(T130&gt;=$G130*(1-'Feuille de Donnée'!$E$27),T130&lt;=$G130*(1+'Feuille de Donnée'!$F$27)),'Feuille de Donnée'!$F$32,IF(T130&lt;$G130*(1-'Feuille de Donnée'!$E$27),'Feuille de Donnée'!$F$33,'Feuille de Donnée'!$F$31)))))</f>
        <v/>
      </c>
      <c r="Z130" s="138"/>
      <c r="AA130" s="103"/>
      <c r="AB130" s="27"/>
      <c r="AC130" s="27"/>
      <c r="AD130" s="27" t="str">
        <f t="shared" si="45"/>
        <v/>
      </c>
      <c r="AE130" s="121" t="str">
        <f t="shared" si="46"/>
        <v/>
      </c>
      <c r="AF130" s="121" t="str">
        <f t="shared" si="47"/>
        <v/>
      </c>
      <c r="AG130" s="27" t="str">
        <f>IF(AND(ISBLANK(AI130),AH130=""),"",1+MAX(AG$21:AG129))</f>
        <v/>
      </c>
      <c r="AH130" s="137" t="str">
        <f>IF(OR(AD130="",AD130=0,$H130="",$H130=0,NOT(ISNUMBER($H130)),NOT(ISNUMBER(AD130))),IF(AND($E130&lt;&gt;"",AND(OR(ISNUMBER(AD130),AD130=""),AND(ISNUMBER($H130),$H130&gt;0))),'Feuille de Donnée'!$K$13,""),IF(AD130&lt;$H$168*'Feuille de Donnée'!$I$9,"Négligeable",(IF(AND(AB130&gt;=$F130*(1-'Feuille de Donnée'!$E$12),AB130&lt;=$F130*(1+'Feuille de Donnée'!$F$12)),'Feuille de Donnée'!$F$17,IF(AB130&lt;$F130*(1-'Feuille de Donnée'!$E$12),'Feuille de Donnée'!$F$18,'Feuille de Donnée'!$F$16))&amp;""&amp;IF(AND(AC130&gt;=$G130*(1-'Feuille de Donnée'!$E$27),AC130&lt;=$G130*(1+'Feuille de Donnée'!$F$27)),'Feuille de Donnée'!$F$32,IF(AC130&lt;$G130*(1-'Feuille de Donnée'!$E$27),'Feuille de Donnée'!$F$33,'Feuille de Donnée'!$F$31)))))</f>
        <v/>
      </c>
      <c r="AI130" s="138"/>
      <c r="AJ130" s="103"/>
      <c r="AK130" s="27"/>
      <c r="AL130" s="27"/>
      <c r="AM130" s="27" t="str">
        <f t="shared" si="48"/>
        <v/>
      </c>
      <c r="AN130" s="121" t="str">
        <f t="shared" si="49"/>
        <v/>
      </c>
      <c r="AO130" s="121" t="str">
        <f t="shared" si="50"/>
        <v/>
      </c>
      <c r="AP130" s="27" t="str">
        <f>IF(AND(ISBLANK(AR130),AQ130=""),"",1+MAX(AP$21:AP129))</f>
        <v/>
      </c>
      <c r="AQ130" s="137" t="str">
        <f>IF(OR(AM130="",AM130=0,$H130="",$H130=0,NOT(ISNUMBER($H130)),NOT(ISNUMBER(AM130))),IF(AND($E130&lt;&gt;"",AND(OR(ISNUMBER(AM130),AM130=""),AND(ISNUMBER($H130),$H130&gt;0))),'Feuille de Donnée'!$K$13,""),IF(AM130&lt;$H$168*'Feuille de Donnée'!$I$9,"Négligeable",(IF(AND(AK130&gt;=$F130*(1-'Feuille de Donnée'!$E$12),AK130&lt;=$F130*(1+'Feuille de Donnée'!$F$12)),'Feuille de Donnée'!$F$17,IF(AK130&lt;$F130*(1-'Feuille de Donnée'!$E$12),'Feuille de Donnée'!$F$18,'Feuille de Donnée'!$F$16))&amp;""&amp;IF(AND(AL130&gt;=$G130*(1-'Feuille de Donnée'!$E$27),AL130&lt;=$G130*(1+'Feuille de Donnée'!$F$27)),'Feuille de Donnée'!$F$32,IF(AL130&lt;$G130*(1-'Feuille de Donnée'!$E$27),'Feuille de Donnée'!$F$33,'Feuille de Donnée'!$F$31)))))</f>
        <v/>
      </c>
      <c r="AR130" s="138"/>
      <c r="AS130" s="103"/>
      <c r="AT130" s="27"/>
      <c r="AU130" s="27"/>
      <c r="AV130" s="27" t="str">
        <f t="shared" si="51"/>
        <v/>
      </c>
      <c r="AW130" s="121" t="str">
        <f t="shared" si="52"/>
        <v/>
      </c>
      <c r="AX130" s="121" t="str">
        <f t="shared" si="53"/>
        <v/>
      </c>
      <c r="AY130" s="27" t="str">
        <f>IF(AND(ISBLANK(BA130),AZ130=""),"",1+MAX(AY$21:AY129))</f>
        <v/>
      </c>
      <c r="AZ130" s="137" t="str">
        <f>IF(OR(AV130="",AV130=0,$H130="",$H130=0,NOT(ISNUMBER($H130)),NOT(ISNUMBER(AV130))),IF(AND($E130&lt;&gt;"",AND(OR(ISNUMBER(AV130),AV130=""),AND(ISNUMBER($H130),$H130&gt;0))),'Feuille de Donnée'!$K$13,""),IF(AV130&lt;$H$168*'Feuille de Donnée'!$I$9,"Négligeable",(IF(AND(AT130&gt;=$F130*(1-'Feuille de Donnée'!$E$12),AT130&lt;=$F130*(1+'Feuille de Donnée'!$F$12)),'Feuille de Donnée'!$F$17,IF(AT130&lt;$F130*(1-'Feuille de Donnée'!$E$12),'Feuille de Donnée'!$F$18,'Feuille de Donnée'!$F$16))&amp;""&amp;IF(AND(AU130&gt;=$G130*(1-'Feuille de Donnée'!$E$27),AU130&lt;=$G130*(1+'Feuille de Donnée'!$F$27)),'Feuille de Donnée'!$F$32,IF(AU130&lt;$G130*(1-'Feuille de Donnée'!$E$27),'Feuille de Donnée'!$F$33,'Feuille de Donnée'!$F$31)))))</f>
        <v/>
      </c>
      <c r="BA130" s="138"/>
      <c r="BB130" s="103"/>
      <c r="BC130" s="27"/>
      <c r="BD130" s="27"/>
      <c r="BE130" s="27" t="str">
        <f t="shared" si="54"/>
        <v/>
      </c>
      <c r="BF130" s="121" t="str">
        <f t="shared" si="55"/>
        <v/>
      </c>
      <c r="BG130" s="121" t="str">
        <f t="shared" si="56"/>
        <v/>
      </c>
      <c r="BH130" s="27" t="str">
        <f>IF(AND(ISBLANK(BJ130),BI130=""),"",1+MAX(BH$21:BH129))</f>
        <v/>
      </c>
      <c r="BI130" s="137" t="str">
        <f>IF(OR(BE130="",BE130=0,$H130="",$H130=0,NOT(ISNUMBER($H130)),NOT(ISNUMBER(BE130))),IF(AND($E130&lt;&gt;"",AND(OR(ISNUMBER(BE130),BE130=""),AND(ISNUMBER($H130),$H130&gt;0))),'Feuille de Donnée'!$K$13,""),IF(BE130&lt;$H$168*'Feuille de Donnée'!$I$9,"Négligeable",(IF(AND(BC130&gt;=$F130*(1-'Feuille de Donnée'!$E$12),BC130&lt;=$F130*(1+'Feuille de Donnée'!$F$12)),'Feuille de Donnée'!$F$17,IF(BC130&lt;$F130*(1-'Feuille de Donnée'!$E$12),'Feuille de Donnée'!$F$18,'Feuille de Donnée'!$F$16))&amp;""&amp;IF(AND(BD130&gt;=$G130*(1-'Feuille de Donnée'!$E$27),BD130&lt;=$G130*(1+'Feuille de Donnée'!$F$27)),'Feuille de Donnée'!$F$32,IF(BD130&lt;$G130*(1-'Feuille de Donnée'!$E$27),'Feuille de Donnée'!$F$33,'Feuille de Donnée'!$F$31)))))</f>
        <v/>
      </c>
      <c r="BJ130" s="138"/>
      <c r="BK130" s="140"/>
    </row>
    <row r="131" spans="1:63" s="6" customFormat="1" x14ac:dyDescent="0.3">
      <c r="A131" s="23"/>
      <c r="B131" s="24"/>
      <c r="C131" s="24"/>
      <c r="D131" s="24"/>
      <c r="E131" s="22"/>
      <c r="F131" s="25"/>
      <c r="G131" s="26"/>
      <c r="H131" s="102" t="str">
        <f t="shared" si="38"/>
        <v/>
      </c>
      <c r="I131" s="103"/>
      <c r="J131" s="27"/>
      <c r="K131" s="27"/>
      <c r="L131" s="27" t="str">
        <f t="shared" si="39"/>
        <v/>
      </c>
      <c r="M131" s="121" t="str">
        <f t="shared" si="40"/>
        <v/>
      </c>
      <c r="N131" s="121" t="str">
        <f t="shared" si="41"/>
        <v/>
      </c>
      <c r="O131" s="27" t="str">
        <f>IF(AND(ISBLANK(Q131),P131=""),"",1+MAX(O$21:O130))</f>
        <v/>
      </c>
      <c r="P131" s="137" t="str">
        <f>IF(OR(L131="",L131=0,$H131="",$H131=0,NOT(ISNUMBER($H131)),NOT(ISNUMBER(L131))),IF(AND($E131&lt;&gt;"",AND(OR(ISNUMBER(L131),L131=""),AND(ISNUMBER($H131),$H131&gt;0))),'Feuille de Donnée'!$K$13,""),IF(L131&lt;$H$168*'Feuille de Donnée'!$I$9,"Négligeable",(IF(AND(J131&gt;=$F131*(1-'Feuille de Donnée'!$E$12),J131&lt;=$F131*(1+'Feuille de Donnée'!$F$12)),'Feuille de Donnée'!$F$17,IF(J131&lt;$F131*(1-'Feuille de Donnée'!$E$12),'Feuille de Donnée'!$F$18,'Feuille de Donnée'!$F$16))&amp;""&amp;IF(AND(K131&gt;=$G131*(1-'Feuille de Donnée'!$E$27),K131&lt;=$G131*(1+'Feuille de Donnée'!$F$27)),'Feuille de Donnée'!$F$32,IF(K131&lt;$G131*(1-'Feuille de Donnée'!$E$27),'Feuille de Donnée'!$F$33,'Feuille de Donnée'!$F$31)))))</f>
        <v/>
      </c>
      <c r="Q131" s="138"/>
      <c r="R131" s="103"/>
      <c r="S131" s="27"/>
      <c r="T131" s="27"/>
      <c r="U131" s="27" t="str">
        <f t="shared" si="42"/>
        <v/>
      </c>
      <c r="V131" s="121" t="str">
        <f t="shared" si="43"/>
        <v/>
      </c>
      <c r="W131" s="121" t="str">
        <f t="shared" si="44"/>
        <v/>
      </c>
      <c r="X131" s="27" t="str">
        <f>IF(AND(ISBLANK(Z131),Y131=""),"",1+MAX(X$21:X130))</f>
        <v/>
      </c>
      <c r="Y131" s="137" t="str">
        <f>IF(OR(U131="",U131=0,$H131="",$H131=0,NOT(ISNUMBER($H131)),NOT(ISNUMBER(U131))),IF(AND($E131&lt;&gt;"",AND(OR(ISNUMBER(U131),U131=""),AND(ISNUMBER($H131),$H131&gt;0))),'Feuille de Donnée'!$K$13,""),IF(U131&lt;$H$168*'Feuille de Donnée'!$I$9,"Négligeable",(IF(AND(S131&gt;=$F131*(1-'Feuille de Donnée'!$E$12),S131&lt;=$F131*(1+'Feuille de Donnée'!$F$12)),'Feuille de Donnée'!$F$17,IF(S131&lt;$F131*(1-'Feuille de Donnée'!$E$12),'Feuille de Donnée'!$F$18,'Feuille de Donnée'!$F$16))&amp;""&amp;IF(AND(T131&gt;=$G131*(1-'Feuille de Donnée'!$E$27),T131&lt;=$G131*(1+'Feuille de Donnée'!$F$27)),'Feuille de Donnée'!$F$32,IF(T131&lt;$G131*(1-'Feuille de Donnée'!$E$27),'Feuille de Donnée'!$F$33,'Feuille de Donnée'!$F$31)))))</f>
        <v/>
      </c>
      <c r="Z131" s="138"/>
      <c r="AA131" s="103"/>
      <c r="AB131" s="27"/>
      <c r="AC131" s="27"/>
      <c r="AD131" s="27" t="str">
        <f t="shared" si="45"/>
        <v/>
      </c>
      <c r="AE131" s="121" t="str">
        <f t="shared" si="46"/>
        <v/>
      </c>
      <c r="AF131" s="121" t="str">
        <f t="shared" si="47"/>
        <v/>
      </c>
      <c r="AG131" s="27" t="str">
        <f>IF(AND(ISBLANK(AI131),AH131=""),"",1+MAX(AG$21:AG130))</f>
        <v/>
      </c>
      <c r="AH131" s="137" t="str">
        <f>IF(OR(AD131="",AD131=0,$H131="",$H131=0,NOT(ISNUMBER($H131)),NOT(ISNUMBER(AD131))),IF(AND($E131&lt;&gt;"",AND(OR(ISNUMBER(AD131),AD131=""),AND(ISNUMBER($H131),$H131&gt;0))),'Feuille de Donnée'!$K$13,""),IF(AD131&lt;$H$168*'Feuille de Donnée'!$I$9,"Négligeable",(IF(AND(AB131&gt;=$F131*(1-'Feuille de Donnée'!$E$12),AB131&lt;=$F131*(1+'Feuille de Donnée'!$F$12)),'Feuille de Donnée'!$F$17,IF(AB131&lt;$F131*(1-'Feuille de Donnée'!$E$12),'Feuille de Donnée'!$F$18,'Feuille de Donnée'!$F$16))&amp;""&amp;IF(AND(AC131&gt;=$G131*(1-'Feuille de Donnée'!$E$27),AC131&lt;=$G131*(1+'Feuille de Donnée'!$F$27)),'Feuille de Donnée'!$F$32,IF(AC131&lt;$G131*(1-'Feuille de Donnée'!$E$27),'Feuille de Donnée'!$F$33,'Feuille de Donnée'!$F$31)))))</f>
        <v/>
      </c>
      <c r="AI131" s="138"/>
      <c r="AJ131" s="103"/>
      <c r="AK131" s="27"/>
      <c r="AL131" s="27"/>
      <c r="AM131" s="27" t="str">
        <f t="shared" si="48"/>
        <v/>
      </c>
      <c r="AN131" s="121" t="str">
        <f t="shared" si="49"/>
        <v/>
      </c>
      <c r="AO131" s="121" t="str">
        <f t="shared" si="50"/>
        <v/>
      </c>
      <c r="AP131" s="27" t="str">
        <f>IF(AND(ISBLANK(AR131),AQ131=""),"",1+MAX(AP$21:AP130))</f>
        <v/>
      </c>
      <c r="AQ131" s="137" t="str">
        <f>IF(OR(AM131="",AM131=0,$H131="",$H131=0,NOT(ISNUMBER($H131)),NOT(ISNUMBER(AM131))),IF(AND($E131&lt;&gt;"",AND(OR(ISNUMBER(AM131),AM131=""),AND(ISNUMBER($H131),$H131&gt;0))),'Feuille de Donnée'!$K$13,""),IF(AM131&lt;$H$168*'Feuille de Donnée'!$I$9,"Négligeable",(IF(AND(AK131&gt;=$F131*(1-'Feuille de Donnée'!$E$12),AK131&lt;=$F131*(1+'Feuille de Donnée'!$F$12)),'Feuille de Donnée'!$F$17,IF(AK131&lt;$F131*(1-'Feuille de Donnée'!$E$12),'Feuille de Donnée'!$F$18,'Feuille de Donnée'!$F$16))&amp;""&amp;IF(AND(AL131&gt;=$G131*(1-'Feuille de Donnée'!$E$27),AL131&lt;=$G131*(1+'Feuille de Donnée'!$F$27)),'Feuille de Donnée'!$F$32,IF(AL131&lt;$G131*(1-'Feuille de Donnée'!$E$27),'Feuille de Donnée'!$F$33,'Feuille de Donnée'!$F$31)))))</f>
        <v/>
      </c>
      <c r="AR131" s="138"/>
      <c r="AS131" s="103"/>
      <c r="AT131" s="27"/>
      <c r="AU131" s="27"/>
      <c r="AV131" s="27" t="str">
        <f t="shared" si="51"/>
        <v/>
      </c>
      <c r="AW131" s="121" t="str">
        <f t="shared" si="52"/>
        <v/>
      </c>
      <c r="AX131" s="121" t="str">
        <f t="shared" si="53"/>
        <v/>
      </c>
      <c r="AY131" s="27" t="str">
        <f>IF(AND(ISBLANK(BA131),AZ131=""),"",1+MAX(AY$21:AY130))</f>
        <v/>
      </c>
      <c r="AZ131" s="137" t="str">
        <f>IF(OR(AV131="",AV131=0,$H131="",$H131=0,NOT(ISNUMBER($H131)),NOT(ISNUMBER(AV131))),IF(AND($E131&lt;&gt;"",AND(OR(ISNUMBER(AV131),AV131=""),AND(ISNUMBER($H131),$H131&gt;0))),'Feuille de Donnée'!$K$13,""),IF(AV131&lt;$H$168*'Feuille de Donnée'!$I$9,"Négligeable",(IF(AND(AT131&gt;=$F131*(1-'Feuille de Donnée'!$E$12),AT131&lt;=$F131*(1+'Feuille de Donnée'!$F$12)),'Feuille de Donnée'!$F$17,IF(AT131&lt;$F131*(1-'Feuille de Donnée'!$E$12),'Feuille de Donnée'!$F$18,'Feuille de Donnée'!$F$16))&amp;""&amp;IF(AND(AU131&gt;=$G131*(1-'Feuille de Donnée'!$E$27),AU131&lt;=$G131*(1+'Feuille de Donnée'!$F$27)),'Feuille de Donnée'!$F$32,IF(AU131&lt;$G131*(1-'Feuille de Donnée'!$E$27),'Feuille de Donnée'!$F$33,'Feuille de Donnée'!$F$31)))))</f>
        <v/>
      </c>
      <c r="BA131" s="138"/>
      <c r="BB131" s="103"/>
      <c r="BC131" s="27"/>
      <c r="BD131" s="27"/>
      <c r="BE131" s="27" t="str">
        <f t="shared" si="54"/>
        <v/>
      </c>
      <c r="BF131" s="121" t="str">
        <f t="shared" si="55"/>
        <v/>
      </c>
      <c r="BG131" s="121" t="str">
        <f t="shared" si="56"/>
        <v/>
      </c>
      <c r="BH131" s="27" t="str">
        <f>IF(AND(ISBLANK(BJ131),BI131=""),"",1+MAX(BH$21:BH130))</f>
        <v/>
      </c>
      <c r="BI131" s="137" t="str">
        <f>IF(OR(BE131="",BE131=0,$H131="",$H131=0,NOT(ISNUMBER($H131)),NOT(ISNUMBER(BE131))),IF(AND($E131&lt;&gt;"",AND(OR(ISNUMBER(BE131),BE131=""),AND(ISNUMBER($H131),$H131&gt;0))),'Feuille de Donnée'!$K$13,""),IF(BE131&lt;$H$168*'Feuille de Donnée'!$I$9,"Négligeable",(IF(AND(BC131&gt;=$F131*(1-'Feuille de Donnée'!$E$12),BC131&lt;=$F131*(1+'Feuille de Donnée'!$F$12)),'Feuille de Donnée'!$F$17,IF(BC131&lt;$F131*(1-'Feuille de Donnée'!$E$12),'Feuille de Donnée'!$F$18,'Feuille de Donnée'!$F$16))&amp;""&amp;IF(AND(BD131&gt;=$G131*(1-'Feuille de Donnée'!$E$27),BD131&lt;=$G131*(1+'Feuille de Donnée'!$F$27)),'Feuille de Donnée'!$F$32,IF(BD131&lt;$G131*(1-'Feuille de Donnée'!$E$27),'Feuille de Donnée'!$F$33,'Feuille de Donnée'!$F$31)))))</f>
        <v/>
      </c>
      <c r="BJ131" s="138"/>
      <c r="BK131" s="140"/>
    </row>
    <row r="132" spans="1:63" s="6" customFormat="1" x14ac:dyDescent="0.3">
      <c r="A132" s="23"/>
      <c r="B132" s="24"/>
      <c r="C132" s="24"/>
      <c r="D132" s="24"/>
      <c r="E132" s="22"/>
      <c r="F132" s="25"/>
      <c r="G132" s="26"/>
      <c r="H132" s="102" t="str">
        <f t="shared" si="38"/>
        <v/>
      </c>
      <c r="I132" s="103"/>
      <c r="J132" s="27"/>
      <c r="K132" s="27"/>
      <c r="L132" s="27" t="str">
        <f t="shared" si="39"/>
        <v/>
      </c>
      <c r="M132" s="121" t="str">
        <f t="shared" si="40"/>
        <v/>
      </c>
      <c r="N132" s="121" t="str">
        <f t="shared" si="41"/>
        <v/>
      </c>
      <c r="O132" s="27" t="str">
        <f>IF(AND(ISBLANK(Q132),P132=""),"",1+MAX(O$21:O131))</f>
        <v/>
      </c>
      <c r="P132" s="137" t="str">
        <f>IF(OR(L132="",L132=0,$H132="",$H132=0,NOT(ISNUMBER($H132)),NOT(ISNUMBER(L132))),IF(AND($E132&lt;&gt;"",AND(OR(ISNUMBER(L132),L132=""),AND(ISNUMBER($H132),$H132&gt;0))),'Feuille de Donnée'!$K$13,""),IF(L132&lt;$H$168*'Feuille de Donnée'!$I$9,"Négligeable",(IF(AND(J132&gt;=$F132*(1-'Feuille de Donnée'!$E$12),J132&lt;=$F132*(1+'Feuille de Donnée'!$F$12)),'Feuille de Donnée'!$F$17,IF(J132&lt;$F132*(1-'Feuille de Donnée'!$E$12),'Feuille de Donnée'!$F$18,'Feuille de Donnée'!$F$16))&amp;""&amp;IF(AND(K132&gt;=$G132*(1-'Feuille de Donnée'!$E$27),K132&lt;=$G132*(1+'Feuille de Donnée'!$F$27)),'Feuille de Donnée'!$F$32,IF(K132&lt;$G132*(1-'Feuille de Donnée'!$E$27),'Feuille de Donnée'!$F$33,'Feuille de Donnée'!$F$31)))))</f>
        <v/>
      </c>
      <c r="Q132" s="138"/>
      <c r="R132" s="103"/>
      <c r="S132" s="27"/>
      <c r="T132" s="27"/>
      <c r="U132" s="27" t="str">
        <f t="shared" si="42"/>
        <v/>
      </c>
      <c r="V132" s="121" t="str">
        <f t="shared" si="43"/>
        <v/>
      </c>
      <c r="W132" s="121" t="str">
        <f t="shared" si="44"/>
        <v/>
      </c>
      <c r="X132" s="27" t="str">
        <f>IF(AND(ISBLANK(Z132),Y132=""),"",1+MAX(X$21:X131))</f>
        <v/>
      </c>
      <c r="Y132" s="137" t="str">
        <f>IF(OR(U132="",U132=0,$H132="",$H132=0,NOT(ISNUMBER($H132)),NOT(ISNUMBER(U132))),IF(AND($E132&lt;&gt;"",AND(OR(ISNUMBER(U132),U132=""),AND(ISNUMBER($H132),$H132&gt;0))),'Feuille de Donnée'!$K$13,""),IF(U132&lt;$H$168*'Feuille de Donnée'!$I$9,"Négligeable",(IF(AND(S132&gt;=$F132*(1-'Feuille de Donnée'!$E$12),S132&lt;=$F132*(1+'Feuille de Donnée'!$F$12)),'Feuille de Donnée'!$F$17,IF(S132&lt;$F132*(1-'Feuille de Donnée'!$E$12),'Feuille de Donnée'!$F$18,'Feuille de Donnée'!$F$16))&amp;""&amp;IF(AND(T132&gt;=$G132*(1-'Feuille de Donnée'!$E$27),T132&lt;=$G132*(1+'Feuille de Donnée'!$F$27)),'Feuille de Donnée'!$F$32,IF(T132&lt;$G132*(1-'Feuille de Donnée'!$E$27),'Feuille de Donnée'!$F$33,'Feuille de Donnée'!$F$31)))))</f>
        <v/>
      </c>
      <c r="Z132" s="138"/>
      <c r="AA132" s="103"/>
      <c r="AB132" s="27"/>
      <c r="AC132" s="27"/>
      <c r="AD132" s="27" t="str">
        <f t="shared" si="45"/>
        <v/>
      </c>
      <c r="AE132" s="121" t="str">
        <f t="shared" si="46"/>
        <v/>
      </c>
      <c r="AF132" s="121" t="str">
        <f t="shared" si="47"/>
        <v/>
      </c>
      <c r="AG132" s="27" t="str">
        <f>IF(AND(ISBLANK(AI132),AH132=""),"",1+MAX(AG$21:AG131))</f>
        <v/>
      </c>
      <c r="AH132" s="137" t="str">
        <f>IF(OR(AD132="",AD132=0,$H132="",$H132=0,NOT(ISNUMBER($H132)),NOT(ISNUMBER(AD132))),IF(AND($E132&lt;&gt;"",AND(OR(ISNUMBER(AD132),AD132=""),AND(ISNUMBER($H132),$H132&gt;0))),'Feuille de Donnée'!$K$13,""),IF(AD132&lt;$H$168*'Feuille de Donnée'!$I$9,"Négligeable",(IF(AND(AB132&gt;=$F132*(1-'Feuille de Donnée'!$E$12),AB132&lt;=$F132*(1+'Feuille de Donnée'!$F$12)),'Feuille de Donnée'!$F$17,IF(AB132&lt;$F132*(1-'Feuille de Donnée'!$E$12),'Feuille de Donnée'!$F$18,'Feuille de Donnée'!$F$16))&amp;""&amp;IF(AND(AC132&gt;=$G132*(1-'Feuille de Donnée'!$E$27),AC132&lt;=$G132*(1+'Feuille de Donnée'!$F$27)),'Feuille de Donnée'!$F$32,IF(AC132&lt;$G132*(1-'Feuille de Donnée'!$E$27),'Feuille de Donnée'!$F$33,'Feuille de Donnée'!$F$31)))))</f>
        <v/>
      </c>
      <c r="AI132" s="138"/>
      <c r="AJ132" s="103"/>
      <c r="AK132" s="27"/>
      <c r="AL132" s="27"/>
      <c r="AM132" s="27" t="str">
        <f t="shared" si="48"/>
        <v/>
      </c>
      <c r="AN132" s="121" t="str">
        <f t="shared" si="49"/>
        <v/>
      </c>
      <c r="AO132" s="121" t="str">
        <f t="shared" si="50"/>
        <v/>
      </c>
      <c r="AP132" s="27" t="str">
        <f>IF(AND(ISBLANK(AR132),AQ132=""),"",1+MAX(AP$21:AP131))</f>
        <v/>
      </c>
      <c r="AQ132" s="137" t="str">
        <f>IF(OR(AM132="",AM132=0,$H132="",$H132=0,NOT(ISNUMBER($H132)),NOT(ISNUMBER(AM132))),IF(AND($E132&lt;&gt;"",AND(OR(ISNUMBER(AM132),AM132=""),AND(ISNUMBER($H132),$H132&gt;0))),'Feuille de Donnée'!$K$13,""),IF(AM132&lt;$H$168*'Feuille de Donnée'!$I$9,"Négligeable",(IF(AND(AK132&gt;=$F132*(1-'Feuille de Donnée'!$E$12),AK132&lt;=$F132*(1+'Feuille de Donnée'!$F$12)),'Feuille de Donnée'!$F$17,IF(AK132&lt;$F132*(1-'Feuille de Donnée'!$E$12),'Feuille de Donnée'!$F$18,'Feuille de Donnée'!$F$16))&amp;""&amp;IF(AND(AL132&gt;=$G132*(1-'Feuille de Donnée'!$E$27),AL132&lt;=$G132*(1+'Feuille de Donnée'!$F$27)),'Feuille de Donnée'!$F$32,IF(AL132&lt;$G132*(1-'Feuille de Donnée'!$E$27),'Feuille de Donnée'!$F$33,'Feuille de Donnée'!$F$31)))))</f>
        <v/>
      </c>
      <c r="AR132" s="138"/>
      <c r="AS132" s="103"/>
      <c r="AT132" s="27"/>
      <c r="AU132" s="27"/>
      <c r="AV132" s="27" t="str">
        <f t="shared" si="51"/>
        <v/>
      </c>
      <c r="AW132" s="121" t="str">
        <f t="shared" si="52"/>
        <v/>
      </c>
      <c r="AX132" s="121" t="str">
        <f t="shared" si="53"/>
        <v/>
      </c>
      <c r="AY132" s="27" t="str">
        <f>IF(AND(ISBLANK(BA132),AZ132=""),"",1+MAX(AY$21:AY131))</f>
        <v/>
      </c>
      <c r="AZ132" s="137" t="str">
        <f>IF(OR(AV132="",AV132=0,$H132="",$H132=0,NOT(ISNUMBER($H132)),NOT(ISNUMBER(AV132))),IF(AND($E132&lt;&gt;"",AND(OR(ISNUMBER(AV132),AV132=""),AND(ISNUMBER($H132),$H132&gt;0))),'Feuille de Donnée'!$K$13,""),IF(AV132&lt;$H$168*'Feuille de Donnée'!$I$9,"Négligeable",(IF(AND(AT132&gt;=$F132*(1-'Feuille de Donnée'!$E$12),AT132&lt;=$F132*(1+'Feuille de Donnée'!$F$12)),'Feuille de Donnée'!$F$17,IF(AT132&lt;$F132*(1-'Feuille de Donnée'!$E$12),'Feuille de Donnée'!$F$18,'Feuille de Donnée'!$F$16))&amp;""&amp;IF(AND(AU132&gt;=$G132*(1-'Feuille de Donnée'!$E$27),AU132&lt;=$G132*(1+'Feuille de Donnée'!$F$27)),'Feuille de Donnée'!$F$32,IF(AU132&lt;$G132*(1-'Feuille de Donnée'!$E$27),'Feuille de Donnée'!$F$33,'Feuille de Donnée'!$F$31)))))</f>
        <v/>
      </c>
      <c r="BA132" s="138"/>
      <c r="BB132" s="103"/>
      <c r="BC132" s="27"/>
      <c r="BD132" s="27"/>
      <c r="BE132" s="27" t="str">
        <f t="shared" si="54"/>
        <v/>
      </c>
      <c r="BF132" s="121" t="str">
        <f t="shared" si="55"/>
        <v/>
      </c>
      <c r="BG132" s="121" t="str">
        <f t="shared" si="56"/>
        <v/>
      </c>
      <c r="BH132" s="27" t="str">
        <f>IF(AND(ISBLANK(BJ132),BI132=""),"",1+MAX(BH$21:BH131))</f>
        <v/>
      </c>
      <c r="BI132" s="137" t="str">
        <f>IF(OR(BE132="",BE132=0,$H132="",$H132=0,NOT(ISNUMBER($H132)),NOT(ISNUMBER(BE132))),IF(AND($E132&lt;&gt;"",AND(OR(ISNUMBER(BE132),BE132=""),AND(ISNUMBER($H132),$H132&gt;0))),'Feuille de Donnée'!$K$13,""),IF(BE132&lt;$H$168*'Feuille de Donnée'!$I$9,"Négligeable",(IF(AND(BC132&gt;=$F132*(1-'Feuille de Donnée'!$E$12),BC132&lt;=$F132*(1+'Feuille de Donnée'!$F$12)),'Feuille de Donnée'!$F$17,IF(BC132&lt;$F132*(1-'Feuille de Donnée'!$E$12),'Feuille de Donnée'!$F$18,'Feuille de Donnée'!$F$16))&amp;""&amp;IF(AND(BD132&gt;=$G132*(1-'Feuille de Donnée'!$E$27),BD132&lt;=$G132*(1+'Feuille de Donnée'!$F$27)),'Feuille de Donnée'!$F$32,IF(BD132&lt;$G132*(1-'Feuille de Donnée'!$E$27),'Feuille de Donnée'!$F$33,'Feuille de Donnée'!$F$31)))))</f>
        <v/>
      </c>
      <c r="BJ132" s="138"/>
      <c r="BK132" s="140"/>
    </row>
    <row r="133" spans="1:63" s="6" customFormat="1" x14ac:dyDescent="0.3">
      <c r="A133" s="23"/>
      <c r="B133" s="24"/>
      <c r="C133" s="24"/>
      <c r="D133" s="24"/>
      <c r="E133" s="22"/>
      <c r="F133" s="25"/>
      <c r="G133" s="26"/>
      <c r="H133" s="102" t="str">
        <f t="shared" si="38"/>
        <v/>
      </c>
      <c r="I133" s="103"/>
      <c r="J133" s="27"/>
      <c r="K133" s="27"/>
      <c r="L133" s="27" t="str">
        <f t="shared" si="39"/>
        <v/>
      </c>
      <c r="M133" s="121" t="str">
        <f t="shared" si="40"/>
        <v/>
      </c>
      <c r="N133" s="121" t="str">
        <f t="shared" si="41"/>
        <v/>
      </c>
      <c r="O133" s="27" t="str">
        <f>IF(AND(ISBLANK(Q133),P133=""),"",1+MAX(O$21:O132))</f>
        <v/>
      </c>
      <c r="P133" s="137" t="str">
        <f>IF(OR(L133="",L133=0,$H133="",$H133=0,NOT(ISNUMBER($H133)),NOT(ISNUMBER(L133))),IF(AND($E133&lt;&gt;"",AND(OR(ISNUMBER(L133),L133=""),AND(ISNUMBER($H133),$H133&gt;0))),'Feuille de Donnée'!$K$13,""),IF(L133&lt;$H$168*'Feuille de Donnée'!$I$9,"Négligeable",(IF(AND(J133&gt;=$F133*(1-'Feuille de Donnée'!$E$12),J133&lt;=$F133*(1+'Feuille de Donnée'!$F$12)),'Feuille de Donnée'!$F$17,IF(J133&lt;$F133*(1-'Feuille de Donnée'!$E$12),'Feuille de Donnée'!$F$18,'Feuille de Donnée'!$F$16))&amp;""&amp;IF(AND(K133&gt;=$G133*(1-'Feuille de Donnée'!$E$27),K133&lt;=$G133*(1+'Feuille de Donnée'!$F$27)),'Feuille de Donnée'!$F$32,IF(K133&lt;$G133*(1-'Feuille de Donnée'!$E$27),'Feuille de Donnée'!$F$33,'Feuille de Donnée'!$F$31)))))</f>
        <v/>
      </c>
      <c r="Q133" s="138"/>
      <c r="R133" s="103"/>
      <c r="S133" s="27"/>
      <c r="T133" s="27"/>
      <c r="U133" s="27" t="str">
        <f t="shared" si="42"/>
        <v/>
      </c>
      <c r="V133" s="121" t="str">
        <f t="shared" si="43"/>
        <v/>
      </c>
      <c r="W133" s="121" t="str">
        <f t="shared" si="44"/>
        <v/>
      </c>
      <c r="X133" s="27" t="str">
        <f>IF(AND(ISBLANK(Z133),Y133=""),"",1+MAX(X$21:X132))</f>
        <v/>
      </c>
      <c r="Y133" s="137" t="str">
        <f>IF(OR(U133="",U133=0,$H133="",$H133=0,NOT(ISNUMBER($H133)),NOT(ISNUMBER(U133))),IF(AND($E133&lt;&gt;"",AND(OR(ISNUMBER(U133),U133=""),AND(ISNUMBER($H133),$H133&gt;0))),'Feuille de Donnée'!$K$13,""),IF(U133&lt;$H$168*'Feuille de Donnée'!$I$9,"Négligeable",(IF(AND(S133&gt;=$F133*(1-'Feuille de Donnée'!$E$12),S133&lt;=$F133*(1+'Feuille de Donnée'!$F$12)),'Feuille de Donnée'!$F$17,IF(S133&lt;$F133*(1-'Feuille de Donnée'!$E$12),'Feuille de Donnée'!$F$18,'Feuille de Donnée'!$F$16))&amp;""&amp;IF(AND(T133&gt;=$G133*(1-'Feuille de Donnée'!$E$27),T133&lt;=$G133*(1+'Feuille de Donnée'!$F$27)),'Feuille de Donnée'!$F$32,IF(T133&lt;$G133*(1-'Feuille de Donnée'!$E$27),'Feuille de Donnée'!$F$33,'Feuille de Donnée'!$F$31)))))</f>
        <v/>
      </c>
      <c r="Z133" s="138"/>
      <c r="AA133" s="103"/>
      <c r="AB133" s="27"/>
      <c r="AC133" s="27"/>
      <c r="AD133" s="27" t="str">
        <f t="shared" si="45"/>
        <v/>
      </c>
      <c r="AE133" s="121" t="str">
        <f t="shared" si="46"/>
        <v/>
      </c>
      <c r="AF133" s="121" t="str">
        <f t="shared" si="47"/>
        <v/>
      </c>
      <c r="AG133" s="27" t="str">
        <f>IF(AND(ISBLANK(AI133),AH133=""),"",1+MAX(AG$21:AG132))</f>
        <v/>
      </c>
      <c r="AH133" s="137" t="str">
        <f>IF(OR(AD133="",AD133=0,$H133="",$H133=0,NOT(ISNUMBER($H133)),NOT(ISNUMBER(AD133))),IF(AND($E133&lt;&gt;"",AND(OR(ISNUMBER(AD133),AD133=""),AND(ISNUMBER($H133),$H133&gt;0))),'Feuille de Donnée'!$K$13,""),IF(AD133&lt;$H$168*'Feuille de Donnée'!$I$9,"Négligeable",(IF(AND(AB133&gt;=$F133*(1-'Feuille de Donnée'!$E$12),AB133&lt;=$F133*(1+'Feuille de Donnée'!$F$12)),'Feuille de Donnée'!$F$17,IF(AB133&lt;$F133*(1-'Feuille de Donnée'!$E$12),'Feuille de Donnée'!$F$18,'Feuille de Donnée'!$F$16))&amp;""&amp;IF(AND(AC133&gt;=$G133*(1-'Feuille de Donnée'!$E$27),AC133&lt;=$G133*(1+'Feuille de Donnée'!$F$27)),'Feuille de Donnée'!$F$32,IF(AC133&lt;$G133*(1-'Feuille de Donnée'!$E$27),'Feuille de Donnée'!$F$33,'Feuille de Donnée'!$F$31)))))</f>
        <v/>
      </c>
      <c r="AI133" s="138"/>
      <c r="AJ133" s="103"/>
      <c r="AK133" s="27"/>
      <c r="AL133" s="27"/>
      <c r="AM133" s="27" t="str">
        <f t="shared" si="48"/>
        <v/>
      </c>
      <c r="AN133" s="121" t="str">
        <f t="shared" si="49"/>
        <v/>
      </c>
      <c r="AO133" s="121" t="str">
        <f t="shared" si="50"/>
        <v/>
      </c>
      <c r="AP133" s="27" t="str">
        <f>IF(AND(ISBLANK(AR133),AQ133=""),"",1+MAX(AP$21:AP132))</f>
        <v/>
      </c>
      <c r="AQ133" s="137" t="str">
        <f>IF(OR(AM133="",AM133=0,$H133="",$H133=0,NOT(ISNUMBER($H133)),NOT(ISNUMBER(AM133))),IF(AND($E133&lt;&gt;"",AND(OR(ISNUMBER(AM133),AM133=""),AND(ISNUMBER($H133),$H133&gt;0))),'Feuille de Donnée'!$K$13,""),IF(AM133&lt;$H$168*'Feuille de Donnée'!$I$9,"Négligeable",(IF(AND(AK133&gt;=$F133*(1-'Feuille de Donnée'!$E$12),AK133&lt;=$F133*(1+'Feuille de Donnée'!$F$12)),'Feuille de Donnée'!$F$17,IF(AK133&lt;$F133*(1-'Feuille de Donnée'!$E$12),'Feuille de Donnée'!$F$18,'Feuille de Donnée'!$F$16))&amp;""&amp;IF(AND(AL133&gt;=$G133*(1-'Feuille de Donnée'!$E$27),AL133&lt;=$G133*(1+'Feuille de Donnée'!$F$27)),'Feuille de Donnée'!$F$32,IF(AL133&lt;$G133*(1-'Feuille de Donnée'!$E$27),'Feuille de Donnée'!$F$33,'Feuille de Donnée'!$F$31)))))</f>
        <v/>
      </c>
      <c r="AR133" s="138"/>
      <c r="AS133" s="103"/>
      <c r="AT133" s="27"/>
      <c r="AU133" s="27"/>
      <c r="AV133" s="27" t="str">
        <f t="shared" si="51"/>
        <v/>
      </c>
      <c r="AW133" s="121" t="str">
        <f t="shared" si="52"/>
        <v/>
      </c>
      <c r="AX133" s="121" t="str">
        <f t="shared" si="53"/>
        <v/>
      </c>
      <c r="AY133" s="27" t="str">
        <f>IF(AND(ISBLANK(BA133),AZ133=""),"",1+MAX(AY$21:AY132))</f>
        <v/>
      </c>
      <c r="AZ133" s="137" t="str">
        <f>IF(OR(AV133="",AV133=0,$H133="",$H133=0,NOT(ISNUMBER($H133)),NOT(ISNUMBER(AV133))),IF(AND($E133&lt;&gt;"",AND(OR(ISNUMBER(AV133),AV133=""),AND(ISNUMBER($H133),$H133&gt;0))),'Feuille de Donnée'!$K$13,""),IF(AV133&lt;$H$168*'Feuille de Donnée'!$I$9,"Négligeable",(IF(AND(AT133&gt;=$F133*(1-'Feuille de Donnée'!$E$12),AT133&lt;=$F133*(1+'Feuille de Donnée'!$F$12)),'Feuille de Donnée'!$F$17,IF(AT133&lt;$F133*(1-'Feuille de Donnée'!$E$12),'Feuille de Donnée'!$F$18,'Feuille de Donnée'!$F$16))&amp;""&amp;IF(AND(AU133&gt;=$G133*(1-'Feuille de Donnée'!$E$27),AU133&lt;=$G133*(1+'Feuille de Donnée'!$F$27)),'Feuille de Donnée'!$F$32,IF(AU133&lt;$G133*(1-'Feuille de Donnée'!$E$27),'Feuille de Donnée'!$F$33,'Feuille de Donnée'!$F$31)))))</f>
        <v/>
      </c>
      <c r="BA133" s="138"/>
      <c r="BB133" s="103"/>
      <c r="BC133" s="27"/>
      <c r="BD133" s="27"/>
      <c r="BE133" s="27" t="str">
        <f t="shared" si="54"/>
        <v/>
      </c>
      <c r="BF133" s="121" t="str">
        <f t="shared" si="55"/>
        <v/>
      </c>
      <c r="BG133" s="121" t="str">
        <f t="shared" si="56"/>
        <v/>
      </c>
      <c r="BH133" s="27" t="str">
        <f>IF(AND(ISBLANK(BJ133),BI133=""),"",1+MAX(BH$21:BH132))</f>
        <v/>
      </c>
      <c r="BI133" s="137" t="str">
        <f>IF(OR(BE133="",BE133=0,$H133="",$H133=0,NOT(ISNUMBER($H133)),NOT(ISNUMBER(BE133))),IF(AND($E133&lt;&gt;"",AND(OR(ISNUMBER(BE133),BE133=""),AND(ISNUMBER($H133),$H133&gt;0))),'Feuille de Donnée'!$K$13,""),IF(BE133&lt;$H$168*'Feuille de Donnée'!$I$9,"Négligeable",(IF(AND(BC133&gt;=$F133*(1-'Feuille de Donnée'!$E$12),BC133&lt;=$F133*(1+'Feuille de Donnée'!$F$12)),'Feuille de Donnée'!$F$17,IF(BC133&lt;$F133*(1-'Feuille de Donnée'!$E$12),'Feuille de Donnée'!$F$18,'Feuille de Donnée'!$F$16))&amp;""&amp;IF(AND(BD133&gt;=$G133*(1-'Feuille de Donnée'!$E$27),BD133&lt;=$G133*(1+'Feuille de Donnée'!$F$27)),'Feuille de Donnée'!$F$32,IF(BD133&lt;$G133*(1-'Feuille de Donnée'!$E$27),'Feuille de Donnée'!$F$33,'Feuille de Donnée'!$F$31)))))</f>
        <v/>
      </c>
      <c r="BJ133" s="138"/>
      <c r="BK133" s="140"/>
    </row>
    <row r="134" spans="1:63" s="6" customFormat="1" x14ac:dyDescent="0.3">
      <c r="A134" s="23"/>
      <c r="B134" s="24"/>
      <c r="C134" s="24"/>
      <c r="D134" s="24"/>
      <c r="E134" s="22"/>
      <c r="F134" s="25"/>
      <c r="G134" s="26"/>
      <c r="H134" s="102" t="str">
        <f t="shared" si="38"/>
        <v/>
      </c>
      <c r="I134" s="103"/>
      <c r="J134" s="27"/>
      <c r="K134" s="27"/>
      <c r="L134" s="27" t="str">
        <f t="shared" si="39"/>
        <v/>
      </c>
      <c r="M134" s="121" t="str">
        <f t="shared" si="40"/>
        <v/>
      </c>
      <c r="N134" s="121" t="str">
        <f t="shared" si="41"/>
        <v/>
      </c>
      <c r="O134" s="27" t="str">
        <f>IF(AND(ISBLANK(Q134),P134=""),"",1+MAX(O$21:O133))</f>
        <v/>
      </c>
      <c r="P134" s="137" t="str">
        <f>IF(OR(L134="",L134=0,$H134="",$H134=0,NOT(ISNUMBER($H134)),NOT(ISNUMBER(L134))),IF(AND($E134&lt;&gt;"",AND(OR(ISNUMBER(L134),L134=""),AND(ISNUMBER($H134),$H134&gt;0))),'Feuille de Donnée'!$K$13,""),IF(L134&lt;$H$168*'Feuille de Donnée'!$I$9,"Négligeable",(IF(AND(J134&gt;=$F134*(1-'Feuille de Donnée'!$E$12),J134&lt;=$F134*(1+'Feuille de Donnée'!$F$12)),'Feuille de Donnée'!$F$17,IF(J134&lt;$F134*(1-'Feuille de Donnée'!$E$12),'Feuille de Donnée'!$F$18,'Feuille de Donnée'!$F$16))&amp;""&amp;IF(AND(K134&gt;=$G134*(1-'Feuille de Donnée'!$E$27),K134&lt;=$G134*(1+'Feuille de Donnée'!$F$27)),'Feuille de Donnée'!$F$32,IF(K134&lt;$G134*(1-'Feuille de Donnée'!$E$27),'Feuille de Donnée'!$F$33,'Feuille de Donnée'!$F$31)))))</f>
        <v/>
      </c>
      <c r="Q134" s="138"/>
      <c r="R134" s="103"/>
      <c r="S134" s="27"/>
      <c r="T134" s="27"/>
      <c r="U134" s="27" t="str">
        <f t="shared" si="42"/>
        <v/>
      </c>
      <c r="V134" s="121" t="str">
        <f t="shared" si="43"/>
        <v/>
      </c>
      <c r="W134" s="121" t="str">
        <f t="shared" si="44"/>
        <v/>
      </c>
      <c r="X134" s="27" t="str">
        <f>IF(AND(ISBLANK(Z134),Y134=""),"",1+MAX(X$21:X133))</f>
        <v/>
      </c>
      <c r="Y134" s="137" t="str">
        <f>IF(OR(U134="",U134=0,$H134="",$H134=0,NOT(ISNUMBER($H134)),NOT(ISNUMBER(U134))),IF(AND($E134&lt;&gt;"",AND(OR(ISNUMBER(U134),U134=""),AND(ISNUMBER($H134),$H134&gt;0))),'Feuille de Donnée'!$K$13,""),IF(U134&lt;$H$168*'Feuille de Donnée'!$I$9,"Négligeable",(IF(AND(S134&gt;=$F134*(1-'Feuille de Donnée'!$E$12),S134&lt;=$F134*(1+'Feuille de Donnée'!$F$12)),'Feuille de Donnée'!$F$17,IF(S134&lt;$F134*(1-'Feuille de Donnée'!$E$12),'Feuille de Donnée'!$F$18,'Feuille de Donnée'!$F$16))&amp;""&amp;IF(AND(T134&gt;=$G134*(1-'Feuille de Donnée'!$E$27),T134&lt;=$G134*(1+'Feuille de Donnée'!$F$27)),'Feuille de Donnée'!$F$32,IF(T134&lt;$G134*(1-'Feuille de Donnée'!$E$27),'Feuille de Donnée'!$F$33,'Feuille de Donnée'!$F$31)))))</f>
        <v/>
      </c>
      <c r="Z134" s="138"/>
      <c r="AA134" s="103"/>
      <c r="AB134" s="27"/>
      <c r="AC134" s="27"/>
      <c r="AD134" s="27" t="str">
        <f t="shared" si="45"/>
        <v/>
      </c>
      <c r="AE134" s="121" t="str">
        <f t="shared" si="46"/>
        <v/>
      </c>
      <c r="AF134" s="121" t="str">
        <f t="shared" si="47"/>
        <v/>
      </c>
      <c r="AG134" s="27" t="str">
        <f>IF(AND(ISBLANK(AI134),AH134=""),"",1+MAX(AG$21:AG133))</f>
        <v/>
      </c>
      <c r="AH134" s="137" t="str">
        <f>IF(OR(AD134="",AD134=0,$H134="",$H134=0,NOT(ISNUMBER($H134)),NOT(ISNUMBER(AD134))),IF(AND($E134&lt;&gt;"",AND(OR(ISNUMBER(AD134),AD134=""),AND(ISNUMBER($H134),$H134&gt;0))),'Feuille de Donnée'!$K$13,""),IF(AD134&lt;$H$168*'Feuille de Donnée'!$I$9,"Négligeable",(IF(AND(AB134&gt;=$F134*(1-'Feuille de Donnée'!$E$12),AB134&lt;=$F134*(1+'Feuille de Donnée'!$F$12)),'Feuille de Donnée'!$F$17,IF(AB134&lt;$F134*(1-'Feuille de Donnée'!$E$12),'Feuille de Donnée'!$F$18,'Feuille de Donnée'!$F$16))&amp;""&amp;IF(AND(AC134&gt;=$G134*(1-'Feuille de Donnée'!$E$27),AC134&lt;=$G134*(1+'Feuille de Donnée'!$F$27)),'Feuille de Donnée'!$F$32,IF(AC134&lt;$G134*(1-'Feuille de Donnée'!$E$27),'Feuille de Donnée'!$F$33,'Feuille de Donnée'!$F$31)))))</f>
        <v/>
      </c>
      <c r="AI134" s="138"/>
      <c r="AJ134" s="103"/>
      <c r="AK134" s="27"/>
      <c r="AL134" s="27"/>
      <c r="AM134" s="27" t="str">
        <f t="shared" si="48"/>
        <v/>
      </c>
      <c r="AN134" s="121" t="str">
        <f t="shared" si="49"/>
        <v/>
      </c>
      <c r="AO134" s="121" t="str">
        <f t="shared" si="50"/>
        <v/>
      </c>
      <c r="AP134" s="27" t="str">
        <f>IF(AND(ISBLANK(AR134),AQ134=""),"",1+MAX(AP$21:AP133))</f>
        <v/>
      </c>
      <c r="AQ134" s="137" t="str">
        <f>IF(OR(AM134="",AM134=0,$H134="",$H134=0,NOT(ISNUMBER($H134)),NOT(ISNUMBER(AM134))),IF(AND($E134&lt;&gt;"",AND(OR(ISNUMBER(AM134),AM134=""),AND(ISNUMBER($H134),$H134&gt;0))),'Feuille de Donnée'!$K$13,""),IF(AM134&lt;$H$168*'Feuille de Donnée'!$I$9,"Négligeable",(IF(AND(AK134&gt;=$F134*(1-'Feuille de Donnée'!$E$12),AK134&lt;=$F134*(1+'Feuille de Donnée'!$F$12)),'Feuille de Donnée'!$F$17,IF(AK134&lt;$F134*(1-'Feuille de Donnée'!$E$12),'Feuille de Donnée'!$F$18,'Feuille de Donnée'!$F$16))&amp;""&amp;IF(AND(AL134&gt;=$G134*(1-'Feuille de Donnée'!$E$27),AL134&lt;=$G134*(1+'Feuille de Donnée'!$F$27)),'Feuille de Donnée'!$F$32,IF(AL134&lt;$G134*(1-'Feuille de Donnée'!$E$27),'Feuille de Donnée'!$F$33,'Feuille de Donnée'!$F$31)))))</f>
        <v/>
      </c>
      <c r="AR134" s="138"/>
      <c r="AS134" s="103"/>
      <c r="AT134" s="27"/>
      <c r="AU134" s="27"/>
      <c r="AV134" s="27" t="str">
        <f t="shared" si="51"/>
        <v/>
      </c>
      <c r="AW134" s="121" t="str">
        <f t="shared" si="52"/>
        <v/>
      </c>
      <c r="AX134" s="121" t="str">
        <f t="shared" si="53"/>
        <v/>
      </c>
      <c r="AY134" s="27" t="str">
        <f>IF(AND(ISBLANK(BA134),AZ134=""),"",1+MAX(AY$21:AY133))</f>
        <v/>
      </c>
      <c r="AZ134" s="137" t="str">
        <f>IF(OR(AV134="",AV134=0,$H134="",$H134=0,NOT(ISNUMBER($H134)),NOT(ISNUMBER(AV134))),IF(AND($E134&lt;&gt;"",AND(OR(ISNUMBER(AV134),AV134=""),AND(ISNUMBER($H134),$H134&gt;0))),'Feuille de Donnée'!$K$13,""),IF(AV134&lt;$H$168*'Feuille de Donnée'!$I$9,"Négligeable",(IF(AND(AT134&gt;=$F134*(1-'Feuille de Donnée'!$E$12),AT134&lt;=$F134*(1+'Feuille de Donnée'!$F$12)),'Feuille de Donnée'!$F$17,IF(AT134&lt;$F134*(1-'Feuille de Donnée'!$E$12),'Feuille de Donnée'!$F$18,'Feuille de Donnée'!$F$16))&amp;""&amp;IF(AND(AU134&gt;=$G134*(1-'Feuille de Donnée'!$E$27),AU134&lt;=$G134*(1+'Feuille de Donnée'!$F$27)),'Feuille de Donnée'!$F$32,IF(AU134&lt;$G134*(1-'Feuille de Donnée'!$E$27),'Feuille de Donnée'!$F$33,'Feuille de Donnée'!$F$31)))))</f>
        <v/>
      </c>
      <c r="BA134" s="138"/>
      <c r="BB134" s="103"/>
      <c r="BC134" s="27"/>
      <c r="BD134" s="27"/>
      <c r="BE134" s="27" t="str">
        <f t="shared" si="54"/>
        <v/>
      </c>
      <c r="BF134" s="121" t="str">
        <f t="shared" si="55"/>
        <v/>
      </c>
      <c r="BG134" s="121" t="str">
        <f t="shared" si="56"/>
        <v/>
      </c>
      <c r="BH134" s="27" t="str">
        <f>IF(AND(ISBLANK(BJ134),BI134=""),"",1+MAX(BH$21:BH133))</f>
        <v/>
      </c>
      <c r="BI134" s="137" t="str">
        <f>IF(OR(BE134="",BE134=0,$H134="",$H134=0,NOT(ISNUMBER($H134)),NOT(ISNUMBER(BE134))),IF(AND($E134&lt;&gt;"",AND(OR(ISNUMBER(BE134),BE134=""),AND(ISNUMBER($H134),$H134&gt;0))),'Feuille de Donnée'!$K$13,""),IF(BE134&lt;$H$168*'Feuille de Donnée'!$I$9,"Négligeable",(IF(AND(BC134&gt;=$F134*(1-'Feuille de Donnée'!$E$12),BC134&lt;=$F134*(1+'Feuille de Donnée'!$F$12)),'Feuille de Donnée'!$F$17,IF(BC134&lt;$F134*(1-'Feuille de Donnée'!$E$12),'Feuille de Donnée'!$F$18,'Feuille de Donnée'!$F$16))&amp;""&amp;IF(AND(BD134&gt;=$G134*(1-'Feuille de Donnée'!$E$27),BD134&lt;=$G134*(1+'Feuille de Donnée'!$F$27)),'Feuille de Donnée'!$F$32,IF(BD134&lt;$G134*(1-'Feuille de Donnée'!$E$27),'Feuille de Donnée'!$F$33,'Feuille de Donnée'!$F$31)))))</f>
        <v/>
      </c>
      <c r="BJ134" s="138"/>
      <c r="BK134" s="140"/>
    </row>
    <row r="135" spans="1:63" s="6" customFormat="1" x14ac:dyDescent="0.3">
      <c r="A135" s="23"/>
      <c r="B135" s="24"/>
      <c r="C135" s="24"/>
      <c r="D135" s="24"/>
      <c r="E135" s="22"/>
      <c r="F135" s="25"/>
      <c r="G135" s="26"/>
      <c r="H135" s="102" t="str">
        <f t="shared" si="38"/>
        <v/>
      </c>
      <c r="I135" s="103"/>
      <c r="J135" s="27"/>
      <c r="K135" s="27"/>
      <c r="L135" s="27" t="str">
        <f t="shared" si="39"/>
        <v/>
      </c>
      <c r="M135" s="121" t="str">
        <f t="shared" si="40"/>
        <v/>
      </c>
      <c r="N135" s="121" t="str">
        <f t="shared" si="41"/>
        <v/>
      </c>
      <c r="O135" s="27" t="str">
        <f>IF(AND(ISBLANK(Q135),P135=""),"",1+MAX(O$21:O134))</f>
        <v/>
      </c>
      <c r="P135" s="137" t="str">
        <f>IF(OR(L135="",L135=0,$H135="",$H135=0,NOT(ISNUMBER($H135)),NOT(ISNUMBER(L135))),IF(AND($E135&lt;&gt;"",AND(OR(ISNUMBER(L135),L135=""),AND(ISNUMBER($H135),$H135&gt;0))),'Feuille de Donnée'!$K$13,""),IF(L135&lt;$H$168*'Feuille de Donnée'!$I$9,"Négligeable",(IF(AND(J135&gt;=$F135*(1-'Feuille de Donnée'!$E$12),J135&lt;=$F135*(1+'Feuille de Donnée'!$F$12)),'Feuille de Donnée'!$F$17,IF(J135&lt;$F135*(1-'Feuille de Donnée'!$E$12),'Feuille de Donnée'!$F$18,'Feuille de Donnée'!$F$16))&amp;""&amp;IF(AND(K135&gt;=$G135*(1-'Feuille de Donnée'!$E$27),K135&lt;=$G135*(1+'Feuille de Donnée'!$F$27)),'Feuille de Donnée'!$F$32,IF(K135&lt;$G135*(1-'Feuille de Donnée'!$E$27),'Feuille de Donnée'!$F$33,'Feuille de Donnée'!$F$31)))))</f>
        <v/>
      </c>
      <c r="Q135" s="138"/>
      <c r="R135" s="103"/>
      <c r="S135" s="27"/>
      <c r="T135" s="27"/>
      <c r="U135" s="27" t="str">
        <f t="shared" si="42"/>
        <v/>
      </c>
      <c r="V135" s="121" t="str">
        <f t="shared" si="43"/>
        <v/>
      </c>
      <c r="W135" s="121" t="str">
        <f t="shared" si="44"/>
        <v/>
      </c>
      <c r="X135" s="27" t="str">
        <f>IF(AND(ISBLANK(Z135),Y135=""),"",1+MAX(X$21:X134))</f>
        <v/>
      </c>
      <c r="Y135" s="137" t="str">
        <f>IF(OR(U135="",U135=0,$H135="",$H135=0,NOT(ISNUMBER($H135)),NOT(ISNUMBER(U135))),IF(AND($E135&lt;&gt;"",AND(OR(ISNUMBER(U135),U135=""),AND(ISNUMBER($H135),$H135&gt;0))),'Feuille de Donnée'!$K$13,""),IF(U135&lt;$H$168*'Feuille de Donnée'!$I$9,"Négligeable",(IF(AND(S135&gt;=$F135*(1-'Feuille de Donnée'!$E$12),S135&lt;=$F135*(1+'Feuille de Donnée'!$F$12)),'Feuille de Donnée'!$F$17,IF(S135&lt;$F135*(1-'Feuille de Donnée'!$E$12),'Feuille de Donnée'!$F$18,'Feuille de Donnée'!$F$16))&amp;""&amp;IF(AND(T135&gt;=$G135*(1-'Feuille de Donnée'!$E$27),T135&lt;=$G135*(1+'Feuille de Donnée'!$F$27)),'Feuille de Donnée'!$F$32,IF(T135&lt;$G135*(1-'Feuille de Donnée'!$E$27),'Feuille de Donnée'!$F$33,'Feuille de Donnée'!$F$31)))))</f>
        <v/>
      </c>
      <c r="Z135" s="138"/>
      <c r="AA135" s="103"/>
      <c r="AB135" s="27"/>
      <c r="AC135" s="27"/>
      <c r="AD135" s="27" t="str">
        <f t="shared" si="45"/>
        <v/>
      </c>
      <c r="AE135" s="121" t="str">
        <f t="shared" si="46"/>
        <v/>
      </c>
      <c r="AF135" s="121" t="str">
        <f t="shared" si="47"/>
        <v/>
      </c>
      <c r="AG135" s="27" t="str">
        <f>IF(AND(ISBLANK(AI135),AH135=""),"",1+MAX(AG$21:AG134))</f>
        <v/>
      </c>
      <c r="AH135" s="137" t="str">
        <f>IF(OR(AD135="",AD135=0,$H135="",$H135=0,NOT(ISNUMBER($H135)),NOT(ISNUMBER(AD135))),IF(AND($E135&lt;&gt;"",AND(OR(ISNUMBER(AD135),AD135=""),AND(ISNUMBER($H135),$H135&gt;0))),'Feuille de Donnée'!$K$13,""),IF(AD135&lt;$H$168*'Feuille de Donnée'!$I$9,"Négligeable",(IF(AND(AB135&gt;=$F135*(1-'Feuille de Donnée'!$E$12),AB135&lt;=$F135*(1+'Feuille de Donnée'!$F$12)),'Feuille de Donnée'!$F$17,IF(AB135&lt;$F135*(1-'Feuille de Donnée'!$E$12),'Feuille de Donnée'!$F$18,'Feuille de Donnée'!$F$16))&amp;""&amp;IF(AND(AC135&gt;=$G135*(1-'Feuille de Donnée'!$E$27),AC135&lt;=$G135*(1+'Feuille de Donnée'!$F$27)),'Feuille de Donnée'!$F$32,IF(AC135&lt;$G135*(1-'Feuille de Donnée'!$E$27),'Feuille de Donnée'!$F$33,'Feuille de Donnée'!$F$31)))))</f>
        <v/>
      </c>
      <c r="AI135" s="138"/>
      <c r="AJ135" s="103"/>
      <c r="AK135" s="27"/>
      <c r="AL135" s="27"/>
      <c r="AM135" s="27" t="str">
        <f t="shared" si="48"/>
        <v/>
      </c>
      <c r="AN135" s="121" t="str">
        <f t="shared" si="49"/>
        <v/>
      </c>
      <c r="AO135" s="121" t="str">
        <f t="shared" si="50"/>
        <v/>
      </c>
      <c r="AP135" s="27" t="str">
        <f>IF(AND(ISBLANK(AR135),AQ135=""),"",1+MAX(AP$21:AP134))</f>
        <v/>
      </c>
      <c r="AQ135" s="137" t="str">
        <f>IF(OR(AM135="",AM135=0,$H135="",$H135=0,NOT(ISNUMBER($H135)),NOT(ISNUMBER(AM135))),IF(AND($E135&lt;&gt;"",AND(OR(ISNUMBER(AM135),AM135=""),AND(ISNUMBER($H135),$H135&gt;0))),'Feuille de Donnée'!$K$13,""),IF(AM135&lt;$H$168*'Feuille de Donnée'!$I$9,"Négligeable",(IF(AND(AK135&gt;=$F135*(1-'Feuille de Donnée'!$E$12),AK135&lt;=$F135*(1+'Feuille de Donnée'!$F$12)),'Feuille de Donnée'!$F$17,IF(AK135&lt;$F135*(1-'Feuille de Donnée'!$E$12),'Feuille de Donnée'!$F$18,'Feuille de Donnée'!$F$16))&amp;""&amp;IF(AND(AL135&gt;=$G135*(1-'Feuille de Donnée'!$E$27),AL135&lt;=$G135*(1+'Feuille de Donnée'!$F$27)),'Feuille de Donnée'!$F$32,IF(AL135&lt;$G135*(1-'Feuille de Donnée'!$E$27),'Feuille de Donnée'!$F$33,'Feuille de Donnée'!$F$31)))))</f>
        <v/>
      </c>
      <c r="AR135" s="138"/>
      <c r="AS135" s="103"/>
      <c r="AT135" s="27"/>
      <c r="AU135" s="27"/>
      <c r="AV135" s="27" t="str">
        <f t="shared" si="51"/>
        <v/>
      </c>
      <c r="AW135" s="121" t="str">
        <f t="shared" si="52"/>
        <v/>
      </c>
      <c r="AX135" s="121" t="str">
        <f t="shared" si="53"/>
        <v/>
      </c>
      <c r="AY135" s="27" t="str">
        <f>IF(AND(ISBLANK(BA135),AZ135=""),"",1+MAX(AY$21:AY134))</f>
        <v/>
      </c>
      <c r="AZ135" s="137" t="str">
        <f>IF(OR(AV135="",AV135=0,$H135="",$H135=0,NOT(ISNUMBER($H135)),NOT(ISNUMBER(AV135))),IF(AND($E135&lt;&gt;"",AND(OR(ISNUMBER(AV135),AV135=""),AND(ISNUMBER($H135),$H135&gt;0))),'Feuille de Donnée'!$K$13,""),IF(AV135&lt;$H$168*'Feuille de Donnée'!$I$9,"Négligeable",(IF(AND(AT135&gt;=$F135*(1-'Feuille de Donnée'!$E$12),AT135&lt;=$F135*(1+'Feuille de Donnée'!$F$12)),'Feuille de Donnée'!$F$17,IF(AT135&lt;$F135*(1-'Feuille de Donnée'!$E$12),'Feuille de Donnée'!$F$18,'Feuille de Donnée'!$F$16))&amp;""&amp;IF(AND(AU135&gt;=$G135*(1-'Feuille de Donnée'!$E$27),AU135&lt;=$G135*(1+'Feuille de Donnée'!$F$27)),'Feuille de Donnée'!$F$32,IF(AU135&lt;$G135*(1-'Feuille de Donnée'!$E$27),'Feuille de Donnée'!$F$33,'Feuille de Donnée'!$F$31)))))</f>
        <v/>
      </c>
      <c r="BA135" s="138"/>
      <c r="BB135" s="103"/>
      <c r="BC135" s="27"/>
      <c r="BD135" s="27"/>
      <c r="BE135" s="27" t="str">
        <f t="shared" si="54"/>
        <v/>
      </c>
      <c r="BF135" s="121" t="str">
        <f t="shared" si="55"/>
        <v/>
      </c>
      <c r="BG135" s="121" t="str">
        <f t="shared" si="56"/>
        <v/>
      </c>
      <c r="BH135" s="27" t="str">
        <f>IF(AND(ISBLANK(BJ135),BI135=""),"",1+MAX(BH$21:BH134))</f>
        <v/>
      </c>
      <c r="BI135" s="137" t="str">
        <f>IF(OR(BE135="",BE135=0,$H135="",$H135=0,NOT(ISNUMBER($H135)),NOT(ISNUMBER(BE135))),IF(AND($E135&lt;&gt;"",AND(OR(ISNUMBER(BE135),BE135=""),AND(ISNUMBER($H135),$H135&gt;0))),'Feuille de Donnée'!$K$13,""),IF(BE135&lt;$H$168*'Feuille de Donnée'!$I$9,"Négligeable",(IF(AND(BC135&gt;=$F135*(1-'Feuille de Donnée'!$E$12),BC135&lt;=$F135*(1+'Feuille de Donnée'!$F$12)),'Feuille de Donnée'!$F$17,IF(BC135&lt;$F135*(1-'Feuille de Donnée'!$E$12),'Feuille de Donnée'!$F$18,'Feuille de Donnée'!$F$16))&amp;""&amp;IF(AND(BD135&gt;=$G135*(1-'Feuille de Donnée'!$E$27),BD135&lt;=$G135*(1+'Feuille de Donnée'!$F$27)),'Feuille de Donnée'!$F$32,IF(BD135&lt;$G135*(1-'Feuille de Donnée'!$E$27),'Feuille de Donnée'!$F$33,'Feuille de Donnée'!$F$31)))))</f>
        <v/>
      </c>
      <c r="BJ135" s="138"/>
      <c r="BK135" s="140"/>
    </row>
    <row r="136" spans="1:63" s="6" customFormat="1" x14ac:dyDescent="0.3">
      <c r="A136" s="23"/>
      <c r="B136" s="24"/>
      <c r="C136" s="24"/>
      <c r="D136" s="24"/>
      <c r="E136" s="22"/>
      <c r="F136" s="25"/>
      <c r="G136" s="26"/>
      <c r="H136" s="102" t="str">
        <f t="shared" si="38"/>
        <v/>
      </c>
      <c r="I136" s="103"/>
      <c r="J136" s="27"/>
      <c r="K136" s="27"/>
      <c r="L136" s="27" t="str">
        <f t="shared" si="39"/>
        <v/>
      </c>
      <c r="M136" s="121" t="str">
        <f t="shared" si="40"/>
        <v/>
      </c>
      <c r="N136" s="121" t="str">
        <f t="shared" si="41"/>
        <v/>
      </c>
      <c r="O136" s="27" t="str">
        <f>IF(AND(ISBLANK(Q136),P136=""),"",1+MAX(O$21:O135))</f>
        <v/>
      </c>
      <c r="P136" s="137" t="str">
        <f>IF(OR(L136="",L136=0,$H136="",$H136=0,NOT(ISNUMBER($H136)),NOT(ISNUMBER(L136))),IF(AND($E136&lt;&gt;"",AND(OR(ISNUMBER(L136),L136=""),AND(ISNUMBER($H136),$H136&gt;0))),'Feuille de Donnée'!$K$13,""),IF(L136&lt;$H$168*'Feuille de Donnée'!$I$9,"Négligeable",(IF(AND(J136&gt;=$F136*(1-'Feuille de Donnée'!$E$12),J136&lt;=$F136*(1+'Feuille de Donnée'!$F$12)),'Feuille de Donnée'!$F$17,IF(J136&lt;$F136*(1-'Feuille de Donnée'!$E$12),'Feuille de Donnée'!$F$18,'Feuille de Donnée'!$F$16))&amp;""&amp;IF(AND(K136&gt;=$G136*(1-'Feuille de Donnée'!$E$27),K136&lt;=$G136*(1+'Feuille de Donnée'!$F$27)),'Feuille de Donnée'!$F$32,IF(K136&lt;$G136*(1-'Feuille de Donnée'!$E$27),'Feuille de Donnée'!$F$33,'Feuille de Donnée'!$F$31)))))</f>
        <v/>
      </c>
      <c r="Q136" s="138"/>
      <c r="R136" s="103"/>
      <c r="S136" s="27"/>
      <c r="T136" s="27"/>
      <c r="U136" s="27" t="str">
        <f t="shared" si="42"/>
        <v/>
      </c>
      <c r="V136" s="121" t="str">
        <f t="shared" si="43"/>
        <v/>
      </c>
      <c r="W136" s="121" t="str">
        <f t="shared" si="44"/>
        <v/>
      </c>
      <c r="X136" s="27" t="str">
        <f>IF(AND(ISBLANK(Z136),Y136=""),"",1+MAX(X$21:X135))</f>
        <v/>
      </c>
      <c r="Y136" s="137" t="str">
        <f>IF(OR(U136="",U136=0,$H136="",$H136=0,NOT(ISNUMBER($H136)),NOT(ISNUMBER(U136))),IF(AND($E136&lt;&gt;"",AND(OR(ISNUMBER(U136),U136=""),AND(ISNUMBER($H136),$H136&gt;0))),'Feuille de Donnée'!$K$13,""),IF(U136&lt;$H$168*'Feuille de Donnée'!$I$9,"Négligeable",(IF(AND(S136&gt;=$F136*(1-'Feuille de Donnée'!$E$12),S136&lt;=$F136*(1+'Feuille de Donnée'!$F$12)),'Feuille de Donnée'!$F$17,IF(S136&lt;$F136*(1-'Feuille de Donnée'!$E$12),'Feuille de Donnée'!$F$18,'Feuille de Donnée'!$F$16))&amp;""&amp;IF(AND(T136&gt;=$G136*(1-'Feuille de Donnée'!$E$27),T136&lt;=$G136*(1+'Feuille de Donnée'!$F$27)),'Feuille de Donnée'!$F$32,IF(T136&lt;$G136*(1-'Feuille de Donnée'!$E$27),'Feuille de Donnée'!$F$33,'Feuille de Donnée'!$F$31)))))</f>
        <v/>
      </c>
      <c r="Z136" s="138"/>
      <c r="AA136" s="103"/>
      <c r="AB136" s="27"/>
      <c r="AC136" s="27"/>
      <c r="AD136" s="27" t="str">
        <f t="shared" si="45"/>
        <v/>
      </c>
      <c r="AE136" s="121" t="str">
        <f t="shared" si="46"/>
        <v/>
      </c>
      <c r="AF136" s="121" t="str">
        <f t="shared" si="47"/>
        <v/>
      </c>
      <c r="AG136" s="27" t="str">
        <f>IF(AND(ISBLANK(AI136),AH136=""),"",1+MAX(AG$21:AG135))</f>
        <v/>
      </c>
      <c r="AH136" s="137" t="str">
        <f>IF(OR(AD136="",AD136=0,$H136="",$H136=0,NOT(ISNUMBER($H136)),NOT(ISNUMBER(AD136))),IF(AND($E136&lt;&gt;"",AND(OR(ISNUMBER(AD136),AD136=""),AND(ISNUMBER($H136),$H136&gt;0))),'Feuille de Donnée'!$K$13,""),IF(AD136&lt;$H$168*'Feuille de Donnée'!$I$9,"Négligeable",(IF(AND(AB136&gt;=$F136*(1-'Feuille de Donnée'!$E$12),AB136&lt;=$F136*(1+'Feuille de Donnée'!$F$12)),'Feuille de Donnée'!$F$17,IF(AB136&lt;$F136*(1-'Feuille de Donnée'!$E$12),'Feuille de Donnée'!$F$18,'Feuille de Donnée'!$F$16))&amp;""&amp;IF(AND(AC136&gt;=$G136*(1-'Feuille de Donnée'!$E$27),AC136&lt;=$G136*(1+'Feuille de Donnée'!$F$27)),'Feuille de Donnée'!$F$32,IF(AC136&lt;$G136*(1-'Feuille de Donnée'!$E$27),'Feuille de Donnée'!$F$33,'Feuille de Donnée'!$F$31)))))</f>
        <v/>
      </c>
      <c r="AI136" s="138"/>
      <c r="AJ136" s="103"/>
      <c r="AK136" s="27"/>
      <c r="AL136" s="27"/>
      <c r="AM136" s="27" t="str">
        <f t="shared" si="48"/>
        <v/>
      </c>
      <c r="AN136" s="121" t="str">
        <f t="shared" si="49"/>
        <v/>
      </c>
      <c r="AO136" s="121" t="str">
        <f t="shared" si="50"/>
        <v/>
      </c>
      <c r="AP136" s="27" t="str">
        <f>IF(AND(ISBLANK(AR136),AQ136=""),"",1+MAX(AP$21:AP135))</f>
        <v/>
      </c>
      <c r="AQ136" s="137" t="str">
        <f>IF(OR(AM136="",AM136=0,$H136="",$H136=0,NOT(ISNUMBER($H136)),NOT(ISNUMBER(AM136))),IF(AND($E136&lt;&gt;"",AND(OR(ISNUMBER(AM136),AM136=""),AND(ISNUMBER($H136),$H136&gt;0))),'Feuille de Donnée'!$K$13,""),IF(AM136&lt;$H$168*'Feuille de Donnée'!$I$9,"Négligeable",(IF(AND(AK136&gt;=$F136*(1-'Feuille de Donnée'!$E$12),AK136&lt;=$F136*(1+'Feuille de Donnée'!$F$12)),'Feuille de Donnée'!$F$17,IF(AK136&lt;$F136*(1-'Feuille de Donnée'!$E$12),'Feuille de Donnée'!$F$18,'Feuille de Donnée'!$F$16))&amp;""&amp;IF(AND(AL136&gt;=$G136*(1-'Feuille de Donnée'!$E$27),AL136&lt;=$G136*(1+'Feuille de Donnée'!$F$27)),'Feuille de Donnée'!$F$32,IF(AL136&lt;$G136*(1-'Feuille de Donnée'!$E$27),'Feuille de Donnée'!$F$33,'Feuille de Donnée'!$F$31)))))</f>
        <v/>
      </c>
      <c r="AR136" s="138"/>
      <c r="AS136" s="103"/>
      <c r="AT136" s="27"/>
      <c r="AU136" s="27"/>
      <c r="AV136" s="27" t="str">
        <f t="shared" si="51"/>
        <v/>
      </c>
      <c r="AW136" s="121" t="str">
        <f t="shared" si="52"/>
        <v/>
      </c>
      <c r="AX136" s="121" t="str">
        <f t="shared" si="53"/>
        <v/>
      </c>
      <c r="AY136" s="27" t="str">
        <f>IF(AND(ISBLANK(BA136),AZ136=""),"",1+MAX(AY$21:AY135))</f>
        <v/>
      </c>
      <c r="AZ136" s="137" t="str">
        <f>IF(OR(AV136="",AV136=0,$H136="",$H136=0,NOT(ISNUMBER($H136)),NOT(ISNUMBER(AV136))),IF(AND($E136&lt;&gt;"",AND(OR(ISNUMBER(AV136),AV136=""),AND(ISNUMBER($H136),$H136&gt;0))),'Feuille de Donnée'!$K$13,""),IF(AV136&lt;$H$168*'Feuille de Donnée'!$I$9,"Négligeable",(IF(AND(AT136&gt;=$F136*(1-'Feuille de Donnée'!$E$12),AT136&lt;=$F136*(1+'Feuille de Donnée'!$F$12)),'Feuille de Donnée'!$F$17,IF(AT136&lt;$F136*(1-'Feuille de Donnée'!$E$12),'Feuille de Donnée'!$F$18,'Feuille de Donnée'!$F$16))&amp;""&amp;IF(AND(AU136&gt;=$G136*(1-'Feuille de Donnée'!$E$27),AU136&lt;=$G136*(1+'Feuille de Donnée'!$F$27)),'Feuille de Donnée'!$F$32,IF(AU136&lt;$G136*(1-'Feuille de Donnée'!$E$27),'Feuille de Donnée'!$F$33,'Feuille de Donnée'!$F$31)))))</f>
        <v/>
      </c>
      <c r="BA136" s="138"/>
      <c r="BB136" s="103"/>
      <c r="BC136" s="27"/>
      <c r="BD136" s="27"/>
      <c r="BE136" s="27" t="str">
        <f t="shared" si="54"/>
        <v/>
      </c>
      <c r="BF136" s="121" t="str">
        <f t="shared" si="55"/>
        <v/>
      </c>
      <c r="BG136" s="121" t="str">
        <f t="shared" si="56"/>
        <v/>
      </c>
      <c r="BH136" s="27" t="str">
        <f>IF(AND(ISBLANK(BJ136),BI136=""),"",1+MAX(BH$21:BH135))</f>
        <v/>
      </c>
      <c r="BI136" s="137" t="str">
        <f>IF(OR(BE136="",BE136=0,$H136="",$H136=0,NOT(ISNUMBER($H136)),NOT(ISNUMBER(BE136))),IF(AND($E136&lt;&gt;"",AND(OR(ISNUMBER(BE136),BE136=""),AND(ISNUMBER($H136),$H136&gt;0))),'Feuille de Donnée'!$K$13,""),IF(BE136&lt;$H$168*'Feuille de Donnée'!$I$9,"Négligeable",(IF(AND(BC136&gt;=$F136*(1-'Feuille de Donnée'!$E$12),BC136&lt;=$F136*(1+'Feuille de Donnée'!$F$12)),'Feuille de Donnée'!$F$17,IF(BC136&lt;$F136*(1-'Feuille de Donnée'!$E$12),'Feuille de Donnée'!$F$18,'Feuille de Donnée'!$F$16))&amp;""&amp;IF(AND(BD136&gt;=$G136*(1-'Feuille de Donnée'!$E$27),BD136&lt;=$G136*(1+'Feuille de Donnée'!$F$27)),'Feuille de Donnée'!$F$32,IF(BD136&lt;$G136*(1-'Feuille de Donnée'!$E$27),'Feuille de Donnée'!$F$33,'Feuille de Donnée'!$F$31)))))</f>
        <v/>
      </c>
      <c r="BJ136" s="138"/>
      <c r="BK136" s="140"/>
    </row>
    <row r="137" spans="1:63" s="6" customFormat="1" x14ac:dyDescent="0.3">
      <c r="A137" s="23"/>
      <c r="B137" s="24"/>
      <c r="C137" s="24"/>
      <c r="D137" s="24"/>
      <c r="E137" s="22"/>
      <c r="F137" s="25"/>
      <c r="G137" s="26"/>
      <c r="H137" s="102" t="str">
        <f t="shared" si="38"/>
        <v/>
      </c>
      <c r="I137" s="103"/>
      <c r="J137" s="27"/>
      <c r="K137" s="27"/>
      <c r="L137" s="27" t="str">
        <f t="shared" si="39"/>
        <v/>
      </c>
      <c r="M137" s="121" t="str">
        <f t="shared" si="40"/>
        <v/>
      </c>
      <c r="N137" s="121" t="str">
        <f t="shared" si="41"/>
        <v/>
      </c>
      <c r="O137" s="27" t="str">
        <f>IF(AND(ISBLANK(Q137),P137=""),"",1+MAX(O$21:O136))</f>
        <v/>
      </c>
      <c r="P137" s="137" t="str">
        <f>IF(OR(L137="",L137=0,$H137="",$H137=0,NOT(ISNUMBER($H137)),NOT(ISNUMBER(L137))),IF(AND($E137&lt;&gt;"",AND(OR(ISNUMBER(L137),L137=""),AND(ISNUMBER($H137),$H137&gt;0))),'Feuille de Donnée'!$K$13,""),IF(L137&lt;$H$168*'Feuille de Donnée'!$I$9,"Négligeable",(IF(AND(J137&gt;=$F137*(1-'Feuille de Donnée'!$E$12),J137&lt;=$F137*(1+'Feuille de Donnée'!$F$12)),'Feuille de Donnée'!$F$17,IF(J137&lt;$F137*(1-'Feuille de Donnée'!$E$12),'Feuille de Donnée'!$F$18,'Feuille de Donnée'!$F$16))&amp;""&amp;IF(AND(K137&gt;=$G137*(1-'Feuille de Donnée'!$E$27),K137&lt;=$G137*(1+'Feuille de Donnée'!$F$27)),'Feuille de Donnée'!$F$32,IF(K137&lt;$G137*(1-'Feuille de Donnée'!$E$27),'Feuille de Donnée'!$F$33,'Feuille de Donnée'!$F$31)))))</f>
        <v/>
      </c>
      <c r="Q137" s="138"/>
      <c r="R137" s="103"/>
      <c r="S137" s="27"/>
      <c r="T137" s="27"/>
      <c r="U137" s="27" t="str">
        <f t="shared" si="42"/>
        <v/>
      </c>
      <c r="V137" s="121" t="str">
        <f t="shared" si="43"/>
        <v/>
      </c>
      <c r="W137" s="121" t="str">
        <f t="shared" si="44"/>
        <v/>
      </c>
      <c r="X137" s="27" t="str">
        <f>IF(AND(ISBLANK(Z137),Y137=""),"",1+MAX(X$21:X136))</f>
        <v/>
      </c>
      <c r="Y137" s="137" t="str">
        <f>IF(OR(U137="",U137=0,$H137="",$H137=0,NOT(ISNUMBER($H137)),NOT(ISNUMBER(U137))),IF(AND($E137&lt;&gt;"",AND(OR(ISNUMBER(U137),U137=""),AND(ISNUMBER($H137),$H137&gt;0))),'Feuille de Donnée'!$K$13,""),IF(U137&lt;$H$168*'Feuille de Donnée'!$I$9,"Négligeable",(IF(AND(S137&gt;=$F137*(1-'Feuille de Donnée'!$E$12),S137&lt;=$F137*(1+'Feuille de Donnée'!$F$12)),'Feuille de Donnée'!$F$17,IF(S137&lt;$F137*(1-'Feuille de Donnée'!$E$12),'Feuille de Donnée'!$F$18,'Feuille de Donnée'!$F$16))&amp;""&amp;IF(AND(T137&gt;=$G137*(1-'Feuille de Donnée'!$E$27),T137&lt;=$G137*(1+'Feuille de Donnée'!$F$27)),'Feuille de Donnée'!$F$32,IF(T137&lt;$G137*(1-'Feuille de Donnée'!$E$27),'Feuille de Donnée'!$F$33,'Feuille de Donnée'!$F$31)))))</f>
        <v/>
      </c>
      <c r="Z137" s="138"/>
      <c r="AA137" s="103"/>
      <c r="AB137" s="27"/>
      <c r="AC137" s="27"/>
      <c r="AD137" s="27" t="str">
        <f t="shared" si="45"/>
        <v/>
      </c>
      <c r="AE137" s="121" t="str">
        <f t="shared" si="46"/>
        <v/>
      </c>
      <c r="AF137" s="121" t="str">
        <f t="shared" si="47"/>
        <v/>
      </c>
      <c r="AG137" s="27" t="str">
        <f>IF(AND(ISBLANK(AI137),AH137=""),"",1+MAX(AG$21:AG136))</f>
        <v/>
      </c>
      <c r="AH137" s="137" t="str">
        <f>IF(OR(AD137="",AD137=0,$H137="",$H137=0,NOT(ISNUMBER($H137)),NOT(ISNUMBER(AD137))),IF(AND($E137&lt;&gt;"",AND(OR(ISNUMBER(AD137),AD137=""),AND(ISNUMBER($H137),$H137&gt;0))),'Feuille de Donnée'!$K$13,""),IF(AD137&lt;$H$168*'Feuille de Donnée'!$I$9,"Négligeable",(IF(AND(AB137&gt;=$F137*(1-'Feuille de Donnée'!$E$12),AB137&lt;=$F137*(1+'Feuille de Donnée'!$F$12)),'Feuille de Donnée'!$F$17,IF(AB137&lt;$F137*(1-'Feuille de Donnée'!$E$12),'Feuille de Donnée'!$F$18,'Feuille de Donnée'!$F$16))&amp;""&amp;IF(AND(AC137&gt;=$G137*(1-'Feuille de Donnée'!$E$27),AC137&lt;=$G137*(1+'Feuille de Donnée'!$F$27)),'Feuille de Donnée'!$F$32,IF(AC137&lt;$G137*(1-'Feuille de Donnée'!$E$27),'Feuille de Donnée'!$F$33,'Feuille de Donnée'!$F$31)))))</f>
        <v/>
      </c>
      <c r="AI137" s="138"/>
      <c r="AJ137" s="103"/>
      <c r="AK137" s="27"/>
      <c r="AL137" s="27"/>
      <c r="AM137" s="27" t="str">
        <f t="shared" si="48"/>
        <v/>
      </c>
      <c r="AN137" s="121" t="str">
        <f t="shared" si="49"/>
        <v/>
      </c>
      <c r="AO137" s="121" t="str">
        <f t="shared" si="50"/>
        <v/>
      </c>
      <c r="AP137" s="27" t="str">
        <f>IF(AND(ISBLANK(AR137),AQ137=""),"",1+MAX(AP$21:AP136))</f>
        <v/>
      </c>
      <c r="AQ137" s="137" t="str">
        <f>IF(OR(AM137="",AM137=0,$H137="",$H137=0,NOT(ISNUMBER($H137)),NOT(ISNUMBER(AM137))),IF(AND($E137&lt;&gt;"",AND(OR(ISNUMBER(AM137),AM137=""),AND(ISNUMBER($H137),$H137&gt;0))),'Feuille de Donnée'!$K$13,""),IF(AM137&lt;$H$168*'Feuille de Donnée'!$I$9,"Négligeable",(IF(AND(AK137&gt;=$F137*(1-'Feuille de Donnée'!$E$12),AK137&lt;=$F137*(1+'Feuille de Donnée'!$F$12)),'Feuille de Donnée'!$F$17,IF(AK137&lt;$F137*(1-'Feuille de Donnée'!$E$12),'Feuille de Donnée'!$F$18,'Feuille de Donnée'!$F$16))&amp;""&amp;IF(AND(AL137&gt;=$G137*(1-'Feuille de Donnée'!$E$27),AL137&lt;=$G137*(1+'Feuille de Donnée'!$F$27)),'Feuille de Donnée'!$F$32,IF(AL137&lt;$G137*(1-'Feuille de Donnée'!$E$27),'Feuille de Donnée'!$F$33,'Feuille de Donnée'!$F$31)))))</f>
        <v/>
      </c>
      <c r="AR137" s="138"/>
      <c r="AS137" s="103"/>
      <c r="AT137" s="27"/>
      <c r="AU137" s="27"/>
      <c r="AV137" s="27" t="str">
        <f t="shared" si="51"/>
        <v/>
      </c>
      <c r="AW137" s="121" t="str">
        <f t="shared" si="52"/>
        <v/>
      </c>
      <c r="AX137" s="121" t="str">
        <f t="shared" si="53"/>
        <v/>
      </c>
      <c r="AY137" s="27" t="str">
        <f>IF(AND(ISBLANK(BA137),AZ137=""),"",1+MAX(AY$21:AY136))</f>
        <v/>
      </c>
      <c r="AZ137" s="137" t="str">
        <f>IF(OR(AV137="",AV137=0,$H137="",$H137=0,NOT(ISNUMBER($H137)),NOT(ISNUMBER(AV137))),IF(AND($E137&lt;&gt;"",AND(OR(ISNUMBER(AV137),AV137=""),AND(ISNUMBER($H137),$H137&gt;0))),'Feuille de Donnée'!$K$13,""),IF(AV137&lt;$H$168*'Feuille de Donnée'!$I$9,"Négligeable",(IF(AND(AT137&gt;=$F137*(1-'Feuille de Donnée'!$E$12),AT137&lt;=$F137*(1+'Feuille de Donnée'!$F$12)),'Feuille de Donnée'!$F$17,IF(AT137&lt;$F137*(1-'Feuille de Donnée'!$E$12),'Feuille de Donnée'!$F$18,'Feuille de Donnée'!$F$16))&amp;""&amp;IF(AND(AU137&gt;=$G137*(1-'Feuille de Donnée'!$E$27),AU137&lt;=$G137*(1+'Feuille de Donnée'!$F$27)),'Feuille de Donnée'!$F$32,IF(AU137&lt;$G137*(1-'Feuille de Donnée'!$E$27),'Feuille de Donnée'!$F$33,'Feuille de Donnée'!$F$31)))))</f>
        <v/>
      </c>
      <c r="BA137" s="138"/>
      <c r="BB137" s="103"/>
      <c r="BC137" s="27"/>
      <c r="BD137" s="27"/>
      <c r="BE137" s="27" t="str">
        <f t="shared" si="54"/>
        <v/>
      </c>
      <c r="BF137" s="121" t="str">
        <f t="shared" si="55"/>
        <v/>
      </c>
      <c r="BG137" s="121" t="str">
        <f t="shared" si="56"/>
        <v/>
      </c>
      <c r="BH137" s="27" t="str">
        <f>IF(AND(ISBLANK(BJ137),BI137=""),"",1+MAX(BH$21:BH136))</f>
        <v/>
      </c>
      <c r="BI137" s="137" t="str">
        <f>IF(OR(BE137="",BE137=0,$H137="",$H137=0,NOT(ISNUMBER($H137)),NOT(ISNUMBER(BE137))),IF(AND($E137&lt;&gt;"",AND(OR(ISNUMBER(BE137),BE137=""),AND(ISNUMBER($H137),$H137&gt;0))),'Feuille de Donnée'!$K$13,""),IF(BE137&lt;$H$168*'Feuille de Donnée'!$I$9,"Négligeable",(IF(AND(BC137&gt;=$F137*(1-'Feuille de Donnée'!$E$12),BC137&lt;=$F137*(1+'Feuille de Donnée'!$F$12)),'Feuille de Donnée'!$F$17,IF(BC137&lt;$F137*(1-'Feuille de Donnée'!$E$12),'Feuille de Donnée'!$F$18,'Feuille de Donnée'!$F$16))&amp;""&amp;IF(AND(BD137&gt;=$G137*(1-'Feuille de Donnée'!$E$27),BD137&lt;=$G137*(1+'Feuille de Donnée'!$F$27)),'Feuille de Donnée'!$F$32,IF(BD137&lt;$G137*(1-'Feuille de Donnée'!$E$27),'Feuille de Donnée'!$F$33,'Feuille de Donnée'!$F$31)))))</f>
        <v/>
      </c>
      <c r="BJ137" s="138"/>
      <c r="BK137" s="140"/>
    </row>
    <row r="138" spans="1:63" s="6" customFormat="1" x14ac:dyDescent="0.3">
      <c r="A138" s="23"/>
      <c r="B138" s="24"/>
      <c r="C138" s="24"/>
      <c r="D138" s="24"/>
      <c r="E138" s="22"/>
      <c r="F138" s="25"/>
      <c r="G138" s="26"/>
      <c r="H138" s="102" t="str">
        <f t="shared" si="38"/>
        <v/>
      </c>
      <c r="I138" s="103"/>
      <c r="J138" s="27"/>
      <c r="K138" s="27"/>
      <c r="L138" s="27" t="str">
        <f t="shared" si="39"/>
        <v/>
      </c>
      <c r="M138" s="121" t="str">
        <f t="shared" si="40"/>
        <v/>
      </c>
      <c r="N138" s="121" t="str">
        <f t="shared" si="41"/>
        <v/>
      </c>
      <c r="O138" s="27" t="str">
        <f>IF(AND(ISBLANK(Q138),P138=""),"",1+MAX(O$21:O137))</f>
        <v/>
      </c>
      <c r="P138" s="137" t="str">
        <f>IF(OR(L138="",L138=0,$H138="",$H138=0,NOT(ISNUMBER($H138)),NOT(ISNUMBER(L138))),IF(AND($E138&lt;&gt;"",AND(OR(ISNUMBER(L138),L138=""),AND(ISNUMBER($H138),$H138&gt;0))),'Feuille de Donnée'!$K$13,""),IF(L138&lt;$H$168*'Feuille de Donnée'!$I$9,"Négligeable",(IF(AND(J138&gt;=$F138*(1-'Feuille de Donnée'!$E$12),J138&lt;=$F138*(1+'Feuille de Donnée'!$F$12)),'Feuille de Donnée'!$F$17,IF(J138&lt;$F138*(1-'Feuille de Donnée'!$E$12),'Feuille de Donnée'!$F$18,'Feuille de Donnée'!$F$16))&amp;""&amp;IF(AND(K138&gt;=$G138*(1-'Feuille de Donnée'!$E$27),K138&lt;=$G138*(1+'Feuille de Donnée'!$F$27)),'Feuille de Donnée'!$F$32,IF(K138&lt;$G138*(1-'Feuille de Donnée'!$E$27),'Feuille de Donnée'!$F$33,'Feuille de Donnée'!$F$31)))))</f>
        <v/>
      </c>
      <c r="Q138" s="138"/>
      <c r="R138" s="103"/>
      <c r="S138" s="27"/>
      <c r="T138" s="27"/>
      <c r="U138" s="27" t="str">
        <f t="shared" si="42"/>
        <v/>
      </c>
      <c r="V138" s="121" t="str">
        <f t="shared" si="43"/>
        <v/>
      </c>
      <c r="W138" s="121" t="str">
        <f t="shared" si="44"/>
        <v/>
      </c>
      <c r="X138" s="27" t="str">
        <f>IF(AND(ISBLANK(Z138),Y138=""),"",1+MAX(X$21:X137))</f>
        <v/>
      </c>
      <c r="Y138" s="137" t="str">
        <f>IF(OR(U138="",U138=0,$H138="",$H138=0,NOT(ISNUMBER($H138)),NOT(ISNUMBER(U138))),IF(AND($E138&lt;&gt;"",AND(OR(ISNUMBER(U138),U138=""),AND(ISNUMBER($H138),$H138&gt;0))),'Feuille de Donnée'!$K$13,""),IF(U138&lt;$H$168*'Feuille de Donnée'!$I$9,"Négligeable",(IF(AND(S138&gt;=$F138*(1-'Feuille de Donnée'!$E$12),S138&lt;=$F138*(1+'Feuille de Donnée'!$F$12)),'Feuille de Donnée'!$F$17,IF(S138&lt;$F138*(1-'Feuille de Donnée'!$E$12),'Feuille de Donnée'!$F$18,'Feuille de Donnée'!$F$16))&amp;""&amp;IF(AND(T138&gt;=$G138*(1-'Feuille de Donnée'!$E$27),T138&lt;=$G138*(1+'Feuille de Donnée'!$F$27)),'Feuille de Donnée'!$F$32,IF(T138&lt;$G138*(1-'Feuille de Donnée'!$E$27),'Feuille de Donnée'!$F$33,'Feuille de Donnée'!$F$31)))))</f>
        <v/>
      </c>
      <c r="Z138" s="138"/>
      <c r="AA138" s="103"/>
      <c r="AB138" s="27"/>
      <c r="AC138" s="27"/>
      <c r="AD138" s="27" t="str">
        <f t="shared" si="45"/>
        <v/>
      </c>
      <c r="AE138" s="121" t="str">
        <f t="shared" si="46"/>
        <v/>
      </c>
      <c r="AF138" s="121" t="str">
        <f t="shared" si="47"/>
        <v/>
      </c>
      <c r="AG138" s="27" t="str">
        <f>IF(AND(ISBLANK(AI138),AH138=""),"",1+MAX(AG$21:AG137))</f>
        <v/>
      </c>
      <c r="AH138" s="137" t="str">
        <f>IF(OR(AD138="",AD138=0,$H138="",$H138=0,NOT(ISNUMBER($H138)),NOT(ISNUMBER(AD138))),IF(AND($E138&lt;&gt;"",AND(OR(ISNUMBER(AD138),AD138=""),AND(ISNUMBER($H138),$H138&gt;0))),'Feuille de Donnée'!$K$13,""),IF(AD138&lt;$H$168*'Feuille de Donnée'!$I$9,"Négligeable",(IF(AND(AB138&gt;=$F138*(1-'Feuille de Donnée'!$E$12),AB138&lt;=$F138*(1+'Feuille de Donnée'!$F$12)),'Feuille de Donnée'!$F$17,IF(AB138&lt;$F138*(1-'Feuille de Donnée'!$E$12),'Feuille de Donnée'!$F$18,'Feuille de Donnée'!$F$16))&amp;""&amp;IF(AND(AC138&gt;=$G138*(1-'Feuille de Donnée'!$E$27),AC138&lt;=$G138*(1+'Feuille de Donnée'!$F$27)),'Feuille de Donnée'!$F$32,IF(AC138&lt;$G138*(1-'Feuille de Donnée'!$E$27),'Feuille de Donnée'!$F$33,'Feuille de Donnée'!$F$31)))))</f>
        <v/>
      </c>
      <c r="AI138" s="138"/>
      <c r="AJ138" s="103"/>
      <c r="AK138" s="27"/>
      <c r="AL138" s="27"/>
      <c r="AM138" s="27" t="str">
        <f t="shared" si="48"/>
        <v/>
      </c>
      <c r="AN138" s="121" t="str">
        <f t="shared" si="49"/>
        <v/>
      </c>
      <c r="AO138" s="121" t="str">
        <f t="shared" si="50"/>
        <v/>
      </c>
      <c r="AP138" s="27" t="str">
        <f>IF(AND(ISBLANK(AR138),AQ138=""),"",1+MAX(AP$21:AP137))</f>
        <v/>
      </c>
      <c r="AQ138" s="137" t="str">
        <f>IF(OR(AM138="",AM138=0,$H138="",$H138=0,NOT(ISNUMBER($H138)),NOT(ISNUMBER(AM138))),IF(AND($E138&lt;&gt;"",AND(OR(ISNUMBER(AM138),AM138=""),AND(ISNUMBER($H138),$H138&gt;0))),'Feuille de Donnée'!$K$13,""),IF(AM138&lt;$H$168*'Feuille de Donnée'!$I$9,"Négligeable",(IF(AND(AK138&gt;=$F138*(1-'Feuille de Donnée'!$E$12),AK138&lt;=$F138*(1+'Feuille de Donnée'!$F$12)),'Feuille de Donnée'!$F$17,IF(AK138&lt;$F138*(1-'Feuille de Donnée'!$E$12),'Feuille de Donnée'!$F$18,'Feuille de Donnée'!$F$16))&amp;""&amp;IF(AND(AL138&gt;=$G138*(1-'Feuille de Donnée'!$E$27),AL138&lt;=$G138*(1+'Feuille de Donnée'!$F$27)),'Feuille de Donnée'!$F$32,IF(AL138&lt;$G138*(1-'Feuille de Donnée'!$E$27),'Feuille de Donnée'!$F$33,'Feuille de Donnée'!$F$31)))))</f>
        <v/>
      </c>
      <c r="AR138" s="138"/>
      <c r="AS138" s="103"/>
      <c r="AT138" s="27"/>
      <c r="AU138" s="27"/>
      <c r="AV138" s="27" t="str">
        <f t="shared" si="51"/>
        <v/>
      </c>
      <c r="AW138" s="121" t="str">
        <f t="shared" si="52"/>
        <v/>
      </c>
      <c r="AX138" s="121" t="str">
        <f t="shared" si="53"/>
        <v/>
      </c>
      <c r="AY138" s="27" t="str">
        <f>IF(AND(ISBLANK(BA138),AZ138=""),"",1+MAX(AY$21:AY137))</f>
        <v/>
      </c>
      <c r="AZ138" s="137" t="str">
        <f>IF(OR(AV138="",AV138=0,$H138="",$H138=0,NOT(ISNUMBER($H138)),NOT(ISNUMBER(AV138))),IF(AND($E138&lt;&gt;"",AND(OR(ISNUMBER(AV138),AV138=""),AND(ISNUMBER($H138),$H138&gt;0))),'Feuille de Donnée'!$K$13,""),IF(AV138&lt;$H$168*'Feuille de Donnée'!$I$9,"Négligeable",(IF(AND(AT138&gt;=$F138*(1-'Feuille de Donnée'!$E$12),AT138&lt;=$F138*(1+'Feuille de Donnée'!$F$12)),'Feuille de Donnée'!$F$17,IF(AT138&lt;$F138*(1-'Feuille de Donnée'!$E$12),'Feuille de Donnée'!$F$18,'Feuille de Donnée'!$F$16))&amp;""&amp;IF(AND(AU138&gt;=$G138*(1-'Feuille de Donnée'!$E$27),AU138&lt;=$G138*(1+'Feuille de Donnée'!$F$27)),'Feuille de Donnée'!$F$32,IF(AU138&lt;$G138*(1-'Feuille de Donnée'!$E$27),'Feuille de Donnée'!$F$33,'Feuille de Donnée'!$F$31)))))</f>
        <v/>
      </c>
      <c r="BA138" s="138"/>
      <c r="BB138" s="103"/>
      <c r="BC138" s="27"/>
      <c r="BD138" s="27"/>
      <c r="BE138" s="27" t="str">
        <f t="shared" si="54"/>
        <v/>
      </c>
      <c r="BF138" s="121" t="str">
        <f t="shared" si="55"/>
        <v/>
      </c>
      <c r="BG138" s="121" t="str">
        <f t="shared" si="56"/>
        <v/>
      </c>
      <c r="BH138" s="27" t="str">
        <f>IF(AND(ISBLANK(BJ138),BI138=""),"",1+MAX(BH$21:BH137))</f>
        <v/>
      </c>
      <c r="BI138" s="137" t="str">
        <f>IF(OR(BE138="",BE138=0,$H138="",$H138=0,NOT(ISNUMBER($H138)),NOT(ISNUMBER(BE138))),IF(AND($E138&lt;&gt;"",AND(OR(ISNUMBER(BE138),BE138=""),AND(ISNUMBER($H138),$H138&gt;0))),'Feuille de Donnée'!$K$13,""),IF(BE138&lt;$H$168*'Feuille de Donnée'!$I$9,"Négligeable",(IF(AND(BC138&gt;=$F138*(1-'Feuille de Donnée'!$E$12),BC138&lt;=$F138*(1+'Feuille de Donnée'!$F$12)),'Feuille de Donnée'!$F$17,IF(BC138&lt;$F138*(1-'Feuille de Donnée'!$E$12),'Feuille de Donnée'!$F$18,'Feuille de Donnée'!$F$16))&amp;""&amp;IF(AND(BD138&gt;=$G138*(1-'Feuille de Donnée'!$E$27),BD138&lt;=$G138*(1+'Feuille de Donnée'!$F$27)),'Feuille de Donnée'!$F$32,IF(BD138&lt;$G138*(1-'Feuille de Donnée'!$E$27),'Feuille de Donnée'!$F$33,'Feuille de Donnée'!$F$31)))))</f>
        <v/>
      </c>
      <c r="BJ138" s="138"/>
      <c r="BK138" s="140"/>
    </row>
    <row r="139" spans="1:63" s="6" customFormat="1" x14ac:dyDescent="0.3">
      <c r="A139" s="23"/>
      <c r="B139" s="24"/>
      <c r="C139" s="24"/>
      <c r="D139" s="24"/>
      <c r="E139" s="22"/>
      <c r="F139" s="25"/>
      <c r="G139" s="26"/>
      <c r="H139" s="102" t="str">
        <f t="shared" si="38"/>
        <v/>
      </c>
      <c r="I139" s="103"/>
      <c r="J139" s="27"/>
      <c r="K139" s="27"/>
      <c r="L139" s="27" t="str">
        <f t="shared" si="39"/>
        <v/>
      </c>
      <c r="M139" s="121" t="str">
        <f t="shared" si="40"/>
        <v/>
      </c>
      <c r="N139" s="121" t="str">
        <f t="shared" si="41"/>
        <v/>
      </c>
      <c r="O139" s="27" t="str">
        <f>IF(AND(ISBLANK(Q139),P139=""),"",1+MAX(O$21:O138))</f>
        <v/>
      </c>
      <c r="P139" s="137" t="str">
        <f>IF(OR(L139="",L139=0,$H139="",$H139=0,NOT(ISNUMBER($H139)),NOT(ISNUMBER(L139))),IF(AND($E139&lt;&gt;"",AND(OR(ISNUMBER(L139),L139=""),AND(ISNUMBER($H139),$H139&gt;0))),'Feuille de Donnée'!$K$13,""),IF(L139&lt;$H$168*'Feuille de Donnée'!$I$9,"Négligeable",(IF(AND(J139&gt;=$F139*(1-'Feuille de Donnée'!$E$12),J139&lt;=$F139*(1+'Feuille de Donnée'!$F$12)),'Feuille de Donnée'!$F$17,IF(J139&lt;$F139*(1-'Feuille de Donnée'!$E$12),'Feuille de Donnée'!$F$18,'Feuille de Donnée'!$F$16))&amp;""&amp;IF(AND(K139&gt;=$G139*(1-'Feuille de Donnée'!$E$27),K139&lt;=$G139*(1+'Feuille de Donnée'!$F$27)),'Feuille de Donnée'!$F$32,IF(K139&lt;$G139*(1-'Feuille de Donnée'!$E$27),'Feuille de Donnée'!$F$33,'Feuille de Donnée'!$F$31)))))</f>
        <v/>
      </c>
      <c r="Q139" s="138"/>
      <c r="R139" s="103"/>
      <c r="S139" s="27"/>
      <c r="T139" s="27"/>
      <c r="U139" s="27" t="str">
        <f t="shared" si="42"/>
        <v/>
      </c>
      <c r="V139" s="121" t="str">
        <f t="shared" si="43"/>
        <v/>
      </c>
      <c r="W139" s="121" t="str">
        <f t="shared" si="44"/>
        <v/>
      </c>
      <c r="X139" s="27" t="str">
        <f>IF(AND(ISBLANK(Z139),Y139=""),"",1+MAX(X$21:X138))</f>
        <v/>
      </c>
      <c r="Y139" s="137" t="str">
        <f>IF(OR(U139="",U139=0,$H139="",$H139=0,NOT(ISNUMBER($H139)),NOT(ISNUMBER(U139))),IF(AND($E139&lt;&gt;"",AND(OR(ISNUMBER(U139),U139=""),AND(ISNUMBER($H139),$H139&gt;0))),'Feuille de Donnée'!$K$13,""),IF(U139&lt;$H$168*'Feuille de Donnée'!$I$9,"Négligeable",(IF(AND(S139&gt;=$F139*(1-'Feuille de Donnée'!$E$12),S139&lt;=$F139*(1+'Feuille de Donnée'!$F$12)),'Feuille de Donnée'!$F$17,IF(S139&lt;$F139*(1-'Feuille de Donnée'!$E$12),'Feuille de Donnée'!$F$18,'Feuille de Donnée'!$F$16))&amp;""&amp;IF(AND(T139&gt;=$G139*(1-'Feuille de Donnée'!$E$27),T139&lt;=$G139*(1+'Feuille de Donnée'!$F$27)),'Feuille de Donnée'!$F$32,IF(T139&lt;$G139*(1-'Feuille de Donnée'!$E$27),'Feuille de Donnée'!$F$33,'Feuille de Donnée'!$F$31)))))</f>
        <v/>
      </c>
      <c r="Z139" s="138"/>
      <c r="AA139" s="103"/>
      <c r="AB139" s="27"/>
      <c r="AC139" s="27"/>
      <c r="AD139" s="27" t="str">
        <f t="shared" si="45"/>
        <v/>
      </c>
      <c r="AE139" s="121" t="str">
        <f t="shared" si="46"/>
        <v/>
      </c>
      <c r="AF139" s="121" t="str">
        <f t="shared" si="47"/>
        <v/>
      </c>
      <c r="AG139" s="27" t="str">
        <f>IF(AND(ISBLANK(AI139),AH139=""),"",1+MAX(AG$21:AG138))</f>
        <v/>
      </c>
      <c r="AH139" s="137" t="str">
        <f>IF(OR(AD139="",AD139=0,$H139="",$H139=0,NOT(ISNUMBER($H139)),NOT(ISNUMBER(AD139))),IF(AND($E139&lt;&gt;"",AND(OR(ISNUMBER(AD139),AD139=""),AND(ISNUMBER($H139),$H139&gt;0))),'Feuille de Donnée'!$K$13,""),IF(AD139&lt;$H$168*'Feuille de Donnée'!$I$9,"Négligeable",(IF(AND(AB139&gt;=$F139*(1-'Feuille de Donnée'!$E$12),AB139&lt;=$F139*(1+'Feuille de Donnée'!$F$12)),'Feuille de Donnée'!$F$17,IF(AB139&lt;$F139*(1-'Feuille de Donnée'!$E$12),'Feuille de Donnée'!$F$18,'Feuille de Donnée'!$F$16))&amp;""&amp;IF(AND(AC139&gt;=$G139*(1-'Feuille de Donnée'!$E$27),AC139&lt;=$G139*(1+'Feuille de Donnée'!$F$27)),'Feuille de Donnée'!$F$32,IF(AC139&lt;$G139*(1-'Feuille de Donnée'!$E$27),'Feuille de Donnée'!$F$33,'Feuille de Donnée'!$F$31)))))</f>
        <v/>
      </c>
      <c r="AI139" s="138"/>
      <c r="AJ139" s="103"/>
      <c r="AK139" s="27"/>
      <c r="AL139" s="27"/>
      <c r="AM139" s="27" t="str">
        <f t="shared" si="48"/>
        <v/>
      </c>
      <c r="AN139" s="121" t="str">
        <f t="shared" si="49"/>
        <v/>
      </c>
      <c r="AO139" s="121" t="str">
        <f t="shared" si="50"/>
        <v/>
      </c>
      <c r="AP139" s="27" t="str">
        <f>IF(AND(ISBLANK(AR139),AQ139=""),"",1+MAX(AP$21:AP138))</f>
        <v/>
      </c>
      <c r="AQ139" s="137" t="str">
        <f>IF(OR(AM139="",AM139=0,$H139="",$H139=0,NOT(ISNUMBER($H139)),NOT(ISNUMBER(AM139))),IF(AND($E139&lt;&gt;"",AND(OR(ISNUMBER(AM139),AM139=""),AND(ISNUMBER($H139),$H139&gt;0))),'Feuille de Donnée'!$K$13,""),IF(AM139&lt;$H$168*'Feuille de Donnée'!$I$9,"Négligeable",(IF(AND(AK139&gt;=$F139*(1-'Feuille de Donnée'!$E$12),AK139&lt;=$F139*(1+'Feuille de Donnée'!$F$12)),'Feuille de Donnée'!$F$17,IF(AK139&lt;$F139*(1-'Feuille de Donnée'!$E$12),'Feuille de Donnée'!$F$18,'Feuille de Donnée'!$F$16))&amp;""&amp;IF(AND(AL139&gt;=$G139*(1-'Feuille de Donnée'!$E$27),AL139&lt;=$G139*(1+'Feuille de Donnée'!$F$27)),'Feuille de Donnée'!$F$32,IF(AL139&lt;$G139*(1-'Feuille de Donnée'!$E$27),'Feuille de Donnée'!$F$33,'Feuille de Donnée'!$F$31)))))</f>
        <v/>
      </c>
      <c r="AR139" s="138"/>
      <c r="AS139" s="103"/>
      <c r="AT139" s="27"/>
      <c r="AU139" s="27"/>
      <c r="AV139" s="27" t="str">
        <f t="shared" si="51"/>
        <v/>
      </c>
      <c r="AW139" s="121" t="str">
        <f t="shared" si="52"/>
        <v/>
      </c>
      <c r="AX139" s="121" t="str">
        <f t="shared" si="53"/>
        <v/>
      </c>
      <c r="AY139" s="27" t="str">
        <f>IF(AND(ISBLANK(BA139),AZ139=""),"",1+MAX(AY$21:AY138))</f>
        <v/>
      </c>
      <c r="AZ139" s="137" t="str">
        <f>IF(OR(AV139="",AV139=0,$H139="",$H139=0,NOT(ISNUMBER($H139)),NOT(ISNUMBER(AV139))),IF(AND($E139&lt;&gt;"",AND(OR(ISNUMBER(AV139),AV139=""),AND(ISNUMBER($H139),$H139&gt;0))),'Feuille de Donnée'!$K$13,""),IF(AV139&lt;$H$168*'Feuille de Donnée'!$I$9,"Négligeable",(IF(AND(AT139&gt;=$F139*(1-'Feuille de Donnée'!$E$12),AT139&lt;=$F139*(1+'Feuille de Donnée'!$F$12)),'Feuille de Donnée'!$F$17,IF(AT139&lt;$F139*(1-'Feuille de Donnée'!$E$12),'Feuille de Donnée'!$F$18,'Feuille de Donnée'!$F$16))&amp;""&amp;IF(AND(AU139&gt;=$G139*(1-'Feuille de Donnée'!$E$27),AU139&lt;=$G139*(1+'Feuille de Donnée'!$F$27)),'Feuille de Donnée'!$F$32,IF(AU139&lt;$G139*(1-'Feuille de Donnée'!$E$27),'Feuille de Donnée'!$F$33,'Feuille de Donnée'!$F$31)))))</f>
        <v/>
      </c>
      <c r="BA139" s="138"/>
      <c r="BB139" s="103"/>
      <c r="BC139" s="27"/>
      <c r="BD139" s="27"/>
      <c r="BE139" s="27" t="str">
        <f t="shared" si="54"/>
        <v/>
      </c>
      <c r="BF139" s="121" t="str">
        <f t="shared" si="55"/>
        <v/>
      </c>
      <c r="BG139" s="121" t="str">
        <f t="shared" si="56"/>
        <v/>
      </c>
      <c r="BH139" s="27" t="str">
        <f>IF(AND(ISBLANK(BJ139),BI139=""),"",1+MAX(BH$21:BH138))</f>
        <v/>
      </c>
      <c r="BI139" s="137" t="str">
        <f>IF(OR(BE139="",BE139=0,$H139="",$H139=0,NOT(ISNUMBER($H139)),NOT(ISNUMBER(BE139))),IF(AND($E139&lt;&gt;"",AND(OR(ISNUMBER(BE139),BE139=""),AND(ISNUMBER($H139),$H139&gt;0))),'Feuille de Donnée'!$K$13,""),IF(BE139&lt;$H$168*'Feuille de Donnée'!$I$9,"Négligeable",(IF(AND(BC139&gt;=$F139*(1-'Feuille de Donnée'!$E$12),BC139&lt;=$F139*(1+'Feuille de Donnée'!$F$12)),'Feuille de Donnée'!$F$17,IF(BC139&lt;$F139*(1-'Feuille de Donnée'!$E$12),'Feuille de Donnée'!$F$18,'Feuille de Donnée'!$F$16))&amp;""&amp;IF(AND(BD139&gt;=$G139*(1-'Feuille de Donnée'!$E$27),BD139&lt;=$G139*(1+'Feuille de Donnée'!$F$27)),'Feuille de Donnée'!$F$32,IF(BD139&lt;$G139*(1-'Feuille de Donnée'!$E$27),'Feuille de Donnée'!$F$33,'Feuille de Donnée'!$F$31)))))</f>
        <v/>
      </c>
      <c r="BJ139" s="138"/>
      <c r="BK139" s="140"/>
    </row>
    <row r="140" spans="1:63" s="6" customFormat="1" x14ac:dyDescent="0.3">
      <c r="A140" s="23"/>
      <c r="B140" s="24"/>
      <c r="C140" s="24"/>
      <c r="D140" s="24"/>
      <c r="E140" s="22"/>
      <c r="F140" s="25"/>
      <c r="G140" s="26"/>
      <c r="H140" s="102" t="str">
        <f t="shared" si="38"/>
        <v/>
      </c>
      <c r="I140" s="103"/>
      <c r="J140" s="27"/>
      <c r="K140" s="27"/>
      <c r="L140" s="27" t="str">
        <f t="shared" si="39"/>
        <v/>
      </c>
      <c r="M140" s="121" t="str">
        <f t="shared" si="40"/>
        <v/>
      </c>
      <c r="N140" s="121" t="str">
        <f t="shared" si="41"/>
        <v/>
      </c>
      <c r="O140" s="27" t="str">
        <f>IF(AND(ISBLANK(Q140),P140=""),"",1+MAX(O$21:O139))</f>
        <v/>
      </c>
      <c r="P140" s="137" t="str">
        <f>IF(OR(L140="",L140=0,$H140="",$H140=0,NOT(ISNUMBER($H140)),NOT(ISNUMBER(L140))),IF(AND($E140&lt;&gt;"",AND(OR(ISNUMBER(L140),L140=""),AND(ISNUMBER($H140),$H140&gt;0))),'Feuille de Donnée'!$K$13,""),IF(L140&lt;$H$168*'Feuille de Donnée'!$I$9,"Négligeable",(IF(AND(J140&gt;=$F140*(1-'Feuille de Donnée'!$E$12),J140&lt;=$F140*(1+'Feuille de Donnée'!$F$12)),'Feuille de Donnée'!$F$17,IF(J140&lt;$F140*(1-'Feuille de Donnée'!$E$12),'Feuille de Donnée'!$F$18,'Feuille de Donnée'!$F$16))&amp;""&amp;IF(AND(K140&gt;=$G140*(1-'Feuille de Donnée'!$E$27),K140&lt;=$G140*(1+'Feuille de Donnée'!$F$27)),'Feuille de Donnée'!$F$32,IF(K140&lt;$G140*(1-'Feuille de Donnée'!$E$27),'Feuille de Donnée'!$F$33,'Feuille de Donnée'!$F$31)))))</f>
        <v/>
      </c>
      <c r="Q140" s="138"/>
      <c r="R140" s="103"/>
      <c r="S140" s="27"/>
      <c r="T140" s="27"/>
      <c r="U140" s="27" t="str">
        <f t="shared" si="42"/>
        <v/>
      </c>
      <c r="V140" s="121" t="str">
        <f t="shared" si="43"/>
        <v/>
      </c>
      <c r="W140" s="121" t="str">
        <f t="shared" si="44"/>
        <v/>
      </c>
      <c r="X140" s="27" t="str">
        <f>IF(AND(ISBLANK(Z140),Y140=""),"",1+MAX(X$21:X139))</f>
        <v/>
      </c>
      <c r="Y140" s="137" t="str">
        <f>IF(OR(U140="",U140=0,$H140="",$H140=0,NOT(ISNUMBER($H140)),NOT(ISNUMBER(U140))),IF(AND($E140&lt;&gt;"",AND(OR(ISNUMBER(U140),U140=""),AND(ISNUMBER($H140),$H140&gt;0))),'Feuille de Donnée'!$K$13,""),IF(U140&lt;$H$168*'Feuille de Donnée'!$I$9,"Négligeable",(IF(AND(S140&gt;=$F140*(1-'Feuille de Donnée'!$E$12),S140&lt;=$F140*(1+'Feuille de Donnée'!$F$12)),'Feuille de Donnée'!$F$17,IF(S140&lt;$F140*(1-'Feuille de Donnée'!$E$12),'Feuille de Donnée'!$F$18,'Feuille de Donnée'!$F$16))&amp;""&amp;IF(AND(T140&gt;=$G140*(1-'Feuille de Donnée'!$E$27),T140&lt;=$G140*(1+'Feuille de Donnée'!$F$27)),'Feuille de Donnée'!$F$32,IF(T140&lt;$G140*(1-'Feuille de Donnée'!$E$27),'Feuille de Donnée'!$F$33,'Feuille de Donnée'!$F$31)))))</f>
        <v/>
      </c>
      <c r="Z140" s="138"/>
      <c r="AA140" s="103"/>
      <c r="AB140" s="27"/>
      <c r="AC140" s="27"/>
      <c r="AD140" s="27" t="str">
        <f t="shared" si="45"/>
        <v/>
      </c>
      <c r="AE140" s="121" t="str">
        <f t="shared" si="46"/>
        <v/>
      </c>
      <c r="AF140" s="121" t="str">
        <f t="shared" si="47"/>
        <v/>
      </c>
      <c r="AG140" s="27" t="str">
        <f>IF(AND(ISBLANK(AI140),AH140=""),"",1+MAX(AG$21:AG139))</f>
        <v/>
      </c>
      <c r="AH140" s="137" t="str">
        <f>IF(OR(AD140="",AD140=0,$H140="",$H140=0,NOT(ISNUMBER($H140)),NOT(ISNUMBER(AD140))),IF(AND($E140&lt;&gt;"",AND(OR(ISNUMBER(AD140),AD140=""),AND(ISNUMBER($H140),$H140&gt;0))),'Feuille de Donnée'!$K$13,""),IF(AD140&lt;$H$168*'Feuille de Donnée'!$I$9,"Négligeable",(IF(AND(AB140&gt;=$F140*(1-'Feuille de Donnée'!$E$12),AB140&lt;=$F140*(1+'Feuille de Donnée'!$F$12)),'Feuille de Donnée'!$F$17,IF(AB140&lt;$F140*(1-'Feuille de Donnée'!$E$12),'Feuille de Donnée'!$F$18,'Feuille de Donnée'!$F$16))&amp;""&amp;IF(AND(AC140&gt;=$G140*(1-'Feuille de Donnée'!$E$27),AC140&lt;=$G140*(1+'Feuille de Donnée'!$F$27)),'Feuille de Donnée'!$F$32,IF(AC140&lt;$G140*(1-'Feuille de Donnée'!$E$27),'Feuille de Donnée'!$F$33,'Feuille de Donnée'!$F$31)))))</f>
        <v/>
      </c>
      <c r="AI140" s="138"/>
      <c r="AJ140" s="103"/>
      <c r="AK140" s="27"/>
      <c r="AL140" s="27"/>
      <c r="AM140" s="27" t="str">
        <f t="shared" si="48"/>
        <v/>
      </c>
      <c r="AN140" s="121" t="str">
        <f t="shared" si="49"/>
        <v/>
      </c>
      <c r="AO140" s="121" t="str">
        <f t="shared" si="50"/>
        <v/>
      </c>
      <c r="AP140" s="27" t="str">
        <f>IF(AND(ISBLANK(AR140),AQ140=""),"",1+MAX(AP$21:AP139))</f>
        <v/>
      </c>
      <c r="AQ140" s="137" t="str">
        <f>IF(OR(AM140="",AM140=0,$H140="",$H140=0,NOT(ISNUMBER($H140)),NOT(ISNUMBER(AM140))),IF(AND($E140&lt;&gt;"",AND(OR(ISNUMBER(AM140),AM140=""),AND(ISNUMBER($H140),$H140&gt;0))),'Feuille de Donnée'!$K$13,""),IF(AM140&lt;$H$168*'Feuille de Donnée'!$I$9,"Négligeable",(IF(AND(AK140&gt;=$F140*(1-'Feuille de Donnée'!$E$12),AK140&lt;=$F140*(1+'Feuille de Donnée'!$F$12)),'Feuille de Donnée'!$F$17,IF(AK140&lt;$F140*(1-'Feuille de Donnée'!$E$12),'Feuille de Donnée'!$F$18,'Feuille de Donnée'!$F$16))&amp;""&amp;IF(AND(AL140&gt;=$G140*(1-'Feuille de Donnée'!$E$27),AL140&lt;=$G140*(1+'Feuille de Donnée'!$F$27)),'Feuille de Donnée'!$F$32,IF(AL140&lt;$G140*(1-'Feuille de Donnée'!$E$27),'Feuille de Donnée'!$F$33,'Feuille de Donnée'!$F$31)))))</f>
        <v/>
      </c>
      <c r="AR140" s="138"/>
      <c r="AS140" s="103"/>
      <c r="AT140" s="27"/>
      <c r="AU140" s="27"/>
      <c r="AV140" s="27" t="str">
        <f t="shared" si="51"/>
        <v/>
      </c>
      <c r="AW140" s="121" t="str">
        <f t="shared" si="52"/>
        <v/>
      </c>
      <c r="AX140" s="121" t="str">
        <f t="shared" si="53"/>
        <v/>
      </c>
      <c r="AY140" s="27" t="str">
        <f>IF(AND(ISBLANK(BA140),AZ140=""),"",1+MAX(AY$21:AY139))</f>
        <v/>
      </c>
      <c r="AZ140" s="137" t="str">
        <f>IF(OR(AV140="",AV140=0,$H140="",$H140=0,NOT(ISNUMBER($H140)),NOT(ISNUMBER(AV140))),IF(AND($E140&lt;&gt;"",AND(OR(ISNUMBER(AV140),AV140=""),AND(ISNUMBER($H140),$H140&gt;0))),'Feuille de Donnée'!$K$13,""),IF(AV140&lt;$H$168*'Feuille de Donnée'!$I$9,"Négligeable",(IF(AND(AT140&gt;=$F140*(1-'Feuille de Donnée'!$E$12),AT140&lt;=$F140*(1+'Feuille de Donnée'!$F$12)),'Feuille de Donnée'!$F$17,IF(AT140&lt;$F140*(1-'Feuille de Donnée'!$E$12),'Feuille de Donnée'!$F$18,'Feuille de Donnée'!$F$16))&amp;""&amp;IF(AND(AU140&gt;=$G140*(1-'Feuille de Donnée'!$E$27),AU140&lt;=$G140*(1+'Feuille de Donnée'!$F$27)),'Feuille de Donnée'!$F$32,IF(AU140&lt;$G140*(1-'Feuille de Donnée'!$E$27),'Feuille de Donnée'!$F$33,'Feuille de Donnée'!$F$31)))))</f>
        <v/>
      </c>
      <c r="BA140" s="138"/>
      <c r="BB140" s="103"/>
      <c r="BC140" s="27"/>
      <c r="BD140" s="27"/>
      <c r="BE140" s="27" t="str">
        <f t="shared" si="54"/>
        <v/>
      </c>
      <c r="BF140" s="121" t="str">
        <f t="shared" si="55"/>
        <v/>
      </c>
      <c r="BG140" s="121" t="str">
        <f t="shared" si="56"/>
        <v/>
      </c>
      <c r="BH140" s="27" t="str">
        <f>IF(AND(ISBLANK(BJ140),BI140=""),"",1+MAX(BH$21:BH139))</f>
        <v/>
      </c>
      <c r="BI140" s="137" t="str">
        <f>IF(OR(BE140="",BE140=0,$H140="",$H140=0,NOT(ISNUMBER($H140)),NOT(ISNUMBER(BE140))),IF(AND($E140&lt;&gt;"",AND(OR(ISNUMBER(BE140),BE140=""),AND(ISNUMBER($H140),$H140&gt;0))),'Feuille de Donnée'!$K$13,""),IF(BE140&lt;$H$168*'Feuille de Donnée'!$I$9,"Négligeable",(IF(AND(BC140&gt;=$F140*(1-'Feuille de Donnée'!$E$12),BC140&lt;=$F140*(1+'Feuille de Donnée'!$F$12)),'Feuille de Donnée'!$F$17,IF(BC140&lt;$F140*(1-'Feuille de Donnée'!$E$12),'Feuille de Donnée'!$F$18,'Feuille de Donnée'!$F$16))&amp;""&amp;IF(AND(BD140&gt;=$G140*(1-'Feuille de Donnée'!$E$27),BD140&lt;=$G140*(1+'Feuille de Donnée'!$F$27)),'Feuille de Donnée'!$F$32,IF(BD140&lt;$G140*(1-'Feuille de Donnée'!$E$27),'Feuille de Donnée'!$F$33,'Feuille de Donnée'!$F$31)))))</f>
        <v/>
      </c>
      <c r="BJ140" s="138"/>
      <c r="BK140" s="140"/>
    </row>
    <row r="141" spans="1:63" s="6" customFormat="1" x14ac:dyDescent="0.3">
      <c r="A141" s="23"/>
      <c r="B141" s="24"/>
      <c r="C141" s="24"/>
      <c r="D141" s="24"/>
      <c r="E141" s="22"/>
      <c r="F141" s="25"/>
      <c r="G141" s="26"/>
      <c r="H141" s="102" t="str">
        <f t="shared" si="38"/>
        <v/>
      </c>
      <c r="I141" s="103"/>
      <c r="J141" s="27"/>
      <c r="K141" s="27"/>
      <c r="L141" s="27" t="str">
        <f t="shared" si="39"/>
        <v/>
      </c>
      <c r="M141" s="121" t="str">
        <f t="shared" si="40"/>
        <v/>
      </c>
      <c r="N141" s="121" t="str">
        <f t="shared" si="41"/>
        <v/>
      </c>
      <c r="O141" s="27" t="str">
        <f>IF(AND(ISBLANK(Q141),P141=""),"",1+MAX(O$21:O140))</f>
        <v/>
      </c>
      <c r="P141" s="137" t="str">
        <f>IF(OR(L141="",L141=0,$H141="",$H141=0,NOT(ISNUMBER($H141)),NOT(ISNUMBER(L141))),IF(AND($E141&lt;&gt;"",AND(OR(ISNUMBER(L141),L141=""),AND(ISNUMBER($H141),$H141&gt;0))),'Feuille de Donnée'!$K$13,""),IF(L141&lt;$H$168*'Feuille de Donnée'!$I$9,"Négligeable",(IF(AND(J141&gt;=$F141*(1-'Feuille de Donnée'!$E$12),J141&lt;=$F141*(1+'Feuille de Donnée'!$F$12)),'Feuille de Donnée'!$F$17,IF(J141&lt;$F141*(1-'Feuille de Donnée'!$E$12),'Feuille de Donnée'!$F$18,'Feuille de Donnée'!$F$16))&amp;""&amp;IF(AND(K141&gt;=$G141*(1-'Feuille de Donnée'!$E$27),K141&lt;=$G141*(1+'Feuille de Donnée'!$F$27)),'Feuille de Donnée'!$F$32,IF(K141&lt;$G141*(1-'Feuille de Donnée'!$E$27),'Feuille de Donnée'!$F$33,'Feuille de Donnée'!$F$31)))))</f>
        <v/>
      </c>
      <c r="Q141" s="138"/>
      <c r="R141" s="103"/>
      <c r="S141" s="27"/>
      <c r="T141" s="27"/>
      <c r="U141" s="27" t="str">
        <f t="shared" si="42"/>
        <v/>
      </c>
      <c r="V141" s="121" t="str">
        <f t="shared" si="43"/>
        <v/>
      </c>
      <c r="W141" s="121" t="str">
        <f t="shared" si="44"/>
        <v/>
      </c>
      <c r="X141" s="27" t="str">
        <f>IF(AND(ISBLANK(Z141),Y141=""),"",1+MAX(X$21:X140))</f>
        <v/>
      </c>
      <c r="Y141" s="137" t="str">
        <f>IF(OR(U141="",U141=0,$H141="",$H141=0,NOT(ISNUMBER($H141)),NOT(ISNUMBER(U141))),IF(AND($E141&lt;&gt;"",AND(OR(ISNUMBER(U141),U141=""),AND(ISNUMBER($H141),$H141&gt;0))),'Feuille de Donnée'!$K$13,""),IF(U141&lt;$H$168*'Feuille de Donnée'!$I$9,"Négligeable",(IF(AND(S141&gt;=$F141*(1-'Feuille de Donnée'!$E$12),S141&lt;=$F141*(1+'Feuille de Donnée'!$F$12)),'Feuille de Donnée'!$F$17,IF(S141&lt;$F141*(1-'Feuille de Donnée'!$E$12),'Feuille de Donnée'!$F$18,'Feuille de Donnée'!$F$16))&amp;""&amp;IF(AND(T141&gt;=$G141*(1-'Feuille de Donnée'!$E$27),T141&lt;=$G141*(1+'Feuille de Donnée'!$F$27)),'Feuille de Donnée'!$F$32,IF(T141&lt;$G141*(1-'Feuille de Donnée'!$E$27),'Feuille de Donnée'!$F$33,'Feuille de Donnée'!$F$31)))))</f>
        <v/>
      </c>
      <c r="Z141" s="138"/>
      <c r="AA141" s="103"/>
      <c r="AB141" s="27"/>
      <c r="AC141" s="27"/>
      <c r="AD141" s="27" t="str">
        <f t="shared" si="45"/>
        <v/>
      </c>
      <c r="AE141" s="121" t="str">
        <f t="shared" si="46"/>
        <v/>
      </c>
      <c r="AF141" s="121" t="str">
        <f t="shared" si="47"/>
        <v/>
      </c>
      <c r="AG141" s="27" t="str">
        <f>IF(AND(ISBLANK(AI141),AH141=""),"",1+MAX(AG$21:AG140))</f>
        <v/>
      </c>
      <c r="AH141" s="137" t="str">
        <f>IF(OR(AD141="",AD141=0,$H141="",$H141=0,NOT(ISNUMBER($H141)),NOT(ISNUMBER(AD141))),IF(AND($E141&lt;&gt;"",AND(OR(ISNUMBER(AD141),AD141=""),AND(ISNUMBER($H141),$H141&gt;0))),'Feuille de Donnée'!$K$13,""),IF(AD141&lt;$H$168*'Feuille de Donnée'!$I$9,"Négligeable",(IF(AND(AB141&gt;=$F141*(1-'Feuille de Donnée'!$E$12),AB141&lt;=$F141*(1+'Feuille de Donnée'!$F$12)),'Feuille de Donnée'!$F$17,IF(AB141&lt;$F141*(1-'Feuille de Donnée'!$E$12),'Feuille de Donnée'!$F$18,'Feuille de Donnée'!$F$16))&amp;""&amp;IF(AND(AC141&gt;=$G141*(1-'Feuille de Donnée'!$E$27),AC141&lt;=$G141*(1+'Feuille de Donnée'!$F$27)),'Feuille de Donnée'!$F$32,IF(AC141&lt;$G141*(1-'Feuille de Donnée'!$E$27),'Feuille de Donnée'!$F$33,'Feuille de Donnée'!$F$31)))))</f>
        <v/>
      </c>
      <c r="AI141" s="138"/>
      <c r="AJ141" s="103"/>
      <c r="AK141" s="27"/>
      <c r="AL141" s="27"/>
      <c r="AM141" s="27" t="str">
        <f t="shared" si="48"/>
        <v/>
      </c>
      <c r="AN141" s="121" t="str">
        <f t="shared" si="49"/>
        <v/>
      </c>
      <c r="AO141" s="121" t="str">
        <f t="shared" si="50"/>
        <v/>
      </c>
      <c r="AP141" s="27" t="str">
        <f>IF(AND(ISBLANK(AR141),AQ141=""),"",1+MAX(AP$21:AP140))</f>
        <v/>
      </c>
      <c r="AQ141" s="137" t="str">
        <f>IF(OR(AM141="",AM141=0,$H141="",$H141=0,NOT(ISNUMBER($H141)),NOT(ISNUMBER(AM141))),IF(AND($E141&lt;&gt;"",AND(OR(ISNUMBER(AM141),AM141=""),AND(ISNUMBER($H141),$H141&gt;0))),'Feuille de Donnée'!$K$13,""),IF(AM141&lt;$H$168*'Feuille de Donnée'!$I$9,"Négligeable",(IF(AND(AK141&gt;=$F141*(1-'Feuille de Donnée'!$E$12),AK141&lt;=$F141*(1+'Feuille de Donnée'!$F$12)),'Feuille de Donnée'!$F$17,IF(AK141&lt;$F141*(1-'Feuille de Donnée'!$E$12),'Feuille de Donnée'!$F$18,'Feuille de Donnée'!$F$16))&amp;""&amp;IF(AND(AL141&gt;=$G141*(1-'Feuille de Donnée'!$E$27),AL141&lt;=$G141*(1+'Feuille de Donnée'!$F$27)),'Feuille de Donnée'!$F$32,IF(AL141&lt;$G141*(1-'Feuille de Donnée'!$E$27),'Feuille de Donnée'!$F$33,'Feuille de Donnée'!$F$31)))))</f>
        <v/>
      </c>
      <c r="AR141" s="138"/>
      <c r="AS141" s="103"/>
      <c r="AT141" s="27"/>
      <c r="AU141" s="27"/>
      <c r="AV141" s="27" t="str">
        <f t="shared" si="51"/>
        <v/>
      </c>
      <c r="AW141" s="121" t="str">
        <f t="shared" si="52"/>
        <v/>
      </c>
      <c r="AX141" s="121" t="str">
        <f t="shared" si="53"/>
        <v/>
      </c>
      <c r="AY141" s="27" t="str">
        <f>IF(AND(ISBLANK(BA141),AZ141=""),"",1+MAX(AY$21:AY140))</f>
        <v/>
      </c>
      <c r="AZ141" s="137" t="str">
        <f>IF(OR(AV141="",AV141=0,$H141="",$H141=0,NOT(ISNUMBER($H141)),NOT(ISNUMBER(AV141))),IF(AND($E141&lt;&gt;"",AND(OR(ISNUMBER(AV141),AV141=""),AND(ISNUMBER($H141),$H141&gt;0))),'Feuille de Donnée'!$K$13,""),IF(AV141&lt;$H$168*'Feuille de Donnée'!$I$9,"Négligeable",(IF(AND(AT141&gt;=$F141*(1-'Feuille de Donnée'!$E$12),AT141&lt;=$F141*(1+'Feuille de Donnée'!$F$12)),'Feuille de Donnée'!$F$17,IF(AT141&lt;$F141*(1-'Feuille de Donnée'!$E$12),'Feuille de Donnée'!$F$18,'Feuille de Donnée'!$F$16))&amp;""&amp;IF(AND(AU141&gt;=$G141*(1-'Feuille de Donnée'!$E$27),AU141&lt;=$G141*(1+'Feuille de Donnée'!$F$27)),'Feuille de Donnée'!$F$32,IF(AU141&lt;$G141*(1-'Feuille de Donnée'!$E$27),'Feuille de Donnée'!$F$33,'Feuille de Donnée'!$F$31)))))</f>
        <v/>
      </c>
      <c r="BA141" s="138"/>
      <c r="BB141" s="103"/>
      <c r="BC141" s="27"/>
      <c r="BD141" s="27"/>
      <c r="BE141" s="27" t="str">
        <f t="shared" si="54"/>
        <v/>
      </c>
      <c r="BF141" s="121" t="str">
        <f t="shared" si="55"/>
        <v/>
      </c>
      <c r="BG141" s="121" t="str">
        <f t="shared" si="56"/>
        <v/>
      </c>
      <c r="BH141" s="27" t="str">
        <f>IF(AND(ISBLANK(BJ141),BI141=""),"",1+MAX(BH$21:BH140))</f>
        <v/>
      </c>
      <c r="BI141" s="137" t="str">
        <f>IF(OR(BE141="",BE141=0,$H141="",$H141=0,NOT(ISNUMBER($H141)),NOT(ISNUMBER(BE141))),IF(AND($E141&lt;&gt;"",AND(OR(ISNUMBER(BE141),BE141=""),AND(ISNUMBER($H141),$H141&gt;0))),'Feuille de Donnée'!$K$13,""),IF(BE141&lt;$H$168*'Feuille de Donnée'!$I$9,"Négligeable",(IF(AND(BC141&gt;=$F141*(1-'Feuille de Donnée'!$E$12),BC141&lt;=$F141*(1+'Feuille de Donnée'!$F$12)),'Feuille de Donnée'!$F$17,IF(BC141&lt;$F141*(1-'Feuille de Donnée'!$E$12),'Feuille de Donnée'!$F$18,'Feuille de Donnée'!$F$16))&amp;""&amp;IF(AND(BD141&gt;=$G141*(1-'Feuille de Donnée'!$E$27),BD141&lt;=$G141*(1+'Feuille de Donnée'!$F$27)),'Feuille de Donnée'!$F$32,IF(BD141&lt;$G141*(1-'Feuille de Donnée'!$E$27),'Feuille de Donnée'!$F$33,'Feuille de Donnée'!$F$31)))))</f>
        <v/>
      </c>
      <c r="BJ141" s="138"/>
      <c r="BK141" s="140"/>
    </row>
    <row r="142" spans="1:63" s="6" customFormat="1" x14ac:dyDescent="0.3">
      <c r="A142" s="23"/>
      <c r="B142" s="24"/>
      <c r="C142" s="24"/>
      <c r="D142" s="24"/>
      <c r="E142" s="22"/>
      <c r="F142" s="25"/>
      <c r="G142" s="26"/>
      <c r="H142" s="102" t="str">
        <f t="shared" si="38"/>
        <v/>
      </c>
      <c r="I142" s="103"/>
      <c r="J142" s="27"/>
      <c r="K142" s="27"/>
      <c r="L142" s="27" t="str">
        <f t="shared" si="39"/>
        <v/>
      </c>
      <c r="M142" s="121" t="str">
        <f t="shared" si="40"/>
        <v/>
      </c>
      <c r="N142" s="121" t="str">
        <f t="shared" si="41"/>
        <v/>
      </c>
      <c r="O142" s="27" t="str">
        <f>IF(AND(ISBLANK(Q142),P142=""),"",1+MAX(O$21:O141))</f>
        <v/>
      </c>
      <c r="P142" s="137" t="str">
        <f>IF(OR(L142="",L142=0,$H142="",$H142=0,NOT(ISNUMBER($H142)),NOT(ISNUMBER(L142))),IF(AND($E142&lt;&gt;"",AND(OR(ISNUMBER(L142),L142=""),AND(ISNUMBER($H142),$H142&gt;0))),'Feuille de Donnée'!$K$13,""),IF(L142&lt;$H$168*'Feuille de Donnée'!$I$9,"Négligeable",(IF(AND(J142&gt;=$F142*(1-'Feuille de Donnée'!$E$12),J142&lt;=$F142*(1+'Feuille de Donnée'!$F$12)),'Feuille de Donnée'!$F$17,IF(J142&lt;$F142*(1-'Feuille de Donnée'!$E$12),'Feuille de Donnée'!$F$18,'Feuille de Donnée'!$F$16))&amp;""&amp;IF(AND(K142&gt;=$G142*(1-'Feuille de Donnée'!$E$27),K142&lt;=$G142*(1+'Feuille de Donnée'!$F$27)),'Feuille de Donnée'!$F$32,IF(K142&lt;$G142*(1-'Feuille de Donnée'!$E$27),'Feuille de Donnée'!$F$33,'Feuille de Donnée'!$F$31)))))</f>
        <v/>
      </c>
      <c r="Q142" s="138"/>
      <c r="R142" s="103"/>
      <c r="S142" s="27"/>
      <c r="T142" s="27"/>
      <c r="U142" s="27" t="str">
        <f t="shared" si="42"/>
        <v/>
      </c>
      <c r="V142" s="121" t="str">
        <f t="shared" si="43"/>
        <v/>
      </c>
      <c r="W142" s="121" t="str">
        <f t="shared" si="44"/>
        <v/>
      </c>
      <c r="X142" s="27" t="str">
        <f>IF(AND(ISBLANK(Z142),Y142=""),"",1+MAX(X$21:X141))</f>
        <v/>
      </c>
      <c r="Y142" s="137" t="str">
        <f>IF(OR(U142="",U142=0,$H142="",$H142=0,NOT(ISNUMBER($H142)),NOT(ISNUMBER(U142))),IF(AND($E142&lt;&gt;"",AND(OR(ISNUMBER(U142),U142=""),AND(ISNUMBER($H142),$H142&gt;0))),'Feuille de Donnée'!$K$13,""),IF(U142&lt;$H$168*'Feuille de Donnée'!$I$9,"Négligeable",(IF(AND(S142&gt;=$F142*(1-'Feuille de Donnée'!$E$12),S142&lt;=$F142*(1+'Feuille de Donnée'!$F$12)),'Feuille de Donnée'!$F$17,IF(S142&lt;$F142*(1-'Feuille de Donnée'!$E$12),'Feuille de Donnée'!$F$18,'Feuille de Donnée'!$F$16))&amp;""&amp;IF(AND(T142&gt;=$G142*(1-'Feuille de Donnée'!$E$27),T142&lt;=$G142*(1+'Feuille de Donnée'!$F$27)),'Feuille de Donnée'!$F$32,IF(T142&lt;$G142*(1-'Feuille de Donnée'!$E$27),'Feuille de Donnée'!$F$33,'Feuille de Donnée'!$F$31)))))</f>
        <v/>
      </c>
      <c r="Z142" s="138"/>
      <c r="AA142" s="103"/>
      <c r="AB142" s="27"/>
      <c r="AC142" s="27"/>
      <c r="AD142" s="27" t="str">
        <f t="shared" si="45"/>
        <v/>
      </c>
      <c r="AE142" s="121" t="str">
        <f t="shared" si="46"/>
        <v/>
      </c>
      <c r="AF142" s="121" t="str">
        <f t="shared" si="47"/>
        <v/>
      </c>
      <c r="AG142" s="27" t="str">
        <f>IF(AND(ISBLANK(AI142),AH142=""),"",1+MAX(AG$21:AG141))</f>
        <v/>
      </c>
      <c r="AH142" s="137" t="str">
        <f>IF(OR(AD142="",AD142=0,$H142="",$H142=0,NOT(ISNUMBER($H142)),NOT(ISNUMBER(AD142))),IF(AND($E142&lt;&gt;"",AND(OR(ISNUMBER(AD142),AD142=""),AND(ISNUMBER($H142),$H142&gt;0))),'Feuille de Donnée'!$K$13,""),IF(AD142&lt;$H$168*'Feuille de Donnée'!$I$9,"Négligeable",(IF(AND(AB142&gt;=$F142*(1-'Feuille de Donnée'!$E$12),AB142&lt;=$F142*(1+'Feuille de Donnée'!$F$12)),'Feuille de Donnée'!$F$17,IF(AB142&lt;$F142*(1-'Feuille de Donnée'!$E$12),'Feuille de Donnée'!$F$18,'Feuille de Donnée'!$F$16))&amp;""&amp;IF(AND(AC142&gt;=$G142*(1-'Feuille de Donnée'!$E$27),AC142&lt;=$G142*(1+'Feuille de Donnée'!$F$27)),'Feuille de Donnée'!$F$32,IF(AC142&lt;$G142*(1-'Feuille de Donnée'!$E$27),'Feuille de Donnée'!$F$33,'Feuille de Donnée'!$F$31)))))</f>
        <v/>
      </c>
      <c r="AI142" s="138"/>
      <c r="AJ142" s="103"/>
      <c r="AK142" s="27"/>
      <c r="AL142" s="27"/>
      <c r="AM142" s="27" t="str">
        <f t="shared" si="48"/>
        <v/>
      </c>
      <c r="AN142" s="121" t="str">
        <f t="shared" si="49"/>
        <v/>
      </c>
      <c r="AO142" s="121" t="str">
        <f t="shared" si="50"/>
        <v/>
      </c>
      <c r="AP142" s="27" t="str">
        <f>IF(AND(ISBLANK(AR142),AQ142=""),"",1+MAX(AP$21:AP141))</f>
        <v/>
      </c>
      <c r="AQ142" s="137" t="str">
        <f>IF(OR(AM142="",AM142=0,$H142="",$H142=0,NOT(ISNUMBER($H142)),NOT(ISNUMBER(AM142))),IF(AND($E142&lt;&gt;"",AND(OR(ISNUMBER(AM142),AM142=""),AND(ISNUMBER($H142),$H142&gt;0))),'Feuille de Donnée'!$K$13,""),IF(AM142&lt;$H$168*'Feuille de Donnée'!$I$9,"Négligeable",(IF(AND(AK142&gt;=$F142*(1-'Feuille de Donnée'!$E$12),AK142&lt;=$F142*(1+'Feuille de Donnée'!$F$12)),'Feuille de Donnée'!$F$17,IF(AK142&lt;$F142*(1-'Feuille de Donnée'!$E$12),'Feuille de Donnée'!$F$18,'Feuille de Donnée'!$F$16))&amp;""&amp;IF(AND(AL142&gt;=$G142*(1-'Feuille de Donnée'!$E$27),AL142&lt;=$G142*(1+'Feuille de Donnée'!$F$27)),'Feuille de Donnée'!$F$32,IF(AL142&lt;$G142*(1-'Feuille de Donnée'!$E$27),'Feuille de Donnée'!$F$33,'Feuille de Donnée'!$F$31)))))</f>
        <v/>
      </c>
      <c r="AR142" s="138"/>
      <c r="AS142" s="103"/>
      <c r="AT142" s="27"/>
      <c r="AU142" s="27"/>
      <c r="AV142" s="27" t="str">
        <f t="shared" si="51"/>
        <v/>
      </c>
      <c r="AW142" s="121" t="str">
        <f t="shared" si="52"/>
        <v/>
      </c>
      <c r="AX142" s="121" t="str">
        <f t="shared" si="53"/>
        <v/>
      </c>
      <c r="AY142" s="27" t="str">
        <f>IF(AND(ISBLANK(BA142),AZ142=""),"",1+MAX(AY$21:AY141))</f>
        <v/>
      </c>
      <c r="AZ142" s="137" t="str">
        <f>IF(OR(AV142="",AV142=0,$H142="",$H142=0,NOT(ISNUMBER($H142)),NOT(ISNUMBER(AV142))),IF(AND($E142&lt;&gt;"",AND(OR(ISNUMBER(AV142),AV142=""),AND(ISNUMBER($H142),$H142&gt;0))),'Feuille de Donnée'!$K$13,""),IF(AV142&lt;$H$168*'Feuille de Donnée'!$I$9,"Négligeable",(IF(AND(AT142&gt;=$F142*(1-'Feuille de Donnée'!$E$12),AT142&lt;=$F142*(1+'Feuille de Donnée'!$F$12)),'Feuille de Donnée'!$F$17,IF(AT142&lt;$F142*(1-'Feuille de Donnée'!$E$12),'Feuille de Donnée'!$F$18,'Feuille de Donnée'!$F$16))&amp;""&amp;IF(AND(AU142&gt;=$G142*(1-'Feuille de Donnée'!$E$27),AU142&lt;=$G142*(1+'Feuille de Donnée'!$F$27)),'Feuille de Donnée'!$F$32,IF(AU142&lt;$G142*(1-'Feuille de Donnée'!$E$27),'Feuille de Donnée'!$F$33,'Feuille de Donnée'!$F$31)))))</f>
        <v/>
      </c>
      <c r="BA142" s="138"/>
      <c r="BB142" s="103"/>
      <c r="BC142" s="27"/>
      <c r="BD142" s="27"/>
      <c r="BE142" s="27" t="str">
        <f t="shared" si="54"/>
        <v/>
      </c>
      <c r="BF142" s="121" t="str">
        <f t="shared" si="55"/>
        <v/>
      </c>
      <c r="BG142" s="121" t="str">
        <f t="shared" si="56"/>
        <v/>
      </c>
      <c r="BH142" s="27" t="str">
        <f>IF(AND(ISBLANK(BJ142),BI142=""),"",1+MAX(BH$21:BH141))</f>
        <v/>
      </c>
      <c r="BI142" s="137" t="str">
        <f>IF(OR(BE142="",BE142=0,$H142="",$H142=0,NOT(ISNUMBER($H142)),NOT(ISNUMBER(BE142))),IF(AND($E142&lt;&gt;"",AND(OR(ISNUMBER(BE142),BE142=""),AND(ISNUMBER($H142),$H142&gt;0))),'Feuille de Donnée'!$K$13,""),IF(BE142&lt;$H$168*'Feuille de Donnée'!$I$9,"Négligeable",(IF(AND(BC142&gt;=$F142*(1-'Feuille de Donnée'!$E$12),BC142&lt;=$F142*(1+'Feuille de Donnée'!$F$12)),'Feuille de Donnée'!$F$17,IF(BC142&lt;$F142*(1-'Feuille de Donnée'!$E$12),'Feuille de Donnée'!$F$18,'Feuille de Donnée'!$F$16))&amp;""&amp;IF(AND(BD142&gt;=$G142*(1-'Feuille de Donnée'!$E$27),BD142&lt;=$G142*(1+'Feuille de Donnée'!$F$27)),'Feuille de Donnée'!$F$32,IF(BD142&lt;$G142*(1-'Feuille de Donnée'!$E$27),'Feuille de Donnée'!$F$33,'Feuille de Donnée'!$F$31)))))</f>
        <v/>
      </c>
      <c r="BJ142" s="138"/>
      <c r="BK142" s="140"/>
    </row>
    <row r="143" spans="1:63" s="6" customFormat="1" x14ac:dyDescent="0.3">
      <c r="A143" s="23"/>
      <c r="B143" s="24"/>
      <c r="C143" s="24"/>
      <c r="D143" s="24"/>
      <c r="E143" s="22"/>
      <c r="F143" s="25"/>
      <c r="G143" s="26"/>
      <c r="H143" s="102" t="str">
        <f t="shared" si="38"/>
        <v/>
      </c>
      <c r="I143" s="103"/>
      <c r="J143" s="27"/>
      <c r="K143" s="27"/>
      <c r="L143" s="27" t="str">
        <f t="shared" si="39"/>
        <v/>
      </c>
      <c r="M143" s="121" t="str">
        <f t="shared" si="40"/>
        <v/>
      </c>
      <c r="N143" s="121" t="str">
        <f t="shared" si="41"/>
        <v/>
      </c>
      <c r="O143" s="27" t="str">
        <f>IF(AND(ISBLANK(Q143),P143=""),"",1+MAX(O$21:O142))</f>
        <v/>
      </c>
      <c r="P143" s="137" t="str">
        <f>IF(OR(L143="",L143=0,$H143="",$H143=0,NOT(ISNUMBER($H143)),NOT(ISNUMBER(L143))),IF(AND($E143&lt;&gt;"",AND(OR(ISNUMBER(L143),L143=""),AND(ISNUMBER($H143),$H143&gt;0))),'Feuille de Donnée'!$K$13,""),IF(L143&lt;$H$168*'Feuille de Donnée'!$I$9,"Négligeable",(IF(AND(J143&gt;=$F143*(1-'Feuille de Donnée'!$E$12),J143&lt;=$F143*(1+'Feuille de Donnée'!$F$12)),'Feuille de Donnée'!$F$17,IF(J143&lt;$F143*(1-'Feuille de Donnée'!$E$12),'Feuille de Donnée'!$F$18,'Feuille de Donnée'!$F$16))&amp;""&amp;IF(AND(K143&gt;=$G143*(1-'Feuille de Donnée'!$E$27),K143&lt;=$G143*(1+'Feuille de Donnée'!$F$27)),'Feuille de Donnée'!$F$32,IF(K143&lt;$G143*(1-'Feuille de Donnée'!$E$27),'Feuille de Donnée'!$F$33,'Feuille de Donnée'!$F$31)))))</f>
        <v/>
      </c>
      <c r="Q143" s="138"/>
      <c r="R143" s="103"/>
      <c r="S143" s="27"/>
      <c r="T143" s="27"/>
      <c r="U143" s="27" t="str">
        <f t="shared" si="42"/>
        <v/>
      </c>
      <c r="V143" s="121" t="str">
        <f t="shared" si="43"/>
        <v/>
      </c>
      <c r="W143" s="121" t="str">
        <f t="shared" si="44"/>
        <v/>
      </c>
      <c r="X143" s="27" t="str">
        <f>IF(AND(ISBLANK(Z143),Y143=""),"",1+MAX(X$21:X142))</f>
        <v/>
      </c>
      <c r="Y143" s="137" t="str">
        <f>IF(OR(U143="",U143=0,$H143="",$H143=0,NOT(ISNUMBER($H143)),NOT(ISNUMBER(U143))),IF(AND($E143&lt;&gt;"",AND(OR(ISNUMBER(U143),U143=""),AND(ISNUMBER($H143),$H143&gt;0))),'Feuille de Donnée'!$K$13,""),IF(U143&lt;$H$168*'Feuille de Donnée'!$I$9,"Négligeable",(IF(AND(S143&gt;=$F143*(1-'Feuille de Donnée'!$E$12),S143&lt;=$F143*(1+'Feuille de Donnée'!$F$12)),'Feuille de Donnée'!$F$17,IF(S143&lt;$F143*(1-'Feuille de Donnée'!$E$12),'Feuille de Donnée'!$F$18,'Feuille de Donnée'!$F$16))&amp;""&amp;IF(AND(T143&gt;=$G143*(1-'Feuille de Donnée'!$E$27),T143&lt;=$G143*(1+'Feuille de Donnée'!$F$27)),'Feuille de Donnée'!$F$32,IF(T143&lt;$G143*(1-'Feuille de Donnée'!$E$27),'Feuille de Donnée'!$F$33,'Feuille de Donnée'!$F$31)))))</f>
        <v/>
      </c>
      <c r="Z143" s="138"/>
      <c r="AA143" s="103"/>
      <c r="AB143" s="27"/>
      <c r="AC143" s="27"/>
      <c r="AD143" s="27" t="str">
        <f t="shared" si="45"/>
        <v/>
      </c>
      <c r="AE143" s="121" t="str">
        <f t="shared" si="46"/>
        <v/>
      </c>
      <c r="AF143" s="121" t="str">
        <f t="shared" si="47"/>
        <v/>
      </c>
      <c r="AG143" s="27" t="str">
        <f>IF(AND(ISBLANK(AI143),AH143=""),"",1+MAX(AG$21:AG142))</f>
        <v/>
      </c>
      <c r="AH143" s="137" t="str">
        <f>IF(OR(AD143="",AD143=0,$H143="",$H143=0,NOT(ISNUMBER($H143)),NOT(ISNUMBER(AD143))),IF(AND($E143&lt;&gt;"",AND(OR(ISNUMBER(AD143),AD143=""),AND(ISNUMBER($H143),$H143&gt;0))),'Feuille de Donnée'!$K$13,""),IF(AD143&lt;$H$168*'Feuille de Donnée'!$I$9,"Négligeable",(IF(AND(AB143&gt;=$F143*(1-'Feuille de Donnée'!$E$12),AB143&lt;=$F143*(1+'Feuille de Donnée'!$F$12)),'Feuille de Donnée'!$F$17,IF(AB143&lt;$F143*(1-'Feuille de Donnée'!$E$12),'Feuille de Donnée'!$F$18,'Feuille de Donnée'!$F$16))&amp;""&amp;IF(AND(AC143&gt;=$G143*(1-'Feuille de Donnée'!$E$27),AC143&lt;=$G143*(1+'Feuille de Donnée'!$F$27)),'Feuille de Donnée'!$F$32,IF(AC143&lt;$G143*(1-'Feuille de Donnée'!$E$27),'Feuille de Donnée'!$F$33,'Feuille de Donnée'!$F$31)))))</f>
        <v/>
      </c>
      <c r="AI143" s="138"/>
      <c r="AJ143" s="103"/>
      <c r="AK143" s="27"/>
      <c r="AL143" s="27"/>
      <c r="AM143" s="27" t="str">
        <f t="shared" si="48"/>
        <v/>
      </c>
      <c r="AN143" s="121" t="str">
        <f t="shared" si="49"/>
        <v/>
      </c>
      <c r="AO143" s="121" t="str">
        <f t="shared" si="50"/>
        <v/>
      </c>
      <c r="AP143" s="27" t="str">
        <f>IF(AND(ISBLANK(AR143),AQ143=""),"",1+MAX(AP$21:AP142))</f>
        <v/>
      </c>
      <c r="AQ143" s="137" t="str">
        <f>IF(OR(AM143="",AM143=0,$H143="",$H143=0,NOT(ISNUMBER($H143)),NOT(ISNUMBER(AM143))),IF(AND($E143&lt;&gt;"",AND(OR(ISNUMBER(AM143),AM143=""),AND(ISNUMBER($H143),$H143&gt;0))),'Feuille de Donnée'!$K$13,""),IF(AM143&lt;$H$168*'Feuille de Donnée'!$I$9,"Négligeable",(IF(AND(AK143&gt;=$F143*(1-'Feuille de Donnée'!$E$12),AK143&lt;=$F143*(1+'Feuille de Donnée'!$F$12)),'Feuille de Donnée'!$F$17,IF(AK143&lt;$F143*(1-'Feuille de Donnée'!$E$12),'Feuille de Donnée'!$F$18,'Feuille de Donnée'!$F$16))&amp;""&amp;IF(AND(AL143&gt;=$G143*(1-'Feuille de Donnée'!$E$27),AL143&lt;=$G143*(1+'Feuille de Donnée'!$F$27)),'Feuille de Donnée'!$F$32,IF(AL143&lt;$G143*(1-'Feuille de Donnée'!$E$27),'Feuille de Donnée'!$F$33,'Feuille de Donnée'!$F$31)))))</f>
        <v/>
      </c>
      <c r="AR143" s="138"/>
      <c r="AS143" s="103"/>
      <c r="AT143" s="27"/>
      <c r="AU143" s="27"/>
      <c r="AV143" s="27" t="str">
        <f t="shared" si="51"/>
        <v/>
      </c>
      <c r="AW143" s="121" t="str">
        <f t="shared" si="52"/>
        <v/>
      </c>
      <c r="AX143" s="121" t="str">
        <f t="shared" si="53"/>
        <v/>
      </c>
      <c r="AY143" s="27" t="str">
        <f>IF(AND(ISBLANK(BA143),AZ143=""),"",1+MAX(AY$21:AY142))</f>
        <v/>
      </c>
      <c r="AZ143" s="137" t="str">
        <f>IF(OR(AV143="",AV143=0,$H143="",$H143=0,NOT(ISNUMBER($H143)),NOT(ISNUMBER(AV143))),IF(AND($E143&lt;&gt;"",AND(OR(ISNUMBER(AV143),AV143=""),AND(ISNUMBER($H143),$H143&gt;0))),'Feuille de Donnée'!$K$13,""),IF(AV143&lt;$H$168*'Feuille de Donnée'!$I$9,"Négligeable",(IF(AND(AT143&gt;=$F143*(1-'Feuille de Donnée'!$E$12),AT143&lt;=$F143*(1+'Feuille de Donnée'!$F$12)),'Feuille de Donnée'!$F$17,IF(AT143&lt;$F143*(1-'Feuille de Donnée'!$E$12),'Feuille de Donnée'!$F$18,'Feuille de Donnée'!$F$16))&amp;""&amp;IF(AND(AU143&gt;=$G143*(1-'Feuille de Donnée'!$E$27),AU143&lt;=$G143*(1+'Feuille de Donnée'!$F$27)),'Feuille de Donnée'!$F$32,IF(AU143&lt;$G143*(1-'Feuille de Donnée'!$E$27),'Feuille de Donnée'!$F$33,'Feuille de Donnée'!$F$31)))))</f>
        <v/>
      </c>
      <c r="BA143" s="138"/>
      <c r="BB143" s="103"/>
      <c r="BC143" s="27"/>
      <c r="BD143" s="27"/>
      <c r="BE143" s="27" t="str">
        <f t="shared" si="54"/>
        <v/>
      </c>
      <c r="BF143" s="121" t="str">
        <f t="shared" si="55"/>
        <v/>
      </c>
      <c r="BG143" s="121" t="str">
        <f t="shared" si="56"/>
        <v/>
      </c>
      <c r="BH143" s="27" t="str">
        <f>IF(AND(ISBLANK(BJ143),BI143=""),"",1+MAX(BH$21:BH142))</f>
        <v/>
      </c>
      <c r="BI143" s="137" t="str">
        <f>IF(OR(BE143="",BE143=0,$H143="",$H143=0,NOT(ISNUMBER($H143)),NOT(ISNUMBER(BE143))),IF(AND($E143&lt;&gt;"",AND(OR(ISNUMBER(BE143),BE143=""),AND(ISNUMBER($H143),$H143&gt;0))),'Feuille de Donnée'!$K$13,""),IF(BE143&lt;$H$168*'Feuille de Donnée'!$I$9,"Négligeable",(IF(AND(BC143&gt;=$F143*(1-'Feuille de Donnée'!$E$12),BC143&lt;=$F143*(1+'Feuille de Donnée'!$F$12)),'Feuille de Donnée'!$F$17,IF(BC143&lt;$F143*(1-'Feuille de Donnée'!$E$12),'Feuille de Donnée'!$F$18,'Feuille de Donnée'!$F$16))&amp;""&amp;IF(AND(BD143&gt;=$G143*(1-'Feuille de Donnée'!$E$27),BD143&lt;=$G143*(1+'Feuille de Donnée'!$F$27)),'Feuille de Donnée'!$F$32,IF(BD143&lt;$G143*(1-'Feuille de Donnée'!$E$27),'Feuille de Donnée'!$F$33,'Feuille de Donnée'!$F$31)))))</f>
        <v/>
      </c>
      <c r="BJ143" s="138"/>
      <c r="BK143" s="140"/>
    </row>
    <row r="144" spans="1:63" s="6" customFormat="1" x14ac:dyDescent="0.3">
      <c r="A144" s="23"/>
      <c r="B144" s="24"/>
      <c r="C144" s="24"/>
      <c r="D144" s="24"/>
      <c r="E144" s="22"/>
      <c r="F144" s="25"/>
      <c r="G144" s="26"/>
      <c r="H144" s="102" t="str">
        <f t="shared" si="38"/>
        <v/>
      </c>
      <c r="I144" s="103"/>
      <c r="J144" s="27"/>
      <c r="K144" s="27"/>
      <c r="L144" s="27" t="str">
        <f t="shared" si="39"/>
        <v/>
      </c>
      <c r="M144" s="121" t="str">
        <f t="shared" si="40"/>
        <v/>
      </c>
      <c r="N144" s="121" t="str">
        <f t="shared" si="41"/>
        <v/>
      </c>
      <c r="O144" s="27" t="str">
        <f>IF(AND(ISBLANK(Q144),P144=""),"",1+MAX(O$21:O143))</f>
        <v/>
      </c>
      <c r="P144" s="137" t="str">
        <f>IF(OR(L144="",L144=0,$H144="",$H144=0,NOT(ISNUMBER($H144)),NOT(ISNUMBER(L144))),IF(AND($E144&lt;&gt;"",AND(OR(ISNUMBER(L144),L144=""),AND(ISNUMBER($H144),$H144&gt;0))),'Feuille de Donnée'!$K$13,""),IF(L144&lt;$H$168*'Feuille de Donnée'!$I$9,"Négligeable",(IF(AND(J144&gt;=$F144*(1-'Feuille de Donnée'!$E$12),J144&lt;=$F144*(1+'Feuille de Donnée'!$F$12)),'Feuille de Donnée'!$F$17,IF(J144&lt;$F144*(1-'Feuille de Donnée'!$E$12),'Feuille de Donnée'!$F$18,'Feuille de Donnée'!$F$16))&amp;""&amp;IF(AND(K144&gt;=$G144*(1-'Feuille de Donnée'!$E$27),K144&lt;=$G144*(1+'Feuille de Donnée'!$F$27)),'Feuille de Donnée'!$F$32,IF(K144&lt;$G144*(1-'Feuille de Donnée'!$E$27),'Feuille de Donnée'!$F$33,'Feuille de Donnée'!$F$31)))))</f>
        <v/>
      </c>
      <c r="Q144" s="138"/>
      <c r="R144" s="103"/>
      <c r="S144" s="27"/>
      <c r="T144" s="27"/>
      <c r="U144" s="27" t="str">
        <f t="shared" si="42"/>
        <v/>
      </c>
      <c r="V144" s="121" t="str">
        <f t="shared" si="43"/>
        <v/>
      </c>
      <c r="W144" s="121" t="str">
        <f t="shared" si="44"/>
        <v/>
      </c>
      <c r="X144" s="27" t="str">
        <f>IF(AND(ISBLANK(Z144),Y144=""),"",1+MAX(X$21:X143))</f>
        <v/>
      </c>
      <c r="Y144" s="137" t="str">
        <f>IF(OR(U144="",U144=0,$H144="",$H144=0,NOT(ISNUMBER($H144)),NOT(ISNUMBER(U144))),IF(AND($E144&lt;&gt;"",AND(OR(ISNUMBER(U144),U144=""),AND(ISNUMBER($H144),$H144&gt;0))),'Feuille de Donnée'!$K$13,""),IF(U144&lt;$H$168*'Feuille de Donnée'!$I$9,"Négligeable",(IF(AND(S144&gt;=$F144*(1-'Feuille de Donnée'!$E$12),S144&lt;=$F144*(1+'Feuille de Donnée'!$F$12)),'Feuille de Donnée'!$F$17,IF(S144&lt;$F144*(1-'Feuille de Donnée'!$E$12),'Feuille de Donnée'!$F$18,'Feuille de Donnée'!$F$16))&amp;""&amp;IF(AND(T144&gt;=$G144*(1-'Feuille de Donnée'!$E$27),T144&lt;=$G144*(1+'Feuille de Donnée'!$F$27)),'Feuille de Donnée'!$F$32,IF(T144&lt;$G144*(1-'Feuille de Donnée'!$E$27),'Feuille de Donnée'!$F$33,'Feuille de Donnée'!$F$31)))))</f>
        <v/>
      </c>
      <c r="Z144" s="138"/>
      <c r="AA144" s="103"/>
      <c r="AB144" s="27"/>
      <c r="AC144" s="27"/>
      <c r="AD144" s="27" t="str">
        <f t="shared" si="45"/>
        <v/>
      </c>
      <c r="AE144" s="121" t="str">
        <f t="shared" si="46"/>
        <v/>
      </c>
      <c r="AF144" s="121" t="str">
        <f t="shared" si="47"/>
        <v/>
      </c>
      <c r="AG144" s="27" t="str">
        <f>IF(AND(ISBLANK(AI144),AH144=""),"",1+MAX(AG$21:AG143))</f>
        <v/>
      </c>
      <c r="AH144" s="137" t="str">
        <f>IF(OR(AD144="",AD144=0,$H144="",$H144=0,NOT(ISNUMBER($H144)),NOT(ISNUMBER(AD144))),IF(AND($E144&lt;&gt;"",AND(OR(ISNUMBER(AD144),AD144=""),AND(ISNUMBER($H144),$H144&gt;0))),'Feuille de Donnée'!$K$13,""),IF(AD144&lt;$H$168*'Feuille de Donnée'!$I$9,"Négligeable",(IF(AND(AB144&gt;=$F144*(1-'Feuille de Donnée'!$E$12),AB144&lt;=$F144*(1+'Feuille de Donnée'!$F$12)),'Feuille de Donnée'!$F$17,IF(AB144&lt;$F144*(1-'Feuille de Donnée'!$E$12),'Feuille de Donnée'!$F$18,'Feuille de Donnée'!$F$16))&amp;""&amp;IF(AND(AC144&gt;=$G144*(1-'Feuille de Donnée'!$E$27),AC144&lt;=$G144*(1+'Feuille de Donnée'!$F$27)),'Feuille de Donnée'!$F$32,IF(AC144&lt;$G144*(1-'Feuille de Donnée'!$E$27),'Feuille de Donnée'!$F$33,'Feuille de Donnée'!$F$31)))))</f>
        <v/>
      </c>
      <c r="AI144" s="138"/>
      <c r="AJ144" s="103"/>
      <c r="AK144" s="27"/>
      <c r="AL144" s="27"/>
      <c r="AM144" s="27" t="str">
        <f t="shared" si="48"/>
        <v/>
      </c>
      <c r="AN144" s="121" t="str">
        <f t="shared" si="49"/>
        <v/>
      </c>
      <c r="AO144" s="121" t="str">
        <f t="shared" si="50"/>
        <v/>
      </c>
      <c r="AP144" s="27" t="str">
        <f>IF(AND(ISBLANK(AR144),AQ144=""),"",1+MAX(AP$21:AP143))</f>
        <v/>
      </c>
      <c r="AQ144" s="137" t="str">
        <f>IF(OR(AM144="",AM144=0,$H144="",$H144=0,NOT(ISNUMBER($H144)),NOT(ISNUMBER(AM144))),IF(AND($E144&lt;&gt;"",AND(OR(ISNUMBER(AM144),AM144=""),AND(ISNUMBER($H144),$H144&gt;0))),'Feuille de Donnée'!$K$13,""),IF(AM144&lt;$H$168*'Feuille de Donnée'!$I$9,"Négligeable",(IF(AND(AK144&gt;=$F144*(1-'Feuille de Donnée'!$E$12),AK144&lt;=$F144*(1+'Feuille de Donnée'!$F$12)),'Feuille de Donnée'!$F$17,IF(AK144&lt;$F144*(1-'Feuille de Donnée'!$E$12),'Feuille de Donnée'!$F$18,'Feuille de Donnée'!$F$16))&amp;""&amp;IF(AND(AL144&gt;=$G144*(1-'Feuille de Donnée'!$E$27),AL144&lt;=$G144*(1+'Feuille de Donnée'!$F$27)),'Feuille de Donnée'!$F$32,IF(AL144&lt;$G144*(1-'Feuille de Donnée'!$E$27),'Feuille de Donnée'!$F$33,'Feuille de Donnée'!$F$31)))))</f>
        <v/>
      </c>
      <c r="AR144" s="138"/>
      <c r="AS144" s="103"/>
      <c r="AT144" s="27"/>
      <c r="AU144" s="27"/>
      <c r="AV144" s="27" t="str">
        <f t="shared" si="51"/>
        <v/>
      </c>
      <c r="AW144" s="121" t="str">
        <f t="shared" si="52"/>
        <v/>
      </c>
      <c r="AX144" s="121" t="str">
        <f t="shared" si="53"/>
        <v/>
      </c>
      <c r="AY144" s="27" t="str">
        <f>IF(AND(ISBLANK(BA144),AZ144=""),"",1+MAX(AY$21:AY143))</f>
        <v/>
      </c>
      <c r="AZ144" s="137" t="str">
        <f>IF(OR(AV144="",AV144=0,$H144="",$H144=0,NOT(ISNUMBER($H144)),NOT(ISNUMBER(AV144))),IF(AND($E144&lt;&gt;"",AND(OR(ISNUMBER(AV144),AV144=""),AND(ISNUMBER($H144),$H144&gt;0))),'Feuille de Donnée'!$K$13,""),IF(AV144&lt;$H$168*'Feuille de Donnée'!$I$9,"Négligeable",(IF(AND(AT144&gt;=$F144*(1-'Feuille de Donnée'!$E$12),AT144&lt;=$F144*(1+'Feuille de Donnée'!$F$12)),'Feuille de Donnée'!$F$17,IF(AT144&lt;$F144*(1-'Feuille de Donnée'!$E$12),'Feuille de Donnée'!$F$18,'Feuille de Donnée'!$F$16))&amp;""&amp;IF(AND(AU144&gt;=$G144*(1-'Feuille de Donnée'!$E$27),AU144&lt;=$G144*(1+'Feuille de Donnée'!$F$27)),'Feuille de Donnée'!$F$32,IF(AU144&lt;$G144*(1-'Feuille de Donnée'!$E$27),'Feuille de Donnée'!$F$33,'Feuille de Donnée'!$F$31)))))</f>
        <v/>
      </c>
      <c r="BA144" s="138"/>
      <c r="BB144" s="103"/>
      <c r="BC144" s="27"/>
      <c r="BD144" s="27"/>
      <c r="BE144" s="27" t="str">
        <f t="shared" si="54"/>
        <v/>
      </c>
      <c r="BF144" s="121" t="str">
        <f t="shared" si="55"/>
        <v/>
      </c>
      <c r="BG144" s="121" t="str">
        <f t="shared" si="56"/>
        <v/>
      </c>
      <c r="BH144" s="27" t="str">
        <f>IF(AND(ISBLANK(BJ144),BI144=""),"",1+MAX(BH$21:BH143))</f>
        <v/>
      </c>
      <c r="BI144" s="137" t="str">
        <f>IF(OR(BE144="",BE144=0,$H144="",$H144=0,NOT(ISNUMBER($H144)),NOT(ISNUMBER(BE144))),IF(AND($E144&lt;&gt;"",AND(OR(ISNUMBER(BE144),BE144=""),AND(ISNUMBER($H144),$H144&gt;0))),'Feuille de Donnée'!$K$13,""),IF(BE144&lt;$H$168*'Feuille de Donnée'!$I$9,"Négligeable",(IF(AND(BC144&gt;=$F144*(1-'Feuille de Donnée'!$E$12),BC144&lt;=$F144*(1+'Feuille de Donnée'!$F$12)),'Feuille de Donnée'!$F$17,IF(BC144&lt;$F144*(1-'Feuille de Donnée'!$E$12),'Feuille de Donnée'!$F$18,'Feuille de Donnée'!$F$16))&amp;""&amp;IF(AND(BD144&gt;=$G144*(1-'Feuille de Donnée'!$E$27),BD144&lt;=$G144*(1+'Feuille de Donnée'!$F$27)),'Feuille de Donnée'!$F$32,IF(BD144&lt;$G144*(1-'Feuille de Donnée'!$E$27),'Feuille de Donnée'!$F$33,'Feuille de Donnée'!$F$31)))))</f>
        <v/>
      </c>
      <c r="BJ144" s="138"/>
      <c r="BK144" s="140"/>
    </row>
    <row r="145" spans="1:63" s="6" customFormat="1" x14ac:dyDescent="0.3">
      <c r="A145" s="23"/>
      <c r="B145" s="24"/>
      <c r="C145" s="24"/>
      <c r="D145" s="24"/>
      <c r="E145" s="22"/>
      <c r="F145" s="25"/>
      <c r="G145" s="26"/>
      <c r="H145" s="102" t="str">
        <f t="shared" si="38"/>
        <v/>
      </c>
      <c r="I145" s="103"/>
      <c r="J145" s="27"/>
      <c r="K145" s="27"/>
      <c r="L145" s="27" t="str">
        <f t="shared" si="39"/>
        <v/>
      </c>
      <c r="M145" s="121" t="str">
        <f t="shared" si="40"/>
        <v/>
      </c>
      <c r="N145" s="121" t="str">
        <f t="shared" si="41"/>
        <v/>
      </c>
      <c r="O145" s="27" t="str">
        <f>IF(AND(ISBLANK(Q145),P145=""),"",1+MAX(O$21:O144))</f>
        <v/>
      </c>
      <c r="P145" s="137" t="str">
        <f>IF(OR(L145="",L145=0,$H145="",$H145=0,NOT(ISNUMBER($H145)),NOT(ISNUMBER(L145))),IF(AND($E145&lt;&gt;"",AND(OR(ISNUMBER(L145),L145=""),AND(ISNUMBER($H145),$H145&gt;0))),'Feuille de Donnée'!$K$13,""),IF(L145&lt;$H$168*'Feuille de Donnée'!$I$9,"Négligeable",(IF(AND(J145&gt;=$F145*(1-'Feuille de Donnée'!$E$12),J145&lt;=$F145*(1+'Feuille de Donnée'!$F$12)),'Feuille de Donnée'!$F$17,IF(J145&lt;$F145*(1-'Feuille de Donnée'!$E$12),'Feuille de Donnée'!$F$18,'Feuille de Donnée'!$F$16))&amp;""&amp;IF(AND(K145&gt;=$G145*(1-'Feuille de Donnée'!$E$27),K145&lt;=$G145*(1+'Feuille de Donnée'!$F$27)),'Feuille de Donnée'!$F$32,IF(K145&lt;$G145*(1-'Feuille de Donnée'!$E$27),'Feuille de Donnée'!$F$33,'Feuille de Donnée'!$F$31)))))</f>
        <v/>
      </c>
      <c r="Q145" s="138"/>
      <c r="R145" s="103"/>
      <c r="S145" s="27"/>
      <c r="T145" s="27"/>
      <c r="U145" s="27" t="str">
        <f t="shared" si="42"/>
        <v/>
      </c>
      <c r="V145" s="121" t="str">
        <f t="shared" si="43"/>
        <v/>
      </c>
      <c r="W145" s="121" t="str">
        <f t="shared" si="44"/>
        <v/>
      </c>
      <c r="X145" s="27" t="str">
        <f>IF(AND(ISBLANK(Z145),Y145=""),"",1+MAX(X$21:X144))</f>
        <v/>
      </c>
      <c r="Y145" s="137" t="str">
        <f>IF(OR(U145="",U145=0,$H145="",$H145=0,NOT(ISNUMBER($H145)),NOT(ISNUMBER(U145))),IF(AND($E145&lt;&gt;"",AND(OR(ISNUMBER(U145),U145=""),AND(ISNUMBER($H145),$H145&gt;0))),'Feuille de Donnée'!$K$13,""),IF(U145&lt;$H$168*'Feuille de Donnée'!$I$9,"Négligeable",(IF(AND(S145&gt;=$F145*(1-'Feuille de Donnée'!$E$12),S145&lt;=$F145*(1+'Feuille de Donnée'!$F$12)),'Feuille de Donnée'!$F$17,IF(S145&lt;$F145*(1-'Feuille de Donnée'!$E$12),'Feuille de Donnée'!$F$18,'Feuille de Donnée'!$F$16))&amp;""&amp;IF(AND(T145&gt;=$G145*(1-'Feuille de Donnée'!$E$27),T145&lt;=$G145*(1+'Feuille de Donnée'!$F$27)),'Feuille de Donnée'!$F$32,IF(T145&lt;$G145*(1-'Feuille de Donnée'!$E$27),'Feuille de Donnée'!$F$33,'Feuille de Donnée'!$F$31)))))</f>
        <v/>
      </c>
      <c r="Z145" s="138"/>
      <c r="AA145" s="103"/>
      <c r="AB145" s="27"/>
      <c r="AC145" s="27"/>
      <c r="AD145" s="27" t="str">
        <f t="shared" si="45"/>
        <v/>
      </c>
      <c r="AE145" s="121" t="str">
        <f t="shared" si="46"/>
        <v/>
      </c>
      <c r="AF145" s="121" t="str">
        <f t="shared" si="47"/>
        <v/>
      </c>
      <c r="AG145" s="27" t="str">
        <f>IF(AND(ISBLANK(AI145),AH145=""),"",1+MAX(AG$21:AG144))</f>
        <v/>
      </c>
      <c r="AH145" s="137" t="str">
        <f>IF(OR(AD145="",AD145=0,$H145="",$H145=0,NOT(ISNUMBER($H145)),NOT(ISNUMBER(AD145))),IF(AND($E145&lt;&gt;"",AND(OR(ISNUMBER(AD145),AD145=""),AND(ISNUMBER($H145),$H145&gt;0))),'Feuille de Donnée'!$K$13,""),IF(AD145&lt;$H$168*'Feuille de Donnée'!$I$9,"Négligeable",(IF(AND(AB145&gt;=$F145*(1-'Feuille de Donnée'!$E$12),AB145&lt;=$F145*(1+'Feuille de Donnée'!$F$12)),'Feuille de Donnée'!$F$17,IF(AB145&lt;$F145*(1-'Feuille de Donnée'!$E$12),'Feuille de Donnée'!$F$18,'Feuille de Donnée'!$F$16))&amp;""&amp;IF(AND(AC145&gt;=$G145*(1-'Feuille de Donnée'!$E$27),AC145&lt;=$G145*(1+'Feuille de Donnée'!$F$27)),'Feuille de Donnée'!$F$32,IF(AC145&lt;$G145*(1-'Feuille de Donnée'!$E$27),'Feuille de Donnée'!$F$33,'Feuille de Donnée'!$F$31)))))</f>
        <v/>
      </c>
      <c r="AI145" s="138"/>
      <c r="AJ145" s="103"/>
      <c r="AK145" s="27"/>
      <c r="AL145" s="27"/>
      <c r="AM145" s="27" t="str">
        <f t="shared" si="48"/>
        <v/>
      </c>
      <c r="AN145" s="121" t="str">
        <f t="shared" si="49"/>
        <v/>
      </c>
      <c r="AO145" s="121" t="str">
        <f t="shared" si="50"/>
        <v/>
      </c>
      <c r="AP145" s="27" t="str">
        <f>IF(AND(ISBLANK(AR145),AQ145=""),"",1+MAX(AP$21:AP144))</f>
        <v/>
      </c>
      <c r="AQ145" s="137" t="str">
        <f>IF(OR(AM145="",AM145=0,$H145="",$H145=0,NOT(ISNUMBER($H145)),NOT(ISNUMBER(AM145))),IF(AND($E145&lt;&gt;"",AND(OR(ISNUMBER(AM145),AM145=""),AND(ISNUMBER($H145),$H145&gt;0))),'Feuille de Donnée'!$K$13,""),IF(AM145&lt;$H$168*'Feuille de Donnée'!$I$9,"Négligeable",(IF(AND(AK145&gt;=$F145*(1-'Feuille de Donnée'!$E$12),AK145&lt;=$F145*(1+'Feuille de Donnée'!$F$12)),'Feuille de Donnée'!$F$17,IF(AK145&lt;$F145*(1-'Feuille de Donnée'!$E$12),'Feuille de Donnée'!$F$18,'Feuille de Donnée'!$F$16))&amp;""&amp;IF(AND(AL145&gt;=$G145*(1-'Feuille de Donnée'!$E$27),AL145&lt;=$G145*(1+'Feuille de Donnée'!$F$27)),'Feuille de Donnée'!$F$32,IF(AL145&lt;$G145*(1-'Feuille de Donnée'!$E$27),'Feuille de Donnée'!$F$33,'Feuille de Donnée'!$F$31)))))</f>
        <v/>
      </c>
      <c r="AR145" s="138"/>
      <c r="AS145" s="103"/>
      <c r="AT145" s="27"/>
      <c r="AU145" s="27"/>
      <c r="AV145" s="27" t="str">
        <f t="shared" si="51"/>
        <v/>
      </c>
      <c r="AW145" s="121" t="str">
        <f t="shared" si="52"/>
        <v/>
      </c>
      <c r="AX145" s="121" t="str">
        <f t="shared" si="53"/>
        <v/>
      </c>
      <c r="AY145" s="27" t="str">
        <f>IF(AND(ISBLANK(BA145),AZ145=""),"",1+MAX(AY$21:AY144))</f>
        <v/>
      </c>
      <c r="AZ145" s="137" t="str">
        <f>IF(OR(AV145="",AV145=0,$H145="",$H145=0,NOT(ISNUMBER($H145)),NOT(ISNUMBER(AV145))),IF(AND($E145&lt;&gt;"",AND(OR(ISNUMBER(AV145),AV145=""),AND(ISNUMBER($H145),$H145&gt;0))),'Feuille de Donnée'!$K$13,""),IF(AV145&lt;$H$168*'Feuille de Donnée'!$I$9,"Négligeable",(IF(AND(AT145&gt;=$F145*(1-'Feuille de Donnée'!$E$12),AT145&lt;=$F145*(1+'Feuille de Donnée'!$F$12)),'Feuille de Donnée'!$F$17,IF(AT145&lt;$F145*(1-'Feuille de Donnée'!$E$12),'Feuille de Donnée'!$F$18,'Feuille de Donnée'!$F$16))&amp;""&amp;IF(AND(AU145&gt;=$G145*(1-'Feuille de Donnée'!$E$27),AU145&lt;=$G145*(1+'Feuille de Donnée'!$F$27)),'Feuille de Donnée'!$F$32,IF(AU145&lt;$G145*(1-'Feuille de Donnée'!$E$27),'Feuille de Donnée'!$F$33,'Feuille de Donnée'!$F$31)))))</f>
        <v/>
      </c>
      <c r="BA145" s="138"/>
      <c r="BB145" s="103"/>
      <c r="BC145" s="27"/>
      <c r="BD145" s="27"/>
      <c r="BE145" s="27" t="str">
        <f t="shared" si="54"/>
        <v/>
      </c>
      <c r="BF145" s="121" t="str">
        <f t="shared" si="55"/>
        <v/>
      </c>
      <c r="BG145" s="121" t="str">
        <f t="shared" si="56"/>
        <v/>
      </c>
      <c r="BH145" s="27" t="str">
        <f>IF(AND(ISBLANK(BJ145),BI145=""),"",1+MAX(BH$21:BH144))</f>
        <v/>
      </c>
      <c r="BI145" s="137" t="str">
        <f>IF(OR(BE145="",BE145=0,$H145="",$H145=0,NOT(ISNUMBER($H145)),NOT(ISNUMBER(BE145))),IF(AND($E145&lt;&gt;"",AND(OR(ISNUMBER(BE145),BE145=""),AND(ISNUMBER($H145),$H145&gt;0))),'Feuille de Donnée'!$K$13,""),IF(BE145&lt;$H$168*'Feuille de Donnée'!$I$9,"Négligeable",(IF(AND(BC145&gt;=$F145*(1-'Feuille de Donnée'!$E$12),BC145&lt;=$F145*(1+'Feuille de Donnée'!$F$12)),'Feuille de Donnée'!$F$17,IF(BC145&lt;$F145*(1-'Feuille de Donnée'!$E$12),'Feuille de Donnée'!$F$18,'Feuille de Donnée'!$F$16))&amp;""&amp;IF(AND(BD145&gt;=$G145*(1-'Feuille de Donnée'!$E$27),BD145&lt;=$G145*(1+'Feuille de Donnée'!$F$27)),'Feuille de Donnée'!$F$32,IF(BD145&lt;$G145*(1-'Feuille de Donnée'!$E$27),'Feuille de Donnée'!$F$33,'Feuille de Donnée'!$F$31)))))</f>
        <v/>
      </c>
      <c r="BJ145" s="138"/>
      <c r="BK145" s="140"/>
    </row>
    <row r="146" spans="1:63" s="6" customFormat="1" x14ac:dyDescent="0.3">
      <c r="A146" s="23"/>
      <c r="B146" s="24"/>
      <c r="C146" s="24"/>
      <c r="D146" s="24"/>
      <c r="E146" s="22"/>
      <c r="F146" s="25"/>
      <c r="G146" s="26"/>
      <c r="H146" s="102" t="str">
        <f t="shared" si="38"/>
        <v/>
      </c>
      <c r="I146" s="103"/>
      <c r="J146" s="27"/>
      <c r="K146" s="27"/>
      <c r="L146" s="27" t="str">
        <f t="shared" si="39"/>
        <v/>
      </c>
      <c r="M146" s="121" t="str">
        <f t="shared" si="40"/>
        <v/>
      </c>
      <c r="N146" s="121" t="str">
        <f t="shared" si="41"/>
        <v/>
      </c>
      <c r="O146" s="27" t="str">
        <f>IF(AND(ISBLANK(Q146),P146=""),"",1+MAX(O$21:O145))</f>
        <v/>
      </c>
      <c r="P146" s="137" t="str">
        <f>IF(OR(L146="",L146=0,$H146="",$H146=0,NOT(ISNUMBER($H146)),NOT(ISNUMBER(L146))),IF(AND($E146&lt;&gt;"",AND(OR(ISNUMBER(L146),L146=""),AND(ISNUMBER($H146),$H146&gt;0))),'Feuille de Donnée'!$K$13,""),IF(L146&lt;$H$168*'Feuille de Donnée'!$I$9,"Négligeable",(IF(AND(J146&gt;=$F146*(1-'Feuille de Donnée'!$E$12),J146&lt;=$F146*(1+'Feuille de Donnée'!$F$12)),'Feuille de Donnée'!$F$17,IF(J146&lt;$F146*(1-'Feuille de Donnée'!$E$12),'Feuille de Donnée'!$F$18,'Feuille de Donnée'!$F$16))&amp;""&amp;IF(AND(K146&gt;=$G146*(1-'Feuille de Donnée'!$E$27),K146&lt;=$G146*(1+'Feuille de Donnée'!$F$27)),'Feuille de Donnée'!$F$32,IF(K146&lt;$G146*(1-'Feuille de Donnée'!$E$27),'Feuille de Donnée'!$F$33,'Feuille de Donnée'!$F$31)))))</f>
        <v/>
      </c>
      <c r="Q146" s="138"/>
      <c r="R146" s="103"/>
      <c r="S146" s="27"/>
      <c r="T146" s="27"/>
      <c r="U146" s="27" t="str">
        <f t="shared" si="42"/>
        <v/>
      </c>
      <c r="V146" s="121" t="str">
        <f t="shared" si="43"/>
        <v/>
      </c>
      <c r="W146" s="121" t="str">
        <f t="shared" si="44"/>
        <v/>
      </c>
      <c r="X146" s="27" t="str">
        <f>IF(AND(ISBLANK(Z146),Y146=""),"",1+MAX(X$21:X145))</f>
        <v/>
      </c>
      <c r="Y146" s="137" t="str">
        <f>IF(OR(U146="",U146=0,$H146="",$H146=0,NOT(ISNUMBER($H146)),NOT(ISNUMBER(U146))),IF(AND($E146&lt;&gt;"",AND(OR(ISNUMBER(U146),U146=""),AND(ISNUMBER($H146),$H146&gt;0))),'Feuille de Donnée'!$K$13,""),IF(U146&lt;$H$168*'Feuille de Donnée'!$I$9,"Négligeable",(IF(AND(S146&gt;=$F146*(1-'Feuille de Donnée'!$E$12),S146&lt;=$F146*(1+'Feuille de Donnée'!$F$12)),'Feuille de Donnée'!$F$17,IF(S146&lt;$F146*(1-'Feuille de Donnée'!$E$12),'Feuille de Donnée'!$F$18,'Feuille de Donnée'!$F$16))&amp;""&amp;IF(AND(T146&gt;=$G146*(1-'Feuille de Donnée'!$E$27),T146&lt;=$G146*(1+'Feuille de Donnée'!$F$27)),'Feuille de Donnée'!$F$32,IF(T146&lt;$G146*(1-'Feuille de Donnée'!$E$27),'Feuille de Donnée'!$F$33,'Feuille de Donnée'!$F$31)))))</f>
        <v/>
      </c>
      <c r="Z146" s="138"/>
      <c r="AA146" s="103"/>
      <c r="AB146" s="27"/>
      <c r="AC146" s="27"/>
      <c r="AD146" s="27" t="str">
        <f t="shared" si="45"/>
        <v/>
      </c>
      <c r="AE146" s="121" t="str">
        <f t="shared" si="46"/>
        <v/>
      </c>
      <c r="AF146" s="121" t="str">
        <f t="shared" si="47"/>
        <v/>
      </c>
      <c r="AG146" s="27" t="str">
        <f>IF(AND(ISBLANK(AI146),AH146=""),"",1+MAX(AG$21:AG145))</f>
        <v/>
      </c>
      <c r="AH146" s="137" t="str">
        <f>IF(OR(AD146="",AD146=0,$H146="",$H146=0,NOT(ISNUMBER($H146)),NOT(ISNUMBER(AD146))),IF(AND($E146&lt;&gt;"",AND(OR(ISNUMBER(AD146),AD146=""),AND(ISNUMBER($H146),$H146&gt;0))),'Feuille de Donnée'!$K$13,""),IF(AD146&lt;$H$168*'Feuille de Donnée'!$I$9,"Négligeable",(IF(AND(AB146&gt;=$F146*(1-'Feuille de Donnée'!$E$12),AB146&lt;=$F146*(1+'Feuille de Donnée'!$F$12)),'Feuille de Donnée'!$F$17,IF(AB146&lt;$F146*(1-'Feuille de Donnée'!$E$12),'Feuille de Donnée'!$F$18,'Feuille de Donnée'!$F$16))&amp;""&amp;IF(AND(AC146&gt;=$G146*(1-'Feuille de Donnée'!$E$27),AC146&lt;=$G146*(1+'Feuille de Donnée'!$F$27)),'Feuille de Donnée'!$F$32,IF(AC146&lt;$G146*(1-'Feuille de Donnée'!$E$27),'Feuille de Donnée'!$F$33,'Feuille de Donnée'!$F$31)))))</f>
        <v/>
      </c>
      <c r="AI146" s="138"/>
      <c r="AJ146" s="103"/>
      <c r="AK146" s="27"/>
      <c r="AL146" s="27"/>
      <c r="AM146" s="27" t="str">
        <f t="shared" si="48"/>
        <v/>
      </c>
      <c r="AN146" s="121" t="str">
        <f t="shared" si="49"/>
        <v/>
      </c>
      <c r="AO146" s="121" t="str">
        <f t="shared" si="50"/>
        <v/>
      </c>
      <c r="AP146" s="27" t="str">
        <f>IF(AND(ISBLANK(AR146),AQ146=""),"",1+MAX(AP$21:AP145))</f>
        <v/>
      </c>
      <c r="AQ146" s="137" t="str">
        <f>IF(OR(AM146="",AM146=0,$H146="",$H146=0,NOT(ISNUMBER($H146)),NOT(ISNUMBER(AM146))),IF(AND($E146&lt;&gt;"",AND(OR(ISNUMBER(AM146),AM146=""),AND(ISNUMBER($H146),$H146&gt;0))),'Feuille de Donnée'!$K$13,""),IF(AM146&lt;$H$168*'Feuille de Donnée'!$I$9,"Négligeable",(IF(AND(AK146&gt;=$F146*(1-'Feuille de Donnée'!$E$12),AK146&lt;=$F146*(1+'Feuille de Donnée'!$F$12)),'Feuille de Donnée'!$F$17,IF(AK146&lt;$F146*(1-'Feuille de Donnée'!$E$12),'Feuille de Donnée'!$F$18,'Feuille de Donnée'!$F$16))&amp;""&amp;IF(AND(AL146&gt;=$G146*(1-'Feuille de Donnée'!$E$27),AL146&lt;=$G146*(1+'Feuille de Donnée'!$F$27)),'Feuille de Donnée'!$F$32,IF(AL146&lt;$G146*(1-'Feuille de Donnée'!$E$27),'Feuille de Donnée'!$F$33,'Feuille de Donnée'!$F$31)))))</f>
        <v/>
      </c>
      <c r="AR146" s="138"/>
      <c r="AS146" s="103"/>
      <c r="AT146" s="27"/>
      <c r="AU146" s="27"/>
      <c r="AV146" s="27" t="str">
        <f t="shared" si="51"/>
        <v/>
      </c>
      <c r="AW146" s="121" t="str">
        <f t="shared" si="52"/>
        <v/>
      </c>
      <c r="AX146" s="121" t="str">
        <f t="shared" si="53"/>
        <v/>
      </c>
      <c r="AY146" s="27" t="str">
        <f>IF(AND(ISBLANK(BA146),AZ146=""),"",1+MAX(AY$21:AY145))</f>
        <v/>
      </c>
      <c r="AZ146" s="137" t="str">
        <f>IF(OR(AV146="",AV146=0,$H146="",$H146=0,NOT(ISNUMBER($H146)),NOT(ISNUMBER(AV146))),IF(AND($E146&lt;&gt;"",AND(OR(ISNUMBER(AV146),AV146=""),AND(ISNUMBER($H146),$H146&gt;0))),'Feuille de Donnée'!$K$13,""),IF(AV146&lt;$H$168*'Feuille de Donnée'!$I$9,"Négligeable",(IF(AND(AT146&gt;=$F146*(1-'Feuille de Donnée'!$E$12),AT146&lt;=$F146*(1+'Feuille de Donnée'!$F$12)),'Feuille de Donnée'!$F$17,IF(AT146&lt;$F146*(1-'Feuille de Donnée'!$E$12),'Feuille de Donnée'!$F$18,'Feuille de Donnée'!$F$16))&amp;""&amp;IF(AND(AU146&gt;=$G146*(1-'Feuille de Donnée'!$E$27),AU146&lt;=$G146*(1+'Feuille de Donnée'!$F$27)),'Feuille de Donnée'!$F$32,IF(AU146&lt;$G146*(1-'Feuille de Donnée'!$E$27),'Feuille de Donnée'!$F$33,'Feuille de Donnée'!$F$31)))))</f>
        <v/>
      </c>
      <c r="BA146" s="138"/>
      <c r="BB146" s="103"/>
      <c r="BC146" s="27"/>
      <c r="BD146" s="27"/>
      <c r="BE146" s="27" t="str">
        <f t="shared" si="54"/>
        <v/>
      </c>
      <c r="BF146" s="121" t="str">
        <f t="shared" si="55"/>
        <v/>
      </c>
      <c r="BG146" s="121" t="str">
        <f t="shared" si="56"/>
        <v/>
      </c>
      <c r="BH146" s="27" t="str">
        <f>IF(AND(ISBLANK(BJ146),BI146=""),"",1+MAX(BH$21:BH145))</f>
        <v/>
      </c>
      <c r="BI146" s="137" t="str">
        <f>IF(OR(BE146="",BE146=0,$H146="",$H146=0,NOT(ISNUMBER($H146)),NOT(ISNUMBER(BE146))),IF(AND($E146&lt;&gt;"",AND(OR(ISNUMBER(BE146),BE146=""),AND(ISNUMBER($H146),$H146&gt;0))),'Feuille de Donnée'!$K$13,""),IF(BE146&lt;$H$168*'Feuille de Donnée'!$I$9,"Négligeable",(IF(AND(BC146&gt;=$F146*(1-'Feuille de Donnée'!$E$12),BC146&lt;=$F146*(1+'Feuille de Donnée'!$F$12)),'Feuille de Donnée'!$F$17,IF(BC146&lt;$F146*(1-'Feuille de Donnée'!$E$12),'Feuille de Donnée'!$F$18,'Feuille de Donnée'!$F$16))&amp;""&amp;IF(AND(BD146&gt;=$G146*(1-'Feuille de Donnée'!$E$27),BD146&lt;=$G146*(1+'Feuille de Donnée'!$F$27)),'Feuille de Donnée'!$F$32,IF(BD146&lt;$G146*(1-'Feuille de Donnée'!$E$27),'Feuille de Donnée'!$F$33,'Feuille de Donnée'!$F$31)))))</f>
        <v/>
      </c>
      <c r="BJ146" s="138"/>
      <c r="BK146" s="140"/>
    </row>
    <row r="147" spans="1:63" s="6" customFormat="1" x14ac:dyDescent="0.3">
      <c r="A147" s="23"/>
      <c r="B147" s="24"/>
      <c r="C147" s="24"/>
      <c r="D147" s="24"/>
      <c r="E147" s="22"/>
      <c r="F147" s="25"/>
      <c r="G147" s="26"/>
      <c r="H147" s="102" t="str">
        <f t="shared" si="38"/>
        <v/>
      </c>
      <c r="I147" s="103"/>
      <c r="J147" s="27"/>
      <c r="K147" s="27"/>
      <c r="L147" s="27" t="str">
        <f t="shared" si="39"/>
        <v/>
      </c>
      <c r="M147" s="121" t="str">
        <f t="shared" si="40"/>
        <v/>
      </c>
      <c r="N147" s="121" t="str">
        <f t="shared" si="41"/>
        <v/>
      </c>
      <c r="O147" s="27" t="str">
        <f>IF(AND(ISBLANK(Q147),P147=""),"",1+MAX(O$21:O146))</f>
        <v/>
      </c>
      <c r="P147" s="137" t="str">
        <f>IF(OR(L147="",L147=0,$H147="",$H147=0,NOT(ISNUMBER($H147)),NOT(ISNUMBER(L147))),IF(AND($E147&lt;&gt;"",AND(OR(ISNUMBER(L147),L147=""),AND(ISNUMBER($H147),$H147&gt;0))),'Feuille de Donnée'!$K$13,""),IF(L147&lt;$H$168*'Feuille de Donnée'!$I$9,"Négligeable",(IF(AND(J147&gt;=$F147*(1-'Feuille de Donnée'!$E$12),J147&lt;=$F147*(1+'Feuille de Donnée'!$F$12)),'Feuille de Donnée'!$F$17,IF(J147&lt;$F147*(1-'Feuille de Donnée'!$E$12),'Feuille de Donnée'!$F$18,'Feuille de Donnée'!$F$16))&amp;""&amp;IF(AND(K147&gt;=$G147*(1-'Feuille de Donnée'!$E$27),K147&lt;=$G147*(1+'Feuille de Donnée'!$F$27)),'Feuille de Donnée'!$F$32,IF(K147&lt;$G147*(1-'Feuille de Donnée'!$E$27),'Feuille de Donnée'!$F$33,'Feuille de Donnée'!$F$31)))))</f>
        <v/>
      </c>
      <c r="Q147" s="138"/>
      <c r="R147" s="103"/>
      <c r="S147" s="27"/>
      <c r="T147" s="27"/>
      <c r="U147" s="27" t="str">
        <f t="shared" si="42"/>
        <v/>
      </c>
      <c r="V147" s="121" t="str">
        <f t="shared" si="43"/>
        <v/>
      </c>
      <c r="W147" s="121" t="str">
        <f t="shared" si="44"/>
        <v/>
      </c>
      <c r="X147" s="27" t="str">
        <f>IF(AND(ISBLANK(Z147),Y147=""),"",1+MAX(X$21:X146))</f>
        <v/>
      </c>
      <c r="Y147" s="137" t="str">
        <f>IF(OR(U147="",U147=0,$H147="",$H147=0,NOT(ISNUMBER($H147)),NOT(ISNUMBER(U147))),IF(AND($E147&lt;&gt;"",AND(OR(ISNUMBER(U147),U147=""),AND(ISNUMBER($H147),$H147&gt;0))),'Feuille de Donnée'!$K$13,""),IF(U147&lt;$H$168*'Feuille de Donnée'!$I$9,"Négligeable",(IF(AND(S147&gt;=$F147*(1-'Feuille de Donnée'!$E$12),S147&lt;=$F147*(1+'Feuille de Donnée'!$F$12)),'Feuille de Donnée'!$F$17,IF(S147&lt;$F147*(1-'Feuille de Donnée'!$E$12),'Feuille de Donnée'!$F$18,'Feuille de Donnée'!$F$16))&amp;""&amp;IF(AND(T147&gt;=$G147*(1-'Feuille de Donnée'!$E$27),T147&lt;=$G147*(1+'Feuille de Donnée'!$F$27)),'Feuille de Donnée'!$F$32,IF(T147&lt;$G147*(1-'Feuille de Donnée'!$E$27),'Feuille de Donnée'!$F$33,'Feuille de Donnée'!$F$31)))))</f>
        <v/>
      </c>
      <c r="Z147" s="138"/>
      <c r="AA147" s="103"/>
      <c r="AB147" s="27"/>
      <c r="AC147" s="27"/>
      <c r="AD147" s="27" t="str">
        <f t="shared" si="45"/>
        <v/>
      </c>
      <c r="AE147" s="121" t="str">
        <f t="shared" si="46"/>
        <v/>
      </c>
      <c r="AF147" s="121" t="str">
        <f t="shared" si="47"/>
        <v/>
      </c>
      <c r="AG147" s="27" t="str">
        <f>IF(AND(ISBLANK(AI147),AH147=""),"",1+MAX(AG$21:AG146))</f>
        <v/>
      </c>
      <c r="AH147" s="137" t="str">
        <f>IF(OR(AD147="",AD147=0,$H147="",$H147=0,NOT(ISNUMBER($H147)),NOT(ISNUMBER(AD147))),IF(AND($E147&lt;&gt;"",AND(OR(ISNUMBER(AD147),AD147=""),AND(ISNUMBER($H147),$H147&gt;0))),'Feuille de Donnée'!$K$13,""),IF(AD147&lt;$H$168*'Feuille de Donnée'!$I$9,"Négligeable",(IF(AND(AB147&gt;=$F147*(1-'Feuille de Donnée'!$E$12),AB147&lt;=$F147*(1+'Feuille de Donnée'!$F$12)),'Feuille de Donnée'!$F$17,IF(AB147&lt;$F147*(1-'Feuille de Donnée'!$E$12),'Feuille de Donnée'!$F$18,'Feuille de Donnée'!$F$16))&amp;""&amp;IF(AND(AC147&gt;=$G147*(1-'Feuille de Donnée'!$E$27),AC147&lt;=$G147*(1+'Feuille de Donnée'!$F$27)),'Feuille de Donnée'!$F$32,IF(AC147&lt;$G147*(1-'Feuille de Donnée'!$E$27),'Feuille de Donnée'!$F$33,'Feuille de Donnée'!$F$31)))))</f>
        <v/>
      </c>
      <c r="AI147" s="138"/>
      <c r="AJ147" s="103"/>
      <c r="AK147" s="27"/>
      <c r="AL147" s="27"/>
      <c r="AM147" s="27" t="str">
        <f t="shared" si="48"/>
        <v/>
      </c>
      <c r="AN147" s="121" t="str">
        <f t="shared" si="49"/>
        <v/>
      </c>
      <c r="AO147" s="121" t="str">
        <f t="shared" si="50"/>
        <v/>
      </c>
      <c r="AP147" s="27" t="str">
        <f>IF(AND(ISBLANK(AR147),AQ147=""),"",1+MAX(AP$21:AP146))</f>
        <v/>
      </c>
      <c r="AQ147" s="137" t="str">
        <f>IF(OR(AM147="",AM147=0,$H147="",$H147=0,NOT(ISNUMBER($H147)),NOT(ISNUMBER(AM147))),IF(AND($E147&lt;&gt;"",AND(OR(ISNUMBER(AM147),AM147=""),AND(ISNUMBER($H147),$H147&gt;0))),'Feuille de Donnée'!$K$13,""),IF(AM147&lt;$H$168*'Feuille de Donnée'!$I$9,"Négligeable",(IF(AND(AK147&gt;=$F147*(1-'Feuille de Donnée'!$E$12),AK147&lt;=$F147*(1+'Feuille de Donnée'!$F$12)),'Feuille de Donnée'!$F$17,IF(AK147&lt;$F147*(1-'Feuille de Donnée'!$E$12),'Feuille de Donnée'!$F$18,'Feuille de Donnée'!$F$16))&amp;""&amp;IF(AND(AL147&gt;=$G147*(1-'Feuille de Donnée'!$E$27),AL147&lt;=$G147*(1+'Feuille de Donnée'!$F$27)),'Feuille de Donnée'!$F$32,IF(AL147&lt;$G147*(1-'Feuille de Donnée'!$E$27),'Feuille de Donnée'!$F$33,'Feuille de Donnée'!$F$31)))))</f>
        <v/>
      </c>
      <c r="AR147" s="138"/>
      <c r="AS147" s="103"/>
      <c r="AT147" s="27"/>
      <c r="AU147" s="27"/>
      <c r="AV147" s="27" t="str">
        <f t="shared" si="51"/>
        <v/>
      </c>
      <c r="AW147" s="121" t="str">
        <f t="shared" si="52"/>
        <v/>
      </c>
      <c r="AX147" s="121" t="str">
        <f t="shared" si="53"/>
        <v/>
      </c>
      <c r="AY147" s="27" t="str">
        <f>IF(AND(ISBLANK(BA147),AZ147=""),"",1+MAX(AY$21:AY146))</f>
        <v/>
      </c>
      <c r="AZ147" s="137" t="str">
        <f>IF(OR(AV147="",AV147=0,$H147="",$H147=0,NOT(ISNUMBER($H147)),NOT(ISNUMBER(AV147))),IF(AND($E147&lt;&gt;"",AND(OR(ISNUMBER(AV147),AV147=""),AND(ISNUMBER($H147),$H147&gt;0))),'Feuille de Donnée'!$K$13,""),IF(AV147&lt;$H$168*'Feuille de Donnée'!$I$9,"Négligeable",(IF(AND(AT147&gt;=$F147*(1-'Feuille de Donnée'!$E$12),AT147&lt;=$F147*(1+'Feuille de Donnée'!$F$12)),'Feuille de Donnée'!$F$17,IF(AT147&lt;$F147*(1-'Feuille de Donnée'!$E$12),'Feuille de Donnée'!$F$18,'Feuille de Donnée'!$F$16))&amp;""&amp;IF(AND(AU147&gt;=$G147*(1-'Feuille de Donnée'!$E$27),AU147&lt;=$G147*(1+'Feuille de Donnée'!$F$27)),'Feuille de Donnée'!$F$32,IF(AU147&lt;$G147*(1-'Feuille de Donnée'!$E$27),'Feuille de Donnée'!$F$33,'Feuille de Donnée'!$F$31)))))</f>
        <v/>
      </c>
      <c r="BA147" s="138"/>
      <c r="BB147" s="103"/>
      <c r="BC147" s="27"/>
      <c r="BD147" s="27"/>
      <c r="BE147" s="27" t="str">
        <f t="shared" si="54"/>
        <v/>
      </c>
      <c r="BF147" s="121" t="str">
        <f t="shared" si="55"/>
        <v/>
      </c>
      <c r="BG147" s="121" t="str">
        <f t="shared" si="56"/>
        <v/>
      </c>
      <c r="BH147" s="27" t="str">
        <f>IF(AND(ISBLANK(BJ147),BI147=""),"",1+MAX(BH$21:BH146))</f>
        <v/>
      </c>
      <c r="BI147" s="137" t="str">
        <f>IF(OR(BE147="",BE147=0,$H147="",$H147=0,NOT(ISNUMBER($H147)),NOT(ISNUMBER(BE147))),IF(AND($E147&lt;&gt;"",AND(OR(ISNUMBER(BE147),BE147=""),AND(ISNUMBER($H147),$H147&gt;0))),'Feuille de Donnée'!$K$13,""),IF(BE147&lt;$H$168*'Feuille de Donnée'!$I$9,"Négligeable",(IF(AND(BC147&gt;=$F147*(1-'Feuille de Donnée'!$E$12),BC147&lt;=$F147*(1+'Feuille de Donnée'!$F$12)),'Feuille de Donnée'!$F$17,IF(BC147&lt;$F147*(1-'Feuille de Donnée'!$E$12),'Feuille de Donnée'!$F$18,'Feuille de Donnée'!$F$16))&amp;""&amp;IF(AND(BD147&gt;=$G147*(1-'Feuille de Donnée'!$E$27),BD147&lt;=$G147*(1+'Feuille de Donnée'!$F$27)),'Feuille de Donnée'!$F$32,IF(BD147&lt;$G147*(1-'Feuille de Donnée'!$E$27),'Feuille de Donnée'!$F$33,'Feuille de Donnée'!$F$31)))))</f>
        <v/>
      </c>
      <c r="BJ147" s="138"/>
      <c r="BK147" s="140"/>
    </row>
    <row r="148" spans="1:63" s="6" customFormat="1" x14ac:dyDescent="0.3">
      <c r="A148" s="23"/>
      <c r="B148" s="24"/>
      <c r="C148" s="24"/>
      <c r="D148" s="24"/>
      <c r="E148" s="22"/>
      <c r="F148" s="25"/>
      <c r="G148" s="26"/>
      <c r="H148" s="102" t="str">
        <f t="shared" si="38"/>
        <v/>
      </c>
      <c r="I148" s="103"/>
      <c r="J148" s="27"/>
      <c r="K148" s="27"/>
      <c r="L148" s="27" t="str">
        <f t="shared" si="39"/>
        <v/>
      </c>
      <c r="M148" s="121" t="str">
        <f t="shared" si="40"/>
        <v/>
      </c>
      <c r="N148" s="121" t="str">
        <f t="shared" si="41"/>
        <v/>
      </c>
      <c r="O148" s="27" t="str">
        <f>IF(AND(ISBLANK(Q148),P148=""),"",1+MAX(O$21:O147))</f>
        <v/>
      </c>
      <c r="P148" s="137" t="str">
        <f>IF(OR(L148="",L148=0,$H148="",$H148=0,NOT(ISNUMBER($H148)),NOT(ISNUMBER(L148))),IF(AND($E148&lt;&gt;"",AND(OR(ISNUMBER(L148),L148=""),AND(ISNUMBER($H148),$H148&gt;0))),'Feuille de Donnée'!$K$13,""),IF(L148&lt;$H$168*'Feuille de Donnée'!$I$9,"Négligeable",(IF(AND(J148&gt;=$F148*(1-'Feuille de Donnée'!$E$12),J148&lt;=$F148*(1+'Feuille de Donnée'!$F$12)),'Feuille de Donnée'!$F$17,IF(J148&lt;$F148*(1-'Feuille de Donnée'!$E$12),'Feuille de Donnée'!$F$18,'Feuille de Donnée'!$F$16))&amp;""&amp;IF(AND(K148&gt;=$G148*(1-'Feuille de Donnée'!$E$27),K148&lt;=$G148*(1+'Feuille de Donnée'!$F$27)),'Feuille de Donnée'!$F$32,IF(K148&lt;$G148*(1-'Feuille de Donnée'!$E$27),'Feuille de Donnée'!$F$33,'Feuille de Donnée'!$F$31)))))</f>
        <v/>
      </c>
      <c r="Q148" s="138"/>
      <c r="R148" s="103"/>
      <c r="S148" s="27"/>
      <c r="T148" s="27"/>
      <c r="U148" s="27" t="str">
        <f t="shared" si="42"/>
        <v/>
      </c>
      <c r="V148" s="121" t="str">
        <f t="shared" si="43"/>
        <v/>
      </c>
      <c r="W148" s="121" t="str">
        <f t="shared" si="44"/>
        <v/>
      </c>
      <c r="X148" s="27" t="str">
        <f>IF(AND(ISBLANK(Z148),Y148=""),"",1+MAX(X$21:X147))</f>
        <v/>
      </c>
      <c r="Y148" s="137" t="str">
        <f>IF(OR(U148="",U148=0,$H148="",$H148=0,NOT(ISNUMBER($H148)),NOT(ISNUMBER(U148))),IF(AND($E148&lt;&gt;"",AND(OR(ISNUMBER(U148),U148=""),AND(ISNUMBER($H148),$H148&gt;0))),'Feuille de Donnée'!$K$13,""),IF(U148&lt;$H$168*'Feuille de Donnée'!$I$9,"Négligeable",(IF(AND(S148&gt;=$F148*(1-'Feuille de Donnée'!$E$12),S148&lt;=$F148*(1+'Feuille de Donnée'!$F$12)),'Feuille de Donnée'!$F$17,IF(S148&lt;$F148*(1-'Feuille de Donnée'!$E$12),'Feuille de Donnée'!$F$18,'Feuille de Donnée'!$F$16))&amp;""&amp;IF(AND(T148&gt;=$G148*(1-'Feuille de Donnée'!$E$27),T148&lt;=$G148*(1+'Feuille de Donnée'!$F$27)),'Feuille de Donnée'!$F$32,IF(T148&lt;$G148*(1-'Feuille de Donnée'!$E$27),'Feuille de Donnée'!$F$33,'Feuille de Donnée'!$F$31)))))</f>
        <v/>
      </c>
      <c r="Z148" s="138"/>
      <c r="AA148" s="103"/>
      <c r="AB148" s="27"/>
      <c r="AC148" s="27"/>
      <c r="AD148" s="27" t="str">
        <f t="shared" si="45"/>
        <v/>
      </c>
      <c r="AE148" s="121" t="str">
        <f t="shared" si="46"/>
        <v/>
      </c>
      <c r="AF148" s="121" t="str">
        <f t="shared" si="47"/>
        <v/>
      </c>
      <c r="AG148" s="27" t="str">
        <f>IF(AND(ISBLANK(AI148),AH148=""),"",1+MAX(AG$21:AG147))</f>
        <v/>
      </c>
      <c r="AH148" s="137" t="str">
        <f>IF(OR(AD148="",AD148=0,$H148="",$H148=0,NOT(ISNUMBER($H148)),NOT(ISNUMBER(AD148))),IF(AND($E148&lt;&gt;"",AND(OR(ISNUMBER(AD148),AD148=""),AND(ISNUMBER($H148),$H148&gt;0))),'Feuille de Donnée'!$K$13,""),IF(AD148&lt;$H$168*'Feuille de Donnée'!$I$9,"Négligeable",(IF(AND(AB148&gt;=$F148*(1-'Feuille de Donnée'!$E$12),AB148&lt;=$F148*(1+'Feuille de Donnée'!$F$12)),'Feuille de Donnée'!$F$17,IF(AB148&lt;$F148*(1-'Feuille de Donnée'!$E$12),'Feuille de Donnée'!$F$18,'Feuille de Donnée'!$F$16))&amp;""&amp;IF(AND(AC148&gt;=$G148*(1-'Feuille de Donnée'!$E$27),AC148&lt;=$G148*(1+'Feuille de Donnée'!$F$27)),'Feuille de Donnée'!$F$32,IF(AC148&lt;$G148*(1-'Feuille de Donnée'!$E$27),'Feuille de Donnée'!$F$33,'Feuille de Donnée'!$F$31)))))</f>
        <v/>
      </c>
      <c r="AI148" s="138"/>
      <c r="AJ148" s="103"/>
      <c r="AK148" s="27"/>
      <c r="AL148" s="27"/>
      <c r="AM148" s="27" t="str">
        <f t="shared" si="48"/>
        <v/>
      </c>
      <c r="AN148" s="121" t="str">
        <f t="shared" si="49"/>
        <v/>
      </c>
      <c r="AO148" s="121" t="str">
        <f t="shared" si="50"/>
        <v/>
      </c>
      <c r="AP148" s="27" t="str">
        <f>IF(AND(ISBLANK(AR148),AQ148=""),"",1+MAX(AP$21:AP147))</f>
        <v/>
      </c>
      <c r="AQ148" s="137" t="str">
        <f>IF(OR(AM148="",AM148=0,$H148="",$H148=0,NOT(ISNUMBER($H148)),NOT(ISNUMBER(AM148))),IF(AND($E148&lt;&gt;"",AND(OR(ISNUMBER(AM148),AM148=""),AND(ISNUMBER($H148),$H148&gt;0))),'Feuille de Donnée'!$K$13,""),IF(AM148&lt;$H$168*'Feuille de Donnée'!$I$9,"Négligeable",(IF(AND(AK148&gt;=$F148*(1-'Feuille de Donnée'!$E$12),AK148&lt;=$F148*(1+'Feuille de Donnée'!$F$12)),'Feuille de Donnée'!$F$17,IF(AK148&lt;$F148*(1-'Feuille de Donnée'!$E$12),'Feuille de Donnée'!$F$18,'Feuille de Donnée'!$F$16))&amp;""&amp;IF(AND(AL148&gt;=$G148*(1-'Feuille de Donnée'!$E$27),AL148&lt;=$G148*(1+'Feuille de Donnée'!$F$27)),'Feuille de Donnée'!$F$32,IF(AL148&lt;$G148*(1-'Feuille de Donnée'!$E$27),'Feuille de Donnée'!$F$33,'Feuille de Donnée'!$F$31)))))</f>
        <v/>
      </c>
      <c r="AR148" s="138"/>
      <c r="AS148" s="103"/>
      <c r="AT148" s="27"/>
      <c r="AU148" s="27"/>
      <c r="AV148" s="27" t="str">
        <f t="shared" si="51"/>
        <v/>
      </c>
      <c r="AW148" s="121" t="str">
        <f t="shared" si="52"/>
        <v/>
      </c>
      <c r="AX148" s="121" t="str">
        <f t="shared" si="53"/>
        <v/>
      </c>
      <c r="AY148" s="27" t="str">
        <f>IF(AND(ISBLANK(BA148),AZ148=""),"",1+MAX(AY$21:AY147))</f>
        <v/>
      </c>
      <c r="AZ148" s="137" t="str">
        <f>IF(OR(AV148="",AV148=0,$H148="",$H148=0,NOT(ISNUMBER($H148)),NOT(ISNUMBER(AV148))),IF(AND($E148&lt;&gt;"",AND(OR(ISNUMBER(AV148),AV148=""),AND(ISNUMBER($H148),$H148&gt;0))),'Feuille de Donnée'!$K$13,""),IF(AV148&lt;$H$168*'Feuille de Donnée'!$I$9,"Négligeable",(IF(AND(AT148&gt;=$F148*(1-'Feuille de Donnée'!$E$12),AT148&lt;=$F148*(1+'Feuille de Donnée'!$F$12)),'Feuille de Donnée'!$F$17,IF(AT148&lt;$F148*(1-'Feuille de Donnée'!$E$12),'Feuille de Donnée'!$F$18,'Feuille de Donnée'!$F$16))&amp;""&amp;IF(AND(AU148&gt;=$G148*(1-'Feuille de Donnée'!$E$27),AU148&lt;=$G148*(1+'Feuille de Donnée'!$F$27)),'Feuille de Donnée'!$F$32,IF(AU148&lt;$G148*(1-'Feuille de Donnée'!$E$27),'Feuille de Donnée'!$F$33,'Feuille de Donnée'!$F$31)))))</f>
        <v/>
      </c>
      <c r="BA148" s="138"/>
      <c r="BB148" s="103"/>
      <c r="BC148" s="27"/>
      <c r="BD148" s="27"/>
      <c r="BE148" s="27" t="str">
        <f t="shared" si="54"/>
        <v/>
      </c>
      <c r="BF148" s="121" t="str">
        <f t="shared" si="55"/>
        <v/>
      </c>
      <c r="BG148" s="121" t="str">
        <f t="shared" si="56"/>
        <v/>
      </c>
      <c r="BH148" s="27" t="str">
        <f>IF(AND(ISBLANK(BJ148),BI148=""),"",1+MAX(BH$21:BH147))</f>
        <v/>
      </c>
      <c r="BI148" s="137" t="str">
        <f>IF(OR(BE148="",BE148=0,$H148="",$H148=0,NOT(ISNUMBER($H148)),NOT(ISNUMBER(BE148))),IF(AND($E148&lt;&gt;"",AND(OR(ISNUMBER(BE148),BE148=""),AND(ISNUMBER($H148),$H148&gt;0))),'Feuille de Donnée'!$K$13,""),IF(BE148&lt;$H$168*'Feuille de Donnée'!$I$9,"Négligeable",(IF(AND(BC148&gt;=$F148*(1-'Feuille de Donnée'!$E$12),BC148&lt;=$F148*(1+'Feuille de Donnée'!$F$12)),'Feuille de Donnée'!$F$17,IF(BC148&lt;$F148*(1-'Feuille de Donnée'!$E$12),'Feuille de Donnée'!$F$18,'Feuille de Donnée'!$F$16))&amp;""&amp;IF(AND(BD148&gt;=$G148*(1-'Feuille de Donnée'!$E$27),BD148&lt;=$G148*(1+'Feuille de Donnée'!$F$27)),'Feuille de Donnée'!$F$32,IF(BD148&lt;$G148*(1-'Feuille de Donnée'!$E$27),'Feuille de Donnée'!$F$33,'Feuille de Donnée'!$F$31)))))</f>
        <v/>
      </c>
      <c r="BJ148" s="138"/>
      <c r="BK148" s="140"/>
    </row>
    <row r="149" spans="1:63" s="6" customFormat="1" x14ac:dyDescent="0.3">
      <c r="A149" s="23"/>
      <c r="B149" s="24"/>
      <c r="C149" s="24"/>
      <c r="D149" s="24"/>
      <c r="E149" s="22"/>
      <c r="F149" s="25"/>
      <c r="G149" s="26"/>
      <c r="H149" s="102" t="str">
        <f t="shared" si="38"/>
        <v/>
      </c>
      <c r="I149" s="103"/>
      <c r="J149" s="27"/>
      <c r="K149" s="27"/>
      <c r="L149" s="27" t="str">
        <f t="shared" si="39"/>
        <v/>
      </c>
      <c r="M149" s="121" t="str">
        <f t="shared" si="40"/>
        <v/>
      </c>
      <c r="N149" s="121" t="str">
        <f t="shared" si="41"/>
        <v/>
      </c>
      <c r="O149" s="27" t="str">
        <f>IF(AND(ISBLANK(Q149),P149=""),"",1+MAX(O$21:O148))</f>
        <v/>
      </c>
      <c r="P149" s="137" t="str">
        <f>IF(OR(L149="",L149=0,$H149="",$H149=0,NOT(ISNUMBER($H149)),NOT(ISNUMBER(L149))),IF(AND($E149&lt;&gt;"",AND(OR(ISNUMBER(L149),L149=""),AND(ISNUMBER($H149),$H149&gt;0))),'Feuille de Donnée'!$K$13,""),IF(L149&lt;$H$168*'Feuille de Donnée'!$I$9,"Négligeable",(IF(AND(J149&gt;=$F149*(1-'Feuille de Donnée'!$E$12),J149&lt;=$F149*(1+'Feuille de Donnée'!$F$12)),'Feuille de Donnée'!$F$17,IF(J149&lt;$F149*(1-'Feuille de Donnée'!$E$12),'Feuille de Donnée'!$F$18,'Feuille de Donnée'!$F$16))&amp;""&amp;IF(AND(K149&gt;=$G149*(1-'Feuille de Donnée'!$E$27),K149&lt;=$G149*(1+'Feuille de Donnée'!$F$27)),'Feuille de Donnée'!$F$32,IF(K149&lt;$G149*(1-'Feuille de Donnée'!$E$27),'Feuille de Donnée'!$F$33,'Feuille de Donnée'!$F$31)))))</f>
        <v/>
      </c>
      <c r="Q149" s="138"/>
      <c r="R149" s="103"/>
      <c r="S149" s="27"/>
      <c r="T149" s="27"/>
      <c r="U149" s="27" t="str">
        <f t="shared" si="42"/>
        <v/>
      </c>
      <c r="V149" s="121" t="str">
        <f t="shared" si="43"/>
        <v/>
      </c>
      <c r="W149" s="121" t="str">
        <f t="shared" si="44"/>
        <v/>
      </c>
      <c r="X149" s="27" t="str">
        <f>IF(AND(ISBLANK(Z149),Y149=""),"",1+MAX(X$21:X148))</f>
        <v/>
      </c>
      <c r="Y149" s="137" t="str">
        <f>IF(OR(U149="",U149=0,$H149="",$H149=0,NOT(ISNUMBER($H149)),NOT(ISNUMBER(U149))),IF(AND($E149&lt;&gt;"",AND(OR(ISNUMBER(U149),U149=""),AND(ISNUMBER($H149),$H149&gt;0))),'Feuille de Donnée'!$K$13,""),IF(U149&lt;$H$168*'Feuille de Donnée'!$I$9,"Négligeable",(IF(AND(S149&gt;=$F149*(1-'Feuille de Donnée'!$E$12),S149&lt;=$F149*(1+'Feuille de Donnée'!$F$12)),'Feuille de Donnée'!$F$17,IF(S149&lt;$F149*(1-'Feuille de Donnée'!$E$12),'Feuille de Donnée'!$F$18,'Feuille de Donnée'!$F$16))&amp;""&amp;IF(AND(T149&gt;=$G149*(1-'Feuille de Donnée'!$E$27),T149&lt;=$G149*(1+'Feuille de Donnée'!$F$27)),'Feuille de Donnée'!$F$32,IF(T149&lt;$G149*(1-'Feuille de Donnée'!$E$27),'Feuille de Donnée'!$F$33,'Feuille de Donnée'!$F$31)))))</f>
        <v/>
      </c>
      <c r="Z149" s="138"/>
      <c r="AA149" s="103"/>
      <c r="AB149" s="27"/>
      <c r="AC149" s="27"/>
      <c r="AD149" s="27" t="str">
        <f t="shared" si="45"/>
        <v/>
      </c>
      <c r="AE149" s="121" t="str">
        <f t="shared" si="46"/>
        <v/>
      </c>
      <c r="AF149" s="121" t="str">
        <f t="shared" si="47"/>
        <v/>
      </c>
      <c r="AG149" s="27" t="str">
        <f>IF(AND(ISBLANK(AI149),AH149=""),"",1+MAX(AG$21:AG148))</f>
        <v/>
      </c>
      <c r="AH149" s="137" t="str">
        <f>IF(OR(AD149="",AD149=0,$H149="",$H149=0,NOT(ISNUMBER($H149)),NOT(ISNUMBER(AD149))),IF(AND($E149&lt;&gt;"",AND(OR(ISNUMBER(AD149),AD149=""),AND(ISNUMBER($H149),$H149&gt;0))),'Feuille de Donnée'!$K$13,""),IF(AD149&lt;$H$168*'Feuille de Donnée'!$I$9,"Négligeable",(IF(AND(AB149&gt;=$F149*(1-'Feuille de Donnée'!$E$12),AB149&lt;=$F149*(1+'Feuille de Donnée'!$F$12)),'Feuille de Donnée'!$F$17,IF(AB149&lt;$F149*(1-'Feuille de Donnée'!$E$12),'Feuille de Donnée'!$F$18,'Feuille de Donnée'!$F$16))&amp;""&amp;IF(AND(AC149&gt;=$G149*(1-'Feuille de Donnée'!$E$27),AC149&lt;=$G149*(1+'Feuille de Donnée'!$F$27)),'Feuille de Donnée'!$F$32,IF(AC149&lt;$G149*(1-'Feuille de Donnée'!$E$27),'Feuille de Donnée'!$F$33,'Feuille de Donnée'!$F$31)))))</f>
        <v/>
      </c>
      <c r="AI149" s="138"/>
      <c r="AJ149" s="103"/>
      <c r="AK149" s="27"/>
      <c r="AL149" s="27"/>
      <c r="AM149" s="27" t="str">
        <f t="shared" si="48"/>
        <v/>
      </c>
      <c r="AN149" s="121" t="str">
        <f t="shared" si="49"/>
        <v/>
      </c>
      <c r="AO149" s="121" t="str">
        <f t="shared" si="50"/>
        <v/>
      </c>
      <c r="AP149" s="27" t="str">
        <f>IF(AND(ISBLANK(AR149),AQ149=""),"",1+MAX(AP$21:AP148))</f>
        <v/>
      </c>
      <c r="AQ149" s="137" t="str">
        <f>IF(OR(AM149="",AM149=0,$H149="",$H149=0,NOT(ISNUMBER($H149)),NOT(ISNUMBER(AM149))),IF(AND($E149&lt;&gt;"",AND(OR(ISNUMBER(AM149),AM149=""),AND(ISNUMBER($H149),$H149&gt;0))),'Feuille de Donnée'!$K$13,""),IF(AM149&lt;$H$168*'Feuille de Donnée'!$I$9,"Négligeable",(IF(AND(AK149&gt;=$F149*(1-'Feuille de Donnée'!$E$12),AK149&lt;=$F149*(1+'Feuille de Donnée'!$F$12)),'Feuille de Donnée'!$F$17,IF(AK149&lt;$F149*(1-'Feuille de Donnée'!$E$12),'Feuille de Donnée'!$F$18,'Feuille de Donnée'!$F$16))&amp;""&amp;IF(AND(AL149&gt;=$G149*(1-'Feuille de Donnée'!$E$27),AL149&lt;=$G149*(1+'Feuille de Donnée'!$F$27)),'Feuille de Donnée'!$F$32,IF(AL149&lt;$G149*(1-'Feuille de Donnée'!$E$27),'Feuille de Donnée'!$F$33,'Feuille de Donnée'!$F$31)))))</f>
        <v/>
      </c>
      <c r="AR149" s="138"/>
      <c r="AS149" s="103"/>
      <c r="AT149" s="27"/>
      <c r="AU149" s="27"/>
      <c r="AV149" s="27" t="str">
        <f t="shared" si="51"/>
        <v/>
      </c>
      <c r="AW149" s="121" t="str">
        <f t="shared" si="52"/>
        <v/>
      </c>
      <c r="AX149" s="121" t="str">
        <f t="shared" si="53"/>
        <v/>
      </c>
      <c r="AY149" s="27" t="str">
        <f>IF(AND(ISBLANK(BA149),AZ149=""),"",1+MAX(AY$21:AY148))</f>
        <v/>
      </c>
      <c r="AZ149" s="137" t="str">
        <f>IF(OR(AV149="",AV149=0,$H149="",$H149=0,NOT(ISNUMBER($H149)),NOT(ISNUMBER(AV149))),IF(AND($E149&lt;&gt;"",AND(OR(ISNUMBER(AV149),AV149=""),AND(ISNUMBER($H149),$H149&gt;0))),'Feuille de Donnée'!$K$13,""),IF(AV149&lt;$H$168*'Feuille de Donnée'!$I$9,"Négligeable",(IF(AND(AT149&gt;=$F149*(1-'Feuille de Donnée'!$E$12),AT149&lt;=$F149*(1+'Feuille de Donnée'!$F$12)),'Feuille de Donnée'!$F$17,IF(AT149&lt;$F149*(1-'Feuille de Donnée'!$E$12),'Feuille de Donnée'!$F$18,'Feuille de Donnée'!$F$16))&amp;""&amp;IF(AND(AU149&gt;=$G149*(1-'Feuille de Donnée'!$E$27),AU149&lt;=$G149*(1+'Feuille de Donnée'!$F$27)),'Feuille de Donnée'!$F$32,IF(AU149&lt;$G149*(1-'Feuille de Donnée'!$E$27),'Feuille de Donnée'!$F$33,'Feuille de Donnée'!$F$31)))))</f>
        <v/>
      </c>
      <c r="BA149" s="138"/>
      <c r="BB149" s="103"/>
      <c r="BC149" s="27"/>
      <c r="BD149" s="27"/>
      <c r="BE149" s="27" t="str">
        <f t="shared" si="54"/>
        <v/>
      </c>
      <c r="BF149" s="121" t="str">
        <f t="shared" si="55"/>
        <v/>
      </c>
      <c r="BG149" s="121" t="str">
        <f t="shared" si="56"/>
        <v/>
      </c>
      <c r="BH149" s="27" t="str">
        <f>IF(AND(ISBLANK(BJ149),BI149=""),"",1+MAX(BH$21:BH148))</f>
        <v/>
      </c>
      <c r="BI149" s="137" t="str">
        <f>IF(OR(BE149="",BE149=0,$H149="",$H149=0,NOT(ISNUMBER($H149)),NOT(ISNUMBER(BE149))),IF(AND($E149&lt;&gt;"",AND(OR(ISNUMBER(BE149),BE149=""),AND(ISNUMBER($H149),$H149&gt;0))),'Feuille de Donnée'!$K$13,""),IF(BE149&lt;$H$168*'Feuille de Donnée'!$I$9,"Négligeable",(IF(AND(BC149&gt;=$F149*(1-'Feuille de Donnée'!$E$12),BC149&lt;=$F149*(1+'Feuille de Donnée'!$F$12)),'Feuille de Donnée'!$F$17,IF(BC149&lt;$F149*(1-'Feuille de Donnée'!$E$12),'Feuille de Donnée'!$F$18,'Feuille de Donnée'!$F$16))&amp;""&amp;IF(AND(BD149&gt;=$G149*(1-'Feuille de Donnée'!$E$27),BD149&lt;=$G149*(1+'Feuille de Donnée'!$F$27)),'Feuille de Donnée'!$F$32,IF(BD149&lt;$G149*(1-'Feuille de Donnée'!$E$27),'Feuille de Donnée'!$F$33,'Feuille de Donnée'!$F$31)))))</f>
        <v/>
      </c>
      <c r="BJ149" s="138"/>
      <c r="BK149" s="140"/>
    </row>
    <row r="150" spans="1:63" s="6" customFormat="1" x14ac:dyDescent="0.3">
      <c r="A150" s="23"/>
      <c r="B150" s="24"/>
      <c r="C150" s="24"/>
      <c r="D150" s="24"/>
      <c r="E150" s="22"/>
      <c r="F150" s="25"/>
      <c r="G150" s="26"/>
      <c r="H150" s="102" t="str">
        <f t="shared" si="38"/>
        <v/>
      </c>
      <c r="I150" s="103"/>
      <c r="J150" s="27"/>
      <c r="K150" s="27"/>
      <c r="L150" s="27" t="str">
        <f t="shared" si="39"/>
        <v/>
      </c>
      <c r="M150" s="121" t="str">
        <f t="shared" si="40"/>
        <v/>
      </c>
      <c r="N150" s="121" t="str">
        <f t="shared" si="41"/>
        <v/>
      </c>
      <c r="O150" s="27" t="str">
        <f>IF(AND(ISBLANK(Q150),P150=""),"",1+MAX(O$21:O149))</f>
        <v/>
      </c>
      <c r="P150" s="137" t="str">
        <f>IF(OR(L150="",L150=0,$H150="",$H150=0,NOT(ISNUMBER($H150)),NOT(ISNUMBER(L150))),IF(AND($E150&lt;&gt;"",AND(OR(ISNUMBER(L150),L150=""),AND(ISNUMBER($H150),$H150&gt;0))),'Feuille de Donnée'!$K$13,""),IF(L150&lt;$H$168*'Feuille de Donnée'!$I$9,"Négligeable",(IF(AND(J150&gt;=$F150*(1-'Feuille de Donnée'!$E$12),J150&lt;=$F150*(1+'Feuille de Donnée'!$F$12)),'Feuille de Donnée'!$F$17,IF(J150&lt;$F150*(1-'Feuille de Donnée'!$E$12),'Feuille de Donnée'!$F$18,'Feuille de Donnée'!$F$16))&amp;""&amp;IF(AND(K150&gt;=$G150*(1-'Feuille de Donnée'!$E$27),K150&lt;=$G150*(1+'Feuille de Donnée'!$F$27)),'Feuille de Donnée'!$F$32,IF(K150&lt;$G150*(1-'Feuille de Donnée'!$E$27),'Feuille de Donnée'!$F$33,'Feuille de Donnée'!$F$31)))))</f>
        <v/>
      </c>
      <c r="Q150" s="138"/>
      <c r="R150" s="103"/>
      <c r="S150" s="27"/>
      <c r="T150" s="27"/>
      <c r="U150" s="27" t="str">
        <f t="shared" si="42"/>
        <v/>
      </c>
      <c r="V150" s="121" t="str">
        <f t="shared" si="43"/>
        <v/>
      </c>
      <c r="W150" s="121" t="str">
        <f t="shared" si="44"/>
        <v/>
      </c>
      <c r="X150" s="27" t="str">
        <f>IF(AND(ISBLANK(Z150),Y150=""),"",1+MAX(X$21:X149))</f>
        <v/>
      </c>
      <c r="Y150" s="137" t="str">
        <f>IF(OR(U150="",U150=0,$H150="",$H150=0,NOT(ISNUMBER($H150)),NOT(ISNUMBER(U150))),IF(AND($E150&lt;&gt;"",AND(OR(ISNUMBER(U150),U150=""),AND(ISNUMBER($H150),$H150&gt;0))),'Feuille de Donnée'!$K$13,""),IF(U150&lt;$H$168*'Feuille de Donnée'!$I$9,"Négligeable",(IF(AND(S150&gt;=$F150*(1-'Feuille de Donnée'!$E$12),S150&lt;=$F150*(1+'Feuille de Donnée'!$F$12)),'Feuille de Donnée'!$F$17,IF(S150&lt;$F150*(1-'Feuille de Donnée'!$E$12),'Feuille de Donnée'!$F$18,'Feuille de Donnée'!$F$16))&amp;""&amp;IF(AND(T150&gt;=$G150*(1-'Feuille de Donnée'!$E$27),T150&lt;=$G150*(1+'Feuille de Donnée'!$F$27)),'Feuille de Donnée'!$F$32,IF(T150&lt;$G150*(1-'Feuille de Donnée'!$E$27),'Feuille de Donnée'!$F$33,'Feuille de Donnée'!$F$31)))))</f>
        <v/>
      </c>
      <c r="Z150" s="138"/>
      <c r="AA150" s="103"/>
      <c r="AB150" s="27"/>
      <c r="AC150" s="27"/>
      <c r="AD150" s="27" t="str">
        <f t="shared" si="45"/>
        <v/>
      </c>
      <c r="AE150" s="121" t="str">
        <f t="shared" si="46"/>
        <v/>
      </c>
      <c r="AF150" s="121" t="str">
        <f t="shared" si="47"/>
        <v/>
      </c>
      <c r="AG150" s="27" t="str">
        <f>IF(AND(ISBLANK(AI150),AH150=""),"",1+MAX(AG$21:AG149))</f>
        <v/>
      </c>
      <c r="AH150" s="137" t="str">
        <f>IF(OR(AD150="",AD150=0,$H150="",$H150=0,NOT(ISNUMBER($H150)),NOT(ISNUMBER(AD150))),IF(AND($E150&lt;&gt;"",AND(OR(ISNUMBER(AD150),AD150=""),AND(ISNUMBER($H150),$H150&gt;0))),'Feuille de Donnée'!$K$13,""),IF(AD150&lt;$H$168*'Feuille de Donnée'!$I$9,"Négligeable",(IF(AND(AB150&gt;=$F150*(1-'Feuille de Donnée'!$E$12),AB150&lt;=$F150*(1+'Feuille de Donnée'!$F$12)),'Feuille de Donnée'!$F$17,IF(AB150&lt;$F150*(1-'Feuille de Donnée'!$E$12),'Feuille de Donnée'!$F$18,'Feuille de Donnée'!$F$16))&amp;""&amp;IF(AND(AC150&gt;=$G150*(1-'Feuille de Donnée'!$E$27),AC150&lt;=$G150*(1+'Feuille de Donnée'!$F$27)),'Feuille de Donnée'!$F$32,IF(AC150&lt;$G150*(1-'Feuille de Donnée'!$E$27),'Feuille de Donnée'!$F$33,'Feuille de Donnée'!$F$31)))))</f>
        <v/>
      </c>
      <c r="AI150" s="138"/>
      <c r="AJ150" s="103"/>
      <c r="AK150" s="27"/>
      <c r="AL150" s="27"/>
      <c r="AM150" s="27" t="str">
        <f t="shared" si="48"/>
        <v/>
      </c>
      <c r="AN150" s="121" t="str">
        <f t="shared" si="49"/>
        <v/>
      </c>
      <c r="AO150" s="121" t="str">
        <f t="shared" si="50"/>
        <v/>
      </c>
      <c r="AP150" s="27" t="str">
        <f>IF(AND(ISBLANK(AR150),AQ150=""),"",1+MAX(AP$21:AP149))</f>
        <v/>
      </c>
      <c r="AQ150" s="137" t="str">
        <f>IF(OR(AM150="",AM150=0,$H150="",$H150=0,NOT(ISNUMBER($H150)),NOT(ISNUMBER(AM150))),IF(AND($E150&lt;&gt;"",AND(OR(ISNUMBER(AM150),AM150=""),AND(ISNUMBER($H150),$H150&gt;0))),'Feuille de Donnée'!$K$13,""),IF(AM150&lt;$H$168*'Feuille de Donnée'!$I$9,"Négligeable",(IF(AND(AK150&gt;=$F150*(1-'Feuille de Donnée'!$E$12),AK150&lt;=$F150*(1+'Feuille de Donnée'!$F$12)),'Feuille de Donnée'!$F$17,IF(AK150&lt;$F150*(1-'Feuille de Donnée'!$E$12),'Feuille de Donnée'!$F$18,'Feuille de Donnée'!$F$16))&amp;""&amp;IF(AND(AL150&gt;=$G150*(1-'Feuille de Donnée'!$E$27),AL150&lt;=$G150*(1+'Feuille de Donnée'!$F$27)),'Feuille de Donnée'!$F$32,IF(AL150&lt;$G150*(1-'Feuille de Donnée'!$E$27),'Feuille de Donnée'!$F$33,'Feuille de Donnée'!$F$31)))))</f>
        <v/>
      </c>
      <c r="AR150" s="138"/>
      <c r="AS150" s="103"/>
      <c r="AT150" s="27"/>
      <c r="AU150" s="27"/>
      <c r="AV150" s="27" t="str">
        <f t="shared" si="51"/>
        <v/>
      </c>
      <c r="AW150" s="121" t="str">
        <f t="shared" si="52"/>
        <v/>
      </c>
      <c r="AX150" s="121" t="str">
        <f t="shared" si="53"/>
        <v/>
      </c>
      <c r="AY150" s="27" t="str">
        <f>IF(AND(ISBLANK(BA150),AZ150=""),"",1+MAX(AY$21:AY149))</f>
        <v/>
      </c>
      <c r="AZ150" s="137" t="str">
        <f>IF(OR(AV150="",AV150=0,$H150="",$H150=0,NOT(ISNUMBER($H150)),NOT(ISNUMBER(AV150))),IF(AND($E150&lt;&gt;"",AND(OR(ISNUMBER(AV150),AV150=""),AND(ISNUMBER($H150),$H150&gt;0))),'Feuille de Donnée'!$K$13,""),IF(AV150&lt;$H$168*'Feuille de Donnée'!$I$9,"Négligeable",(IF(AND(AT150&gt;=$F150*(1-'Feuille de Donnée'!$E$12),AT150&lt;=$F150*(1+'Feuille de Donnée'!$F$12)),'Feuille de Donnée'!$F$17,IF(AT150&lt;$F150*(1-'Feuille de Donnée'!$E$12),'Feuille de Donnée'!$F$18,'Feuille de Donnée'!$F$16))&amp;""&amp;IF(AND(AU150&gt;=$G150*(1-'Feuille de Donnée'!$E$27),AU150&lt;=$G150*(1+'Feuille de Donnée'!$F$27)),'Feuille de Donnée'!$F$32,IF(AU150&lt;$G150*(1-'Feuille de Donnée'!$E$27),'Feuille de Donnée'!$F$33,'Feuille de Donnée'!$F$31)))))</f>
        <v/>
      </c>
      <c r="BA150" s="138"/>
      <c r="BB150" s="103"/>
      <c r="BC150" s="27"/>
      <c r="BD150" s="27"/>
      <c r="BE150" s="27" t="str">
        <f t="shared" si="54"/>
        <v/>
      </c>
      <c r="BF150" s="121" t="str">
        <f t="shared" si="55"/>
        <v/>
      </c>
      <c r="BG150" s="121" t="str">
        <f t="shared" si="56"/>
        <v/>
      </c>
      <c r="BH150" s="27" t="str">
        <f>IF(AND(ISBLANK(BJ150),BI150=""),"",1+MAX(BH$21:BH149))</f>
        <v/>
      </c>
      <c r="BI150" s="137" t="str">
        <f>IF(OR(BE150="",BE150=0,$H150="",$H150=0,NOT(ISNUMBER($H150)),NOT(ISNUMBER(BE150))),IF(AND($E150&lt;&gt;"",AND(OR(ISNUMBER(BE150),BE150=""),AND(ISNUMBER($H150),$H150&gt;0))),'Feuille de Donnée'!$K$13,""),IF(BE150&lt;$H$168*'Feuille de Donnée'!$I$9,"Négligeable",(IF(AND(BC150&gt;=$F150*(1-'Feuille de Donnée'!$E$12),BC150&lt;=$F150*(1+'Feuille de Donnée'!$F$12)),'Feuille de Donnée'!$F$17,IF(BC150&lt;$F150*(1-'Feuille de Donnée'!$E$12),'Feuille de Donnée'!$F$18,'Feuille de Donnée'!$F$16))&amp;""&amp;IF(AND(BD150&gt;=$G150*(1-'Feuille de Donnée'!$E$27),BD150&lt;=$G150*(1+'Feuille de Donnée'!$F$27)),'Feuille de Donnée'!$F$32,IF(BD150&lt;$G150*(1-'Feuille de Donnée'!$E$27),'Feuille de Donnée'!$F$33,'Feuille de Donnée'!$F$31)))))</f>
        <v/>
      </c>
      <c r="BJ150" s="138"/>
      <c r="BK150" s="140"/>
    </row>
    <row r="151" spans="1:63" s="6" customFormat="1" x14ac:dyDescent="0.3">
      <c r="A151" s="23"/>
      <c r="B151" s="24"/>
      <c r="C151" s="24"/>
      <c r="D151" s="24"/>
      <c r="E151" s="22"/>
      <c r="F151" s="25"/>
      <c r="G151" s="26"/>
      <c r="H151" s="102" t="str">
        <f t="shared" si="38"/>
        <v/>
      </c>
      <c r="I151" s="103"/>
      <c r="J151" s="27"/>
      <c r="K151" s="27"/>
      <c r="L151" s="27" t="str">
        <f t="shared" si="39"/>
        <v/>
      </c>
      <c r="M151" s="121" t="str">
        <f t="shared" si="40"/>
        <v/>
      </c>
      <c r="N151" s="121" t="str">
        <f t="shared" si="41"/>
        <v/>
      </c>
      <c r="O151" s="27" t="str">
        <f>IF(AND(ISBLANK(Q151),P151=""),"",1+MAX(O$21:O150))</f>
        <v/>
      </c>
      <c r="P151" s="137" t="str">
        <f>IF(OR(L151="",L151=0,$H151="",$H151=0,NOT(ISNUMBER($H151)),NOT(ISNUMBER(L151))),IF(AND($E151&lt;&gt;"",AND(OR(ISNUMBER(L151),L151=""),AND(ISNUMBER($H151),$H151&gt;0))),'Feuille de Donnée'!$K$13,""),IF(L151&lt;$H$168*'Feuille de Donnée'!$I$9,"Négligeable",(IF(AND(J151&gt;=$F151*(1-'Feuille de Donnée'!$E$12),J151&lt;=$F151*(1+'Feuille de Donnée'!$F$12)),'Feuille de Donnée'!$F$17,IF(J151&lt;$F151*(1-'Feuille de Donnée'!$E$12),'Feuille de Donnée'!$F$18,'Feuille de Donnée'!$F$16))&amp;""&amp;IF(AND(K151&gt;=$G151*(1-'Feuille de Donnée'!$E$27),K151&lt;=$G151*(1+'Feuille de Donnée'!$F$27)),'Feuille de Donnée'!$F$32,IF(K151&lt;$G151*(1-'Feuille de Donnée'!$E$27),'Feuille de Donnée'!$F$33,'Feuille de Donnée'!$F$31)))))</f>
        <v/>
      </c>
      <c r="Q151" s="138"/>
      <c r="R151" s="103"/>
      <c r="S151" s="27"/>
      <c r="T151" s="27"/>
      <c r="U151" s="27" t="str">
        <f t="shared" si="42"/>
        <v/>
      </c>
      <c r="V151" s="121" t="str">
        <f t="shared" si="43"/>
        <v/>
      </c>
      <c r="W151" s="121" t="str">
        <f t="shared" si="44"/>
        <v/>
      </c>
      <c r="X151" s="27" t="str">
        <f>IF(AND(ISBLANK(Z151),Y151=""),"",1+MAX(X$21:X150))</f>
        <v/>
      </c>
      <c r="Y151" s="137" t="str">
        <f>IF(OR(U151="",U151=0,$H151="",$H151=0,NOT(ISNUMBER($H151)),NOT(ISNUMBER(U151))),IF(AND($E151&lt;&gt;"",AND(OR(ISNUMBER(U151),U151=""),AND(ISNUMBER($H151),$H151&gt;0))),'Feuille de Donnée'!$K$13,""),IF(U151&lt;$H$168*'Feuille de Donnée'!$I$9,"Négligeable",(IF(AND(S151&gt;=$F151*(1-'Feuille de Donnée'!$E$12),S151&lt;=$F151*(1+'Feuille de Donnée'!$F$12)),'Feuille de Donnée'!$F$17,IF(S151&lt;$F151*(1-'Feuille de Donnée'!$E$12),'Feuille de Donnée'!$F$18,'Feuille de Donnée'!$F$16))&amp;""&amp;IF(AND(T151&gt;=$G151*(1-'Feuille de Donnée'!$E$27),T151&lt;=$G151*(1+'Feuille de Donnée'!$F$27)),'Feuille de Donnée'!$F$32,IF(T151&lt;$G151*(1-'Feuille de Donnée'!$E$27),'Feuille de Donnée'!$F$33,'Feuille de Donnée'!$F$31)))))</f>
        <v/>
      </c>
      <c r="Z151" s="138"/>
      <c r="AA151" s="103"/>
      <c r="AB151" s="27"/>
      <c r="AC151" s="27"/>
      <c r="AD151" s="27" t="str">
        <f t="shared" si="45"/>
        <v/>
      </c>
      <c r="AE151" s="121" t="str">
        <f t="shared" si="46"/>
        <v/>
      </c>
      <c r="AF151" s="121" t="str">
        <f t="shared" si="47"/>
        <v/>
      </c>
      <c r="AG151" s="27" t="str">
        <f>IF(AND(ISBLANK(AI151),AH151=""),"",1+MAX(AG$21:AG150))</f>
        <v/>
      </c>
      <c r="AH151" s="137" t="str">
        <f>IF(OR(AD151="",AD151=0,$H151="",$H151=0,NOT(ISNUMBER($H151)),NOT(ISNUMBER(AD151))),IF(AND($E151&lt;&gt;"",AND(OR(ISNUMBER(AD151),AD151=""),AND(ISNUMBER($H151),$H151&gt;0))),'Feuille de Donnée'!$K$13,""),IF(AD151&lt;$H$168*'Feuille de Donnée'!$I$9,"Négligeable",(IF(AND(AB151&gt;=$F151*(1-'Feuille de Donnée'!$E$12),AB151&lt;=$F151*(1+'Feuille de Donnée'!$F$12)),'Feuille de Donnée'!$F$17,IF(AB151&lt;$F151*(1-'Feuille de Donnée'!$E$12),'Feuille de Donnée'!$F$18,'Feuille de Donnée'!$F$16))&amp;""&amp;IF(AND(AC151&gt;=$G151*(1-'Feuille de Donnée'!$E$27),AC151&lt;=$G151*(1+'Feuille de Donnée'!$F$27)),'Feuille de Donnée'!$F$32,IF(AC151&lt;$G151*(1-'Feuille de Donnée'!$E$27),'Feuille de Donnée'!$F$33,'Feuille de Donnée'!$F$31)))))</f>
        <v/>
      </c>
      <c r="AI151" s="138"/>
      <c r="AJ151" s="103"/>
      <c r="AK151" s="27"/>
      <c r="AL151" s="27"/>
      <c r="AM151" s="27" t="str">
        <f t="shared" si="48"/>
        <v/>
      </c>
      <c r="AN151" s="121" t="str">
        <f t="shared" si="49"/>
        <v/>
      </c>
      <c r="AO151" s="121" t="str">
        <f t="shared" si="50"/>
        <v/>
      </c>
      <c r="AP151" s="27" t="str">
        <f>IF(AND(ISBLANK(AR151),AQ151=""),"",1+MAX(AP$21:AP150))</f>
        <v/>
      </c>
      <c r="AQ151" s="137" t="str">
        <f>IF(OR(AM151="",AM151=0,$H151="",$H151=0,NOT(ISNUMBER($H151)),NOT(ISNUMBER(AM151))),IF(AND($E151&lt;&gt;"",AND(OR(ISNUMBER(AM151),AM151=""),AND(ISNUMBER($H151),$H151&gt;0))),'Feuille de Donnée'!$K$13,""),IF(AM151&lt;$H$168*'Feuille de Donnée'!$I$9,"Négligeable",(IF(AND(AK151&gt;=$F151*(1-'Feuille de Donnée'!$E$12),AK151&lt;=$F151*(1+'Feuille de Donnée'!$F$12)),'Feuille de Donnée'!$F$17,IF(AK151&lt;$F151*(1-'Feuille de Donnée'!$E$12),'Feuille de Donnée'!$F$18,'Feuille de Donnée'!$F$16))&amp;""&amp;IF(AND(AL151&gt;=$G151*(1-'Feuille de Donnée'!$E$27),AL151&lt;=$G151*(1+'Feuille de Donnée'!$F$27)),'Feuille de Donnée'!$F$32,IF(AL151&lt;$G151*(1-'Feuille de Donnée'!$E$27),'Feuille de Donnée'!$F$33,'Feuille de Donnée'!$F$31)))))</f>
        <v/>
      </c>
      <c r="AR151" s="138"/>
      <c r="AS151" s="103"/>
      <c r="AT151" s="27"/>
      <c r="AU151" s="27"/>
      <c r="AV151" s="27" t="str">
        <f t="shared" si="51"/>
        <v/>
      </c>
      <c r="AW151" s="121" t="str">
        <f t="shared" si="52"/>
        <v/>
      </c>
      <c r="AX151" s="121" t="str">
        <f t="shared" si="53"/>
        <v/>
      </c>
      <c r="AY151" s="27" t="str">
        <f>IF(AND(ISBLANK(BA151),AZ151=""),"",1+MAX(AY$21:AY150))</f>
        <v/>
      </c>
      <c r="AZ151" s="137" t="str">
        <f>IF(OR(AV151="",AV151=0,$H151="",$H151=0,NOT(ISNUMBER($H151)),NOT(ISNUMBER(AV151))),IF(AND($E151&lt;&gt;"",AND(OR(ISNUMBER(AV151),AV151=""),AND(ISNUMBER($H151),$H151&gt;0))),'Feuille de Donnée'!$K$13,""),IF(AV151&lt;$H$168*'Feuille de Donnée'!$I$9,"Négligeable",(IF(AND(AT151&gt;=$F151*(1-'Feuille de Donnée'!$E$12),AT151&lt;=$F151*(1+'Feuille de Donnée'!$F$12)),'Feuille de Donnée'!$F$17,IF(AT151&lt;$F151*(1-'Feuille de Donnée'!$E$12),'Feuille de Donnée'!$F$18,'Feuille de Donnée'!$F$16))&amp;""&amp;IF(AND(AU151&gt;=$G151*(1-'Feuille de Donnée'!$E$27),AU151&lt;=$G151*(1+'Feuille de Donnée'!$F$27)),'Feuille de Donnée'!$F$32,IF(AU151&lt;$G151*(1-'Feuille de Donnée'!$E$27),'Feuille de Donnée'!$F$33,'Feuille de Donnée'!$F$31)))))</f>
        <v/>
      </c>
      <c r="BA151" s="138"/>
      <c r="BB151" s="103"/>
      <c r="BC151" s="27"/>
      <c r="BD151" s="27"/>
      <c r="BE151" s="27" t="str">
        <f t="shared" si="54"/>
        <v/>
      </c>
      <c r="BF151" s="121" t="str">
        <f t="shared" si="55"/>
        <v/>
      </c>
      <c r="BG151" s="121" t="str">
        <f t="shared" si="56"/>
        <v/>
      </c>
      <c r="BH151" s="27" t="str">
        <f>IF(AND(ISBLANK(BJ151),BI151=""),"",1+MAX(BH$21:BH150))</f>
        <v/>
      </c>
      <c r="BI151" s="137" t="str">
        <f>IF(OR(BE151="",BE151=0,$H151="",$H151=0,NOT(ISNUMBER($H151)),NOT(ISNUMBER(BE151))),IF(AND($E151&lt;&gt;"",AND(OR(ISNUMBER(BE151),BE151=""),AND(ISNUMBER($H151),$H151&gt;0))),'Feuille de Donnée'!$K$13,""),IF(BE151&lt;$H$168*'Feuille de Donnée'!$I$9,"Négligeable",(IF(AND(BC151&gt;=$F151*(1-'Feuille de Donnée'!$E$12),BC151&lt;=$F151*(1+'Feuille de Donnée'!$F$12)),'Feuille de Donnée'!$F$17,IF(BC151&lt;$F151*(1-'Feuille de Donnée'!$E$12),'Feuille de Donnée'!$F$18,'Feuille de Donnée'!$F$16))&amp;""&amp;IF(AND(BD151&gt;=$G151*(1-'Feuille de Donnée'!$E$27),BD151&lt;=$G151*(1+'Feuille de Donnée'!$F$27)),'Feuille de Donnée'!$F$32,IF(BD151&lt;$G151*(1-'Feuille de Donnée'!$E$27),'Feuille de Donnée'!$F$33,'Feuille de Donnée'!$F$31)))))</f>
        <v/>
      </c>
      <c r="BJ151" s="138"/>
      <c r="BK151" s="140"/>
    </row>
    <row r="152" spans="1:63" s="6" customFormat="1" x14ac:dyDescent="0.3">
      <c r="A152" s="23"/>
      <c r="B152" s="24"/>
      <c r="C152" s="24"/>
      <c r="D152" s="24"/>
      <c r="E152" s="22"/>
      <c r="F152" s="25"/>
      <c r="G152" s="26"/>
      <c r="H152" s="102" t="str">
        <f t="shared" ref="H152:H165" si="57">IF(ISBLANK(E152),"",ROUND(F152*G152,2))</f>
        <v/>
      </c>
      <c r="I152" s="103"/>
      <c r="J152" s="27"/>
      <c r="K152" s="27"/>
      <c r="L152" s="27" t="str">
        <f t="shared" ref="L152:L165" si="58">IF(ISBLANK(I152),"",ROUND(J152*K152,2))</f>
        <v/>
      </c>
      <c r="M152" s="121" t="str">
        <f t="shared" ref="M152:M165" si="59">IF($F152=0,"",(J152/$F152-1))</f>
        <v/>
      </c>
      <c r="N152" s="121" t="str">
        <f t="shared" ref="N152:N165" si="60">IF($G152=0,"",(K152/$G152-1))</f>
        <v/>
      </c>
      <c r="O152" s="27" t="str">
        <f>IF(AND(ISBLANK(Q152),P152=""),"",1+MAX(O$21:O151))</f>
        <v/>
      </c>
      <c r="P152" s="137" t="str">
        <f>IF(OR(L152="",L152=0,$H152="",$H152=0,NOT(ISNUMBER($H152)),NOT(ISNUMBER(L152))),IF(AND($E152&lt;&gt;"",AND(OR(ISNUMBER(L152),L152=""),AND(ISNUMBER($H152),$H152&gt;0))),'Feuille de Donnée'!$K$13,""),IF(L152&lt;$H$168*'Feuille de Donnée'!$I$9,"Négligeable",(IF(AND(J152&gt;=$F152*(1-'Feuille de Donnée'!$E$12),J152&lt;=$F152*(1+'Feuille de Donnée'!$F$12)),'Feuille de Donnée'!$F$17,IF(J152&lt;$F152*(1-'Feuille de Donnée'!$E$12),'Feuille de Donnée'!$F$18,'Feuille de Donnée'!$F$16))&amp;""&amp;IF(AND(K152&gt;=$G152*(1-'Feuille de Donnée'!$E$27),K152&lt;=$G152*(1+'Feuille de Donnée'!$F$27)),'Feuille de Donnée'!$F$32,IF(K152&lt;$G152*(1-'Feuille de Donnée'!$E$27),'Feuille de Donnée'!$F$33,'Feuille de Donnée'!$F$31)))))</f>
        <v/>
      </c>
      <c r="Q152" s="138"/>
      <c r="R152" s="103"/>
      <c r="S152" s="27"/>
      <c r="T152" s="27"/>
      <c r="U152" s="27" t="str">
        <f t="shared" ref="U152:U165" si="61">IF(ISBLANK(R152),"",ROUND(S152*T152,2))</f>
        <v/>
      </c>
      <c r="V152" s="121" t="str">
        <f t="shared" ref="V152:V165" si="62">IF($F152=0,"",(S152/$F152-1))</f>
        <v/>
      </c>
      <c r="W152" s="121" t="str">
        <f t="shared" ref="W152:W165" si="63">IF($G152=0,"",(T152/$G152-1))</f>
        <v/>
      </c>
      <c r="X152" s="27" t="str">
        <f>IF(AND(ISBLANK(Z152),Y152=""),"",1+MAX(X$21:X151))</f>
        <v/>
      </c>
      <c r="Y152" s="137" t="str">
        <f>IF(OR(U152="",U152=0,$H152="",$H152=0,NOT(ISNUMBER($H152)),NOT(ISNUMBER(U152))),IF(AND($E152&lt;&gt;"",AND(OR(ISNUMBER(U152),U152=""),AND(ISNUMBER($H152),$H152&gt;0))),'Feuille de Donnée'!$K$13,""),IF(U152&lt;$H$168*'Feuille de Donnée'!$I$9,"Négligeable",(IF(AND(S152&gt;=$F152*(1-'Feuille de Donnée'!$E$12),S152&lt;=$F152*(1+'Feuille de Donnée'!$F$12)),'Feuille de Donnée'!$F$17,IF(S152&lt;$F152*(1-'Feuille de Donnée'!$E$12),'Feuille de Donnée'!$F$18,'Feuille de Donnée'!$F$16))&amp;""&amp;IF(AND(T152&gt;=$G152*(1-'Feuille de Donnée'!$E$27),T152&lt;=$G152*(1+'Feuille de Donnée'!$F$27)),'Feuille de Donnée'!$F$32,IF(T152&lt;$G152*(1-'Feuille de Donnée'!$E$27),'Feuille de Donnée'!$F$33,'Feuille de Donnée'!$F$31)))))</f>
        <v/>
      </c>
      <c r="Z152" s="138"/>
      <c r="AA152" s="103"/>
      <c r="AB152" s="27"/>
      <c r="AC152" s="27"/>
      <c r="AD152" s="27" t="str">
        <f t="shared" ref="AD152:AD165" si="64">IF(ISBLANK(AA152),"",ROUND(AB152*AC152,2))</f>
        <v/>
      </c>
      <c r="AE152" s="121" t="str">
        <f t="shared" ref="AE152:AE165" si="65">IF($F152=0,"",(AB152/$F152-1))</f>
        <v/>
      </c>
      <c r="AF152" s="121" t="str">
        <f t="shared" ref="AF152:AF165" si="66">IF($G152=0,"",(AC152/$G152-1))</f>
        <v/>
      </c>
      <c r="AG152" s="27" t="str">
        <f>IF(AND(ISBLANK(AI152),AH152=""),"",1+MAX(AG$21:AG151))</f>
        <v/>
      </c>
      <c r="AH152" s="137" t="str">
        <f>IF(OR(AD152="",AD152=0,$H152="",$H152=0,NOT(ISNUMBER($H152)),NOT(ISNUMBER(AD152))),IF(AND($E152&lt;&gt;"",AND(OR(ISNUMBER(AD152),AD152=""),AND(ISNUMBER($H152),$H152&gt;0))),'Feuille de Donnée'!$K$13,""),IF(AD152&lt;$H$168*'Feuille de Donnée'!$I$9,"Négligeable",(IF(AND(AB152&gt;=$F152*(1-'Feuille de Donnée'!$E$12),AB152&lt;=$F152*(1+'Feuille de Donnée'!$F$12)),'Feuille de Donnée'!$F$17,IF(AB152&lt;$F152*(1-'Feuille de Donnée'!$E$12),'Feuille de Donnée'!$F$18,'Feuille de Donnée'!$F$16))&amp;""&amp;IF(AND(AC152&gt;=$G152*(1-'Feuille de Donnée'!$E$27),AC152&lt;=$G152*(1+'Feuille de Donnée'!$F$27)),'Feuille de Donnée'!$F$32,IF(AC152&lt;$G152*(1-'Feuille de Donnée'!$E$27),'Feuille de Donnée'!$F$33,'Feuille de Donnée'!$F$31)))))</f>
        <v/>
      </c>
      <c r="AI152" s="138"/>
      <c r="AJ152" s="103"/>
      <c r="AK152" s="27"/>
      <c r="AL152" s="27"/>
      <c r="AM152" s="27" t="str">
        <f t="shared" ref="AM152:AM165" si="67">IF(ISBLANK(AJ152),"",ROUND(AK152*AL152,2))</f>
        <v/>
      </c>
      <c r="AN152" s="121" t="str">
        <f t="shared" ref="AN152:AN165" si="68">IF($F152=0,"",(AK152/$F152-1))</f>
        <v/>
      </c>
      <c r="AO152" s="121" t="str">
        <f t="shared" ref="AO152:AO165" si="69">IF($G152=0,"",(AL152/$G152-1))</f>
        <v/>
      </c>
      <c r="AP152" s="27" t="str">
        <f>IF(AND(ISBLANK(AR152),AQ152=""),"",1+MAX(AP$21:AP151))</f>
        <v/>
      </c>
      <c r="AQ152" s="137" t="str">
        <f>IF(OR(AM152="",AM152=0,$H152="",$H152=0,NOT(ISNUMBER($H152)),NOT(ISNUMBER(AM152))),IF(AND($E152&lt;&gt;"",AND(OR(ISNUMBER(AM152),AM152=""),AND(ISNUMBER($H152),$H152&gt;0))),'Feuille de Donnée'!$K$13,""),IF(AM152&lt;$H$168*'Feuille de Donnée'!$I$9,"Négligeable",(IF(AND(AK152&gt;=$F152*(1-'Feuille de Donnée'!$E$12),AK152&lt;=$F152*(1+'Feuille de Donnée'!$F$12)),'Feuille de Donnée'!$F$17,IF(AK152&lt;$F152*(1-'Feuille de Donnée'!$E$12),'Feuille de Donnée'!$F$18,'Feuille de Donnée'!$F$16))&amp;""&amp;IF(AND(AL152&gt;=$G152*(1-'Feuille de Donnée'!$E$27),AL152&lt;=$G152*(1+'Feuille de Donnée'!$F$27)),'Feuille de Donnée'!$F$32,IF(AL152&lt;$G152*(1-'Feuille de Donnée'!$E$27),'Feuille de Donnée'!$F$33,'Feuille de Donnée'!$F$31)))))</f>
        <v/>
      </c>
      <c r="AR152" s="138"/>
      <c r="AS152" s="103"/>
      <c r="AT152" s="27"/>
      <c r="AU152" s="27"/>
      <c r="AV152" s="27" t="str">
        <f t="shared" ref="AV152:AV165" si="70">IF(ISBLANK(AS152),"",ROUND(AT152*AU152,2))</f>
        <v/>
      </c>
      <c r="AW152" s="121" t="str">
        <f t="shared" ref="AW152:AW165" si="71">IF($F152=0,"",(AT152/$F152-1))</f>
        <v/>
      </c>
      <c r="AX152" s="121" t="str">
        <f t="shared" ref="AX152:AX165" si="72">IF($G152=0,"",(AU152/$G152-1))</f>
        <v/>
      </c>
      <c r="AY152" s="27" t="str">
        <f>IF(AND(ISBLANK(BA152),AZ152=""),"",1+MAX(AY$21:AY151))</f>
        <v/>
      </c>
      <c r="AZ152" s="137" t="str">
        <f>IF(OR(AV152="",AV152=0,$H152="",$H152=0,NOT(ISNUMBER($H152)),NOT(ISNUMBER(AV152))),IF(AND($E152&lt;&gt;"",AND(OR(ISNUMBER(AV152),AV152=""),AND(ISNUMBER($H152),$H152&gt;0))),'Feuille de Donnée'!$K$13,""),IF(AV152&lt;$H$168*'Feuille de Donnée'!$I$9,"Négligeable",(IF(AND(AT152&gt;=$F152*(1-'Feuille de Donnée'!$E$12),AT152&lt;=$F152*(1+'Feuille de Donnée'!$F$12)),'Feuille de Donnée'!$F$17,IF(AT152&lt;$F152*(1-'Feuille de Donnée'!$E$12),'Feuille de Donnée'!$F$18,'Feuille de Donnée'!$F$16))&amp;""&amp;IF(AND(AU152&gt;=$G152*(1-'Feuille de Donnée'!$E$27),AU152&lt;=$G152*(1+'Feuille de Donnée'!$F$27)),'Feuille de Donnée'!$F$32,IF(AU152&lt;$G152*(1-'Feuille de Donnée'!$E$27),'Feuille de Donnée'!$F$33,'Feuille de Donnée'!$F$31)))))</f>
        <v/>
      </c>
      <c r="BA152" s="138"/>
      <c r="BB152" s="103"/>
      <c r="BC152" s="27"/>
      <c r="BD152" s="27"/>
      <c r="BE152" s="27" t="str">
        <f t="shared" ref="BE152:BE165" si="73">IF(ISBLANK(BB152),"",ROUND(BC152*BD152,2))</f>
        <v/>
      </c>
      <c r="BF152" s="121" t="str">
        <f t="shared" ref="BF152:BF165" si="74">IF($F152=0,"",(BC152/$F152-1))</f>
        <v/>
      </c>
      <c r="BG152" s="121" t="str">
        <f t="shared" ref="BG152:BG165" si="75">IF($G152=0,"",(BD152/$G152-1))</f>
        <v/>
      </c>
      <c r="BH152" s="27" t="str">
        <f>IF(AND(ISBLANK(BJ152),BI152=""),"",1+MAX(BH$21:BH151))</f>
        <v/>
      </c>
      <c r="BI152" s="137" t="str">
        <f>IF(OR(BE152="",BE152=0,$H152="",$H152=0,NOT(ISNUMBER($H152)),NOT(ISNUMBER(BE152))),IF(AND($E152&lt;&gt;"",AND(OR(ISNUMBER(BE152),BE152=""),AND(ISNUMBER($H152),$H152&gt;0))),'Feuille de Donnée'!$K$13,""),IF(BE152&lt;$H$168*'Feuille de Donnée'!$I$9,"Négligeable",(IF(AND(BC152&gt;=$F152*(1-'Feuille de Donnée'!$E$12),BC152&lt;=$F152*(1+'Feuille de Donnée'!$F$12)),'Feuille de Donnée'!$F$17,IF(BC152&lt;$F152*(1-'Feuille de Donnée'!$E$12),'Feuille de Donnée'!$F$18,'Feuille de Donnée'!$F$16))&amp;""&amp;IF(AND(BD152&gt;=$G152*(1-'Feuille de Donnée'!$E$27),BD152&lt;=$G152*(1+'Feuille de Donnée'!$F$27)),'Feuille de Donnée'!$F$32,IF(BD152&lt;$G152*(1-'Feuille de Donnée'!$E$27),'Feuille de Donnée'!$F$33,'Feuille de Donnée'!$F$31)))))</f>
        <v/>
      </c>
      <c r="BJ152" s="138"/>
      <c r="BK152" s="140"/>
    </row>
    <row r="153" spans="1:63" s="6" customFormat="1" x14ac:dyDescent="0.3">
      <c r="A153" s="23"/>
      <c r="B153" s="24"/>
      <c r="C153" s="24"/>
      <c r="D153" s="24"/>
      <c r="E153" s="22"/>
      <c r="F153" s="25"/>
      <c r="G153" s="26"/>
      <c r="H153" s="102" t="str">
        <f t="shared" si="57"/>
        <v/>
      </c>
      <c r="I153" s="103"/>
      <c r="J153" s="27"/>
      <c r="K153" s="27"/>
      <c r="L153" s="27" t="str">
        <f t="shared" si="58"/>
        <v/>
      </c>
      <c r="M153" s="121" t="str">
        <f t="shared" si="59"/>
        <v/>
      </c>
      <c r="N153" s="121" t="str">
        <f t="shared" si="60"/>
        <v/>
      </c>
      <c r="O153" s="27" t="str">
        <f>IF(AND(ISBLANK(Q153),P153=""),"",1+MAX(O$21:O152))</f>
        <v/>
      </c>
      <c r="P153" s="137" t="str">
        <f>IF(OR(L153="",L153=0,$H153="",$H153=0,NOT(ISNUMBER($H153)),NOT(ISNUMBER(L153))),IF(AND($E153&lt;&gt;"",AND(OR(ISNUMBER(L153),L153=""),AND(ISNUMBER($H153),$H153&gt;0))),'Feuille de Donnée'!$K$13,""),IF(L153&lt;$H$168*'Feuille de Donnée'!$I$9,"Négligeable",(IF(AND(J153&gt;=$F153*(1-'Feuille de Donnée'!$E$12),J153&lt;=$F153*(1+'Feuille de Donnée'!$F$12)),'Feuille de Donnée'!$F$17,IF(J153&lt;$F153*(1-'Feuille de Donnée'!$E$12),'Feuille de Donnée'!$F$18,'Feuille de Donnée'!$F$16))&amp;""&amp;IF(AND(K153&gt;=$G153*(1-'Feuille de Donnée'!$E$27),K153&lt;=$G153*(1+'Feuille de Donnée'!$F$27)),'Feuille de Donnée'!$F$32,IF(K153&lt;$G153*(1-'Feuille de Donnée'!$E$27),'Feuille de Donnée'!$F$33,'Feuille de Donnée'!$F$31)))))</f>
        <v/>
      </c>
      <c r="Q153" s="138"/>
      <c r="R153" s="103"/>
      <c r="S153" s="27"/>
      <c r="T153" s="27"/>
      <c r="U153" s="27" t="str">
        <f t="shared" si="61"/>
        <v/>
      </c>
      <c r="V153" s="121" t="str">
        <f t="shared" si="62"/>
        <v/>
      </c>
      <c r="W153" s="121" t="str">
        <f t="shared" si="63"/>
        <v/>
      </c>
      <c r="X153" s="27" t="str">
        <f>IF(AND(ISBLANK(Z153),Y153=""),"",1+MAX(X$21:X152))</f>
        <v/>
      </c>
      <c r="Y153" s="137" t="str">
        <f>IF(OR(U153="",U153=0,$H153="",$H153=0,NOT(ISNUMBER($H153)),NOT(ISNUMBER(U153))),IF(AND($E153&lt;&gt;"",AND(OR(ISNUMBER(U153),U153=""),AND(ISNUMBER($H153),$H153&gt;0))),'Feuille de Donnée'!$K$13,""),IF(U153&lt;$H$168*'Feuille de Donnée'!$I$9,"Négligeable",(IF(AND(S153&gt;=$F153*(1-'Feuille de Donnée'!$E$12),S153&lt;=$F153*(1+'Feuille de Donnée'!$F$12)),'Feuille de Donnée'!$F$17,IF(S153&lt;$F153*(1-'Feuille de Donnée'!$E$12),'Feuille de Donnée'!$F$18,'Feuille de Donnée'!$F$16))&amp;""&amp;IF(AND(T153&gt;=$G153*(1-'Feuille de Donnée'!$E$27),T153&lt;=$G153*(1+'Feuille de Donnée'!$F$27)),'Feuille de Donnée'!$F$32,IF(T153&lt;$G153*(1-'Feuille de Donnée'!$E$27),'Feuille de Donnée'!$F$33,'Feuille de Donnée'!$F$31)))))</f>
        <v/>
      </c>
      <c r="Z153" s="138"/>
      <c r="AA153" s="103"/>
      <c r="AB153" s="27"/>
      <c r="AC153" s="27"/>
      <c r="AD153" s="27" t="str">
        <f t="shared" si="64"/>
        <v/>
      </c>
      <c r="AE153" s="121" t="str">
        <f t="shared" si="65"/>
        <v/>
      </c>
      <c r="AF153" s="121" t="str">
        <f t="shared" si="66"/>
        <v/>
      </c>
      <c r="AG153" s="27" t="str">
        <f>IF(AND(ISBLANK(AI153),AH153=""),"",1+MAX(AG$21:AG152))</f>
        <v/>
      </c>
      <c r="AH153" s="137" t="str">
        <f>IF(OR(AD153="",AD153=0,$H153="",$H153=0,NOT(ISNUMBER($H153)),NOT(ISNUMBER(AD153))),IF(AND($E153&lt;&gt;"",AND(OR(ISNUMBER(AD153),AD153=""),AND(ISNUMBER($H153),$H153&gt;0))),'Feuille de Donnée'!$K$13,""),IF(AD153&lt;$H$168*'Feuille de Donnée'!$I$9,"Négligeable",(IF(AND(AB153&gt;=$F153*(1-'Feuille de Donnée'!$E$12),AB153&lt;=$F153*(1+'Feuille de Donnée'!$F$12)),'Feuille de Donnée'!$F$17,IF(AB153&lt;$F153*(1-'Feuille de Donnée'!$E$12),'Feuille de Donnée'!$F$18,'Feuille de Donnée'!$F$16))&amp;""&amp;IF(AND(AC153&gt;=$G153*(1-'Feuille de Donnée'!$E$27),AC153&lt;=$G153*(1+'Feuille de Donnée'!$F$27)),'Feuille de Donnée'!$F$32,IF(AC153&lt;$G153*(1-'Feuille de Donnée'!$E$27),'Feuille de Donnée'!$F$33,'Feuille de Donnée'!$F$31)))))</f>
        <v/>
      </c>
      <c r="AI153" s="138"/>
      <c r="AJ153" s="103"/>
      <c r="AK153" s="27"/>
      <c r="AL153" s="27"/>
      <c r="AM153" s="27" t="str">
        <f t="shared" si="67"/>
        <v/>
      </c>
      <c r="AN153" s="121" t="str">
        <f t="shared" si="68"/>
        <v/>
      </c>
      <c r="AO153" s="121" t="str">
        <f t="shared" si="69"/>
        <v/>
      </c>
      <c r="AP153" s="27" t="str">
        <f>IF(AND(ISBLANK(AR153),AQ153=""),"",1+MAX(AP$21:AP152))</f>
        <v/>
      </c>
      <c r="AQ153" s="137" t="str">
        <f>IF(OR(AM153="",AM153=0,$H153="",$H153=0,NOT(ISNUMBER($H153)),NOT(ISNUMBER(AM153))),IF(AND($E153&lt;&gt;"",AND(OR(ISNUMBER(AM153),AM153=""),AND(ISNUMBER($H153),$H153&gt;0))),'Feuille de Donnée'!$K$13,""),IF(AM153&lt;$H$168*'Feuille de Donnée'!$I$9,"Négligeable",(IF(AND(AK153&gt;=$F153*(1-'Feuille de Donnée'!$E$12),AK153&lt;=$F153*(1+'Feuille de Donnée'!$F$12)),'Feuille de Donnée'!$F$17,IF(AK153&lt;$F153*(1-'Feuille de Donnée'!$E$12),'Feuille de Donnée'!$F$18,'Feuille de Donnée'!$F$16))&amp;""&amp;IF(AND(AL153&gt;=$G153*(1-'Feuille de Donnée'!$E$27),AL153&lt;=$G153*(1+'Feuille de Donnée'!$F$27)),'Feuille de Donnée'!$F$32,IF(AL153&lt;$G153*(1-'Feuille de Donnée'!$E$27),'Feuille de Donnée'!$F$33,'Feuille de Donnée'!$F$31)))))</f>
        <v/>
      </c>
      <c r="AR153" s="138"/>
      <c r="AS153" s="103"/>
      <c r="AT153" s="27"/>
      <c r="AU153" s="27"/>
      <c r="AV153" s="27" t="str">
        <f t="shared" si="70"/>
        <v/>
      </c>
      <c r="AW153" s="121" t="str">
        <f t="shared" si="71"/>
        <v/>
      </c>
      <c r="AX153" s="121" t="str">
        <f t="shared" si="72"/>
        <v/>
      </c>
      <c r="AY153" s="27" t="str">
        <f>IF(AND(ISBLANK(BA153),AZ153=""),"",1+MAX(AY$21:AY152))</f>
        <v/>
      </c>
      <c r="AZ153" s="137" t="str">
        <f>IF(OR(AV153="",AV153=0,$H153="",$H153=0,NOT(ISNUMBER($H153)),NOT(ISNUMBER(AV153))),IF(AND($E153&lt;&gt;"",AND(OR(ISNUMBER(AV153),AV153=""),AND(ISNUMBER($H153),$H153&gt;0))),'Feuille de Donnée'!$K$13,""),IF(AV153&lt;$H$168*'Feuille de Donnée'!$I$9,"Négligeable",(IF(AND(AT153&gt;=$F153*(1-'Feuille de Donnée'!$E$12),AT153&lt;=$F153*(1+'Feuille de Donnée'!$F$12)),'Feuille de Donnée'!$F$17,IF(AT153&lt;$F153*(1-'Feuille de Donnée'!$E$12),'Feuille de Donnée'!$F$18,'Feuille de Donnée'!$F$16))&amp;""&amp;IF(AND(AU153&gt;=$G153*(1-'Feuille de Donnée'!$E$27),AU153&lt;=$G153*(1+'Feuille de Donnée'!$F$27)),'Feuille de Donnée'!$F$32,IF(AU153&lt;$G153*(1-'Feuille de Donnée'!$E$27),'Feuille de Donnée'!$F$33,'Feuille de Donnée'!$F$31)))))</f>
        <v/>
      </c>
      <c r="BA153" s="138"/>
      <c r="BB153" s="103"/>
      <c r="BC153" s="27"/>
      <c r="BD153" s="27"/>
      <c r="BE153" s="27" t="str">
        <f t="shared" si="73"/>
        <v/>
      </c>
      <c r="BF153" s="121" t="str">
        <f t="shared" si="74"/>
        <v/>
      </c>
      <c r="BG153" s="121" t="str">
        <f t="shared" si="75"/>
        <v/>
      </c>
      <c r="BH153" s="27" t="str">
        <f>IF(AND(ISBLANK(BJ153),BI153=""),"",1+MAX(BH$21:BH152))</f>
        <v/>
      </c>
      <c r="BI153" s="137" t="str">
        <f>IF(OR(BE153="",BE153=0,$H153="",$H153=0,NOT(ISNUMBER($H153)),NOT(ISNUMBER(BE153))),IF(AND($E153&lt;&gt;"",AND(OR(ISNUMBER(BE153),BE153=""),AND(ISNUMBER($H153),$H153&gt;0))),'Feuille de Donnée'!$K$13,""),IF(BE153&lt;$H$168*'Feuille de Donnée'!$I$9,"Négligeable",(IF(AND(BC153&gt;=$F153*(1-'Feuille de Donnée'!$E$12),BC153&lt;=$F153*(1+'Feuille de Donnée'!$F$12)),'Feuille de Donnée'!$F$17,IF(BC153&lt;$F153*(1-'Feuille de Donnée'!$E$12),'Feuille de Donnée'!$F$18,'Feuille de Donnée'!$F$16))&amp;""&amp;IF(AND(BD153&gt;=$G153*(1-'Feuille de Donnée'!$E$27),BD153&lt;=$G153*(1+'Feuille de Donnée'!$F$27)),'Feuille de Donnée'!$F$32,IF(BD153&lt;$G153*(1-'Feuille de Donnée'!$E$27),'Feuille de Donnée'!$F$33,'Feuille de Donnée'!$F$31)))))</f>
        <v/>
      </c>
      <c r="BJ153" s="138"/>
      <c r="BK153" s="140"/>
    </row>
    <row r="154" spans="1:63" s="6" customFormat="1" x14ac:dyDescent="0.3">
      <c r="A154" s="23"/>
      <c r="B154" s="24"/>
      <c r="C154" s="24"/>
      <c r="D154" s="24"/>
      <c r="E154" s="22"/>
      <c r="F154" s="25"/>
      <c r="G154" s="26"/>
      <c r="H154" s="102" t="str">
        <f t="shared" si="57"/>
        <v/>
      </c>
      <c r="I154" s="103"/>
      <c r="J154" s="27"/>
      <c r="K154" s="27"/>
      <c r="L154" s="27" t="str">
        <f t="shared" si="58"/>
        <v/>
      </c>
      <c r="M154" s="121" t="str">
        <f t="shared" si="59"/>
        <v/>
      </c>
      <c r="N154" s="121" t="str">
        <f t="shared" si="60"/>
        <v/>
      </c>
      <c r="O154" s="27" t="str">
        <f>IF(AND(ISBLANK(Q154),P154=""),"",1+MAX(O$21:O153))</f>
        <v/>
      </c>
      <c r="P154" s="137" t="str">
        <f>IF(OR(L154="",L154=0,$H154="",$H154=0,NOT(ISNUMBER($H154)),NOT(ISNUMBER(L154))),IF(AND($E154&lt;&gt;"",AND(OR(ISNUMBER(L154),L154=""),AND(ISNUMBER($H154),$H154&gt;0))),'Feuille de Donnée'!$K$13,""),IF(L154&lt;$H$168*'Feuille de Donnée'!$I$9,"Négligeable",(IF(AND(J154&gt;=$F154*(1-'Feuille de Donnée'!$E$12),J154&lt;=$F154*(1+'Feuille de Donnée'!$F$12)),'Feuille de Donnée'!$F$17,IF(J154&lt;$F154*(1-'Feuille de Donnée'!$E$12),'Feuille de Donnée'!$F$18,'Feuille de Donnée'!$F$16))&amp;""&amp;IF(AND(K154&gt;=$G154*(1-'Feuille de Donnée'!$E$27),K154&lt;=$G154*(1+'Feuille de Donnée'!$F$27)),'Feuille de Donnée'!$F$32,IF(K154&lt;$G154*(1-'Feuille de Donnée'!$E$27),'Feuille de Donnée'!$F$33,'Feuille de Donnée'!$F$31)))))</f>
        <v/>
      </c>
      <c r="Q154" s="138"/>
      <c r="R154" s="103"/>
      <c r="S154" s="27"/>
      <c r="T154" s="27"/>
      <c r="U154" s="27" t="str">
        <f t="shared" si="61"/>
        <v/>
      </c>
      <c r="V154" s="121" t="str">
        <f t="shared" si="62"/>
        <v/>
      </c>
      <c r="W154" s="121" t="str">
        <f t="shared" si="63"/>
        <v/>
      </c>
      <c r="X154" s="27" t="str">
        <f>IF(AND(ISBLANK(Z154),Y154=""),"",1+MAX(X$21:X153))</f>
        <v/>
      </c>
      <c r="Y154" s="137" t="str">
        <f>IF(OR(U154="",U154=0,$H154="",$H154=0,NOT(ISNUMBER($H154)),NOT(ISNUMBER(U154))),IF(AND($E154&lt;&gt;"",AND(OR(ISNUMBER(U154),U154=""),AND(ISNUMBER($H154),$H154&gt;0))),'Feuille de Donnée'!$K$13,""),IF(U154&lt;$H$168*'Feuille de Donnée'!$I$9,"Négligeable",(IF(AND(S154&gt;=$F154*(1-'Feuille de Donnée'!$E$12),S154&lt;=$F154*(1+'Feuille de Donnée'!$F$12)),'Feuille de Donnée'!$F$17,IF(S154&lt;$F154*(1-'Feuille de Donnée'!$E$12),'Feuille de Donnée'!$F$18,'Feuille de Donnée'!$F$16))&amp;""&amp;IF(AND(T154&gt;=$G154*(1-'Feuille de Donnée'!$E$27),T154&lt;=$G154*(1+'Feuille de Donnée'!$F$27)),'Feuille de Donnée'!$F$32,IF(T154&lt;$G154*(1-'Feuille de Donnée'!$E$27),'Feuille de Donnée'!$F$33,'Feuille de Donnée'!$F$31)))))</f>
        <v/>
      </c>
      <c r="Z154" s="138"/>
      <c r="AA154" s="103"/>
      <c r="AB154" s="27"/>
      <c r="AC154" s="27"/>
      <c r="AD154" s="27" t="str">
        <f t="shared" si="64"/>
        <v/>
      </c>
      <c r="AE154" s="121" t="str">
        <f t="shared" si="65"/>
        <v/>
      </c>
      <c r="AF154" s="121" t="str">
        <f t="shared" si="66"/>
        <v/>
      </c>
      <c r="AG154" s="27" t="str">
        <f>IF(AND(ISBLANK(AI154),AH154=""),"",1+MAX(AG$21:AG153))</f>
        <v/>
      </c>
      <c r="AH154" s="137" t="str">
        <f>IF(OR(AD154="",AD154=0,$H154="",$H154=0,NOT(ISNUMBER($H154)),NOT(ISNUMBER(AD154))),IF(AND($E154&lt;&gt;"",AND(OR(ISNUMBER(AD154),AD154=""),AND(ISNUMBER($H154),$H154&gt;0))),'Feuille de Donnée'!$K$13,""),IF(AD154&lt;$H$168*'Feuille de Donnée'!$I$9,"Négligeable",(IF(AND(AB154&gt;=$F154*(1-'Feuille de Donnée'!$E$12),AB154&lt;=$F154*(1+'Feuille de Donnée'!$F$12)),'Feuille de Donnée'!$F$17,IF(AB154&lt;$F154*(1-'Feuille de Donnée'!$E$12),'Feuille de Donnée'!$F$18,'Feuille de Donnée'!$F$16))&amp;""&amp;IF(AND(AC154&gt;=$G154*(1-'Feuille de Donnée'!$E$27),AC154&lt;=$G154*(1+'Feuille de Donnée'!$F$27)),'Feuille de Donnée'!$F$32,IF(AC154&lt;$G154*(1-'Feuille de Donnée'!$E$27),'Feuille de Donnée'!$F$33,'Feuille de Donnée'!$F$31)))))</f>
        <v/>
      </c>
      <c r="AI154" s="138"/>
      <c r="AJ154" s="103"/>
      <c r="AK154" s="27"/>
      <c r="AL154" s="27"/>
      <c r="AM154" s="27" t="str">
        <f t="shared" si="67"/>
        <v/>
      </c>
      <c r="AN154" s="121" t="str">
        <f t="shared" si="68"/>
        <v/>
      </c>
      <c r="AO154" s="121" t="str">
        <f t="shared" si="69"/>
        <v/>
      </c>
      <c r="AP154" s="27" t="str">
        <f>IF(AND(ISBLANK(AR154),AQ154=""),"",1+MAX(AP$21:AP153))</f>
        <v/>
      </c>
      <c r="AQ154" s="137" t="str">
        <f>IF(OR(AM154="",AM154=0,$H154="",$H154=0,NOT(ISNUMBER($H154)),NOT(ISNUMBER(AM154))),IF(AND($E154&lt;&gt;"",AND(OR(ISNUMBER(AM154),AM154=""),AND(ISNUMBER($H154),$H154&gt;0))),'Feuille de Donnée'!$K$13,""),IF(AM154&lt;$H$168*'Feuille de Donnée'!$I$9,"Négligeable",(IF(AND(AK154&gt;=$F154*(1-'Feuille de Donnée'!$E$12),AK154&lt;=$F154*(1+'Feuille de Donnée'!$F$12)),'Feuille de Donnée'!$F$17,IF(AK154&lt;$F154*(1-'Feuille de Donnée'!$E$12),'Feuille de Donnée'!$F$18,'Feuille de Donnée'!$F$16))&amp;""&amp;IF(AND(AL154&gt;=$G154*(1-'Feuille de Donnée'!$E$27),AL154&lt;=$G154*(1+'Feuille de Donnée'!$F$27)),'Feuille de Donnée'!$F$32,IF(AL154&lt;$G154*(1-'Feuille de Donnée'!$E$27),'Feuille de Donnée'!$F$33,'Feuille de Donnée'!$F$31)))))</f>
        <v/>
      </c>
      <c r="AR154" s="138"/>
      <c r="AS154" s="103"/>
      <c r="AT154" s="27"/>
      <c r="AU154" s="27"/>
      <c r="AV154" s="27" t="str">
        <f t="shared" si="70"/>
        <v/>
      </c>
      <c r="AW154" s="121" t="str">
        <f t="shared" si="71"/>
        <v/>
      </c>
      <c r="AX154" s="121" t="str">
        <f t="shared" si="72"/>
        <v/>
      </c>
      <c r="AY154" s="27" t="str">
        <f>IF(AND(ISBLANK(BA154),AZ154=""),"",1+MAX(AY$21:AY153))</f>
        <v/>
      </c>
      <c r="AZ154" s="137" t="str">
        <f>IF(OR(AV154="",AV154=0,$H154="",$H154=0,NOT(ISNUMBER($H154)),NOT(ISNUMBER(AV154))),IF(AND($E154&lt;&gt;"",AND(OR(ISNUMBER(AV154),AV154=""),AND(ISNUMBER($H154),$H154&gt;0))),'Feuille de Donnée'!$K$13,""),IF(AV154&lt;$H$168*'Feuille de Donnée'!$I$9,"Négligeable",(IF(AND(AT154&gt;=$F154*(1-'Feuille de Donnée'!$E$12),AT154&lt;=$F154*(1+'Feuille de Donnée'!$F$12)),'Feuille de Donnée'!$F$17,IF(AT154&lt;$F154*(1-'Feuille de Donnée'!$E$12),'Feuille de Donnée'!$F$18,'Feuille de Donnée'!$F$16))&amp;""&amp;IF(AND(AU154&gt;=$G154*(1-'Feuille de Donnée'!$E$27),AU154&lt;=$G154*(1+'Feuille de Donnée'!$F$27)),'Feuille de Donnée'!$F$32,IF(AU154&lt;$G154*(1-'Feuille de Donnée'!$E$27),'Feuille de Donnée'!$F$33,'Feuille de Donnée'!$F$31)))))</f>
        <v/>
      </c>
      <c r="BA154" s="138"/>
      <c r="BB154" s="103"/>
      <c r="BC154" s="27"/>
      <c r="BD154" s="27"/>
      <c r="BE154" s="27" t="str">
        <f t="shared" si="73"/>
        <v/>
      </c>
      <c r="BF154" s="121" t="str">
        <f t="shared" si="74"/>
        <v/>
      </c>
      <c r="BG154" s="121" t="str">
        <f t="shared" si="75"/>
        <v/>
      </c>
      <c r="BH154" s="27" t="str">
        <f>IF(AND(ISBLANK(BJ154),BI154=""),"",1+MAX(BH$21:BH153))</f>
        <v/>
      </c>
      <c r="BI154" s="137" t="str">
        <f>IF(OR(BE154="",BE154=0,$H154="",$H154=0,NOT(ISNUMBER($H154)),NOT(ISNUMBER(BE154))),IF(AND($E154&lt;&gt;"",AND(OR(ISNUMBER(BE154),BE154=""),AND(ISNUMBER($H154),$H154&gt;0))),'Feuille de Donnée'!$K$13,""),IF(BE154&lt;$H$168*'Feuille de Donnée'!$I$9,"Négligeable",(IF(AND(BC154&gt;=$F154*(1-'Feuille de Donnée'!$E$12),BC154&lt;=$F154*(1+'Feuille de Donnée'!$F$12)),'Feuille de Donnée'!$F$17,IF(BC154&lt;$F154*(1-'Feuille de Donnée'!$E$12),'Feuille de Donnée'!$F$18,'Feuille de Donnée'!$F$16))&amp;""&amp;IF(AND(BD154&gt;=$G154*(1-'Feuille de Donnée'!$E$27),BD154&lt;=$G154*(1+'Feuille de Donnée'!$F$27)),'Feuille de Donnée'!$F$32,IF(BD154&lt;$G154*(1-'Feuille de Donnée'!$E$27),'Feuille de Donnée'!$F$33,'Feuille de Donnée'!$F$31)))))</f>
        <v/>
      </c>
      <c r="BJ154" s="138"/>
      <c r="BK154" s="140"/>
    </row>
    <row r="155" spans="1:63" s="6" customFormat="1" x14ac:dyDescent="0.3">
      <c r="A155" s="23"/>
      <c r="B155" s="24"/>
      <c r="C155" s="24"/>
      <c r="D155" s="24"/>
      <c r="E155" s="22"/>
      <c r="F155" s="25"/>
      <c r="G155" s="26"/>
      <c r="H155" s="102" t="str">
        <f t="shared" si="57"/>
        <v/>
      </c>
      <c r="I155" s="103"/>
      <c r="J155" s="27"/>
      <c r="K155" s="27"/>
      <c r="L155" s="27" t="str">
        <f t="shared" si="58"/>
        <v/>
      </c>
      <c r="M155" s="121" t="str">
        <f t="shared" si="59"/>
        <v/>
      </c>
      <c r="N155" s="121" t="str">
        <f t="shared" si="60"/>
        <v/>
      </c>
      <c r="O155" s="27" t="str">
        <f>IF(AND(ISBLANK(Q155),P155=""),"",1+MAX(O$21:O154))</f>
        <v/>
      </c>
      <c r="P155" s="137" t="str">
        <f>IF(OR(L155="",L155=0,$H155="",$H155=0,NOT(ISNUMBER($H155)),NOT(ISNUMBER(L155))),IF(AND($E155&lt;&gt;"",AND(OR(ISNUMBER(L155),L155=""),AND(ISNUMBER($H155),$H155&gt;0))),'Feuille de Donnée'!$K$13,""),IF(L155&lt;$H$168*'Feuille de Donnée'!$I$9,"Négligeable",(IF(AND(J155&gt;=$F155*(1-'Feuille de Donnée'!$E$12),J155&lt;=$F155*(1+'Feuille de Donnée'!$F$12)),'Feuille de Donnée'!$F$17,IF(J155&lt;$F155*(1-'Feuille de Donnée'!$E$12),'Feuille de Donnée'!$F$18,'Feuille de Donnée'!$F$16))&amp;""&amp;IF(AND(K155&gt;=$G155*(1-'Feuille de Donnée'!$E$27),K155&lt;=$G155*(1+'Feuille de Donnée'!$F$27)),'Feuille de Donnée'!$F$32,IF(K155&lt;$G155*(1-'Feuille de Donnée'!$E$27),'Feuille de Donnée'!$F$33,'Feuille de Donnée'!$F$31)))))</f>
        <v/>
      </c>
      <c r="Q155" s="138"/>
      <c r="R155" s="103"/>
      <c r="S155" s="27"/>
      <c r="T155" s="27"/>
      <c r="U155" s="27" t="str">
        <f t="shared" si="61"/>
        <v/>
      </c>
      <c r="V155" s="121" t="str">
        <f t="shared" si="62"/>
        <v/>
      </c>
      <c r="W155" s="121" t="str">
        <f t="shared" si="63"/>
        <v/>
      </c>
      <c r="X155" s="27" t="str">
        <f>IF(AND(ISBLANK(Z155),Y155=""),"",1+MAX(X$21:X154))</f>
        <v/>
      </c>
      <c r="Y155" s="137" t="str">
        <f>IF(OR(U155="",U155=0,$H155="",$H155=0,NOT(ISNUMBER($H155)),NOT(ISNUMBER(U155))),IF(AND($E155&lt;&gt;"",AND(OR(ISNUMBER(U155),U155=""),AND(ISNUMBER($H155),$H155&gt;0))),'Feuille de Donnée'!$K$13,""),IF(U155&lt;$H$168*'Feuille de Donnée'!$I$9,"Négligeable",(IF(AND(S155&gt;=$F155*(1-'Feuille de Donnée'!$E$12),S155&lt;=$F155*(1+'Feuille de Donnée'!$F$12)),'Feuille de Donnée'!$F$17,IF(S155&lt;$F155*(1-'Feuille de Donnée'!$E$12),'Feuille de Donnée'!$F$18,'Feuille de Donnée'!$F$16))&amp;""&amp;IF(AND(T155&gt;=$G155*(1-'Feuille de Donnée'!$E$27),T155&lt;=$G155*(1+'Feuille de Donnée'!$F$27)),'Feuille de Donnée'!$F$32,IF(T155&lt;$G155*(1-'Feuille de Donnée'!$E$27),'Feuille de Donnée'!$F$33,'Feuille de Donnée'!$F$31)))))</f>
        <v/>
      </c>
      <c r="Z155" s="138"/>
      <c r="AA155" s="103"/>
      <c r="AB155" s="27"/>
      <c r="AC155" s="27"/>
      <c r="AD155" s="27" t="str">
        <f t="shared" si="64"/>
        <v/>
      </c>
      <c r="AE155" s="121" t="str">
        <f t="shared" si="65"/>
        <v/>
      </c>
      <c r="AF155" s="121" t="str">
        <f t="shared" si="66"/>
        <v/>
      </c>
      <c r="AG155" s="27" t="str">
        <f>IF(AND(ISBLANK(AI155),AH155=""),"",1+MAX(AG$21:AG154))</f>
        <v/>
      </c>
      <c r="AH155" s="137" t="str">
        <f>IF(OR(AD155="",AD155=0,$H155="",$H155=0,NOT(ISNUMBER($H155)),NOT(ISNUMBER(AD155))),IF(AND($E155&lt;&gt;"",AND(OR(ISNUMBER(AD155),AD155=""),AND(ISNUMBER($H155),$H155&gt;0))),'Feuille de Donnée'!$K$13,""),IF(AD155&lt;$H$168*'Feuille de Donnée'!$I$9,"Négligeable",(IF(AND(AB155&gt;=$F155*(1-'Feuille de Donnée'!$E$12),AB155&lt;=$F155*(1+'Feuille de Donnée'!$F$12)),'Feuille de Donnée'!$F$17,IF(AB155&lt;$F155*(1-'Feuille de Donnée'!$E$12),'Feuille de Donnée'!$F$18,'Feuille de Donnée'!$F$16))&amp;""&amp;IF(AND(AC155&gt;=$G155*(1-'Feuille de Donnée'!$E$27),AC155&lt;=$G155*(1+'Feuille de Donnée'!$F$27)),'Feuille de Donnée'!$F$32,IF(AC155&lt;$G155*(1-'Feuille de Donnée'!$E$27),'Feuille de Donnée'!$F$33,'Feuille de Donnée'!$F$31)))))</f>
        <v/>
      </c>
      <c r="AI155" s="138"/>
      <c r="AJ155" s="103"/>
      <c r="AK155" s="27"/>
      <c r="AL155" s="27"/>
      <c r="AM155" s="27" t="str">
        <f t="shared" si="67"/>
        <v/>
      </c>
      <c r="AN155" s="121" t="str">
        <f t="shared" si="68"/>
        <v/>
      </c>
      <c r="AO155" s="121" t="str">
        <f t="shared" si="69"/>
        <v/>
      </c>
      <c r="AP155" s="27" t="str">
        <f>IF(AND(ISBLANK(AR155),AQ155=""),"",1+MAX(AP$21:AP154))</f>
        <v/>
      </c>
      <c r="AQ155" s="137" t="str">
        <f>IF(OR(AM155="",AM155=0,$H155="",$H155=0,NOT(ISNUMBER($H155)),NOT(ISNUMBER(AM155))),IF(AND($E155&lt;&gt;"",AND(OR(ISNUMBER(AM155),AM155=""),AND(ISNUMBER($H155),$H155&gt;0))),'Feuille de Donnée'!$K$13,""),IF(AM155&lt;$H$168*'Feuille de Donnée'!$I$9,"Négligeable",(IF(AND(AK155&gt;=$F155*(1-'Feuille de Donnée'!$E$12),AK155&lt;=$F155*(1+'Feuille de Donnée'!$F$12)),'Feuille de Donnée'!$F$17,IF(AK155&lt;$F155*(1-'Feuille de Donnée'!$E$12),'Feuille de Donnée'!$F$18,'Feuille de Donnée'!$F$16))&amp;""&amp;IF(AND(AL155&gt;=$G155*(1-'Feuille de Donnée'!$E$27),AL155&lt;=$G155*(1+'Feuille de Donnée'!$F$27)),'Feuille de Donnée'!$F$32,IF(AL155&lt;$G155*(1-'Feuille de Donnée'!$E$27),'Feuille de Donnée'!$F$33,'Feuille de Donnée'!$F$31)))))</f>
        <v/>
      </c>
      <c r="AR155" s="138"/>
      <c r="AS155" s="103"/>
      <c r="AT155" s="27"/>
      <c r="AU155" s="27"/>
      <c r="AV155" s="27" t="str">
        <f t="shared" si="70"/>
        <v/>
      </c>
      <c r="AW155" s="121" t="str">
        <f t="shared" si="71"/>
        <v/>
      </c>
      <c r="AX155" s="121" t="str">
        <f t="shared" si="72"/>
        <v/>
      </c>
      <c r="AY155" s="27" t="str">
        <f>IF(AND(ISBLANK(BA155),AZ155=""),"",1+MAX(AY$21:AY154))</f>
        <v/>
      </c>
      <c r="AZ155" s="137" t="str">
        <f>IF(OR(AV155="",AV155=0,$H155="",$H155=0,NOT(ISNUMBER($H155)),NOT(ISNUMBER(AV155))),IF(AND($E155&lt;&gt;"",AND(OR(ISNUMBER(AV155),AV155=""),AND(ISNUMBER($H155),$H155&gt;0))),'Feuille de Donnée'!$K$13,""),IF(AV155&lt;$H$168*'Feuille de Donnée'!$I$9,"Négligeable",(IF(AND(AT155&gt;=$F155*(1-'Feuille de Donnée'!$E$12),AT155&lt;=$F155*(1+'Feuille de Donnée'!$F$12)),'Feuille de Donnée'!$F$17,IF(AT155&lt;$F155*(1-'Feuille de Donnée'!$E$12),'Feuille de Donnée'!$F$18,'Feuille de Donnée'!$F$16))&amp;""&amp;IF(AND(AU155&gt;=$G155*(1-'Feuille de Donnée'!$E$27),AU155&lt;=$G155*(1+'Feuille de Donnée'!$F$27)),'Feuille de Donnée'!$F$32,IF(AU155&lt;$G155*(1-'Feuille de Donnée'!$E$27),'Feuille de Donnée'!$F$33,'Feuille de Donnée'!$F$31)))))</f>
        <v/>
      </c>
      <c r="BA155" s="138"/>
      <c r="BB155" s="103"/>
      <c r="BC155" s="27"/>
      <c r="BD155" s="27"/>
      <c r="BE155" s="27" t="str">
        <f t="shared" si="73"/>
        <v/>
      </c>
      <c r="BF155" s="121" t="str">
        <f t="shared" si="74"/>
        <v/>
      </c>
      <c r="BG155" s="121" t="str">
        <f t="shared" si="75"/>
        <v/>
      </c>
      <c r="BH155" s="27" t="str">
        <f>IF(AND(ISBLANK(BJ155),BI155=""),"",1+MAX(BH$21:BH154))</f>
        <v/>
      </c>
      <c r="BI155" s="137" t="str">
        <f>IF(OR(BE155="",BE155=0,$H155="",$H155=0,NOT(ISNUMBER($H155)),NOT(ISNUMBER(BE155))),IF(AND($E155&lt;&gt;"",AND(OR(ISNUMBER(BE155),BE155=""),AND(ISNUMBER($H155),$H155&gt;0))),'Feuille de Donnée'!$K$13,""),IF(BE155&lt;$H$168*'Feuille de Donnée'!$I$9,"Négligeable",(IF(AND(BC155&gt;=$F155*(1-'Feuille de Donnée'!$E$12),BC155&lt;=$F155*(1+'Feuille de Donnée'!$F$12)),'Feuille de Donnée'!$F$17,IF(BC155&lt;$F155*(1-'Feuille de Donnée'!$E$12),'Feuille de Donnée'!$F$18,'Feuille de Donnée'!$F$16))&amp;""&amp;IF(AND(BD155&gt;=$G155*(1-'Feuille de Donnée'!$E$27),BD155&lt;=$G155*(1+'Feuille de Donnée'!$F$27)),'Feuille de Donnée'!$F$32,IF(BD155&lt;$G155*(1-'Feuille de Donnée'!$E$27),'Feuille de Donnée'!$F$33,'Feuille de Donnée'!$F$31)))))</f>
        <v/>
      </c>
      <c r="BJ155" s="138"/>
      <c r="BK155" s="140"/>
    </row>
    <row r="156" spans="1:63" s="6" customFormat="1" x14ac:dyDescent="0.3">
      <c r="A156" s="23"/>
      <c r="B156" s="24"/>
      <c r="C156" s="24"/>
      <c r="D156" s="24"/>
      <c r="E156" s="22"/>
      <c r="F156" s="25"/>
      <c r="G156" s="26"/>
      <c r="H156" s="102" t="str">
        <f t="shared" si="57"/>
        <v/>
      </c>
      <c r="I156" s="103"/>
      <c r="J156" s="27"/>
      <c r="K156" s="27"/>
      <c r="L156" s="27" t="str">
        <f t="shared" si="58"/>
        <v/>
      </c>
      <c r="M156" s="121" t="str">
        <f t="shared" si="59"/>
        <v/>
      </c>
      <c r="N156" s="121" t="str">
        <f t="shared" si="60"/>
        <v/>
      </c>
      <c r="O156" s="27" t="str">
        <f>IF(AND(ISBLANK(Q156),P156=""),"",1+MAX(O$21:O155))</f>
        <v/>
      </c>
      <c r="P156" s="137" t="str">
        <f>IF(OR(L156="",L156=0,$H156="",$H156=0,NOT(ISNUMBER($H156)),NOT(ISNUMBER(L156))),IF(AND($E156&lt;&gt;"",AND(OR(ISNUMBER(L156),L156=""),AND(ISNUMBER($H156),$H156&gt;0))),'Feuille de Donnée'!$K$13,""),IF(L156&lt;$H$168*'Feuille de Donnée'!$I$9,"Négligeable",(IF(AND(J156&gt;=$F156*(1-'Feuille de Donnée'!$E$12),J156&lt;=$F156*(1+'Feuille de Donnée'!$F$12)),'Feuille de Donnée'!$F$17,IF(J156&lt;$F156*(1-'Feuille de Donnée'!$E$12),'Feuille de Donnée'!$F$18,'Feuille de Donnée'!$F$16))&amp;""&amp;IF(AND(K156&gt;=$G156*(1-'Feuille de Donnée'!$E$27),K156&lt;=$G156*(1+'Feuille de Donnée'!$F$27)),'Feuille de Donnée'!$F$32,IF(K156&lt;$G156*(1-'Feuille de Donnée'!$E$27),'Feuille de Donnée'!$F$33,'Feuille de Donnée'!$F$31)))))</f>
        <v/>
      </c>
      <c r="Q156" s="138"/>
      <c r="R156" s="103"/>
      <c r="S156" s="27"/>
      <c r="T156" s="27"/>
      <c r="U156" s="27" t="str">
        <f t="shared" si="61"/>
        <v/>
      </c>
      <c r="V156" s="121" t="str">
        <f t="shared" si="62"/>
        <v/>
      </c>
      <c r="W156" s="121" t="str">
        <f t="shared" si="63"/>
        <v/>
      </c>
      <c r="X156" s="27" t="str">
        <f>IF(AND(ISBLANK(Z156),Y156=""),"",1+MAX(X$21:X155))</f>
        <v/>
      </c>
      <c r="Y156" s="137" t="str">
        <f>IF(OR(U156="",U156=0,$H156="",$H156=0,NOT(ISNUMBER($H156)),NOT(ISNUMBER(U156))),IF(AND($E156&lt;&gt;"",AND(OR(ISNUMBER(U156),U156=""),AND(ISNUMBER($H156),$H156&gt;0))),'Feuille de Donnée'!$K$13,""),IF(U156&lt;$H$168*'Feuille de Donnée'!$I$9,"Négligeable",(IF(AND(S156&gt;=$F156*(1-'Feuille de Donnée'!$E$12),S156&lt;=$F156*(1+'Feuille de Donnée'!$F$12)),'Feuille de Donnée'!$F$17,IF(S156&lt;$F156*(1-'Feuille de Donnée'!$E$12),'Feuille de Donnée'!$F$18,'Feuille de Donnée'!$F$16))&amp;""&amp;IF(AND(T156&gt;=$G156*(1-'Feuille de Donnée'!$E$27),T156&lt;=$G156*(1+'Feuille de Donnée'!$F$27)),'Feuille de Donnée'!$F$32,IF(T156&lt;$G156*(1-'Feuille de Donnée'!$E$27),'Feuille de Donnée'!$F$33,'Feuille de Donnée'!$F$31)))))</f>
        <v/>
      </c>
      <c r="Z156" s="138"/>
      <c r="AA156" s="103"/>
      <c r="AB156" s="27"/>
      <c r="AC156" s="27"/>
      <c r="AD156" s="27" t="str">
        <f t="shared" si="64"/>
        <v/>
      </c>
      <c r="AE156" s="121" t="str">
        <f t="shared" si="65"/>
        <v/>
      </c>
      <c r="AF156" s="121" t="str">
        <f t="shared" si="66"/>
        <v/>
      </c>
      <c r="AG156" s="27" t="str">
        <f>IF(AND(ISBLANK(AI156),AH156=""),"",1+MAX(AG$21:AG155))</f>
        <v/>
      </c>
      <c r="AH156" s="137" t="str">
        <f>IF(OR(AD156="",AD156=0,$H156="",$H156=0,NOT(ISNUMBER($H156)),NOT(ISNUMBER(AD156))),IF(AND($E156&lt;&gt;"",AND(OR(ISNUMBER(AD156),AD156=""),AND(ISNUMBER($H156),$H156&gt;0))),'Feuille de Donnée'!$K$13,""),IF(AD156&lt;$H$168*'Feuille de Donnée'!$I$9,"Négligeable",(IF(AND(AB156&gt;=$F156*(1-'Feuille de Donnée'!$E$12),AB156&lt;=$F156*(1+'Feuille de Donnée'!$F$12)),'Feuille de Donnée'!$F$17,IF(AB156&lt;$F156*(1-'Feuille de Donnée'!$E$12),'Feuille de Donnée'!$F$18,'Feuille de Donnée'!$F$16))&amp;""&amp;IF(AND(AC156&gt;=$G156*(1-'Feuille de Donnée'!$E$27),AC156&lt;=$G156*(1+'Feuille de Donnée'!$F$27)),'Feuille de Donnée'!$F$32,IF(AC156&lt;$G156*(1-'Feuille de Donnée'!$E$27),'Feuille de Donnée'!$F$33,'Feuille de Donnée'!$F$31)))))</f>
        <v/>
      </c>
      <c r="AI156" s="138"/>
      <c r="AJ156" s="103"/>
      <c r="AK156" s="27"/>
      <c r="AL156" s="27"/>
      <c r="AM156" s="27" t="str">
        <f t="shared" si="67"/>
        <v/>
      </c>
      <c r="AN156" s="121" t="str">
        <f t="shared" si="68"/>
        <v/>
      </c>
      <c r="AO156" s="121" t="str">
        <f t="shared" si="69"/>
        <v/>
      </c>
      <c r="AP156" s="27" t="str">
        <f>IF(AND(ISBLANK(AR156),AQ156=""),"",1+MAX(AP$21:AP155))</f>
        <v/>
      </c>
      <c r="AQ156" s="137" t="str">
        <f>IF(OR(AM156="",AM156=0,$H156="",$H156=0,NOT(ISNUMBER($H156)),NOT(ISNUMBER(AM156))),IF(AND($E156&lt;&gt;"",AND(OR(ISNUMBER(AM156),AM156=""),AND(ISNUMBER($H156),$H156&gt;0))),'Feuille de Donnée'!$K$13,""),IF(AM156&lt;$H$168*'Feuille de Donnée'!$I$9,"Négligeable",(IF(AND(AK156&gt;=$F156*(1-'Feuille de Donnée'!$E$12),AK156&lt;=$F156*(1+'Feuille de Donnée'!$F$12)),'Feuille de Donnée'!$F$17,IF(AK156&lt;$F156*(1-'Feuille de Donnée'!$E$12),'Feuille de Donnée'!$F$18,'Feuille de Donnée'!$F$16))&amp;""&amp;IF(AND(AL156&gt;=$G156*(1-'Feuille de Donnée'!$E$27),AL156&lt;=$G156*(1+'Feuille de Donnée'!$F$27)),'Feuille de Donnée'!$F$32,IF(AL156&lt;$G156*(1-'Feuille de Donnée'!$E$27),'Feuille de Donnée'!$F$33,'Feuille de Donnée'!$F$31)))))</f>
        <v/>
      </c>
      <c r="AR156" s="138"/>
      <c r="AS156" s="103"/>
      <c r="AT156" s="27"/>
      <c r="AU156" s="27"/>
      <c r="AV156" s="27" t="str">
        <f t="shared" si="70"/>
        <v/>
      </c>
      <c r="AW156" s="121" t="str">
        <f t="shared" si="71"/>
        <v/>
      </c>
      <c r="AX156" s="121" t="str">
        <f t="shared" si="72"/>
        <v/>
      </c>
      <c r="AY156" s="27" t="str">
        <f>IF(AND(ISBLANK(BA156),AZ156=""),"",1+MAX(AY$21:AY155))</f>
        <v/>
      </c>
      <c r="AZ156" s="137" t="str">
        <f>IF(OR(AV156="",AV156=0,$H156="",$H156=0,NOT(ISNUMBER($H156)),NOT(ISNUMBER(AV156))),IF(AND($E156&lt;&gt;"",AND(OR(ISNUMBER(AV156),AV156=""),AND(ISNUMBER($H156),$H156&gt;0))),'Feuille de Donnée'!$K$13,""),IF(AV156&lt;$H$168*'Feuille de Donnée'!$I$9,"Négligeable",(IF(AND(AT156&gt;=$F156*(1-'Feuille de Donnée'!$E$12),AT156&lt;=$F156*(1+'Feuille de Donnée'!$F$12)),'Feuille de Donnée'!$F$17,IF(AT156&lt;$F156*(1-'Feuille de Donnée'!$E$12),'Feuille de Donnée'!$F$18,'Feuille de Donnée'!$F$16))&amp;""&amp;IF(AND(AU156&gt;=$G156*(1-'Feuille de Donnée'!$E$27),AU156&lt;=$G156*(1+'Feuille de Donnée'!$F$27)),'Feuille de Donnée'!$F$32,IF(AU156&lt;$G156*(1-'Feuille de Donnée'!$E$27),'Feuille de Donnée'!$F$33,'Feuille de Donnée'!$F$31)))))</f>
        <v/>
      </c>
      <c r="BA156" s="138"/>
      <c r="BB156" s="103"/>
      <c r="BC156" s="27"/>
      <c r="BD156" s="27"/>
      <c r="BE156" s="27" t="str">
        <f t="shared" si="73"/>
        <v/>
      </c>
      <c r="BF156" s="121" t="str">
        <f t="shared" si="74"/>
        <v/>
      </c>
      <c r="BG156" s="121" t="str">
        <f t="shared" si="75"/>
        <v/>
      </c>
      <c r="BH156" s="27" t="str">
        <f>IF(AND(ISBLANK(BJ156),BI156=""),"",1+MAX(BH$21:BH155))</f>
        <v/>
      </c>
      <c r="BI156" s="137" t="str">
        <f>IF(OR(BE156="",BE156=0,$H156="",$H156=0,NOT(ISNUMBER($H156)),NOT(ISNUMBER(BE156))),IF(AND($E156&lt;&gt;"",AND(OR(ISNUMBER(BE156),BE156=""),AND(ISNUMBER($H156),$H156&gt;0))),'Feuille de Donnée'!$K$13,""),IF(BE156&lt;$H$168*'Feuille de Donnée'!$I$9,"Négligeable",(IF(AND(BC156&gt;=$F156*(1-'Feuille de Donnée'!$E$12),BC156&lt;=$F156*(1+'Feuille de Donnée'!$F$12)),'Feuille de Donnée'!$F$17,IF(BC156&lt;$F156*(1-'Feuille de Donnée'!$E$12),'Feuille de Donnée'!$F$18,'Feuille de Donnée'!$F$16))&amp;""&amp;IF(AND(BD156&gt;=$G156*(1-'Feuille de Donnée'!$E$27),BD156&lt;=$G156*(1+'Feuille de Donnée'!$F$27)),'Feuille de Donnée'!$F$32,IF(BD156&lt;$G156*(1-'Feuille de Donnée'!$E$27),'Feuille de Donnée'!$F$33,'Feuille de Donnée'!$F$31)))))</f>
        <v/>
      </c>
      <c r="BJ156" s="138"/>
      <c r="BK156" s="140"/>
    </row>
    <row r="157" spans="1:63" s="6" customFormat="1" x14ac:dyDescent="0.3">
      <c r="A157" s="23"/>
      <c r="B157" s="24"/>
      <c r="C157" s="24"/>
      <c r="D157" s="24"/>
      <c r="E157" s="22"/>
      <c r="F157" s="25"/>
      <c r="G157" s="26"/>
      <c r="H157" s="102" t="str">
        <f t="shared" si="57"/>
        <v/>
      </c>
      <c r="I157" s="103"/>
      <c r="J157" s="27"/>
      <c r="K157" s="27"/>
      <c r="L157" s="27" t="str">
        <f t="shared" si="58"/>
        <v/>
      </c>
      <c r="M157" s="121" t="str">
        <f t="shared" si="59"/>
        <v/>
      </c>
      <c r="N157" s="121" t="str">
        <f t="shared" si="60"/>
        <v/>
      </c>
      <c r="O157" s="27" t="str">
        <f>IF(AND(ISBLANK(Q157),P157=""),"",1+MAX(O$21:O156))</f>
        <v/>
      </c>
      <c r="P157" s="137" t="str">
        <f>IF(OR(L157="",L157=0,$H157="",$H157=0,NOT(ISNUMBER($H157)),NOT(ISNUMBER(L157))),IF(AND($E157&lt;&gt;"",AND(OR(ISNUMBER(L157),L157=""),AND(ISNUMBER($H157),$H157&gt;0))),'Feuille de Donnée'!$K$13,""),IF(L157&lt;$H$168*'Feuille de Donnée'!$I$9,"Négligeable",(IF(AND(J157&gt;=$F157*(1-'Feuille de Donnée'!$E$12),J157&lt;=$F157*(1+'Feuille de Donnée'!$F$12)),'Feuille de Donnée'!$F$17,IF(J157&lt;$F157*(1-'Feuille de Donnée'!$E$12),'Feuille de Donnée'!$F$18,'Feuille de Donnée'!$F$16))&amp;""&amp;IF(AND(K157&gt;=$G157*(1-'Feuille de Donnée'!$E$27),K157&lt;=$G157*(1+'Feuille de Donnée'!$F$27)),'Feuille de Donnée'!$F$32,IF(K157&lt;$G157*(1-'Feuille de Donnée'!$E$27),'Feuille de Donnée'!$F$33,'Feuille de Donnée'!$F$31)))))</f>
        <v/>
      </c>
      <c r="Q157" s="138"/>
      <c r="R157" s="103"/>
      <c r="S157" s="27"/>
      <c r="T157" s="27"/>
      <c r="U157" s="27" t="str">
        <f t="shared" si="61"/>
        <v/>
      </c>
      <c r="V157" s="121" t="str">
        <f t="shared" si="62"/>
        <v/>
      </c>
      <c r="W157" s="121" t="str">
        <f t="shared" si="63"/>
        <v/>
      </c>
      <c r="X157" s="27" t="str">
        <f>IF(AND(ISBLANK(Z157),Y157=""),"",1+MAX(X$21:X156))</f>
        <v/>
      </c>
      <c r="Y157" s="137" t="str">
        <f>IF(OR(U157="",U157=0,$H157="",$H157=0,NOT(ISNUMBER($H157)),NOT(ISNUMBER(U157))),IF(AND($E157&lt;&gt;"",AND(OR(ISNUMBER(U157),U157=""),AND(ISNUMBER($H157),$H157&gt;0))),'Feuille de Donnée'!$K$13,""),IF(U157&lt;$H$168*'Feuille de Donnée'!$I$9,"Négligeable",(IF(AND(S157&gt;=$F157*(1-'Feuille de Donnée'!$E$12),S157&lt;=$F157*(1+'Feuille de Donnée'!$F$12)),'Feuille de Donnée'!$F$17,IF(S157&lt;$F157*(1-'Feuille de Donnée'!$E$12),'Feuille de Donnée'!$F$18,'Feuille de Donnée'!$F$16))&amp;""&amp;IF(AND(T157&gt;=$G157*(1-'Feuille de Donnée'!$E$27),T157&lt;=$G157*(1+'Feuille de Donnée'!$F$27)),'Feuille de Donnée'!$F$32,IF(T157&lt;$G157*(1-'Feuille de Donnée'!$E$27),'Feuille de Donnée'!$F$33,'Feuille de Donnée'!$F$31)))))</f>
        <v/>
      </c>
      <c r="Z157" s="138"/>
      <c r="AA157" s="103"/>
      <c r="AB157" s="27"/>
      <c r="AC157" s="27"/>
      <c r="AD157" s="27" t="str">
        <f t="shared" si="64"/>
        <v/>
      </c>
      <c r="AE157" s="121" t="str">
        <f t="shared" si="65"/>
        <v/>
      </c>
      <c r="AF157" s="121" t="str">
        <f t="shared" si="66"/>
        <v/>
      </c>
      <c r="AG157" s="27" t="str">
        <f>IF(AND(ISBLANK(AI157),AH157=""),"",1+MAX(AG$21:AG156))</f>
        <v/>
      </c>
      <c r="AH157" s="137" t="str">
        <f>IF(OR(AD157="",AD157=0,$H157="",$H157=0,NOT(ISNUMBER($H157)),NOT(ISNUMBER(AD157))),IF(AND($E157&lt;&gt;"",AND(OR(ISNUMBER(AD157),AD157=""),AND(ISNUMBER($H157),$H157&gt;0))),'Feuille de Donnée'!$K$13,""),IF(AD157&lt;$H$168*'Feuille de Donnée'!$I$9,"Négligeable",(IF(AND(AB157&gt;=$F157*(1-'Feuille de Donnée'!$E$12),AB157&lt;=$F157*(1+'Feuille de Donnée'!$F$12)),'Feuille de Donnée'!$F$17,IF(AB157&lt;$F157*(1-'Feuille de Donnée'!$E$12),'Feuille de Donnée'!$F$18,'Feuille de Donnée'!$F$16))&amp;""&amp;IF(AND(AC157&gt;=$G157*(1-'Feuille de Donnée'!$E$27),AC157&lt;=$G157*(1+'Feuille de Donnée'!$F$27)),'Feuille de Donnée'!$F$32,IF(AC157&lt;$G157*(1-'Feuille de Donnée'!$E$27),'Feuille de Donnée'!$F$33,'Feuille de Donnée'!$F$31)))))</f>
        <v/>
      </c>
      <c r="AI157" s="138"/>
      <c r="AJ157" s="103"/>
      <c r="AK157" s="27"/>
      <c r="AL157" s="27"/>
      <c r="AM157" s="27" t="str">
        <f t="shared" si="67"/>
        <v/>
      </c>
      <c r="AN157" s="121" t="str">
        <f t="shared" si="68"/>
        <v/>
      </c>
      <c r="AO157" s="121" t="str">
        <f t="shared" si="69"/>
        <v/>
      </c>
      <c r="AP157" s="27" t="str">
        <f>IF(AND(ISBLANK(AR157),AQ157=""),"",1+MAX(AP$21:AP156))</f>
        <v/>
      </c>
      <c r="AQ157" s="137" t="str">
        <f>IF(OR(AM157="",AM157=0,$H157="",$H157=0,NOT(ISNUMBER($H157)),NOT(ISNUMBER(AM157))),IF(AND($E157&lt;&gt;"",AND(OR(ISNUMBER(AM157),AM157=""),AND(ISNUMBER($H157),$H157&gt;0))),'Feuille de Donnée'!$K$13,""),IF(AM157&lt;$H$168*'Feuille de Donnée'!$I$9,"Négligeable",(IF(AND(AK157&gt;=$F157*(1-'Feuille de Donnée'!$E$12),AK157&lt;=$F157*(1+'Feuille de Donnée'!$F$12)),'Feuille de Donnée'!$F$17,IF(AK157&lt;$F157*(1-'Feuille de Donnée'!$E$12),'Feuille de Donnée'!$F$18,'Feuille de Donnée'!$F$16))&amp;""&amp;IF(AND(AL157&gt;=$G157*(1-'Feuille de Donnée'!$E$27),AL157&lt;=$G157*(1+'Feuille de Donnée'!$F$27)),'Feuille de Donnée'!$F$32,IF(AL157&lt;$G157*(1-'Feuille de Donnée'!$E$27),'Feuille de Donnée'!$F$33,'Feuille de Donnée'!$F$31)))))</f>
        <v/>
      </c>
      <c r="AR157" s="138"/>
      <c r="AS157" s="103"/>
      <c r="AT157" s="27"/>
      <c r="AU157" s="27"/>
      <c r="AV157" s="27" t="str">
        <f t="shared" si="70"/>
        <v/>
      </c>
      <c r="AW157" s="121" t="str">
        <f t="shared" si="71"/>
        <v/>
      </c>
      <c r="AX157" s="121" t="str">
        <f t="shared" si="72"/>
        <v/>
      </c>
      <c r="AY157" s="27" t="str">
        <f>IF(AND(ISBLANK(BA157),AZ157=""),"",1+MAX(AY$21:AY156))</f>
        <v/>
      </c>
      <c r="AZ157" s="137" t="str">
        <f>IF(OR(AV157="",AV157=0,$H157="",$H157=0,NOT(ISNUMBER($H157)),NOT(ISNUMBER(AV157))),IF(AND($E157&lt;&gt;"",AND(OR(ISNUMBER(AV157),AV157=""),AND(ISNUMBER($H157),$H157&gt;0))),'Feuille de Donnée'!$K$13,""),IF(AV157&lt;$H$168*'Feuille de Donnée'!$I$9,"Négligeable",(IF(AND(AT157&gt;=$F157*(1-'Feuille de Donnée'!$E$12),AT157&lt;=$F157*(1+'Feuille de Donnée'!$F$12)),'Feuille de Donnée'!$F$17,IF(AT157&lt;$F157*(1-'Feuille de Donnée'!$E$12),'Feuille de Donnée'!$F$18,'Feuille de Donnée'!$F$16))&amp;""&amp;IF(AND(AU157&gt;=$G157*(1-'Feuille de Donnée'!$E$27),AU157&lt;=$G157*(1+'Feuille de Donnée'!$F$27)),'Feuille de Donnée'!$F$32,IF(AU157&lt;$G157*(1-'Feuille de Donnée'!$E$27),'Feuille de Donnée'!$F$33,'Feuille de Donnée'!$F$31)))))</f>
        <v/>
      </c>
      <c r="BA157" s="138"/>
      <c r="BB157" s="103"/>
      <c r="BC157" s="27"/>
      <c r="BD157" s="27"/>
      <c r="BE157" s="27" t="str">
        <f t="shared" si="73"/>
        <v/>
      </c>
      <c r="BF157" s="121" t="str">
        <f t="shared" si="74"/>
        <v/>
      </c>
      <c r="BG157" s="121" t="str">
        <f t="shared" si="75"/>
        <v/>
      </c>
      <c r="BH157" s="27" t="str">
        <f>IF(AND(ISBLANK(BJ157),BI157=""),"",1+MAX(BH$21:BH156))</f>
        <v/>
      </c>
      <c r="BI157" s="137" t="str">
        <f>IF(OR(BE157="",BE157=0,$H157="",$H157=0,NOT(ISNUMBER($H157)),NOT(ISNUMBER(BE157))),IF(AND($E157&lt;&gt;"",AND(OR(ISNUMBER(BE157),BE157=""),AND(ISNUMBER($H157),$H157&gt;0))),'Feuille de Donnée'!$K$13,""),IF(BE157&lt;$H$168*'Feuille de Donnée'!$I$9,"Négligeable",(IF(AND(BC157&gt;=$F157*(1-'Feuille de Donnée'!$E$12),BC157&lt;=$F157*(1+'Feuille de Donnée'!$F$12)),'Feuille de Donnée'!$F$17,IF(BC157&lt;$F157*(1-'Feuille de Donnée'!$E$12),'Feuille de Donnée'!$F$18,'Feuille de Donnée'!$F$16))&amp;""&amp;IF(AND(BD157&gt;=$G157*(1-'Feuille de Donnée'!$E$27),BD157&lt;=$G157*(1+'Feuille de Donnée'!$F$27)),'Feuille de Donnée'!$F$32,IF(BD157&lt;$G157*(1-'Feuille de Donnée'!$E$27),'Feuille de Donnée'!$F$33,'Feuille de Donnée'!$F$31)))))</f>
        <v/>
      </c>
      <c r="BJ157" s="138"/>
      <c r="BK157" s="140"/>
    </row>
    <row r="158" spans="1:63" s="6" customFormat="1" x14ac:dyDescent="0.3">
      <c r="A158" s="23"/>
      <c r="B158" s="24"/>
      <c r="C158" s="24"/>
      <c r="D158" s="24"/>
      <c r="E158" s="22"/>
      <c r="F158" s="25"/>
      <c r="G158" s="26"/>
      <c r="H158" s="102" t="str">
        <f t="shared" si="57"/>
        <v/>
      </c>
      <c r="I158" s="103"/>
      <c r="J158" s="27"/>
      <c r="K158" s="27"/>
      <c r="L158" s="27" t="str">
        <f t="shared" si="58"/>
        <v/>
      </c>
      <c r="M158" s="121" t="str">
        <f t="shared" si="59"/>
        <v/>
      </c>
      <c r="N158" s="121" t="str">
        <f t="shared" si="60"/>
        <v/>
      </c>
      <c r="O158" s="27" t="str">
        <f>IF(AND(ISBLANK(Q158),P158=""),"",1+MAX(O$21:O157))</f>
        <v/>
      </c>
      <c r="P158" s="137" t="str">
        <f>IF(OR(L158="",L158=0,$H158="",$H158=0,NOT(ISNUMBER($H158)),NOT(ISNUMBER(L158))),IF(AND($E158&lt;&gt;"",AND(OR(ISNUMBER(L158),L158=""),AND(ISNUMBER($H158),$H158&gt;0))),'Feuille de Donnée'!$K$13,""),IF(L158&lt;$H$168*'Feuille de Donnée'!$I$9,"Négligeable",(IF(AND(J158&gt;=$F158*(1-'Feuille de Donnée'!$E$12),J158&lt;=$F158*(1+'Feuille de Donnée'!$F$12)),'Feuille de Donnée'!$F$17,IF(J158&lt;$F158*(1-'Feuille de Donnée'!$E$12),'Feuille de Donnée'!$F$18,'Feuille de Donnée'!$F$16))&amp;""&amp;IF(AND(K158&gt;=$G158*(1-'Feuille de Donnée'!$E$27),K158&lt;=$G158*(1+'Feuille de Donnée'!$F$27)),'Feuille de Donnée'!$F$32,IF(K158&lt;$G158*(1-'Feuille de Donnée'!$E$27),'Feuille de Donnée'!$F$33,'Feuille de Donnée'!$F$31)))))</f>
        <v/>
      </c>
      <c r="Q158" s="138"/>
      <c r="R158" s="103"/>
      <c r="S158" s="27"/>
      <c r="T158" s="27"/>
      <c r="U158" s="27" t="str">
        <f t="shared" si="61"/>
        <v/>
      </c>
      <c r="V158" s="121" t="str">
        <f t="shared" si="62"/>
        <v/>
      </c>
      <c r="W158" s="121" t="str">
        <f t="shared" si="63"/>
        <v/>
      </c>
      <c r="X158" s="27" t="str">
        <f>IF(AND(ISBLANK(Z158),Y158=""),"",1+MAX(X$21:X157))</f>
        <v/>
      </c>
      <c r="Y158" s="137" t="str">
        <f>IF(OR(U158="",U158=0,$H158="",$H158=0,NOT(ISNUMBER($H158)),NOT(ISNUMBER(U158))),IF(AND($E158&lt;&gt;"",AND(OR(ISNUMBER(U158),U158=""),AND(ISNUMBER($H158),$H158&gt;0))),'Feuille de Donnée'!$K$13,""),IF(U158&lt;$H$168*'Feuille de Donnée'!$I$9,"Négligeable",(IF(AND(S158&gt;=$F158*(1-'Feuille de Donnée'!$E$12),S158&lt;=$F158*(1+'Feuille de Donnée'!$F$12)),'Feuille de Donnée'!$F$17,IF(S158&lt;$F158*(1-'Feuille de Donnée'!$E$12),'Feuille de Donnée'!$F$18,'Feuille de Donnée'!$F$16))&amp;""&amp;IF(AND(T158&gt;=$G158*(1-'Feuille de Donnée'!$E$27),T158&lt;=$G158*(1+'Feuille de Donnée'!$F$27)),'Feuille de Donnée'!$F$32,IF(T158&lt;$G158*(1-'Feuille de Donnée'!$E$27),'Feuille de Donnée'!$F$33,'Feuille de Donnée'!$F$31)))))</f>
        <v/>
      </c>
      <c r="Z158" s="138"/>
      <c r="AA158" s="103"/>
      <c r="AB158" s="27"/>
      <c r="AC158" s="27"/>
      <c r="AD158" s="27" t="str">
        <f t="shared" si="64"/>
        <v/>
      </c>
      <c r="AE158" s="121" t="str">
        <f t="shared" si="65"/>
        <v/>
      </c>
      <c r="AF158" s="121" t="str">
        <f t="shared" si="66"/>
        <v/>
      </c>
      <c r="AG158" s="27" t="str">
        <f>IF(AND(ISBLANK(AI158),AH158=""),"",1+MAX(AG$21:AG157))</f>
        <v/>
      </c>
      <c r="AH158" s="137" t="str">
        <f>IF(OR(AD158="",AD158=0,$H158="",$H158=0,NOT(ISNUMBER($H158)),NOT(ISNUMBER(AD158))),IF(AND($E158&lt;&gt;"",AND(OR(ISNUMBER(AD158),AD158=""),AND(ISNUMBER($H158),$H158&gt;0))),'Feuille de Donnée'!$K$13,""),IF(AD158&lt;$H$168*'Feuille de Donnée'!$I$9,"Négligeable",(IF(AND(AB158&gt;=$F158*(1-'Feuille de Donnée'!$E$12),AB158&lt;=$F158*(1+'Feuille de Donnée'!$F$12)),'Feuille de Donnée'!$F$17,IF(AB158&lt;$F158*(1-'Feuille de Donnée'!$E$12),'Feuille de Donnée'!$F$18,'Feuille de Donnée'!$F$16))&amp;""&amp;IF(AND(AC158&gt;=$G158*(1-'Feuille de Donnée'!$E$27),AC158&lt;=$G158*(1+'Feuille de Donnée'!$F$27)),'Feuille de Donnée'!$F$32,IF(AC158&lt;$G158*(1-'Feuille de Donnée'!$E$27),'Feuille de Donnée'!$F$33,'Feuille de Donnée'!$F$31)))))</f>
        <v/>
      </c>
      <c r="AI158" s="138"/>
      <c r="AJ158" s="103"/>
      <c r="AK158" s="27"/>
      <c r="AL158" s="27"/>
      <c r="AM158" s="27" t="str">
        <f t="shared" si="67"/>
        <v/>
      </c>
      <c r="AN158" s="121" t="str">
        <f t="shared" si="68"/>
        <v/>
      </c>
      <c r="AO158" s="121" t="str">
        <f t="shared" si="69"/>
        <v/>
      </c>
      <c r="AP158" s="27" t="str">
        <f>IF(AND(ISBLANK(AR158),AQ158=""),"",1+MAX(AP$21:AP157))</f>
        <v/>
      </c>
      <c r="AQ158" s="137" t="str">
        <f>IF(OR(AM158="",AM158=0,$H158="",$H158=0,NOT(ISNUMBER($H158)),NOT(ISNUMBER(AM158))),IF(AND($E158&lt;&gt;"",AND(OR(ISNUMBER(AM158),AM158=""),AND(ISNUMBER($H158),$H158&gt;0))),'Feuille de Donnée'!$K$13,""),IF(AM158&lt;$H$168*'Feuille de Donnée'!$I$9,"Négligeable",(IF(AND(AK158&gt;=$F158*(1-'Feuille de Donnée'!$E$12),AK158&lt;=$F158*(1+'Feuille de Donnée'!$F$12)),'Feuille de Donnée'!$F$17,IF(AK158&lt;$F158*(1-'Feuille de Donnée'!$E$12),'Feuille de Donnée'!$F$18,'Feuille de Donnée'!$F$16))&amp;""&amp;IF(AND(AL158&gt;=$G158*(1-'Feuille de Donnée'!$E$27),AL158&lt;=$G158*(1+'Feuille de Donnée'!$F$27)),'Feuille de Donnée'!$F$32,IF(AL158&lt;$G158*(1-'Feuille de Donnée'!$E$27),'Feuille de Donnée'!$F$33,'Feuille de Donnée'!$F$31)))))</f>
        <v/>
      </c>
      <c r="AR158" s="138"/>
      <c r="AS158" s="103"/>
      <c r="AT158" s="27"/>
      <c r="AU158" s="27"/>
      <c r="AV158" s="27" t="str">
        <f t="shared" si="70"/>
        <v/>
      </c>
      <c r="AW158" s="121" t="str">
        <f t="shared" si="71"/>
        <v/>
      </c>
      <c r="AX158" s="121" t="str">
        <f t="shared" si="72"/>
        <v/>
      </c>
      <c r="AY158" s="27" t="str">
        <f>IF(AND(ISBLANK(BA158),AZ158=""),"",1+MAX(AY$21:AY157))</f>
        <v/>
      </c>
      <c r="AZ158" s="137" t="str">
        <f>IF(OR(AV158="",AV158=0,$H158="",$H158=0,NOT(ISNUMBER($H158)),NOT(ISNUMBER(AV158))),IF(AND($E158&lt;&gt;"",AND(OR(ISNUMBER(AV158),AV158=""),AND(ISNUMBER($H158),$H158&gt;0))),'Feuille de Donnée'!$K$13,""),IF(AV158&lt;$H$168*'Feuille de Donnée'!$I$9,"Négligeable",(IF(AND(AT158&gt;=$F158*(1-'Feuille de Donnée'!$E$12),AT158&lt;=$F158*(1+'Feuille de Donnée'!$F$12)),'Feuille de Donnée'!$F$17,IF(AT158&lt;$F158*(1-'Feuille de Donnée'!$E$12),'Feuille de Donnée'!$F$18,'Feuille de Donnée'!$F$16))&amp;""&amp;IF(AND(AU158&gt;=$G158*(1-'Feuille de Donnée'!$E$27),AU158&lt;=$G158*(1+'Feuille de Donnée'!$F$27)),'Feuille de Donnée'!$F$32,IF(AU158&lt;$G158*(1-'Feuille de Donnée'!$E$27),'Feuille de Donnée'!$F$33,'Feuille de Donnée'!$F$31)))))</f>
        <v/>
      </c>
      <c r="BA158" s="138"/>
      <c r="BB158" s="103"/>
      <c r="BC158" s="27"/>
      <c r="BD158" s="27"/>
      <c r="BE158" s="27" t="str">
        <f t="shared" si="73"/>
        <v/>
      </c>
      <c r="BF158" s="121" t="str">
        <f t="shared" si="74"/>
        <v/>
      </c>
      <c r="BG158" s="121" t="str">
        <f t="shared" si="75"/>
        <v/>
      </c>
      <c r="BH158" s="27" t="str">
        <f>IF(AND(ISBLANK(BJ158),BI158=""),"",1+MAX(BH$21:BH157))</f>
        <v/>
      </c>
      <c r="BI158" s="137" t="str">
        <f>IF(OR(BE158="",BE158=0,$H158="",$H158=0,NOT(ISNUMBER($H158)),NOT(ISNUMBER(BE158))),IF(AND($E158&lt;&gt;"",AND(OR(ISNUMBER(BE158),BE158=""),AND(ISNUMBER($H158),$H158&gt;0))),'Feuille de Donnée'!$K$13,""),IF(BE158&lt;$H$168*'Feuille de Donnée'!$I$9,"Négligeable",(IF(AND(BC158&gt;=$F158*(1-'Feuille de Donnée'!$E$12),BC158&lt;=$F158*(1+'Feuille de Donnée'!$F$12)),'Feuille de Donnée'!$F$17,IF(BC158&lt;$F158*(1-'Feuille de Donnée'!$E$12),'Feuille de Donnée'!$F$18,'Feuille de Donnée'!$F$16))&amp;""&amp;IF(AND(BD158&gt;=$G158*(1-'Feuille de Donnée'!$E$27),BD158&lt;=$G158*(1+'Feuille de Donnée'!$F$27)),'Feuille de Donnée'!$F$32,IF(BD158&lt;$G158*(1-'Feuille de Donnée'!$E$27),'Feuille de Donnée'!$F$33,'Feuille de Donnée'!$F$31)))))</f>
        <v/>
      </c>
      <c r="BJ158" s="138"/>
      <c r="BK158" s="140"/>
    </row>
    <row r="159" spans="1:63" s="6" customFormat="1" x14ac:dyDescent="0.3">
      <c r="A159" s="23"/>
      <c r="B159" s="24"/>
      <c r="C159" s="24"/>
      <c r="D159" s="24"/>
      <c r="E159" s="22"/>
      <c r="F159" s="25"/>
      <c r="G159" s="26"/>
      <c r="H159" s="102" t="str">
        <f t="shared" si="57"/>
        <v/>
      </c>
      <c r="I159" s="103"/>
      <c r="J159" s="27"/>
      <c r="K159" s="27"/>
      <c r="L159" s="27" t="str">
        <f t="shared" si="58"/>
        <v/>
      </c>
      <c r="M159" s="121" t="str">
        <f t="shared" si="59"/>
        <v/>
      </c>
      <c r="N159" s="121" t="str">
        <f t="shared" si="60"/>
        <v/>
      </c>
      <c r="O159" s="27" t="str">
        <f>IF(AND(ISBLANK(Q159),P159=""),"",1+MAX(O$21:O158))</f>
        <v/>
      </c>
      <c r="P159" s="137" t="str">
        <f>IF(OR(L159="",L159=0,$H159="",$H159=0,NOT(ISNUMBER($H159)),NOT(ISNUMBER(L159))),IF(AND($E159&lt;&gt;"",AND(OR(ISNUMBER(L159),L159=""),AND(ISNUMBER($H159),$H159&gt;0))),'Feuille de Donnée'!$K$13,""),IF(L159&lt;$H$168*'Feuille de Donnée'!$I$9,"Négligeable",(IF(AND(J159&gt;=$F159*(1-'Feuille de Donnée'!$E$12),J159&lt;=$F159*(1+'Feuille de Donnée'!$F$12)),'Feuille de Donnée'!$F$17,IF(J159&lt;$F159*(1-'Feuille de Donnée'!$E$12),'Feuille de Donnée'!$F$18,'Feuille de Donnée'!$F$16))&amp;""&amp;IF(AND(K159&gt;=$G159*(1-'Feuille de Donnée'!$E$27),K159&lt;=$G159*(1+'Feuille de Donnée'!$F$27)),'Feuille de Donnée'!$F$32,IF(K159&lt;$G159*(1-'Feuille de Donnée'!$E$27),'Feuille de Donnée'!$F$33,'Feuille de Donnée'!$F$31)))))</f>
        <v/>
      </c>
      <c r="Q159" s="138"/>
      <c r="R159" s="103"/>
      <c r="S159" s="27"/>
      <c r="T159" s="27"/>
      <c r="U159" s="27" t="str">
        <f t="shared" si="61"/>
        <v/>
      </c>
      <c r="V159" s="121" t="str">
        <f t="shared" si="62"/>
        <v/>
      </c>
      <c r="W159" s="121" t="str">
        <f t="shared" si="63"/>
        <v/>
      </c>
      <c r="X159" s="27" t="str">
        <f>IF(AND(ISBLANK(Z159),Y159=""),"",1+MAX(X$21:X158))</f>
        <v/>
      </c>
      <c r="Y159" s="137" t="str">
        <f>IF(OR(U159="",U159=0,$H159="",$H159=0,NOT(ISNUMBER($H159)),NOT(ISNUMBER(U159))),IF(AND($E159&lt;&gt;"",AND(OR(ISNUMBER(U159),U159=""),AND(ISNUMBER($H159),$H159&gt;0))),'Feuille de Donnée'!$K$13,""),IF(U159&lt;$H$168*'Feuille de Donnée'!$I$9,"Négligeable",(IF(AND(S159&gt;=$F159*(1-'Feuille de Donnée'!$E$12),S159&lt;=$F159*(1+'Feuille de Donnée'!$F$12)),'Feuille de Donnée'!$F$17,IF(S159&lt;$F159*(1-'Feuille de Donnée'!$E$12),'Feuille de Donnée'!$F$18,'Feuille de Donnée'!$F$16))&amp;""&amp;IF(AND(T159&gt;=$G159*(1-'Feuille de Donnée'!$E$27),T159&lt;=$G159*(1+'Feuille de Donnée'!$F$27)),'Feuille de Donnée'!$F$32,IF(T159&lt;$G159*(1-'Feuille de Donnée'!$E$27),'Feuille de Donnée'!$F$33,'Feuille de Donnée'!$F$31)))))</f>
        <v/>
      </c>
      <c r="Z159" s="138"/>
      <c r="AA159" s="103"/>
      <c r="AB159" s="27"/>
      <c r="AC159" s="27"/>
      <c r="AD159" s="27" t="str">
        <f t="shared" si="64"/>
        <v/>
      </c>
      <c r="AE159" s="121" t="str">
        <f t="shared" si="65"/>
        <v/>
      </c>
      <c r="AF159" s="121" t="str">
        <f t="shared" si="66"/>
        <v/>
      </c>
      <c r="AG159" s="27" t="str">
        <f>IF(AND(ISBLANK(AI159),AH159=""),"",1+MAX(AG$21:AG158))</f>
        <v/>
      </c>
      <c r="AH159" s="137" t="str">
        <f>IF(OR(AD159="",AD159=0,$H159="",$H159=0,NOT(ISNUMBER($H159)),NOT(ISNUMBER(AD159))),IF(AND($E159&lt;&gt;"",AND(OR(ISNUMBER(AD159),AD159=""),AND(ISNUMBER($H159),$H159&gt;0))),'Feuille de Donnée'!$K$13,""),IF(AD159&lt;$H$168*'Feuille de Donnée'!$I$9,"Négligeable",(IF(AND(AB159&gt;=$F159*(1-'Feuille de Donnée'!$E$12),AB159&lt;=$F159*(1+'Feuille de Donnée'!$F$12)),'Feuille de Donnée'!$F$17,IF(AB159&lt;$F159*(1-'Feuille de Donnée'!$E$12),'Feuille de Donnée'!$F$18,'Feuille de Donnée'!$F$16))&amp;""&amp;IF(AND(AC159&gt;=$G159*(1-'Feuille de Donnée'!$E$27),AC159&lt;=$G159*(1+'Feuille de Donnée'!$F$27)),'Feuille de Donnée'!$F$32,IF(AC159&lt;$G159*(1-'Feuille de Donnée'!$E$27),'Feuille de Donnée'!$F$33,'Feuille de Donnée'!$F$31)))))</f>
        <v/>
      </c>
      <c r="AI159" s="138"/>
      <c r="AJ159" s="103"/>
      <c r="AK159" s="27"/>
      <c r="AL159" s="27"/>
      <c r="AM159" s="27" t="str">
        <f t="shared" si="67"/>
        <v/>
      </c>
      <c r="AN159" s="121" t="str">
        <f t="shared" si="68"/>
        <v/>
      </c>
      <c r="AO159" s="121" t="str">
        <f t="shared" si="69"/>
        <v/>
      </c>
      <c r="AP159" s="27" t="str">
        <f>IF(AND(ISBLANK(AR159),AQ159=""),"",1+MAX(AP$21:AP158))</f>
        <v/>
      </c>
      <c r="AQ159" s="137" t="str">
        <f>IF(OR(AM159="",AM159=0,$H159="",$H159=0,NOT(ISNUMBER($H159)),NOT(ISNUMBER(AM159))),IF(AND($E159&lt;&gt;"",AND(OR(ISNUMBER(AM159),AM159=""),AND(ISNUMBER($H159),$H159&gt;0))),'Feuille de Donnée'!$K$13,""),IF(AM159&lt;$H$168*'Feuille de Donnée'!$I$9,"Négligeable",(IF(AND(AK159&gt;=$F159*(1-'Feuille de Donnée'!$E$12),AK159&lt;=$F159*(1+'Feuille de Donnée'!$F$12)),'Feuille de Donnée'!$F$17,IF(AK159&lt;$F159*(1-'Feuille de Donnée'!$E$12),'Feuille de Donnée'!$F$18,'Feuille de Donnée'!$F$16))&amp;""&amp;IF(AND(AL159&gt;=$G159*(1-'Feuille de Donnée'!$E$27),AL159&lt;=$G159*(1+'Feuille de Donnée'!$F$27)),'Feuille de Donnée'!$F$32,IF(AL159&lt;$G159*(1-'Feuille de Donnée'!$E$27),'Feuille de Donnée'!$F$33,'Feuille de Donnée'!$F$31)))))</f>
        <v/>
      </c>
      <c r="AR159" s="138"/>
      <c r="AS159" s="103"/>
      <c r="AT159" s="27"/>
      <c r="AU159" s="27"/>
      <c r="AV159" s="27" t="str">
        <f t="shared" si="70"/>
        <v/>
      </c>
      <c r="AW159" s="121" t="str">
        <f t="shared" si="71"/>
        <v/>
      </c>
      <c r="AX159" s="121" t="str">
        <f t="shared" si="72"/>
        <v/>
      </c>
      <c r="AY159" s="27" t="str">
        <f>IF(AND(ISBLANK(BA159),AZ159=""),"",1+MAX(AY$21:AY158))</f>
        <v/>
      </c>
      <c r="AZ159" s="137" t="str">
        <f>IF(OR(AV159="",AV159=0,$H159="",$H159=0,NOT(ISNUMBER($H159)),NOT(ISNUMBER(AV159))),IF(AND($E159&lt;&gt;"",AND(OR(ISNUMBER(AV159),AV159=""),AND(ISNUMBER($H159),$H159&gt;0))),'Feuille de Donnée'!$K$13,""),IF(AV159&lt;$H$168*'Feuille de Donnée'!$I$9,"Négligeable",(IF(AND(AT159&gt;=$F159*(1-'Feuille de Donnée'!$E$12),AT159&lt;=$F159*(1+'Feuille de Donnée'!$F$12)),'Feuille de Donnée'!$F$17,IF(AT159&lt;$F159*(1-'Feuille de Donnée'!$E$12),'Feuille de Donnée'!$F$18,'Feuille de Donnée'!$F$16))&amp;""&amp;IF(AND(AU159&gt;=$G159*(1-'Feuille de Donnée'!$E$27),AU159&lt;=$G159*(1+'Feuille de Donnée'!$F$27)),'Feuille de Donnée'!$F$32,IF(AU159&lt;$G159*(1-'Feuille de Donnée'!$E$27),'Feuille de Donnée'!$F$33,'Feuille de Donnée'!$F$31)))))</f>
        <v/>
      </c>
      <c r="BA159" s="138"/>
      <c r="BB159" s="103"/>
      <c r="BC159" s="27"/>
      <c r="BD159" s="27"/>
      <c r="BE159" s="27" t="str">
        <f t="shared" si="73"/>
        <v/>
      </c>
      <c r="BF159" s="121" t="str">
        <f t="shared" si="74"/>
        <v/>
      </c>
      <c r="BG159" s="121" t="str">
        <f t="shared" si="75"/>
        <v/>
      </c>
      <c r="BH159" s="27" t="str">
        <f>IF(AND(ISBLANK(BJ159),BI159=""),"",1+MAX(BH$21:BH158))</f>
        <v/>
      </c>
      <c r="BI159" s="137" t="str">
        <f>IF(OR(BE159="",BE159=0,$H159="",$H159=0,NOT(ISNUMBER($H159)),NOT(ISNUMBER(BE159))),IF(AND($E159&lt;&gt;"",AND(OR(ISNUMBER(BE159),BE159=""),AND(ISNUMBER($H159),$H159&gt;0))),'Feuille de Donnée'!$K$13,""),IF(BE159&lt;$H$168*'Feuille de Donnée'!$I$9,"Négligeable",(IF(AND(BC159&gt;=$F159*(1-'Feuille de Donnée'!$E$12),BC159&lt;=$F159*(1+'Feuille de Donnée'!$F$12)),'Feuille de Donnée'!$F$17,IF(BC159&lt;$F159*(1-'Feuille de Donnée'!$E$12),'Feuille de Donnée'!$F$18,'Feuille de Donnée'!$F$16))&amp;""&amp;IF(AND(BD159&gt;=$G159*(1-'Feuille de Donnée'!$E$27),BD159&lt;=$G159*(1+'Feuille de Donnée'!$F$27)),'Feuille de Donnée'!$F$32,IF(BD159&lt;$G159*(1-'Feuille de Donnée'!$E$27),'Feuille de Donnée'!$F$33,'Feuille de Donnée'!$F$31)))))</f>
        <v/>
      </c>
      <c r="BJ159" s="138"/>
      <c r="BK159" s="140"/>
    </row>
    <row r="160" spans="1:63" s="6" customFormat="1" x14ac:dyDescent="0.3">
      <c r="A160" s="23"/>
      <c r="B160" s="24"/>
      <c r="C160" s="24"/>
      <c r="D160" s="24"/>
      <c r="E160" s="22"/>
      <c r="F160" s="25"/>
      <c r="G160" s="26"/>
      <c r="H160" s="102" t="str">
        <f t="shared" si="57"/>
        <v/>
      </c>
      <c r="I160" s="103"/>
      <c r="J160" s="27"/>
      <c r="K160" s="27"/>
      <c r="L160" s="27" t="str">
        <f t="shared" si="58"/>
        <v/>
      </c>
      <c r="M160" s="121" t="str">
        <f t="shared" si="59"/>
        <v/>
      </c>
      <c r="N160" s="121" t="str">
        <f t="shared" si="60"/>
        <v/>
      </c>
      <c r="O160" s="27" t="str">
        <f>IF(AND(ISBLANK(Q160),P160=""),"",1+MAX(O$21:O159))</f>
        <v/>
      </c>
      <c r="P160" s="137" t="str">
        <f>IF(OR(L160="",L160=0,$H160="",$H160=0,NOT(ISNUMBER($H160)),NOT(ISNUMBER(L160))),IF(AND($E160&lt;&gt;"",AND(OR(ISNUMBER(L160),L160=""),AND(ISNUMBER($H160),$H160&gt;0))),'Feuille de Donnée'!$K$13,""),IF(L160&lt;$H$168*'Feuille de Donnée'!$I$9,"Négligeable",(IF(AND(J160&gt;=$F160*(1-'Feuille de Donnée'!$E$12),J160&lt;=$F160*(1+'Feuille de Donnée'!$F$12)),'Feuille de Donnée'!$F$17,IF(J160&lt;$F160*(1-'Feuille de Donnée'!$E$12),'Feuille de Donnée'!$F$18,'Feuille de Donnée'!$F$16))&amp;""&amp;IF(AND(K160&gt;=$G160*(1-'Feuille de Donnée'!$E$27),K160&lt;=$G160*(1+'Feuille de Donnée'!$F$27)),'Feuille de Donnée'!$F$32,IF(K160&lt;$G160*(1-'Feuille de Donnée'!$E$27),'Feuille de Donnée'!$F$33,'Feuille de Donnée'!$F$31)))))</f>
        <v/>
      </c>
      <c r="Q160" s="138"/>
      <c r="R160" s="103"/>
      <c r="S160" s="27"/>
      <c r="T160" s="27"/>
      <c r="U160" s="27" t="str">
        <f t="shared" si="61"/>
        <v/>
      </c>
      <c r="V160" s="121" t="str">
        <f t="shared" si="62"/>
        <v/>
      </c>
      <c r="W160" s="121" t="str">
        <f t="shared" si="63"/>
        <v/>
      </c>
      <c r="X160" s="27" t="str">
        <f>IF(AND(ISBLANK(Z160),Y160=""),"",1+MAX(X$21:X159))</f>
        <v/>
      </c>
      <c r="Y160" s="137" t="str">
        <f>IF(OR(U160="",U160=0,$H160="",$H160=0,NOT(ISNUMBER($H160)),NOT(ISNUMBER(U160))),IF(AND($E160&lt;&gt;"",AND(OR(ISNUMBER(U160),U160=""),AND(ISNUMBER($H160),$H160&gt;0))),'Feuille de Donnée'!$K$13,""),IF(U160&lt;$H$168*'Feuille de Donnée'!$I$9,"Négligeable",(IF(AND(S160&gt;=$F160*(1-'Feuille de Donnée'!$E$12),S160&lt;=$F160*(1+'Feuille de Donnée'!$F$12)),'Feuille de Donnée'!$F$17,IF(S160&lt;$F160*(1-'Feuille de Donnée'!$E$12),'Feuille de Donnée'!$F$18,'Feuille de Donnée'!$F$16))&amp;""&amp;IF(AND(T160&gt;=$G160*(1-'Feuille de Donnée'!$E$27),T160&lt;=$G160*(1+'Feuille de Donnée'!$F$27)),'Feuille de Donnée'!$F$32,IF(T160&lt;$G160*(1-'Feuille de Donnée'!$E$27),'Feuille de Donnée'!$F$33,'Feuille de Donnée'!$F$31)))))</f>
        <v/>
      </c>
      <c r="Z160" s="138"/>
      <c r="AA160" s="103"/>
      <c r="AB160" s="27"/>
      <c r="AC160" s="27"/>
      <c r="AD160" s="27" t="str">
        <f t="shared" si="64"/>
        <v/>
      </c>
      <c r="AE160" s="121" t="str">
        <f t="shared" si="65"/>
        <v/>
      </c>
      <c r="AF160" s="121" t="str">
        <f t="shared" si="66"/>
        <v/>
      </c>
      <c r="AG160" s="27" t="str">
        <f>IF(AND(ISBLANK(AI160),AH160=""),"",1+MAX(AG$21:AG159))</f>
        <v/>
      </c>
      <c r="AH160" s="137" t="str">
        <f>IF(OR(AD160="",AD160=0,$H160="",$H160=0,NOT(ISNUMBER($H160)),NOT(ISNUMBER(AD160))),IF(AND($E160&lt;&gt;"",AND(OR(ISNUMBER(AD160),AD160=""),AND(ISNUMBER($H160),$H160&gt;0))),'Feuille de Donnée'!$K$13,""),IF(AD160&lt;$H$168*'Feuille de Donnée'!$I$9,"Négligeable",(IF(AND(AB160&gt;=$F160*(1-'Feuille de Donnée'!$E$12),AB160&lt;=$F160*(1+'Feuille de Donnée'!$F$12)),'Feuille de Donnée'!$F$17,IF(AB160&lt;$F160*(1-'Feuille de Donnée'!$E$12),'Feuille de Donnée'!$F$18,'Feuille de Donnée'!$F$16))&amp;""&amp;IF(AND(AC160&gt;=$G160*(1-'Feuille de Donnée'!$E$27),AC160&lt;=$G160*(1+'Feuille de Donnée'!$F$27)),'Feuille de Donnée'!$F$32,IF(AC160&lt;$G160*(1-'Feuille de Donnée'!$E$27),'Feuille de Donnée'!$F$33,'Feuille de Donnée'!$F$31)))))</f>
        <v/>
      </c>
      <c r="AI160" s="138"/>
      <c r="AJ160" s="103"/>
      <c r="AK160" s="27"/>
      <c r="AL160" s="27"/>
      <c r="AM160" s="27" t="str">
        <f t="shared" si="67"/>
        <v/>
      </c>
      <c r="AN160" s="121" t="str">
        <f t="shared" si="68"/>
        <v/>
      </c>
      <c r="AO160" s="121" t="str">
        <f t="shared" si="69"/>
        <v/>
      </c>
      <c r="AP160" s="27" t="str">
        <f>IF(AND(ISBLANK(AR160),AQ160=""),"",1+MAX(AP$21:AP159))</f>
        <v/>
      </c>
      <c r="AQ160" s="137" t="str">
        <f>IF(OR(AM160="",AM160=0,$H160="",$H160=0,NOT(ISNUMBER($H160)),NOT(ISNUMBER(AM160))),IF(AND($E160&lt;&gt;"",AND(OR(ISNUMBER(AM160),AM160=""),AND(ISNUMBER($H160),$H160&gt;0))),'Feuille de Donnée'!$K$13,""),IF(AM160&lt;$H$168*'Feuille de Donnée'!$I$9,"Négligeable",(IF(AND(AK160&gt;=$F160*(1-'Feuille de Donnée'!$E$12),AK160&lt;=$F160*(1+'Feuille de Donnée'!$F$12)),'Feuille de Donnée'!$F$17,IF(AK160&lt;$F160*(1-'Feuille de Donnée'!$E$12),'Feuille de Donnée'!$F$18,'Feuille de Donnée'!$F$16))&amp;""&amp;IF(AND(AL160&gt;=$G160*(1-'Feuille de Donnée'!$E$27),AL160&lt;=$G160*(1+'Feuille de Donnée'!$F$27)),'Feuille de Donnée'!$F$32,IF(AL160&lt;$G160*(1-'Feuille de Donnée'!$E$27),'Feuille de Donnée'!$F$33,'Feuille de Donnée'!$F$31)))))</f>
        <v/>
      </c>
      <c r="AR160" s="138"/>
      <c r="AS160" s="103"/>
      <c r="AT160" s="27"/>
      <c r="AU160" s="27"/>
      <c r="AV160" s="27" t="str">
        <f t="shared" si="70"/>
        <v/>
      </c>
      <c r="AW160" s="121" t="str">
        <f t="shared" si="71"/>
        <v/>
      </c>
      <c r="AX160" s="121" t="str">
        <f t="shared" si="72"/>
        <v/>
      </c>
      <c r="AY160" s="27" t="str">
        <f>IF(AND(ISBLANK(BA160),AZ160=""),"",1+MAX(AY$21:AY159))</f>
        <v/>
      </c>
      <c r="AZ160" s="137" t="str">
        <f>IF(OR(AV160="",AV160=0,$H160="",$H160=0,NOT(ISNUMBER($H160)),NOT(ISNUMBER(AV160))),IF(AND($E160&lt;&gt;"",AND(OR(ISNUMBER(AV160),AV160=""),AND(ISNUMBER($H160),$H160&gt;0))),'Feuille de Donnée'!$K$13,""),IF(AV160&lt;$H$168*'Feuille de Donnée'!$I$9,"Négligeable",(IF(AND(AT160&gt;=$F160*(1-'Feuille de Donnée'!$E$12),AT160&lt;=$F160*(1+'Feuille de Donnée'!$F$12)),'Feuille de Donnée'!$F$17,IF(AT160&lt;$F160*(1-'Feuille de Donnée'!$E$12),'Feuille de Donnée'!$F$18,'Feuille de Donnée'!$F$16))&amp;""&amp;IF(AND(AU160&gt;=$G160*(1-'Feuille de Donnée'!$E$27),AU160&lt;=$G160*(1+'Feuille de Donnée'!$F$27)),'Feuille de Donnée'!$F$32,IF(AU160&lt;$G160*(1-'Feuille de Donnée'!$E$27),'Feuille de Donnée'!$F$33,'Feuille de Donnée'!$F$31)))))</f>
        <v/>
      </c>
      <c r="BA160" s="138"/>
      <c r="BB160" s="103"/>
      <c r="BC160" s="27"/>
      <c r="BD160" s="27"/>
      <c r="BE160" s="27" t="str">
        <f t="shared" si="73"/>
        <v/>
      </c>
      <c r="BF160" s="121" t="str">
        <f t="shared" si="74"/>
        <v/>
      </c>
      <c r="BG160" s="121" t="str">
        <f t="shared" si="75"/>
        <v/>
      </c>
      <c r="BH160" s="27" t="str">
        <f>IF(AND(ISBLANK(BJ160),BI160=""),"",1+MAX(BH$21:BH159))</f>
        <v/>
      </c>
      <c r="BI160" s="137" t="str">
        <f>IF(OR(BE160="",BE160=0,$H160="",$H160=0,NOT(ISNUMBER($H160)),NOT(ISNUMBER(BE160))),IF(AND($E160&lt;&gt;"",AND(OR(ISNUMBER(BE160),BE160=""),AND(ISNUMBER($H160),$H160&gt;0))),'Feuille de Donnée'!$K$13,""),IF(BE160&lt;$H$168*'Feuille de Donnée'!$I$9,"Négligeable",(IF(AND(BC160&gt;=$F160*(1-'Feuille de Donnée'!$E$12),BC160&lt;=$F160*(1+'Feuille de Donnée'!$F$12)),'Feuille de Donnée'!$F$17,IF(BC160&lt;$F160*(1-'Feuille de Donnée'!$E$12),'Feuille de Donnée'!$F$18,'Feuille de Donnée'!$F$16))&amp;""&amp;IF(AND(BD160&gt;=$G160*(1-'Feuille de Donnée'!$E$27),BD160&lt;=$G160*(1+'Feuille de Donnée'!$F$27)),'Feuille de Donnée'!$F$32,IF(BD160&lt;$G160*(1-'Feuille de Donnée'!$E$27),'Feuille de Donnée'!$F$33,'Feuille de Donnée'!$F$31)))))</f>
        <v/>
      </c>
      <c r="BJ160" s="138"/>
      <c r="BK160" s="140"/>
    </row>
    <row r="161" spans="1:63" s="6" customFormat="1" x14ac:dyDescent="0.3">
      <c r="A161" s="23"/>
      <c r="B161" s="24"/>
      <c r="C161" s="24"/>
      <c r="D161" s="24"/>
      <c r="E161" s="22"/>
      <c r="F161" s="25"/>
      <c r="G161" s="26"/>
      <c r="H161" s="102" t="str">
        <f t="shared" si="57"/>
        <v/>
      </c>
      <c r="I161" s="103"/>
      <c r="J161" s="27"/>
      <c r="K161" s="27"/>
      <c r="L161" s="27" t="str">
        <f t="shared" si="58"/>
        <v/>
      </c>
      <c r="M161" s="121" t="str">
        <f t="shared" si="59"/>
        <v/>
      </c>
      <c r="N161" s="121" t="str">
        <f t="shared" si="60"/>
        <v/>
      </c>
      <c r="O161" s="27" t="str">
        <f>IF(AND(ISBLANK(Q161),P161=""),"",1+MAX(O$21:O160))</f>
        <v/>
      </c>
      <c r="P161" s="137" t="str">
        <f>IF(OR(L161="",L161=0,$H161="",$H161=0,NOT(ISNUMBER($H161)),NOT(ISNUMBER(L161))),IF(AND($E161&lt;&gt;"",AND(OR(ISNUMBER(L161),L161=""),AND(ISNUMBER($H161),$H161&gt;0))),'Feuille de Donnée'!$K$13,""),IF(L161&lt;$H$168*'Feuille de Donnée'!$I$9,"Négligeable",(IF(AND(J161&gt;=$F161*(1-'Feuille de Donnée'!$E$12),J161&lt;=$F161*(1+'Feuille de Donnée'!$F$12)),'Feuille de Donnée'!$F$17,IF(J161&lt;$F161*(1-'Feuille de Donnée'!$E$12),'Feuille de Donnée'!$F$18,'Feuille de Donnée'!$F$16))&amp;""&amp;IF(AND(K161&gt;=$G161*(1-'Feuille de Donnée'!$E$27),K161&lt;=$G161*(1+'Feuille de Donnée'!$F$27)),'Feuille de Donnée'!$F$32,IF(K161&lt;$G161*(1-'Feuille de Donnée'!$E$27),'Feuille de Donnée'!$F$33,'Feuille de Donnée'!$F$31)))))</f>
        <v/>
      </c>
      <c r="Q161" s="138"/>
      <c r="R161" s="103"/>
      <c r="S161" s="27"/>
      <c r="T161" s="27"/>
      <c r="U161" s="27" t="str">
        <f t="shared" si="61"/>
        <v/>
      </c>
      <c r="V161" s="121" t="str">
        <f t="shared" si="62"/>
        <v/>
      </c>
      <c r="W161" s="121" t="str">
        <f t="shared" si="63"/>
        <v/>
      </c>
      <c r="X161" s="27" t="str">
        <f>IF(AND(ISBLANK(Z161),Y161=""),"",1+MAX(X$21:X160))</f>
        <v/>
      </c>
      <c r="Y161" s="137" t="str">
        <f>IF(OR(U161="",U161=0,$H161="",$H161=0,NOT(ISNUMBER($H161)),NOT(ISNUMBER(U161))),IF(AND($E161&lt;&gt;"",AND(OR(ISNUMBER(U161),U161=""),AND(ISNUMBER($H161),$H161&gt;0))),'Feuille de Donnée'!$K$13,""),IF(U161&lt;$H$168*'Feuille de Donnée'!$I$9,"Négligeable",(IF(AND(S161&gt;=$F161*(1-'Feuille de Donnée'!$E$12),S161&lt;=$F161*(1+'Feuille de Donnée'!$F$12)),'Feuille de Donnée'!$F$17,IF(S161&lt;$F161*(1-'Feuille de Donnée'!$E$12),'Feuille de Donnée'!$F$18,'Feuille de Donnée'!$F$16))&amp;""&amp;IF(AND(T161&gt;=$G161*(1-'Feuille de Donnée'!$E$27),T161&lt;=$G161*(1+'Feuille de Donnée'!$F$27)),'Feuille de Donnée'!$F$32,IF(T161&lt;$G161*(1-'Feuille de Donnée'!$E$27),'Feuille de Donnée'!$F$33,'Feuille de Donnée'!$F$31)))))</f>
        <v/>
      </c>
      <c r="Z161" s="138"/>
      <c r="AA161" s="103"/>
      <c r="AB161" s="27"/>
      <c r="AC161" s="27"/>
      <c r="AD161" s="27" t="str">
        <f t="shared" si="64"/>
        <v/>
      </c>
      <c r="AE161" s="121" t="str">
        <f t="shared" si="65"/>
        <v/>
      </c>
      <c r="AF161" s="121" t="str">
        <f t="shared" si="66"/>
        <v/>
      </c>
      <c r="AG161" s="27" t="str">
        <f>IF(AND(ISBLANK(AI161),AH161=""),"",1+MAX(AG$21:AG160))</f>
        <v/>
      </c>
      <c r="AH161" s="137" t="str">
        <f>IF(OR(AD161="",AD161=0,$H161="",$H161=0,NOT(ISNUMBER($H161)),NOT(ISNUMBER(AD161))),IF(AND($E161&lt;&gt;"",AND(OR(ISNUMBER(AD161),AD161=""),AND(ISNUMBER($H161),$H161&gt;0))),'Feuille de Donnée'!$K$13,""),IF(AD161&lt;$H$168*'Feuille de Donnée'!$I$9,"Négligeable",(IF(AND(AB161&gt;=$F161*(1-'Feuille de Donnée'!$E$12),AB161&lt;=$F161*(1+'Feuille de Donnée'!$F$12)),'Feuille de Donnée'!$F$17,IF(AB161&lt;$F161*(1-'Feuille de Donnée'!$E$12),'Feuille de Donnée'!$F$18,'Feuille de Donnée'!$F$16))&amp;""&amp;IF(AND(AC161&gt;=$G161*(1-'Feuille de Donnée'!$E$27),AC161&lt;=$G161*(1+'Feuille de Donnée'!$F$27)),'Feuille de Donnée'!$F$32,IF(AC161&lt;$G161*(1-'Feuille de Donnée'!$E$27),'Feuille de Donnée'!$F$33,'Feuille de Donnée'!$F$31)))))</f>
        <v/>
      </c>
      <c r="AI161" s="138"/>
      <c r="AJ161" s="103"/>
      <c r="AK161" s="27"/>
      <c r="AL161" s="27"/>
      <c r="AM161" s="27" t="str">
        <f t="shared" si="67"/>
        <v/>
      </c>
      <c r="AN161" s="121" t="str">
        <f t="shared" si="68"/>
        <v/>
      </c>
      <c r="AO161" s="121" t="str">
        <f t="shared" si="69"/>
        <v/>
      </c>
      <c r="AP161" s="27" t="str">
        <f>IF(AND(ISBLANK(AR161),AQ161=""),"",1+MAX(AP$21:AP160))</f>
        <v/>
      </c>
      <c r="AQ161" s="137" t="str">
        <f>IF(OR(AM161="",AM161=0,$H161="",$H161=0,NOT(ISNUMBER($H161)),NOT(ISNUMBER(AM161))),IF(AND($E161&lt;&gt;"",AND(OR(ISNUMBER(AM161),AM161=""),AND(ISNUMBER($H161),$H161&gt;0))),'Feuille de Donnée'!$K$13,""),IF(AM161&lt;$H$168*'Feuille de Donnée'!$I$9,"Négligeable",(IF(AND(AK161&gt;=$F161*(1-'Feuille de Donnée'!$E$12),AK161&lt;=$F161*(1+'Feuille de Donnée'!$F$12)),'Feuille de Donnée'!$F$17,IF(AK161&lt;$F161*(1-'Feuille de Donnée'!$E$12),'Feuille de Donnée'!$F$18,'Feuille de Donnée'!$F$16))&amp;""&amp;IF(AND(AL161&gt;=$G161*(1-'Feuille de Donnée'!$E$27),AL161&lt;=$G161*(1+'Feuille de Donnée'!$F$27)),'Feuille de Donnée'!$F$32,IF(AL161&lt;$G161*(1-'Feuille de Donnée'!$E$27),'Feuille de Donnée'!$F$33,'Feuille de Donnée'!$F$31)))))</f>
        <v/>
      </c>
      <c r="AR161" s="138"/>
      <c r="AS161" s="103"/>
      <c r="AT161" s="27"/>
      <c r="AU161" s="27"/>
      <c r="AV161" s="27" t="str">
        <f t="shared" si="70"/>
        <v/>
      </c>
      <c r="AW161" s="121" t="str">
        <f t="shared" si="71"/>
        <v/>
      </c>
      <c r="AX161" s="121" t="str">
        <f t="shared" si="72"/>
        <v/>
      </c>
      <c r="AY161" s="27" t="str">
        <f>IF(AND(ISBLANK(BA161),AZ161=""),"",1+MAX(AY$21:AY160))</f>
        <v/>
      </c>
      <c r="AZ161" s="137" t="str">
        <f>IF(OR(AV161="",AV161=0,$H161="",$H161=0,NOT(ISNUMBER($H161)),NOT(ISNUMBER(AV161))),IF(AND($E161&lt;&gt;"",AND(OR(ISNUMBER(AV161),AV161=""),AND(ISNUMBER($H161),$H161&gt;0))),'Feuille de Donnée'!$K$13,""),IF(AV161&lt;$H$168*'Feuille de Donnée'!$I$9,"Négligeable",(IF(AND(AT161&gt;=$F161*(1-'Feuille de Donnée'!$E$12),AT161&lt;=$F161*(1+'Feuille de Donnée'!$F$12)),'Feuille de Donnée'!$F$17,IF(AT161&lt;$F161*(1-'Feuille de Donnée'!$E$12),'Feuille de Donnée'!$F$18,'Feuille de Donnée'!$F$16))&amp;""&amp;IF(AND(AU161&gt;=$G161*(1-'Feuille de Donnée'!$E$27),AU161&lt;=$G161*(1+'Feuille de Donnée'!$F$27)),'Feuille de Donnée'!$F$32,IF(AU161&lt;$G161*(1-'Feuille de Donnée'!$E$27),'Feuille de Donnée'!$F$33,'Feuille de Donnée'!$F$31)))))</f>
        <v/>
      </c>
      <c r="BA161" s="138"/>
      <c r="BB161" s="103"/>
      <c r="BC161" s="27"/>
      <c r="BD161" s="27"/>
      <c r="BE161" s="27" t="str">
        <f t="shared" si="73"/>
        <v/>
      </c>
      <c r="BF161" s="121" t="str">
        <f t="shared" si="74"/>
        <v/>
      </c>
      <c r="BG161" s="121" t="str">
        <f t="shared" si="75"/>
        <v/>
      </c>
      <c r="BH161" s="27" t="str">
        <f>IF(AND(ISBLANK(BJ161),BI161=""),"",1+MAX(BH$21:BH160))</f>
        <v/>
      </c>
      <c r="BI161" s="137" t="str">
        <f>IF(OR(BE161="",BE161=0,$H161="",$H161=0,NOT(ISNUMBER($H161)),NOT(ISNUMBER(BE161))),IF(AND($E161&lt;&gt;"",AND(OR(ISNUMBER(BE161),BE161=""),AND(ISNUMBER($H161),$H161&gt;0))),'Feuille de Donnée'!$K$13,""),IF(BE161&lt;$H$168*'Feuille de Donnée'!$I$9,"Négligeable",(IF(AND(BC161&gt;=$F161*(1-'Feuille de Donnée'!$E$12),BC161&lt;=$F161*(1+'Feuille de Donnée'!$F$12)),'Feuille de Donnée'!$F$17,IF(BC161&lt;$F161*(1-'Feuille de Donnée'!$E$12),'Feuille de Donnée'!$F$18,'Feuille de Donnée'!$F$16))&amp;""&amp;IF(AND(BD161&gt;=$G161*(1-'Feuille de Donnée'!$E$27),BD161&lt;=$G161*(1+'Feuille de Donnée'!$F$27)),'Feuille de Donnée'!$F$32,IF(BD161&lt;$G161*(1-'Feuille de Donnée'!$E$27),'Feuille de Donnée'!$F$33,'Feuille de Donnée'!$F$31)))))</f>
        <v/>
      </c>
      <c r="BJ161" s="138"/>
      <c r="BK161" s="140"/>
    </row>
    <row r="162" spans="1:63" s="6" customFormat="1" x14ac:dyDescent="0.3">
      <c r="A162" s="23"/>
      <c r="B162" s="24"/>
      <c r="C162" s="24"/>
      <c r="D162" s="24"/>
      <c r="E162" s="22"/>
      <c r="F162" s="25"/>
      <c r="G162" s="26"/>
      <c r="H162" s="102" t="str">
        <f t="shared" si="57"/>
        <v/>
      </c>
      <c r="I162" s="103"/>
      <c r="J162" s="27"/>
      <c r="K162" s="27"/>
      <c r="L162" s="27" t="str">
        <f t="shared" si="58"/>
        <v/>
      </c>
      <c r="M162" s="121" t="str">
        <f t="shared" si="59"/>
        <v/>
      </c>
      <c r="N162" s="121" t="str">
        <f t="shared" si="60"/>
        <v/>
      </c>
      <c r="O162" s="27" t="str">
        <f>IF(AND(ISBLANK(Q162),P162=""),"",1+MAX(O$21:O161))</f>
        <v/>
      </c>
      <c r="P162" s="137" t="str">
        <f>IF(OR(L162="",L162=0,$H162="",$H162=0,NOT(ISNUMBER($H162)),NOT(ISNUMBER(L162))),IF(AND($E162&lt;&gt;"",AND(OR(ISNUMBER(L162),L162=""),AND(ISNUMBER($H162),$H162&gt;0))),'Feuille de Donnée'!$K$13,""),IF(L162&lt;$H$168*'Feuille de Donnée'!$I$9,"Négligeable",(IF(AND(J162&gt;=$F162*(1-'Feuille de Donnée'!$E$12),J162&lt;=$F162*(1+'Feuille de Donnée'!$F$12)),'Feuille de Donnée'!$F$17,IF(J162&lt;$F162*(1-'Feuille de Donnée'!$E$12),'Feuille de Donnée'!$F$18,'Feuille de Donnée'!$F$16))&amp;""&amp;IF(AND(K162&gt;=$G162*(1-'Feuille de Donnée'!$E$27),K162&lt;=$G162*(1+'Feuille de Donnée'!$F$27)),'Feuille de Donnée'!$F$32,IF(K162&lt;$G162*(1-'Feuille de Donnée'!$E$27),'Feuille de Donnée'!$F$33,'Feuille de Donnée'!$F$31)))))</f>
        <v/>
      </c>
      <c r="Q162" s="138"/>
      <c r="R162" s="103"/>
      <c r="S162" s="27"/>
      <c r="T162" s="27"/>
      <c r="U162" s="27" t="str">
        <f t="shared" si="61"/>
        <v/>
      </c>
      <c r="V162" s="121" t="str">
        <f t="shared" si="62"/>
        <v/>
      </c>
      <c r="W162" s="121" t="str">
        <f t="shared" si="63"/>
        <v/>
      </c>
      <c r="X162" s="27" t="str">
        <f>IF(AND(ISBLANK(Z162),Y162=""),"",1+MAX(X$21:X161))</f>
        <v/>
      </c>
      <c r="Y162" s="137" t="str">
        <f>IF(OR(U162="",U162=0,$H162="",$H162=0,NOT(ISNUMBER($H162)),NOT(ISNUMBER(U162))),IF(AND($E162&lt;&gt;"",AND(OR(ISNUMBER(U162),U162=""),AND(ISNUMBER($H162),$H162&gt;0))),'Feuille de Donnée'!$K$13,""),IF(U162&lt;$H$168*'Feuille de Donnée'!$I$9,"Négligeable",(IF(AND(S162&gt;=$F162*(1-'Feuille de Donnée'!$E$12),S162&lt;=$F162*(1+'Feuille de Donnée'!$F$12)),'Feuille de Donnée'!$F$17,IF(S162&lt;$F162*(1-'Feuille de Donnée'!$E$12),'Feuille de Donnée'!$F$18,'Feuille de Donnée'!$F$16))&amp;""&amp;IF(AND(T162&gt;=$G162*(1-'Feuille de Donnée'!$E$27),T162&lt;=$G162*(1+'Feuille de Donnée'!$F$27)),'Feuille de Donnée'!$F$32,IF(T162&lt;$G162*(1-'Feuille de Donnée'!$E$27),'Feuille de Donnée'!$F$33,'Feuille de Donnée'!$F$31)))))</f>
        <v/>
      </c>
      <c r="Z162" s="138"/>
      <c r="AA162" s="103"/>
      <c r="AB162" s="27"/>
      <c r="AC162" s="27"/>
      <c r="AD162" s="27" t="str">
        <f t="shared" si="64"/>
        <v/>
      </c>
      <c r="AE162" s="121" t="str">
        <f t="shared" si="65"/>
        <v/>
      </c>
      <c r="AF162" s="121" t="str">
        <f t="shared" si="66"/>
        <v/>
      </c>
      <c r="AG162" s="27" t="str">
        <f>IF(AND(ISBLANK(AI162),AH162=""),"",1+MAX(AG$21:AG161))</f>
        <v/>
      </c>
      <c r="AH162" s="137" t="str">
        <f>IF(OR(AD162="",AD162=0,$H162="",$H162=0,NOT(ISNUMBER($H162)),NOT(ISNUMBER(AD162))),IF(AND($E162&lt;&gt;"",AND(OR(ISNUMBER(AD162),AD162=""),AND(ISNUMBER($H162),$H162&gt;0))),'Feuille de Donnée'!$K$13,""),IF(AD162&lt;$H$168*'Feuille de Donnée'!$I$9,"Négligeable",(IF(AND(AB162&gt;=$F162*(1-'Feuille de Donnée'!$E$12),AB162&lt;=$F162*(1+'Feuille de Donnée'!$F$12)),'Feuille de Donnée'!$F$17,IF(AB162&lt;$F162*(1-'Feuille de Donnée'!$E$12),'Feuille de Donnée'!$F$18,'Feuille de Donnée'!$F$16))&amp;""&amp;IF(AND(AC162&gt;=$G162*(1-'Feuille de Donnée'!$E$27),AC162&lt;=$G162*(1+'Feuille de Donnée'!$F$27)),'Feuille de Donnée'!$F$32,IF(AC162&lt;$G162*(1-'Feuille de Donnée'!$E$27),'Feuille de Donnée'!$F$33,'Feuille de Donnée'!$F$31)))))</f>
        <v/>
      </c>
      <c r="AI162" s="138"/>
      <c r="AJ162" s="103"/>
      <c r="AK162" s="27"/>
      <c r="AL162" s="27"/>
      <c r="AM162" s="27" t="str">
        <f t="shared" si="67"/>
        <v/>
      </c>
      <c r="AN162" s="121" t="str">
        <f t="shared" si="68"/>
        <v/>
      </c>
      <c r="AO162" s="121" t="str">
        <f t="shared" si="69"/>
        <v/>
      </c>
      <c r="AP162" s="27" t="str">
        <f>IF(AND(ISBLANK(AR162),AQ162=""),"",1+MAX(AP$21:AP161))</f>
        <v/>
      </c>
      <c r="AQ162" s="137" t="str">
        <f>IF(OR(AM162="",AM162=0,$H162="",$H162=0,NOT(ISNUMBER($H162)),NOT(ISNUMBER(AM162))),IF(AND($E162&lt;&gt;"",AND(OR(ISNUMBER(AM162),AM162=""),AND(ISNUMBER($H162),$H162&gt;0))),'Feuille de Donnée'!$K$13,""),IF(AM162&lt;$H$168*'Feuille de Donnée'!$I$9,"Négligeable",(IF(AND(AK162&gt;=$F162*(1-'Feuille de Donnée'!$E$12),AK162&lt;=$F162*(1+'Feuille de Donnée'!$F$12)),'Feuille de Donnée'!$F$17,IF(AK162&lt;$F162*(1-'Feuille de Donnée'!$E$12),'Feuille de Donnée'!$F$18,'Feuille de Donnée'!$F$16))&amp;""&amp;IF(AND(AL162&gt;=$G162*(1-'Feuille de Donnée'!$E$27),AL162&lt;=$G162*(1+'Feuille de Donnée'!$F$27)),'Feuille de Donnée'!$F$32,IF(AL162&lt;$G162*(1-'Feuille de Donnée'!$E$27),'Feuille de Donnée'!$F$33,'Feuille de Donnée'!$F$31)))))</f>
        <v/>
      </c>
      <c r="AR162" s="138"/>
      <c r="AS162" s="103"/>
      <c r="AT162" s="27"/>
      <c r="AU162" s="27"/>
      <c r="AV162" s="27" t="str">
        <f t="shared" si="70"/>
        <v/>
      </c>
      <c r="AW162" s="121" t="str">
        <f t="shared" si="71"/>
        <v/>
      </c>
      <c r="AX162" s="121" t="str">
        <f t="shared" si="72"/>
        <v/>
      </c>
      <c r="AY162" s="27" t="str">
        <f>IF(AND(ISBLANK(BA162),AZ162=""),"",1+MAX(AY$21:AY161))</f>
        <v/>
      </c>
      <c r="AZ162" s="137" t="str">
        <f>IF(OR(AV162="",AV162=0,$H162="",$H162=0,NOT(ISNUMBER($H162)),NOT(ISNUMBER(AV162))),IF(AND($E162&lt;&gt;"",AND(OR(ISNUMBER(AV162),AV162=""),AND(ISNUMBER($H162),$H162&gt;0))),'Feuille de Donnée'!$K$13,""),IF(AV162&lt;$H$168*'Feuille de Donnée'!$I$9,"Négligeable",(IF(AND(AT162&gt;=$F162*(1-'Feuille de Donnée'!$E$12),AT162&lt;=$F162*(1+'Feuille de Donnée'!$F$12)),'Feuille de Donnée'!$F$17,IF(AT162&lt;$F162*(1-'Feuille de Donnée'!$E$12),'Feuille de Donnée'!$F$18,'Feuille de Donnée'!$F$16))&amp;""&amp;IF(AND(AU162&gt;=$G162*(1-'Feuille de Donnée'!$E$27),AU162&lt;=$G162*(1+'Feuille de Donnée'!$F$27)),'Feuille de Donnée'!$F$32,IF(AU162&lt;$G162*(1-'Feuille de Donnée'!$E$27),'Feuille de Donnée'!$F$33,'Feuille de Donnée'!$F$31)))))</f>
        <v/>
      </c>
      <c r="BA162" s="138"/>
      <c r="BB162" s="103"/>
      <c r="BC162" s="27"/>
      <c r="BD162" s="27"/>
      <c r="BE162" s="27" t="str">
        <f t="shared" si="73"/>
        <v/>
      </c>
      <c r="BF162" s="121" t="str">
        <f t="shared" si="74"/>
        <v/>
      </c>
      <c r="BG162" s="121" t="str">
        <f t="shared" si="75"/>
        <v/>
      </c>
      <c r="BH162" s="27" t="str">
        <f>IF(AND(ISBLANK(BJ162),BI162=""),"",1+MAX(BH$21:BH161))</f>
        <v/>
      </c>
      <c r="BI162" s="137" t="str">
        <f>IF(OR(BE162="",BE162=0,$H162="",$H162=0,NOT(ISNUMBER($H162)),NOT(ISNUMBER(BE162))),IF(AND($E162&lt;&gt;"",AND(OR(ISNUMBER(BE162),BE162=""),AND(ISNUMBER($H162),$H162&gt;0))),'Feuille de Donnée'!$K$13,""),IF(BE162&lt;$H$168*'Feuille de Donnée'!$I$9,"Négligeable",(IF(AND(BC162&gt;=$F162*(1-'Feuille de Donnée'!$E$12),BC162&lt;=$F162*(1+'Feuille de Donnée'!$F$12)),'Feuille de Donnée'!$F$17,IF(BC162&lt;$F162*(1-'Feuille de Donnée'!$E$12),'Feuille de Donnée'!$F$18,'Feuille de Donnée'!$F$16))&amp;""&amp;IF(AND(BD162&gt;=$G162*(1-'Feuille de Donnée'!$E$27),BD162&lt;=$G162*(1+'Feuille de Donnée'!$F$27)),'Feuille de Donnée'!$F$32,IF(BD162&lt;$G162*(1-'Feuille de Donnée'!$E$27),'Feuille de Donnée'!$F$33,'Feuille de Donnée'!$F$31)))))</f>
        <v/>
      </c>
      <c r="BJ162" s="138"/>
      <c r="BK162" s="140"/>
    </row>
    <row r="163" spans="1:63" s="6" customFormat="1" x14ac:dyDescent="0.3">
      <c r="A163" s="23"/>
      <c r="B163" s="24"/>
      <c r="C163" s="24"/>
      <c r="D163" s="24"/>
      <c r="E163" s="22"/>
      <c r="F163" s="25"/>
      <c r="G163" s="26"/>
      <c r="H163" s="102" t="str">
        <f t="shared" si="57"/>
        <v/>
      </c>
      <c r="I163" s="103"/>
      <c r="J163" s="27"/>
      <c r="K163" s="27"/>
      <c r="L163" s="27" t="str">
        <f t="shared" si="58"/>
        <v/>
      </c>
      <c r="M163" s="121" t="str">
        <f t="shared" si="59"/>
        <v/>
      </c>
      <c r="N163" s="121" t="str">
        <f t="shared" si="60"/>
        <v/>
      </c>
      <c r="O163" s="27" t="str">
        <f>IF(AND(ISBLANK(Q163),P163=""),"",1+MAX(O$21:O162))</f>
        <v/>
      </c>
      <c r="P163" s="137" t="str">
        <f>IF(OR(L163="",L163=0,$H163="",$H163=0,NOT(ISNUMBER($H163)),NOT(ISNUMBER(L163))),IF(AND($E163&lt;&gt;"",AND(OR(ISNUMBER(L163),L163=""),AND(ISNUMBER($H163),$H163&gt;0))),'Feuille de Donnée'!$K$13,""),IF(L163&lt;$H$168*'Feuille de Donnée'!$I$9,"Négligeable",(IF(AND(J163&gt;=$F163*(1-'Feuille de Donnée'!$E$12),J163&lt;=$F163*(1+'Feuille de Donnée'!$F$12)),'Feuille de Donnée'!$F$17,IF(J163&lt;$F163*(1-'Feuille de Donnée'!$E$12),'Feuille de Donnée'!$F$18,'Feuille de Donnée'!$F$16))&amp;""&amp;IF(AND(K163&gt;=$G163*(1-'Feuille de Donnée'!$E$27),K163&lt;=$G163*(1+'Feuille de Donnée'!$F$27)),'Feuille de Donnée'!$F$32,IF(K163&lt;$G163*(1-'Feuille de Donnée'!$E$27),'Feuille de Donnée'!$F$33,'Feuille de Donnée'!$F$31)))))</f>
        <v/>
      </c>
      <c r="Q163" s="138"/>
      <c r="R163" s="103"/>
      <c r="S163" s="27"/>
      <c r="T163" s="27"/>
      <c r="U163" s="27" t="str">
        <f t="shared" si="61"/>
        <v/>
      </c>
      <c r="V163" s="121" t="str">
        <f t="shared" si="62"/>
        <v/>
      </c>
      <c r="W163" s="121" t="str">
        <f t="shared" si="63"/>
        <v/>
      </c>
      <c r="X163" s="27" t="str">
        <f>IF(AND(ISBLANK(Z163),Y163=""),"",1+MAX(X$21:X162))</f>
        <v/>
      </c>
      <c r="Y163" s="137" t="str">
        <f>IF(OR(U163="",U163=0,$H163="",$H163=0,NOT(ISNUMBER($H163)),NOT(ISNUMBER(U163))),IF(AND($E163&lt;&gt;"",AND(OR(ISNUMBER(U163),U163=""),AND(ISNUMBER($H163),$H163&gt;0))),'Feuille de Donnée'!$K$13,""),IF(U163&lt;$H$168*'Feuille de Donnée'!$I$9,"Négligeable",(IF(AND(S163&gt;=$F163*(1-'Feuille de Donnée'!$E$12),S163&lt;=$F163*(1+'Feuille de Donnée'!$F$12)),'Feuille de Donnée'!$F$17,IF(S163&lt;$F163*(1-'Feuille de Donnée'!$E$12),'Feuille de Donnée'!$F$18,'Feuille de Donnée'!$F$16))&amp;""&amp;IF(AND(T163&gt;=$G163*(1-'Feuille de Donnée'!$E$27),T163&lt;=$G163*(1+'Feuille de Donnée'!$F$27)),'Feuille de Donnée'!$F$32,IF(T163&lt;$G163*(1-'Feuille de Donnée'!$E$27),'Feuille de Donnée'!$F$33,'Feuille de Donnée'!$F$31)))))</f>
        <v/>
      </c>
      <c r="Z163" s="138"/>
      <c r="AA163" s="103"/>
      <c r="AB163" s="27"/>
      <c r="AC163" s="27"/>
      <c r="AD163" s="27" t="str">
        <f t="shared" si="64"/>
        <v/>
      </c>
      <c r="AE163" s="121" t="str">
        <f t="shared" si="65"/>
        <v/>
      </c>
      <c r="AF163" s="121" t="str">
        <f t="shared" si="66"/>
        <v/>
      </c>
      <c r="AG163" s="27" t="str">
        <f>IF(AND(ISBLANK(AI163),AH163=""),"",1+MAX(AG$21:AG162))</f>
        <v/>
      </c>
      <c r="AH163" s="137" t="str">
        <f>IF(OR(AD163="",AD163=0,$H163="",$H163=0,NOT(ISNUMBER($H163)),NOT(ISNUMBER(AD163))),IF(AND($E163&lt;&gt;"",AND(OR(ISNUMBER(AD163),AD163=""),AND(ISNUMBER($H163),$H163&gt;0))),'Feuille de Donnée'!$K$13,""),IF(AD163&lt;$H$168*'Feuille de Donnée'!$I$9,"Négligeable",(IF(AND(AB163&gt;=$F163*(1-'Feuille de Donnée'!$E$12),AB163&lt;=$F163*(1+'Feuille de Donnée'!$F$12)),'Feuille de Donnée'!$F$17,IF(AB163&lt;$F163*(1-'Feuille de Donnée'!$E$12),'Feuille de Donnée'!$F$18,'Feuille de Donnée'!$F$16))&amp;""&amp;IF(AND(AC163&gt;=$G163*(1-'Feuille de Donnée'!$E$27),AC163&lt;=$G163*(1+'Feuille de Donnée'!$F$27)),'Feuille de Donnée'!$F$32,IF(AC163&lt;$G163*(1-'Feuille de Donnée'!$E$27),'Feuille de Donnée'!$F$33,'Feuille de Donnée'!$F$31)))))</f>
        <v/>
      </c>
      <c r="AI163" s="138"/>
      <c r="AJ163" s="103"/>
      <c r="AK163" s="27"/>
      <c r="AL163" s="27"/>
      <c r="AM163" s="27" t="str">
        <f t="shared" si="67"/>
        <v/>
      </c>
      <c r="AN163" s="121" t="str">
        <f t="shared" si="68"/>
        <v/>
      </c>
      <c r="AO163" s="121" t="str">
        <f t="shared" si="69"/>
        <v/>
      </c>
      <c r="AP163" s="27" t="str">
        <f>IF(AND(ISBLANK(AR163),AQ163=""),"",1+MAX(AP$21:AP162))</f>
        <v/>
      </c>
      <c r="AQ163" s="137" t="str">
        <f>IF(OR(AM163="",AM163=0,$H163="",$H163=0,NOT(ISNUMBER($H163)),NOT(ISNUMBER(AM163))),IF(AND($E163&lt;&gt;"",AND(OR(ISNUMBER(AM163),AM163=""),AND(ISNUMBER($H163),$H163&gt;0))),'Feuille de Donnée'!$K$13,""),IF(AM163&lt;$H$168*'Feuille de Donnée'!$I$9,"Négligeable",(IF(AND(AK163&gt;=$F163*(1-'Feuille de Donnée'!$E$12),AK163&lt;=$F163*(1+'Feuille de Donnée'!$F$12)),'Feuille de Donnée'!$F$17,IF(AK163&lt;$F163*(1-'Feuille de Donnée'!$E$12),'Feuille de Donnée'!$F$18,'Feuille de Donnée'!$F$16))&amp;""&amp;IF(AND(AL163&gt;=$G163*(1-'Feuille de Donnée'!$E$27),AL163&lt;=$G163*(1+'Feuille de Donnée'!$F$27)),'Feuille de Donnée'!$F$32,IF(AL163&lt;$G163*(1-'Feuille de Donnée'!$E$27),'Feuille de Donnée'!$F$33,'Feuille de Donnée'!$F$31)))))</f>
        <v/>
      </c>
      <c r="AR163" s="138"/>
      <c r="AS163" s="103"/>
      <c r="AT163" s="27"/>
      <c r="AU163" s="27"/>
      <c r="AV163" s="27" t="str">
        <f t="shared" si="70"/>
        <v/>
      </c>
      <c r="AW163" s="121" t="str">
        <f t="shared" si="71"/>
        <v/>
      </c>
      <c r="AX163" s="121" t="str">
        <f t="shared" si="72"/>
        <v/>
      </c>
      <c r="AY163" s="27" t="str">
        <f>IF(AND(ISBLANK(BA163),AZ163=""),"",1+MAX(AY$21:AY162))</f>
        <v/>
      </c>
      <c r="AZ163" s="137" t="str">
        <f>IF(OR(AV163="",AV163=0,$H163="",$H163=0,NOT(ISNUMBER($H163)),NOT(ISNUMBER(AV163))),IF(AND($E163&lt;&gt;"",AND(OR(ISNUMBER(AV163),AV163=""),AND(ISNUMBER($H163),$H163&gt;0))),'Feuille de Donnée'!$K$13,""),IF(AV163&lt;$H$168*'Feuille de Donnée'!$I$9,"Négligeable",(IF(AND(AT163&gt;=$F163*(1-'Feuille de Donnée'!$E$12),AT163&lt;=$F163*(1+'Feuille de Donnée'!$F$12)),'Feuille de Donnée'!$F$17,IF(AT163&lt;$F163*(1-'Feuille de Donnée'!$E$12),'Feuille de Donnée'!$F$18,'Feuille de Donnée'!$F$16))&amp;""&amp;IF(AND(AU163&gt;=$G163*(1-'Feuille de Donnée'!$E$27),AU163&lt;=$G163*(1+'Feuille de Donnée'!$F$27)),'Feuille de Donnée'!$F$32,IF(AU163&lt;$G163*(1-'Feuille de Donnée'!$E$27),'Feuille de Donnée'!$F$33,'Feuille de Donnée'!$F$31)))))</f>
        <v/>
      </c>
      <c r="BA163" s="138"/>
      <c r="BB163" s="103"/>
      <c r="BC163" s="27"/>
      <c r="BD163" s="27"/>
      <c r="BE163" s="27" t="str">
        <f t="shared" si="73"/>
        <v/>
      </c>
      <c r="BF163" s="121" t="str">
        <f t="shared" si="74"/>
        <v/>
      </c>
      <c r="BG163" s="121" t="str">
        <f t="shared" si="75"/>
        <v/>
      </c>
      <c r="BH163" s="27" t="str">
        <f>IF(AND(ISBLANK(BJ163),BI163=""),"",1+MAX(BH$21:BH162))</f>
        <v/>
      </c>
      <c r="BI163" s="137" t="str">
        <f>IF(OR(BE163="",BE163=0,$H163="",$H163=0,NOT(ISNUMBER($H163)),NOT(ISNUMBER(BE163))),IF(AND($E163&lt;&gt;"",AND(OR(ISNUMBER(BE163),BE163=""),AND(ISNUMBER($H163),$H163&gt;0))),'Feuille de Donnée'!$K$13,""),IF(BE163&lt;$H$168*'Feuille de Donnée'!$I$9,"Négligeable",(IF(AND(BC163&gt;=$F163*(1-'Feuille de Donnée'!$E$12),BC163&lt;=$F163*(1+'Feuille de Donnée'!$F$12)),'Feuille de Donnée'!$F$17,IF(BC163&lt;$F163*(1-'Feuille de Donnée'!$E$12),'Feuille de Donnée'!$F$18,'Feuille de Donnée'!$F$16))&amp;""&amp;IF(AND(BD163&gt;=$G163*(1-'Feuille de Donnée'!$E$27),BD163&lt;=$G163*(1+'Feuille de Donnée'!$F$27)),'Feuille de Donnée'!$F$32,IF(BD163&lt;$G163*(1-'Feuille de Donnée'!$E$27),'Feuille de Donnée'!$F$33,'Feuille de Donnée'!$F$31)))))</f>
        <v/>
      </c>
      <c r="BJ163" s="138"/>
      <c r="BK163" s="140"/>
    </row>
    <row r="164" spans="1:63" s="6" customFormat="1" x14ac:dyDescent="0.3">
      <c r="A164" s="23"/>
      <c r="B164" s="24"/>
      <c r="C164" s="24"/>
      <c r="D164" s="24"/>
      <c r="E164" s="22"/>
      <c r="F164" s="25"/>
      <c r="G164" s="26"/>
      <c r="H164" s="102" t="str">
        <f t="shared" si="57"/>
        <v/>
      </c>
      <c r="I164" s="103"/>
      <c r="J164" s="27"/>
      <c r="K164" s="27"/>
      <c r="L164" s="27" t="str">
        <f t="shared" si="58"/>
        <v/>
      </c>
      <c r="M164" s="121" t="str">
        <f t="shared" si="59"/>
        <v/>
      </c>
      <c r="N164" s="121" t="str">
        <f t="shared" si="60"/>
        <v/>
      </c>
      <c r="O164" s="27" t="str">
        <f>IF(AND(ISBLANK(Q164),P164=""),"",1+MAX(O$21:O163))</f>
        <v/>
      </c>
      <c r="P164" s="137" t="str">
        <f>IF(OR(L164="",L164=0,$H164="",$H164=0,NOT(ISNUMBER($H164)),NOT(ISNUMBER(L164))),IF(AND($E164&lt;&gt;"",AND(OR(ISNUMBER(L164),L164=""),AND(ISNUMBER($H164),$H164&gt;0))),'Feuille de Donnée'!$K$13,""),IF(L164&lt;$H$168*'Feuille de Donnée'!$I$9,"Négligeable",(IF(AND(J164&gt;=$F164*(1-'Feuille de Donnée'!$E$12),J164&lt;=$F164*(1+'Feuille de Donnée'!$F$12)),'Feuille de Donnée'!$F$17,IF(J164&lt;$F164*(1-'Feuille de Donnée'!$E$12),'Feuille de Donnée'!$F$18,'Feuille de Donnée'!$F$16))&amp;""&amp;IF(AND(K164&gt;=$G164*(1-'Feuille de Donnée'!$E$27),K164&lt;=$G164*(1+'Feuille de Donnée'!$F$27)),'Feuille de Donnée'!$F$32,IF(K164&lt;$G164*(1-'Feuille de Donnée'!$E$27),'Feuille de Donnée'!$F$33,'Feuille de Donnée'!$F$31)))))</f>
        <v/>
      </c>
      <c r="Q164" s="138"/>
      <c r="R164" s="103"/>
      <c r="S164" s="27"/>
      <c r="T164" s="27"/>
      <c r="U164" s="27" t="str">
        <f t="shared" si="61"/>
        <v/>
      </c>
      <c r="V164" s="121" t="str">
        <f t="shared" si="62"/>
        <v/>
      </c>
      <c r="W164" s="121" t="str">
        <f t="shared" si="63"/>
        <v/>
      </c>
      <c r="X164" s="27" t="str">
        <f>IF(AND(ISBLANK(Z164),Y164=""),"",1+MAX(X$21:X163))</f>
        <v/>
      </c>
      <c r="Y164" s="137" t="str">
        <f>IF(OR(U164="",U164=0,$H164="",$H164=0,NOT(ISNUMBER($H164)),NOT(ISNUMBER(U164))),IF(AND($E164&lt;&gt;"",AND(OR(ISNUMBER(U164),U164=""),AND(ISNUMBER($H164),$H164&gt;0))),'Feuille de Donnée'!$K$13,""),IF(U164&lt;$H$168*'Feuille de Donnée'!$I$9,"Négligeable",(IF(AND(S164&gt;=$F164*(1-'Feuille de Donnée'!$E$12),S164&lt;=$F164*(1+'Feuille de Donnée'!$F$12)),'Feuille de Donnée'!$F$17,IF(S164&lt;$F164*(1-'Feuille de Donnée'!$E$12),'Feuille de Donnée'!$F$18,'Feuille de Donnée'!$F$16))&amp;""&amp;IF(AND(T164&gt;=$G164*(1-'Feuille de Donnée'!$E$27),T164&lt;=$G164*(1+'Feuille de Donnée'!$F$27)),'Feuille de Donnée'!$F$32,IF(T164&lt;$G164*(1-'Feuille de Donnée'!$E$27),'Feuille de Donnée'!$F$33,'Feuille de Donnée'!$F$31)))))</f>
        <v/>
      </c>
      <c r="Z164" s="138"/>
      <c r="AA164" s="103"/>
      <c r="AB164" s="27"/>
      <c r="AC164" s="27"/>
      <c r="AD164" s="27" t="str">
        <f t="shared" si="64"/>
        <v/>
      </c>
      <c r="AE164" s="121" t="str">
        <f t="shared" si="65"/>
        <v/>
      </c>
      <c r="AF164" s="121" t="str">
        <f t="shared" si="66"/>
        <v/>
      </c>
      <c r="AG164" s="27" t="str">
        <f>IF(AND(ISBLANK(AI164),AH164=""),"",1+MAX(AG$21:AG163))</f>
        <v/>
      </c>
      <c r="AH164" s="137" t="str">
        <f>IF(OR(AD164="",AD164=0,$H164="",$H164=0,NOT(ISNUMBER($H164)),NOT(ISNUMBER(AD164))),IF(AND($E164&lt;&gt;"",AND(OR(ISNUMBER(AD164),AD164=""),AND(ISNUMBER($H164),$H164&gt;0))),'Feuille de Donnée'!$K$13,""),IF(AD164&lt;$H$168*'Feuille de Donnée'!$I$9,"Négligeable",(IF(AND(AB164&gt;=$F164*(1-'Feuille de Donnée'!$E$12),AB164&lt;=$F164*(1+'Feuille de Donnée'!$F$12)),'Feuille de Donnée'!$F$17,IF(AB164&lt;$F164*(1-'Feuille de Donnée'!$E$12),'Feuille de Donnée'!$F$18,'Feuille de Donnée'!$F$16))&amp;""&amp;IF(AND(AC164&gt;=$G164*(1-'Feuille de Donnée'!$E$27),AC164&lt;=$G164*(1+'Feuille de Donnée'!$F$27)),'Feuille de Donnée'!$F$32,IF(AC164&lt;$G164*(1-'Feuille de Donnée'!$E$27),'Feuille de Donnée'!$F$33,'Feuille de Donnée'!$F$31)))))</f>
        <v/>
      </c>
      <c r="AI164" s="138"/>
      <c r="AJ164" s="103"/>
      <c r="AK164" s="27"/>
      <c r="AL164" s="27"/>
      <c r="AM164" s="27" t="str">
        <f t="shared" si="67"/>
        <v/>
      </c>
      <c r="AN164" s="121" t="str">
        <f t="shared" si="68"/>
        <v/>
      </c>
      <c r="AO164" s="121" t="str">
        <f t="shared" si="69"/>
        <v/>
      </c>
      <c r="AP164" s="27" t="str">
        <f>IF(AND(ISBLANK(AR164),AQ164=""),"",1+MAX(AP$21:AP163))</f>
        <v/>
      </c>
      <c r="AQ164" s="137" t="str">
        <f>IF(OR(AM164="",AM164=0,$H164="",$H164=0,NOT(ISNUMBER($H164)),NOT(ISNUMBER(AM164))),IF(AND($E164&lt;&gt;"",AND(OR(ISNUMBER(AM164),AM164=""),AND(ISNUMBER($H164),$H164&gt;0))),'Feuille de Donnée'!$K$13,""),IF(AM164&lt;$H$168*'Feuille de Donnée'!$I$9,"Négligeable",(IF(AND(AK164&gt;=$F164*(1-'Feuille de Donnée'!$E$12),AK164&lt;=$F164*(1+'Feuille de Donnée'!$F$12)),'Feuille de Donnée'!$F$17,IF(AK164&lt;$F164*(1-'Feuille de Donnée'!$E$12),'Feuille de Donnée'!$F$18,'Feuille de Donnée'!$F$16))&amp;""&amp;IF(AND(AL164&gt;=$G164*(1-'Feuille de Donnée'!$E$27),AL164&lt;=$G164*(1+'Feuille de Donnée'!$F$27)),'Feuille de Donnée'!$F$32,IF(AL164&lt;$G164*(1-'Feuille de Donnée'!$E$27),'Feuille de Donnée'!$F$33,'Feuille de Donnée'!$F$31)))))</f>
        <v/>
      </c>
      <c r="AR164" s="138"/>
      <c r="AS164" s="103"/>
      <c r="AT164" s="27"/>
      <c r="AU164" s="27"/>
      <c r="AV164" s="27" t="str">
        <f t="shared" si="70"/>
        <v/>
      </c>
      <c r="AW164" s="121" t="str">
        <f t="shared" si="71"/>
        <v/>
      </c>
      <c r="AX164" s="121" t="str">
        <f t="shared" si="72"/>
        <v/>
      </c>
      <c r="AY164" s="27" t="str">
        <f>IF(AND(ISBLANK(BA164),AZ164=""),"",1+MAX(AY$21:AY163))</f>
        <v/>
      </c>
      <c r="AZ164" s="137" t="str">
        <f>IF(OR(AV164="",AV164=0,$H164="",$H164=0,NOT(ISNUMBER($H164)),NOT(ISNUMBER(AV164))),IF(AND($E164&lt;&gt;"",AND(OR(ISNUMBER(AV164),AV164=""),AND(ISNUMBER($H164),$H164&gt;0))),'Feuille de Donnée'!$K$13,""),IF(AV164&lt;$H$168*'Feuille de Donnée'!$I$9,"Négligeable",(IF(AND(AT164&gt;=$F164*(1-'Feuille de Donnée'!$E$12),AT164&lt;=$F164*(1+'Feuille de Donnée'!$F$12)),'Feuille de Donnée'!$F$17,IF(AT164&lt;$F164*(1-'Feuille de Donnée'!$E$12),'Feuille de Donnée'!$F$18,'Feuille de Donnée'!$F$16))&amp;""&amp;IF(AND(AU164&gt;=$G164*(1-'Feuille de Donnée'!$E$27),AU164&lt;=$G164*(1+'Feuille de Donnée'!$F$27)),'Feuille de Donnée'!$F$32,IF(AU164&lt;$G164*(1-'Feuille de Donnée'!$E$27),'Feuille de Donnée'!$F$33,'Feuille de Donnée'!$F$31)))))</f>
        <v/>
      </c>
      <c r="BA164" s="138"/>
      <c r="BB164" s="103"/>
      <c r="BC164" s="27"/>
      <c r="BD164" s="27"/>
      <c r="BE164" s="27" t="str">
        <f t="shared" si="73"/>
        <v/>
      </c>
      <c r="BF164" s="121" t="str">
        <f t="shared" si="74"/>
        <v/>
      </c>
      <c r="BG164" s="121" t="str">
        <f t="shared" si="75"/>
        <v/>
      </c>
      <c r="BH164" s="27" t="str">
        <f>IF(AND(ISBLANK(BJ164),BI164=""),"",1+MAX(BH$21:BH163))</f>
        <v/>
      </c>
      <c r="BI164" s="137" t="str">
        <f>IF(OR(BE164="",BE164=0,$H164="",$H164=0,NOT(ISNUMBER($H164)),NOT(ISNUMBER(BE164))),IF(AND($E164&lt;&gt;"",AND(OR(ISNUMBER(BE164),BE164=""),AND(ISNUMBER($H164),$H164&gt;0))),'Feuille de Donnée'!$K$13,""),IF(BE164&lt;$H$168*'Feuille de Donnée'!$I$9,"Négligeable",(IF(AND(BC164&gt;=$F164*(1-'Feuille de Donnée'!$E$12),BC164&lt;=$F164*(1+'Feuille de Donnée'!$F$12)),'Feuille de Donnée'!$F$17,IF(BC164&lt;$F164*(1-'Feuille de Donnée'!$E$12),'Feuille de Donnée'!$F$18,'Feuille de Donnée'!$F$16))&amp;""&amp;IF(AND(BD164&gt;=$G164*(1-'Feuille de Donnée'!$E$27),BD164&lt;=$G164*(1+'Feuille de Donnée'!$F$27)),'Feuille de Donnée'!$F$32,IF(BD164&lt;$G164*(1-'Feuille de Donnée'!$E$27),'Feuille de Donnée'!$F$33,'Feuille de Donnée'!$F$31)))))</f>
        <v/>
      </c>
      <c r="BJ164" s="138"/>
      <c r="BK164" s="140"/>
    </row>
    <row r="165" spans="1:63" s="6" customFormat="1" x14ac:dyDescent="0.3">
      <c r="A165" s="23"/>
      <c r="B165" s="24"/>
      <c r="C165" s="24"/>
      <c r="D165" s="24"/>
      <c r="E165" s="22"/>
      <c r="F165" s="25"/>
      <c r="G165" s="26"/>
      <c r="H165" s="102" t="str">
        <f t="shared" si="57"/>
        <v/>
      </c>
      <c r="I165" s="103"/>
      <c r="J165" s="27"/>
      <c r="K165" s="27"/>
      <c r="L165" s="27" t="str">
        <f t="shared" si="58"/>
        <v/>
      </c>
      <c r="M165" s="121" t="str">
        <f t="shared" si="59"/>
        <v/>
      </c>
      <c r="N165" s="121" t="str">
        <f t="shared" si="60"/>
        <v/>
      </c>
      <c r="O165" s="27" t="str">
        <f>IF(AND(ISBLANK(Q165),P165=""),"",1+MAX(O$21:O164))</f>
        <v/>
      </c>
      <c r="P165" s="137" t="str">
        <f>IF(OR(L165="",L165=0,$H165="",$H165=0,NOT(ISNUMBER($H165)),NOT(ISNUMBER(L165))),IF(AND($E165&lt;&gt;"",AND(OR(ISNUMBER(L165),L165=""),AND(ISNUMBER($H165),$H165&gt;0))),'Feuille de Donnée'!$K$13,""),IF(L165&lt;$H$168*'Feuille de Donnée'!$I$9,"Négligeable",(IF(AND(J165&gt;=$F165*(1-'Feuille de Donnée'!$E$12),J165&lt;=$F165*(1+'Feuille de Donnée'!$F$12)),'Feuille de Donnée'!$F$17,IF(J165&lt;$F165*(1-'Feuille de Donnée'!$E$12),'Feuille de Donnée'!$F$18,'Feuille de Donnée'!$F$16))&amp;""&amp;IF(AND(K165&gt;=$G165*(1-'Feuille de Donnée'!$E$27),K165&lt;=$G165*(1+'Feuille de Donnée'!$F$27)),'Feuille de Donnée'!$F$32,IF(K165&lt;$G165*(1-'Feuille de Donnée'!$E$27),'Feuille de Donnée'!$F$33,'Feuille de Donnée'!$F$31)))))</f>
        <v/>
      </c>
      <c r="Q165" s="138"/>
      <c r="R165" s="103"/>
      <c r="S165" s="27"/>
      <c r="T165" s="27"/>
      <c r="U165" s="27" t="str">
        <f t="shared" si="61"/>
        <v/>
      </c>
      <c r="V165" s="121" t="str">
        <f t="shared" si="62"/>
        <v/>
      </c>
      <c r="W165" s="121" t="str">
        <f t="shared" si="63"/>
        <v/>
      </c>
      <c r="X165" s="27" t="str">
        <f>IF(AND(ISBLANK(Z165),Y165=""),"",1+MAX(X$21:X164))</f>
        <v/>
      </c>
      <c r="Y165" s="137" t="str">
        <f>IF(OR(U165="",U165=0,$H165="",$H165=0,NOT(ISNUMBER($H165)),NOT(ISNUMBER(U165))),IF(AND($E165&lt;&gt;"",AND(OR(ISNUMBER(U165),U165=""),AND(ISNUMBER($H165),$H165&gt;0))),'Feuille de Donnée'!$K$13,""),IF(U165&lt;$H$168*'Feuille de Donnée'!$I$9,"Négligeable",(IF(AND(S165&gt;=$F165*(1-'Feuille de Donnée'!$E$12),S165&lt;=$F165*(1+'Feuille de Donnée'!$F$12)),'Feuille de Donnée'!$F$17,IF(S165&lt;$F165*(1-'Feuille de Donnée'!$E$12),'Feuille de Donnée'!$F$18,'Feuille de Donnée'!$F$16))&amp;""&amp;IF(AND(T165&gt;=$G165*(1-'Feuille de Donnée'!$E$27),T165&lt;=$G165*(1+'Feuille de Donnée'!$F$27)),'Feuille de Donnée'!$F$32,IF(T165&lt;$G165*(1-'Feuille de Donnée'!$E$27),'Feuille de Donnée'!$F$33,'Feuille de Donnée'!$F$31)))))</f>
        <v/>
      </c>
      <c r="Z165" s="138"/>
      <c r="AA165" s="103"/>
      <c r="AB165" s="27"/>
      <c r="AC165" s="27"/>
      <c r="AD165" s="27" t="str">
        <f t="shared" si="64"/>
        <v/>
      </c>
      <c r="AE165" s="121" t="str">
        <f t="shared" si="65"/>
        <v/>
      </c>
      <c r="AF165" s="121" t="str">
        <f t="shared" si="66"/>
        <v/>
      </c>
      <c r="AG165" s="27" t="str">
        <f>IF(AND(ISBLANK(AI165),AH165=""),"",1+MAX(AG$21:AG164))</f>
        <v/>
      </c>
      <c r="AH165" s="137" t="str">
        <f>IF(OR(AD165="",AD165=0,$H165="",$H165=0,NOT(ISNUMBER($H165)),NOT(ISNUMBER(AD165))),IF(AND($E165&lt;&gt;"",AND(OR(ISNUMBER(AD165),AD165=""),AND(ISNUMBER($H165),$H165&gt;0))),'Feuille de Donnée'!$K$13,""),IF(AD165&lt;$H$168*'Feuille de Donnée'!$I$9,"Négligeable",(IF(AND(AB165&gt;=$F165*(1-'Feuille de Donnée'!$E$12),AB165&lt;=$F165*(1+'Feuille de Donnée'!$F$12)),'Feuille de Donnée'!$F$17,IF(AB165&lt;$F165*(1-'Feuille de Donnée'!$E$12),'Feuille de Donnée'!$F$18,'Feuille de Donnée'!$F$16))&amp;""&amp;IF(AND(AC165&gt;=$G165*(1-'Feuille de Donnée'!$E$27),AC165&lt;=$G165*(1+'Feuille de Donnée'!$F$27)),'Feuille de Donnée'!$F$32,IF(AC165&lt;$G165*(1-'Feuille de Donnée'!$E$27),'Feuille de Donnée'!$F$33,'Feuille de Donnée'!$F$31)))))</f>
        <v/>
      </c>
      <c r="AI165" s="138"/>
      <c r="AJ165" s="103"/>
      <c r="AK165" s="27"/>
      <c r="AL165" s="27"/>
      <c r="AM165" s="27" t="str">
        <f t="shared" si="67"/>
        <v/>
      </c>
      <c r="AN165" s="121" t="str">
        <f t="shared" si="68"/>
        <v/>
      </c>
      <c r="AO165" s="121" t="str">
        <f t="shared" si="69"/>
        <v/>
      </c>
      <c r="AP165" s="27" t="str">
        <f>IF(AND(ISBLANK(AR165),AQ165=""),"",1+MAX(AP$21:AP164))</f>
        <v/>
      </c>
      <c r="AQ165" s="137" t="str">
        <f>IF(OR(AM165="",AM165=0,$H165="",$H165=0,NOT(ISNUMBER($H165)),NOT(ISNUMBER(AM165))),IF(AND($E165&lt;&gt;"",AND(OR(ISNUMBER(AM165),AM165=""),AND(ISNUMBER($H165),$H165&gt;0))),'Feuille de Donnée'!$K$13,""),IF(AM165&lt;$H$168*'Feuille de Donnée'!$I$9,"Négligeable",(IF(AND(AK165&gt;=$F165*(1-'Feuille de Donnée'!$E$12),AK165&lt;=$F165*(1+'Feuille de Donnée'!$F$12)),'Feuille de Donnée'!$F$17,IF(AK165&lt;$F165*(1-'Feuille de Donnée'!$E$12),'Feuille de Donnée'!$F$18,'Feuille de Donnée'!$F$16))&amp;""&amp;IF(AND(AL165&gt;=$G165*(1-'Feuille de Donnée'!$E$27),AL165&lt;=$G165*(1+'Feuille de Donnée'!$F$27)),'Feuille de Donnée'!$F$32,IF(AL165&lt;$G165*(1-'Feuille de Donnée'!$E$27),'Feuille de Donnée'!$F$33,'Feuille de Donnée'!$F$31)))))</f>
        <v/>
      </c>
      <c r="AR165" s="138"/>
      <c r="AS165" s="103"/>
      <c r="AT165" s="27"/>
      <c r="AU165" s="27"/>
      <c r="AV165" s="27" t="str">
        <f t="shared" si="70"/>
        <v/>
      </c>
      <c r="AW165" s="121" t="str">
        <f t="shared" si="71"/>
        <v/>
      </c>
      <c r="AX165" s="121" t="str">
        <f t="shared" si="72"/>
        <v/>
      </c>
      <c r="AY165" s="27" t="str">
        <f>IF(AND(ISBLANK(BA165),AZ165=""),"",1+MAX(AY$21:AY164))</f>
        <v/>
      </c>
      <c r="AZ165" s="137" t="str">
        <f>IF(OR(AV165="",AV165=0,$H165="",$H165=0,NOT(ISNUMBER($H165)),NOT(ISNUMBER(AV165))),IF(AND($E165&lt;&gt;"",AND(OR(ISNUMBER(AV165),AV165=""),AND(ISNUMBER($H165),$H165&gt;0))),'Feuille de Donnée'!$K$13,""),IF(AV165&lt;$H$168*'Feuille de Donnée'!$I$9,"Négligeable",(IF(AND(AT165&gt;=$F165*(1-'Feuille de Donnée'!$E$12),AT165&lt;=$F165*(1+'Feuille de Donnée'!$F$12)),'Feuille de Donnée'!$F$17,IF(AT165&lt;$F165*(1-'Feuille de Donnée'!$E$12),'Feuille de Donnée'!$F$18,'Feuille de Donnée'!$F$16))&amp;""&amp;IF(AND(AU165&gt;=$G165*(1-'Feuille de Donnée'!$E$27),AU165&lt;=$G165*(1+'Feuille de Donnée'!$F$27)),'Feuille de Donnée'!$F$32,IF(AU165&lt;$G165*(1-'Feuille de Donnée'!$E$27),'Feuille de Donnée'!$F$33,'Feuille de Donnée'!$F$31)))))</f>
        <v/>
      </c>
      <c r="BA165" s="138"/>
      <c r="BB165" s="103"/>
      <c r="BC165" s="27"/>
      <c r="BD165" s="27"/>
      <c r="BE165" s="27" t="str">
        <f t="shared" si="73"/>
        <v/>
      </c>
      <c r="BF165" s="121" t="str">
        <f t="shared" si="74"/>
        <v/>
      </c>
      <c r="BG165" s="121" t="str">
        <f t="shared" si="75"/>
        <v/>
      </c>
      <c r="BH165" s="27" t="str">
        <f>IF(AND(ISBLANK(BJ165),BI165=""),"",1+MAX(BH$21:BH164))</f>
        <v/>
      </c>
      <c r="BI165" s="137" t="str">
        <f>IF(OR(BE165="",BE165=0,$H165="",$H165=0,NOT(ISNUMBER($H165)),NOT(ISNUMBER(BE165))),IF(AND($E165&lt;&gt;"",AND(OR(ISNUMBER(BE165),BE165=""),AND(ISNUMBER($H165),$H165&gt;0))),'Feuille de Donnée'!$K$13,""),IF(BE165&lt;$H$168*'Feuille de Donnée'!$I$9,"Négligeable",(IF(AND(BC165&gt;=$F165*(1-'Feuille de Donnée'!$E$12),BC165&lt;=$F165*(1+'Feuille de Donnée'!$F$12)),'Feuille de Donnée'!$F$17,IF(BC165&lt;$F165*(1-'Feuille de Donnée'!$E$12),'Feuille de Donnée'!$F$18,'Feuille de Donnée'!$F$16))&amp;""&amp;IF(AND(BD165&gt;=$G165*(1-'Feuille de Donnée'!$E$27),BD165&lt;=$G165*(1+'Feuille de Donnée'!$F$27)),'Feuille de Donnée'!$F$32,IF(BD165&lt;$G165*(1-'Feuille de Donnée'!$E$27),'Feuille de Donnée'!$F$33,'Feuille de Donnée'!$F$31)))))</f>
        <v/>
      </c>
      <c r="BJ165" s="138"/>
      <c r="BK165" s="140"/>
    </row>
    <row r="166" spans="1:63" s="6" customFormat="1" x14ac:dyDescent="0.3">
      <c r="A166" s="23"/>
      <c r="B166" s="44"/>
      <c r="C166" s="42"/>
      <c r="D166" s="41"/>
      <c r="E166" s="22"/>
      <c r="F166" s="25"/>
      <c r="G166" s="43"/>
      <c r="H166" s="102" t="str">
        <f t="shared" ref="H166:H167" si="76">IF(ISBLANK(E166),"",ROUND(F166*G166,2))</f>
        <v/>
      </c>
      <c r="I166" s="103"/>
      <c r="J166" s="27"/>
      <c r="K166" s="27"/>
      <c r="L166" s="27" t="str">
        <f>IF(ISBLANK(I166),"",ROUND(J166*K166,2))</f>
        <v/>
      </c>
      <c r="M166" s="121" t="str">
        <f t="shared" ref="M166:M167" si="77">IF($F166=0,"",(J166/$F166-1))</f>
        <v/>
      </c>
      <c r="N166" s="121" t="str">
        <f t="shared" ref="N166:N167" si="78">IF($G166=0,"",(K166/$G166-1))</f>
        <v/>
      </c>
      <c r="O166" s="27" t="str">
        <f>IF(AND(ISBLANK(Q166),P166=""),"",1+MAX(O$21:O165))</f>
        <v/>
      </c>
      <c r="P166" s="137" t="str">
        <f>IF(OR(L166="",L166=0,$H166="",$H166=0,NOT(ISNUMBER($H166)),NOT(ISNUMBER(L166))),IF(AND($E166&lt;&gt;"",AND(OR(ISNUMBER(L166),L166=""),AND(ISNUMBER($H166),$H166&gt;0))),'Feuille de Donnée'!$K$13,""),IF(L166&lt;$H$168*'Feuille de Donnée'!$I$9,"Négligeable",(IF(AND(J166&gt;=$F166*(1-'Feuille de Donnée'!$E$12),J166&lt;=$F166*(1+'Feuille de Donnée'!$F$12)),'Feuille de Donnée'!$F$17,IF(J166&lt;$F166*(1-'Feuille de Donnée'!$E$12),'Feuille de Donnée'!$F$18,'Feuille de Donnée'!$F$16))&amp;""&amp;IF(AND(K166&gt;=$G166*(1-'Feuille de Donnée'!$E$27),K166&lt;=$G166*(1+'Feuille de Donnée'!$F$27)),'Feuille de Donnée'!$F$32,IF(K166&lt;$G166*(1-'Feuille de Donnée'!$E$27),'Feuille de Donnée'!$F$33,'Feuille de Donnée'!$F$31)))))</f>
        <v/>
      </c>
      <c r="Q166" s="138"/>
      <c r="R166" s="103"/>
      <c r="S166" s="27"/>
      <c r="T166" s="27"/>
      <c r="U166" s="27" t="str">
        <f>IF(ISBLANK(R166),"",ROUND(S166*T166,2))</f>
        <v/>
      </c>
      <c r="V166" s="121" t="str">
        <f t="shared" ref="V166:V167" si="79">IF($F166=0,"",(S166/$F166-1))</f>
        <v/>
      </c>
      <c r="W166" s="121" t="str">
        <f t="shared" ref="W166:W167" si="80">IF($G166=0,"",(T166/$G166-1))</f>
        <v/>
      </c>
      <c r="X166" s="27" t="str">
        <f>IF(AND(ISBLANK(Z166),Y166=""),"",1+MAX(X$21:X165))</f>
        <v/>
      </c>
      <c r="Y166" s="137" t="str">
        <f>IF(OR(U166="",U166=0,$H166="",$H166=0,NOT(ISNUMBER($H166)),NOT(ISNUMBER(U166))),IF(AND($E166&lt;&gt;"",AND(OR(ISNUMBER(U166),U166=""),AND(ISNUMBER($H166),$H166&gt;0))),'Feuille de Donnée'!$K$13,""),IF(U166&lt;$H$168*'Feuille de Donnée'!$I$9,"Négligeable",(IF(AND(S166&gt;=$F166*(1-'Feuille de Donnée'!$E$12),S166&lt;=$F166*(1+'Feuille de Donnée'!$F$12)),'Feuille de Donnée'!$F$17,IF(S166&lt;$F166*(1-'Feuille de Donnée'!$E$12),'Feuille de Donnée'!$F$18,'Feuille de Donnée'!$F$16))&amp;""&amp;IF(AND(T166&gt;=$G166*(1-'Feuille de Donnée'!$E$27),T166&lt;=$G166*(1+'Feuille de Donnée'!$F$27)),'Feuille de Donnée'!$F$32,IF(T166&lt;$G166*(1-'Feuille de Donnée'!$E$27),'Feuille de Donnée'!$F$33,'Feuille de Donnée'!$F$31)))))</f>
        <v/>
      </c>
      <c r="Z166" s="138"/>
      <c r="AA166" s="103"/>
      <c r="AB166" s="27"/>
      <c r="AC166" s="27"/>
      <c r="AD166" s="27" t="str">
        <f>IF(ISBLANK(AA166),"",ROUND(AB166*AC166,2))</f>
        <v/>
      </c>
      <c r="AE166" s="121" t="str">
        <f t="shared" ref="AE166:AE167" si="81">IF($F166=0,"",(AB166/$F166-1))</f>
        <v/>
      </c>
      <c r="AF166" s="121" t="str">
        <f t="shared" ref="AF166:AF167" si="82">IF($G166=0,"",(AC166/$G166-1))</f>
        <v/>
      </c>
      <c r="AG166" s="27" t="str">
        <f>IF(AND(ISBLANK(AI166),AH166=""),"",1+MAX(AG$21:AG165))</f>
        <v/>
      </c>
      <c r="AH166" s="137" t="str">
        <f>IF(OR(AD166="",AD166=0,$H166="",$H166=0,NOT(ISNUMBER($H166)),NOT(ISNUMBER(AD166))),IF(AND($E166&lt;&gt;"",AND(OR(ISNUMBER(AD166),AD166=""),AND(ISNUMBER($H166),$H166&gt;0))),'Feuille de Donnée'!$K$13,""),IF(AD166&lt;$H$168*'Feuille de Donnée'!$I$9,"Négligeable",(IF(AND(AB166&gt;=$F166*(1-'Feuille de Donnée'!$E$12),AB166&lt;=$F166*(1+'Feuille de Donnée'!$F$12)),'Feuille de Donnée'!$F$17,IF(AB166&lt;$F166*(1-'Feuille de Donnée'!$E$12),'Feuille de Donnée'!$F$18,'Feuille de Donnée'!$F$16))&amp;""&amp;IF(AND(AC166&gt;=$G166*(1-'Feuille de Donnée'!$E$27),AC166&lt;=$G166*(1+'Feuille de Donnée'!$F$27)),'Feuille de Donnée'!$F$32,IF(AC166&lt;$G166*(1-'Feuille de Donnée'!$E$27),'Feuille de Donnée'!$F$33,'Feuille de Donnée'!$F$31)))))</f>
        <v/>
      </c>
      <c r="AI166" s="138"/>
      <c r="AJ166" s="103"/>
      <c r="AK166" s="27"/>
      <c r="AL166" s="27"/>
      <c r="AM166" s="27" t="str">
        <f>IF(ISBLANK(AJ166),"",ROUND(AK166*AL166,2))</f>
        <v/>
      </c>
      <c r="AN166" s="121" t="str">
        <f t="shared" ref="AN166:AN167" si="83">IF($F166=0,"",(AK166/$F166-1))</f>
        <v/>
      </c>
      <c r="AO166" s="121" t="str">
        <f t="shared" ref="AO166:AO167" si="84">IF($G166=0,"",(AL166/$G166-1))</f>
        <v/>
      </c>
      <c r="AP166" s="27" t="str">
        <f>IF(AND(ISBLANK(AR166),AQ166=""),"",1+MAX(AP$21:AP165))</f>
        <v/>
      </c>
      <c r="AQ166" s="137" t="str">
        <f>IF(OR(AM166="",AM166=0,$H166="",$H166=0,NOT(ISNUMBER($H166)),NOT(ISNUMBER(AM166))),IF(AND($E166&lt;&gt;"",AND(OR(ISNUMBER(AM166),AM166=""),AND(ISNUMBER($H166),$H166&gt;0))),'Feuille de Donnée'!$K$13,""),IF(AM166&lt;$H$168*'Feuille de Donnée'!$I$9,"Négligeable",(IF(AND(AK166&gt;=$F166*(1-'Feuille de Donnée'!$E$12),AK166&lt;=$F166*(1+'Feuille de Donnée'!$F$12)),'Feuille de Donnée'!$F$17,IF(AK166&lt;$F166*(1-'Feuille de Donnée'!$E$12),'Feuille de Donnée'!$F$18,'Feuille de Donnée'!$F$16))&amp;""&amp;IF(AND(AL166&gt;=$G166*(1-'Feuille de Donnée'!$E$27),AL166&lt;=$G166*(1+'Feuille de Donnée'!$F$27)),'Feuille de Donnée'!$F$32,IF(AL166&lt;$G166*(1-'Feuille de Donnée'!$E$27),'Feuille de Donnée'!$F$33,'Feuille de Donnée'!$F$31)))))</f>
        <v/>
      </c>
      <c r="AR166" s="138"/>
      <c r="AS166" s="103"/>
      <c r="AT166" s="27"/>
      <c r="AU166" s="27"/>
      <c r="AV166" s="27" t="str">
        <f>IF(ISBLANK(AS166),"",ROUND(AT166*AU166,2))</f>
        <v/>
      </c>
      <c r="AW166" s="121" t="str">
        <f t="shared" ref="AW166:AW167" si="85">IF($F166=0,"",(AT166/$F166-1))</f>
        <v/>
      </c>
      <c r="AX166" s="121" t="str">
        <f t="shared" ref="AX166:AX167" si="86">IF($G166=0,"",(AU166/$G166-1))</f>
        <v/>
      </c>
      <c r="AY166" s="27" t="str">
        <f>IF(AND(ISBLANK(BA166),AZ166=""),"",1+MAX(AY$21:AY165))</f>
        <v/>
      </c>
      <c r="AZ166" s="137" t="str">
        <f>IF(OR(AV166="",AV166=0,$H166="",$H166=0,NOT(ISNUMBER($H166)),NOT(ISNUMBER(AV166))),IF(AND($E166&lt;&gt;"",AND(OR(ISNUMBER(AV166),AV166=""),AND(ISNUMBER($H166),$H166&gt;0))),'Feuille de Donnée'!$K$13,""),IF(AV166&lt;$H$168*'Feuille de Donnée'!$I$9,"Négligeable",(IF(AND(AT166&gt;=$F166*(1-'Feuille de Donnée'!$E$12),AT166&lt;=$F166*(1+'Feuille de Donnée'!$F$12)),'Feuille de Donnée'!$F$17,IF(AT166&lt;$F166*(1-'Feuille de Donnée'!$E$12),'Feuille de Donnée'!$F$18,'Feuille de Donnée'!$F$16))&amp;""&amp;IF(AND(AU166&gt;=$G166*(1-'Feuille de Donnée'!$E$27),AU166&lt;=$G166*(1+'Feuille de Donnée'!$F$27)),'Feuille de Donnée'!$F$32,IF(AU166&lt;$G166*(1-'Feuille de Donnée'!$E$27),'Feuille de Donnée'!$F$33,'Feuille de Donnée'!$F$31)))))</f>
        <v/>
      </c>
      <c r="BA166" s="138"/>
      <c r="BB166" s="103"/>
      <c r="BC166" s="27"/>
      <c r="BD166" s="27"/>
      <c r="BE166" s="27" t="str">
        <f>IF(ISBLANK(BB166),"",ROUND(BC166*BD166,2))</f>
        <v/>
      </c>
      <c r="BF166" s="121" t="str">
        <f t="shared" ref="BF166:BF167" si="87">IF($F166=0,"",(BC166/$F166-1))</f>
        <v/>
      </c>
      <c r="BG166" s="121" t="str">
        <f t="shared" ref="BG166:BG167" si="88">IF($G166=0,"",(BD166/$G166-1))</f>
        <v/>
      </c>
      <c r="BH166" s="27" t="str">
        <f>IF(AND(ISBLANK(BJ166),BI166=""),"",1+MAX(BH$21:BH165))</f>
        <v/>
      </c>
      <c r="BI166" s="137" t="str">
        <f>IF(OR(BE166="",BE166=0,$H166="",$H166=0,NOT(ISNUMBER($H166)),NOT(ISNUMBER(BE166))),IF(AND($E166&lt;&gt;"",AND(OR(ISNUMBER(BE166),BE166=""),AND(ISNUMBER($H166),$H166&gt;0))),'Feuille de Donnée'!$K$13,""),IF(BE166&lt;$H$168*'Feuille de Donnée'!$I$9,"Négligeable",(IF(AND(BC166&gt;=$F166*(1-'Feuille de Donnée'!$E$12),BC166&lt;=$F166*(1+'Feuille de Donnée'!$F$12)),'Feuille de Donnée'!$F$17,IF(BC166&lt;$F166*(1-'Feuille de Donnée'!$E$12),'Feuille de Donnée'!$F$18,'Feuille de Donnée'!$F$16))&amp;""&amp;IF(AND(BD166&gt;=$G166*(1-'Feuille de Donnée'!$E$27),BD166&lt;=$G166*(1+'Feuille de Donnée'!$F$27)),'Feuille de Donnée'!$F$32,IF(BD166&lt;$G166*(1-'Feuille de Donnée'!$E$27),'Feuille de Donnée'!$F$33,'Feuille de Donnée'!$F$31)))))</f>
        <v/>
      </c>
      <c r="BJ166" s="138"/>
      <c r="BK166" s="140"/>
    </row>
    <row r="167" spans="1:63" s="6" customFormat="1" x14ac:dyDescent="0.3">
      <c r="A167" s="28"/>
      <c r="B167" s="4"/>
      <c r="C167" s="4"/>
      <c r="D167" s="4"/>
      <c r="E167" s="29"/>
      <c r="F167" s="30"/>
      <c r="G167" s="31"/>
      <c r="H167" s="102" t="str">
        <f t="shared" si="76"/>
        <v/>
      </c>
      <c r="I167" s="103"/>
      <c r="J167" s="27"/>
      <c r="K167" s="27"/>
      <c r="L167" s="27" t="str">
        <f t="shared" ref="L167" si="89">IF(ISBLANK(I167),"",ROUND(J167*K167,2))</f>
        <v/>
      </c>
      <c r="M167" s="121" t="str">
        <f t="shared" si="77"/>
        <v/>
      </c>
      <c r="N167" s="121" t="str">
        <f t="shared" si="78"/>
        <v/>
      </c>
      <c r="O167" s="27" t="str">
        <f>IF(AND(ISBLANK(Q167),P167=""),"",1+MAX(O$21:O166))</f>
        <v/>
      </c>
      <c r="P167" s="137" t="str">
        <f>IF(OR(L167="",L167=0,$H167="",$H167=0,NOT(ISNUMBER($H167)),NOT(ISNUMBER(L167))),IF(AND($E167&lt;&gt;"",AND(OR(ISNUMBER(L167),L167=""),AND(ISNUMBER($H167),$H167&gt;0))),'Feuille de Donnée'!$K$13,""),IF(L167&lt;$H$168*'Feuille de Donnée'!$I$9,"Négligeable",(IF(AND(J167&gt;=$F167*(1-'Feuille de Donnée'!$E$12),J167&lt;=$F167*(1+'Feuille de Donnée'!$F$12)),'Feuille de Donnée'!$F$17,IF(J167&lt;$F167*(1-'Feuille de Donnée'!$E$12),'Feuille de Donnée'!$F$18,'Feuille de Donnée'!$F$16))&amp;""&amp;IF(AND(K167&gt;=$G167*(1-'Feuille de Donnée'!$E$27),K167&lt;=$G167*(1+'Feuille de Donnée'!$F$27)),'Feuille de Donnée'!$F$32,IF(K167&lt;$G167*(1-'Feuille de Donnée'!$E$27),'Feuille de Donnée'!$F$33,'Feuille de Donnée'!$F$31)))))</f>
        <v/>
      </c>
      <c r="Q167" s="138"/>
      <c r="R167" s="103"/>
      <c r="S167" s="27"/>
      <c r="T167" s="27"/>
      <c r="U167" s="27" t="str">
        <f t="shared" ref="U167" si="90">IF(ISBLANK(R167),"",ROUND(S167*T167,2))</f>
        <v/>
      </c>
      <c r="V167" s="121" t="str">
        <f t="shared" si="79"/>
        <v/>
      </c>
      <c r="W167" s="121" t="str">
        <f t="shared" si="80"/>
        <v/>
      </c>
      <c r="X167" s="27" t="str">
        <f>IF(AND(ISBLANK(Z167),Y167=""),"",1+MAX(X$21:X166))</f>
        <v/>
      </c>
      <c r="Y167" s="137" t="str">
        <f>IF(OR(U167="",U167=0,$H167="",$H167=0,NOT(ISNUMBER($H167)),NOT(ISNUMBER(U167))),IF(AND($E167&lt;&gt;"",AND(OR(ISNUMBER(U167),U167=""),AND(ISNUMBER($H167),$H167&gt;0))),'Feuille de Donnée'!$K$13,""),IF(U167&lt;$H$168*'Feuille de Donnée'!$I$9,"Négligeable",(IF(AND(S167&gt;=$F167*(1-'Feuille de Donnée'!$E$12),S167&lt;=$F167*(1+'Feuille de Donnée'!$F$12)),'Feuille de Donnée'!$F$17,IF(S167&lt;$F167*(1-'Feuille de Donnée'!$E$12),'Feuille de Donnée'!$F$18,'Feuille de Donnée'!$F$16))&amp;""&amp;IF(AND(T167&gt;=$G167*(1-'Feuille de Donnée'!$E$27),T167&lt;=$G167*(1+'Feuille de Donnée'!$F$27)),'Feuille de Donnée'!$F$32,IF(T167&lt;$G167*(1-'Feuille de Donnée'!$E$27),'Feuille de Donnée'!$F$33,'Feuille de Donnée'!$F$31)))))</f>
        <v/>
      </c>
      <c r="Z167" s="138"/>
      <c r="AA167" s="103"/>
      <c r="AB167" s="27"/>
      <c r="AC167" s="27"/>
      <c r="AD167" s="27" t="str">
        <f t="shared" ref="AD167" si="91">IF(ISBLANK(AA167),"",ROUND(AB167*AC167,2))</f>
        <v/>
      </c>
      <c r="AE167" s="121" t="str">
        <f t="shared" si="81"/>
        <v/>
      </c>
      <c r="AF167" s="121" t="str">
        <f t="shared" si="82"/>
        <v/>
      </c>
      <c r="AG167" s="27" t="str">
        <f>IF(AND(ISBLANK(AI167),AH167=""),"",1+MAX(AG$21:AG166))</f>
        <v/>
      </c>
      <c r="AH167" s="137" t="str">
        <f>IF(OR(AD167="",AD167=0,$H167="",$H167=0,NOT(ISNUMBER($H167)),NOT(ISNUMBER(AD167))),IF(AND($E167&lt;&gt;"",AND(OR(ISNUMBER(AD167),AD167=""),AND(ISNUMBER($H167),$H167&gt;0))),'Feuille de Donnée'!$K$13,""),IF(AD167&lt;$H$168*'Feuille de Donnée'!$I$9,"Négligeable",(IF(AND(AB167&gt;=$F167*(1-'Feuille de Donnée'!$E$12),AB167&lt;=$F167*(1+'Feuille de Donnée'!$F$12)),'Feuille de Donnée'!$F$17,IF(AB167&lt;$F167*(1-'Feuille de Donnée'!$E$12),'Feuille de Donnée'!$F$18,'Feuille de Donnée'!$F$16))&amp;""&amp;IF(AND(AC167&gt;=$G167*(1-'Feuille de Donnée'!$E$27),AC167&lt;=$G167*(1+'Feuille de Donnée'!$F$27)),'Feuille de Donnée'!$F$32,IF(AC167&lt;$G167*(1-'Feuille de Donnée'!$E$27),'Feuille de Donnée'!$F$33,'Feuille de Donnée'!$F$31)))))</f>
        <v/>
      </c>
      <c r="AI167" s="138"/>
      <c r="AJ167" s="103"/>
      <c r="AK167" s="27"/>
      <c r="AL167" s="27"/>
      <c r="AM167" s="27" t="str">
        <f t="shared" ref="AM167" si="92">IF(ISBLANK(AJ167),"",ROUND(AK167*AL167,2))</f>
        <v/>
      </c>
      <c r="AN167" s="121" t="str">
        <f t="shared" si="83"/>
        <v/>
      </c>
      <c r="AO167" s="121" t="str">
        <f t="shared" si="84"/>
        <v/>
      </c>
      <c r="AP167" s="27" t="str">
        <f>IF(AND(ISBLANK(AR167),AQ167=""),"",1+MAX(AP$21:AP166))</f>
        <v/>
      </c>
      <c r="AQ167" s="137" t="str">
        <f>IF(OR(AM167="",AM167=0,$H167="",$H167=0,NOT(ISNUMBER($H167)),NOT(ISNUMBER(AM167))),IF(AND($E167&lt;&gt;"",AND(OR(ISNUMBER(AM167),AM167=""),AND(ISNUMBER($H167),$H167&gt;0))),'Feuille de Donnée'!$K$13,""),IF(AM167&lt;$H$168*'Feuille de Donnée'!$I$9,"Négligeable",(IF(AND(AK167&gt;=$F167*(1-'Feuille de Donnée'!$E$12),AK167&lt;=$F167*(1+'Feuille de Donnée'!$F$12)),'Feuille de Donnée'!$F$17,IF(AK167&lt;$F167*(1-'Feuille de Donnée'!$E$12),'Feuille de Donnée'!$F$18,'Feuille de Donnée'!$F$16))&amp;""&amp;IF(AND(AL167&gt;=$G167*(1-'Feuille de Donnée'!$E$27),AL167&lt;=$G167*(1+'Feuille de Donnée'!$F$27)),'Feuille de Donnée'!$F$32,IF(AL167&lt;$G167*(1-'Feuille de Donnée'!$E$27),'Feuille de Donnée'!$F$33,'Feuille de Donnée'!$F$31)))))</f>
        <v/>
      </c>
      <c r="AR167" s="138"/>
      <c r="AS167" s="103"/>
      <c r="AT167" s="27"/>
      <c r="AU167" s="27"/>
      <c r="AV167" s="27" t="str">
        <f t="shared" ref="AV167" si="93">IF(ISBLANK(AS167),"",ROUND(AT167*AU167,2))</f>
        <v/>
      </c>
      <c r="AW167" s="121" t="str">
        <f t="shared" si="85"/>
        <v/>
      </c>
      <c r="AX167" s="121" t="str">
        <f t="shared" si="86"/>
        <v/>
      </c>
      <c r="AY167" s="27" t="str">
        <f>IF(AND(ISBLANK(BA167),AZ167=""),"",1+MAX(AY$21:AY166))</f>
        <v/>
      </c>
      <c r="AZ167" s="137" t="str">
        <f>IF(OR(AV167="",AV167=0,$H167="",$H167=0,NOT(ISNUMBER($H167)),NOT(ISNUMBER(AV167))),IF(AND($E167&lt;&gt;"",AND(OR(ISNUMBER(AV167),AV167=""),AND(ISNUMBER($H167),$H167&gt;0))),'Feuille de Donnée'!$K$13,""),IF(AV167&lt;$H$168*'Feuille de Donnée'!$I$9,"Négligeable",(IF(AND(AT167&gt;=$F167*(1-'Feuille de Donnée'!$E$12),AT167&lt;=$F167*(1+'Feuille de Donnée'!$F$12)),'Feuille de Donnée'!$F$17,IF(AT167&lt;$F167*(1-'Feuille de Donnée'!$E$12),'Feuille de Donnée'!$F$18,'Feuille de Donnée'!$F$16))&amp;""&amp;IF(AND(AU167&gt;=$G167*(1-'Feuille de Donnée'!$E$27),AU167&lt;=$G167*(1+'Feuille de Donnée'!$F$27)),'Feuille de Donnée'!$F$32,IF(AU167&lt;$G167*(1-'Feuille de Donnée'!$E$27),'Feuille de Donnée'!$F$33,'Feuille de Donnée'!$F$31)))))</f>
        <v/>
      </c>
      <c r="BA167" s="138"/>
      <c r="BB167" s="103"/>
      <c r="BC167" s="27"/>
      <c r="BD167" s="27"/>
      <c r="BE167" s="27" t="str">
        <f t="shared" ref="BE167" si="94">IF(ISBLANK(BB167),"",ROUND(BC167*BD167,2))</f>
        <v/>
      </c>
      <c r="BF167" s="121" t="str">
        <f t="shared" si="87"/>
        <v/>
      </c>
      <c r="BG167" s="121" t="str">
        <f t="shared" si="88"/>
        <v/>
      </c>
      <c r="BH167" s="27" t="str">
        <f>IF(AND(ISBLANK(BJ167),BI167=""),"",1+MAX(BH$21:BH166))</f>
        <v/>
      </c>
      <c r="BI167" s="137" t="str">
        <f>IF(OR(BE167="",BE167=0,$H167="",$H167=0,NOT(ISNUMBER($H167)),NOT(ISNUMBER(BE167))),IF(AND($E167&lt;&gt;"",AND(OR(ISNUMBER(BE167),BE167=""),AND(ISNUMBER($H167),$H167&gt;0))),'Feuille de Donnée'!$K$13,""),IF(BE167&lt;$H$168*'Feuille de Donnée'!$I$9,"Négligeable",(IF(AND(BC167&gt;=$F167*(1-'Feuille de Donnée'!$E$12),BC167&lt;=$F167*(1+'Feuille de Donnée'!$F$12)),'Feuille de Donnée'!$F$17,IF(BC167&lt;$F167*(1-'Feuille de Donnée'!$E$12),'Feuille de Donnée'!$F$18,'Feuille de Donnée'!$F$16))&amp;""&amp;IF(AND(BD167&gt;=$G167*(1-'Feuille de Donnée'!$E$27),BD167&lt;=$G167*(1+'Feuille de Donnée'!$F$27)),'Feuille de Donnée'!$F$32,IF(BD167&lt;$G167*(1-'Feuille de Donnée'!$E$27),'Feuille de Donnée'!$F$33,'Feuille de Donnée'!$F$31)))))</f>
        <v/>
      </c>
      <c r="BJ167" s="138"/>
      <c r="BK167" s="140"/>
    </row>
    <row r="168" spans="1:63" s="6" customFormat="1" ht="24" thickBot="1" x14ac:dyDescent="0.35">
      <c r="A168" s="32"/>
      <c r="B168" s="33"/>
      <c r="C168" s="33"/>
      <c r="D168" s="34" t="s">
        <v>6</v>
      </c>
      <c r="E168" s="35"/>
      <c r="F168" s="36"/>
      <c r="G168" s="37"/>
      <c r="H168" s="101">
        <f>SUM($H21:H167)</f>
        <v>0</v>
      </c>
      <c r="I168" s="104"/>
      <c r="J168" s="36"/>
      <c r="K168" s="36"/>
      <c r="L168" s="101">
        <f>SUM(L21:L167)</f>
        <v>0</v>
      </c>
      <c r="M168" s="35"/>
      <c r="N168" s="134" t="str">
        <f>IF($H168=0,"",L168/$H168-1)</f>
        <v/>
      </c>
      <c r="O168" s="100">
        <f>L168-$H168</f>
        <v>0</v>
      </c>
      <c r="P168" s="100"/>
      <c r="Q168" s="10"/>
      <c r="R168" s="104"/>
      <c r="S168" s="36"/>
      <c r="T168" s="36"/>
      <c r="U168" s="101">
        <f>SUM(U21:U167)</f>
        <v>0</v>
      </c>
      <c r="V168" s="35"/>
      <c r="W168" s="134" t="str">
        <f>IF($H168=0,"",U168/$H168-1)</f>
        <v/>
      </c>
      <c r="X168" s="100">
        <f>U168-$H168</f>
        <v>0</v>
      </c>
      <c r="Y168" s="100"/>
      <c r="Z168" s="10"/>
      <c r="AA168" s="104"/>
      <c r="AB168" s="36"/>
      <c r="AC168" s="36"/>
      <c r="AD168" s="101">
        <f>SUM(AD21:AD167)</f>
        <v>0</v>
      </c>
      <c r="AE168" s="35"/>
      <c r="AF168" s="134" t="str">
        <f>IF($H168=0,"",AD168/$H168-1)</f>
        <v/>
      </c>
      <c r="AG168" s="100">
        <f>AD168-$H168</f>
        <v>0</v>
      </c>
      <c r="AH168" s="100"/>
      <c r="AI168" s="10"/>
      <c r="AJ168" s="104"/>
      <c r="AK168" s="36"/>
      <c r="AL168" s="36"/>
      <c r="AM168" s="101">
        <f>SUM(AM21:AM167)</f>
        <v>0</v>
      </c>
      <c r="AN168" s="35"/>
      <c r="AO168" s="134" t="str">
        <f>IF($H168=0,"",AM168/$H168-1)</f>
        <v/>
      </c>
      <c r="AP168" s="100">
        <f>AM168-$H168</f>
        <v>0</v>
      </c>
      <c r="AQ168" s="100"/>
      <c r="AR168" s="10"/>
      <c r="AS168" s="104"/>
      <c r="AT168" s="36"/>
      <c r="AU168" s="36"/>
      <c r="AV168" s="101">
        <f>SUM(AV21:AV167)</f>
        <v>0</v>
      </c>
      <c r="AW168" s="35"/>
      <c r="AX168" s="134" t="str">
        <f>IF($H168=0,"",AV168/$H168-1)</f>
        <v/>
      </c>
      <c r="AY168" s="100">
        <f>AV168-$H168</f>
        <v>0</v>
      </c>
      <c r="AZ168" s="100"/>
      <c r="BA168" s="10"/>
      <c r="BB168" s="104"/>
      <c r="BC168" s="36"/>
      <c r="BD168" s="36"/>
      <c r="BE168" s="101">
        <f>SUM(BE21:BE167)</f>
        <v>0</v>
      </c>
      <c r="BF168" s="35"/>
      <c r="BG168" s="134" t="str">
        <f>IF($H168=0,"",BE168/$H168-1)</f>
        <v/>
      </c>
      <c r="BH168" s="100">
        <f>BE168-$H168</f>
        <v>0</v>
      </c>
      <c r="BI168" s="100"/>
      <c r="BJ168" s="10"/>
      <c r="BK168" s="140"/>
    </row>
    <row r="169" spans="1:63" ht="24" thickTop="1" x14ac:dyDescent="0.45">
      <c r="A169" s="2"/>
      <c r="B169" s="2"/>
      <c r="C169" s="2"/>
      <c r="D169" s="2"/>
      <c r="E169" s="2"/>
      <c r="F169" s="2"/>
      <c r="G169" s="38"/>
      <c r="H169" s="38"/>
    </row>
    <row r="170" spans="1:63" x14ac:dyDescent="0.45">
      <c r="G170" s="39"/>
      <c r="H170" s="39"/>
      <c r="R170" s="168" t="s">
        <v>87</v>
      </c>
      <c r="S170" s="168"/>
      <c r="T170" s="168"/>
      <c r="U170" s="168"/>
      <c r="V170" s="168"/>
      <c r="W170" s="168"/>
      <c r="X170" s="168"/>
      <c r="Y170" s="168"/>
      <c r="Z170" s="168"/>
      <c r="AA170" s="168" t="s">
        <v>86</v>
      </c>
      <c r="AB170" s="168"/>
      <c r="AC170" s="168"/>
      <c r="AD170" s="168"/>
      <c r="AE170" s="168"/>
      <c r="AF170" s="168"/>
      <c r="AG170" s="168"/>
      <c r="AH170" s="168"/>
      <c r="AI170" s="168"/>
      <c r="AJ170" s="168" t="s">
        <v>86</v>
      </c>
      <c r="AK170" s="168"/>
      <c r="AL170" s="168"/>
      <c r="AM170" s="168"/>
      <c r="AN170" s="168"/>
      <c r="AO170" s="168"/>
      <c r="AP170" s="168"/>
      <c r="AQ170" s="168"/>
      <c r="AR170" s="168"/>
      <c r="AS170" s="168" t="s">
        <v>86</v>
      </c>
      <c r="AT170" s="168"/>
      <c r="AU170" s="168"/>
      <c r="AV170" s="168"/>
      <c r="AW170" s="168"/>
      <c r="AX170" s="168"/>
      <c r="AY170" s="168"/>
      <c r="AZ170" s="168"/>
      <c r="BA170" s="168"/>
    </row>
    <row r="171" spans="1:63" x14ac:dyDescent="0.45">
      <c r="R171" s="40"/>
      <c r="S171" s="40"/>
      <c r="T171" s="40" t="s">
        <v>85</v>
      </c>
      <c r="U171" s="158">
        <v>83.12</v>
      </c>
      <c r="AA171" s="40"/>
      <c r="AB171" s="40"/>
      <c r="AC171" s="40" t="s">
        <v>85</v>
      </c>
      <c r="AD171" s="158">
        <v>0.95</v>
      </c>
      <c r="AE171" s="40"/>
      <c r="AF171" s="40"/>
      <c r="AG171" s="40"/>
      <c r="AH171" s="40"/>
      <c r="AI171" s="40"/>
      <c r="AJ171" s="40"/>
      <c r="AK171" s="40"/>
      <c r="AN171" s="40"/>
      <c r="AO171" s="40" t="s">
        <v>85</v>
      </c>
      <c r="AP171" s="158">
        <v>0.95</v>
      </c>
      <c r="AQ171" s="40"/>
      <c r="AR171" s="40"/>
      <c r="AS171" s="40"/>
      <c r="AT171" s="40"/>
      <c r="AW171" s="40"/>
      <c r="AX171" s="40" t="s">
        <v>85</v>
      </c>
      <c r="AY171" s="158">
        <v>0.95</v>
      </c>
      <c r="AZ171" s="40"/>
      <c r="BA171" s="40"/>
    </row>
    <row r="172" spans="1:63" x14ac:dyDescent="0.45">
      <c r="AM172" s="159"/>
      <c r="AV172" s="159"/>
    </row>
  </sheetData>
  <mergeCells count="11">
    <mergeCell ref="R170:Z170"/>
    <mergeCell ref="AA170:AI170"/>
    <mergeCell ref="AJ170:AR170"/>
    <mergeCell ref="AS170:BA170"/>
    <mergeCell ref="AJ20:AR20"/>
    <mergeCell ref="E20:H20"/>
    <mergeCell ref="I20:Q20"/>
    <mergeCell ref="AA20:AI20"/>
    <mergeCell ref="R20:Z20"/>
    <mergeCell ref="BB20:BJ20"/>
    <mergeCell ref="AS20:BA20"/>
  </mergeCells>
  <phoneticPr fontId="3" type="noConversion"/>
  <conditionalFormatting sqref="J22:J167 S22:S167 AB22:AB167 AK22:AK167 AT22:AT167 BC22:BC167">
    <cfRule type="expression" dxfId="31" priority="241">
      <formula>IF(OR(AND(ISNUMBER(L22),L22&gt;0),$H22=0,NOT(ISNUMBER($H22))),FALSE,IF(AND($E22&lt;&gt;"",OR(L22="",ISNUMBER(L22))),TRUE,FALSE))</formula>
    </cfRule>
  </conditionalFormatting>
  <conditionalFormatting sqref="K22:K167 T22:T167 AC22:AC167 AL22:AL167 AU22:AU167 BD22:BD167">
    <cfRule type="expression" dxfId="27" priority="183">
      <formula>IF(OR(AND(ISNUMBER(L22),L22&gt;0),$H22=0,NOT(ISNUMBER($H22))),FALSE,IF(AND($E22&lt;&gt;"",OR(L22="",ISNUMBER(L22))),TRUE,FALSE))</formula>
    </cfRule>
  </conditionalFormatting>
  <conditionalFormatting sqref="N168">
    <cfRule type="dataBar" priority="224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{21A02CF9-18D9-4B0A-BC0A-9DD11B5E01C0}</x14:id>
        </ext>
      </extLst>
    </cfRule>
  </conditionalFormatting>
  <conditionalFormatting sqref="W168">
    <cfRule type="dataBar" priority="175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{03AAB94C-99C0-4CAC-BD25-AFF0DAFA7295}</x14:id>
        </ext>
      </extLst>
    </cfRule>
  </conditionalFormatting>
  <conditionalFormatting sqref="AF168">
    <cfRule type="dataBar" priority="157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{696C80F3-BDAF-4F58-94D2-7F93B139E0F0}</x14:id>
        </ext>
      </extLst>
    </cfRule>
  </conditionalFormatting>
  <conditionalFormatting sqref="AO168">
    <cfRule type="dataBar" priority="130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{12629CC2-500B-418B-9200-DF459FA9A74C}</x14:id>
        </ext>
      </extLst>
    </cfRule>
  </conditionalFormatting>
  <conditionalFormatting sqref="AX168">
    <cfRule type="dataBar" priority="28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{9F89A12C-D00C-485C-9002-0D275DA4FC07}</x14:id>
        </ext>
      </extLst>
    </cfRule>
  </conditionalFormatting>
  <conditionalFormatting sqref="BG168">
    <cfRule type="dataBar" priority="6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{8190430A-7565-45E4-BDC4-430F9487194B}</x14:id>
        </ext>
      </extLst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8" scale="11" orientation="landscape" r:id="rId1"/>
  <headerFooter>
    <oddFooter>&amp;C&amp;P /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57" id="{404FF4F5-AB92-4107-AFA9-E8AD955B267A}">
            <xm:f>IF(OR($F22=0,L22=0),FALSE,J22&gt;($F22*(1+'Feuille de Donnée'!$F$12)))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58" id="{F7F14C33-FA32-4E02-98CA-931607771204}">
            <xm:f>IF(OR(NOT($F22&gt;0),NOT(L22&gt;0),NOT(ISNUMBER(L22))),FALSE,J22&lt;($F22*(1-'Feuille de Donnée'!$E$12)))</xm:f>
            <x14:dxf>
              <fill>
                <patternFill patternType="solid">
                  <bgColor theme="8" tint="0.59996337778862885"/>
                </patternFill>
              </fill>
            </x14:dxf>
          </x14:cfRule>
          <x14:cfRule type="expression" priority="275" id="{0173B198-3C0A-4DCA-8E9D-0BC442769A10}">
            <xm:f>IF(OR($F22=0,L22=0),FALSE,AND((J22&lt;=$F22*(1+'Feuille de Donnée'!$F$12)),(J22&gt;=$F22*(1-'Feuille de Donnée'!$E$12))))</xm:f>
            <x14:dxf>
              <fill>
                <patternFill patternType="none">
                  <bgColor auto="1"/>
                </patternFill>
              </fill>
            </x14:dxf>
          </x14:cfRule>
          <xm:sqref>J22:J167 S22:S167 AB22:AB167 AK22:AK167 AT22:AT167 BC22:BC167</xm:sqref>
        </x14:conditionalFormatting>
        <x14:conditionalFormatting xmlns:xm="http://schemas.microsoft.com/office/excel/2006/main">
          <x14:cfRule type="expression" priority="184" id="{F31EF71B-1876-4978-BB26-79C347A7E7C4}">
            <xm:f>IF(OR(NOT($G22&gt;0),NOT($H22&gt;0),NOT(ISNUMBER(L22))),FALSE,K22&lt;($G22*(1-'Feuille de Donnée'!$E$27)))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5" id="{E9584945-982E-4BEA-B996-8F7A7DF95A05}">
            <xm:f>IF(OR($G22=0,L22=0),FALSE,K22&gt;($G22*(1+'Feuille de Donnée'!$F$27)))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6" id="{534A7AB7-562C-40EB-ADD1-59709683D313}">
            <xm:f>IF(OR($G22=0,L22=0),FALSE,AND((K22&lt;=$G22*(1+'Feuille de Donnée'!$F$27)),(K22&gt;=$G$22*(1-'Feuille de Donnée'!$E$27))))</xm:f>
            <x14:dxf>
              <fill>
                <patternFill>
                  <bgColor theme="0"/>
                </patternFill>
              </fill>
            </x14:dxf>
          </x14:cfRule>
          <xm:sqref>K22:K167 T22:T167 AC22:AC167 AL22:AL167 AU22:AU167 BD22:BD167</xm:sqref>
        </x14:conditionalFormatting>
        <x14:conditionalFormatting xmlns:xm="http://schemas.microsoft.com/office/excel/2006/main">
          <x14:cfRule type="dataBar" id="{21A02CF9-18D9-4B0A-BC0A-9DD11B5E01C0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N168</xm:sqref>
        </x14:conditionalFormatting>
        <x14:conditionalFormatting xmlns:xm="http://schemas.microsoft.com/office/excel/2006/main">
          <x14:cfRule type="dataBar" id="{03AAB94C-99C0-4CAC-BD25-AFF0DAFA7295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W168</xm:sqref>
        </x14:conditionalFormatting>
        <x14:conditionalFormatting xmlns:xm="http://schemas.microsoft.com/office/excel/2006/main">
          <x14:cfRule type="dataBar" id="{696C80F3-BDAF-4F58-94D2-7F93B139E0F0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AF168</xm:sqref>
        </x14:conditionalFormatting>
        <x14:conditionalFormatting xmlns:xm="http://schemas.microsoft.com/office/excel/2006/main">
          <x14:cfRule type="dataBar" id="{12629CC2-500B-418B-9200-DF459FA9A74C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AO168</xm:sqref>
        </x14:conditionalFormatting>
        <x14:conditionalFormatting xmlns:xm="http://schemas.microsoft.com/office/excel/2006/main">
          <x14:cfRule type="dataBar" id="{9F89A12C-D00C-485C-9002-0D275DA4FC07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AX168</xm:sqref>
        </x14:conditionalFormatting>
        <x14:conditionalFormatting xmlns:xm="http://schemas.microsoft.com/office/excel/2006/main">
          <x14:cfRule type="dataBar" id="{8190430A-7565-45E4-BDC4-430F9487194B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BG168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757B-9A3A-43F6-A906-8018EE18797E}">
  <sheetPr>
    <tabColor rgb="FFFFFF00"/>
  </sheetPr>
  <dimension ref="A1:BB73"/>
  <sheetViews>
    <sheetView topLeftCell="AI1" zoomScale="70" zoomScaleNormal="70" workbookViewId="0">
      <selection activeCell="AY35" sqref="AY35"/>
    </sheetView>
  </sheetViews>
  <sheetFormatPr baseColWidth="10" defaultRowHeight="14.4" outlineLevelCol="1" x14ac:dyDescent="0.3"/>
  <cols>
    <col min="1" max="1" width="3.88671875" bestFit="1" customWidth="1"/>
    <col min="2" max="2" width="13.44140625" customWidth="1"/>
    <col min="3" max="3" width="27.6640625" customWidth="1"/>
    <col min="4" max="4" width="8.5546875" customWidth="1" outlineLevel="1"/>
    <col min="5" max="5" width="20.6640625" customWidth="1"/>
    <col min="6" max="6" width="54.33203125" bestFit="1" customWidth="1"/>
    <col min="7" max="7" width="11.6640625" bestFit="1" customWidth="1"/>
    <col min="8" max="8" width="29.5546875" customWidth="1"/>
    <col min="9" max="9" width="11.109375" bestFit="1" customWidth="1"/>
    <col min="10" max="10" width="4.33203125" customWidth="1"/>
    <col min="11" max="11" width="13.44140625" customWidth="1"/>
    <col min="12" max="12" width="24.5546875" customWidth="1"/>
    <col min="13" max="13" width="8.44140625" hidden="1" customWidth="1" outlineLevel="1"/>
    <col min="14" max="14" width="20.6640625" customWidth="1" collapsed="1"/>
    <col min="15" max="15" width="54.5546875" customWidth="1"/>
    <col min="16" max="16" width="12.88671875" customWidth="1"/>
    <col min="17" max="17" width="34.44140625" customWidth="1"/>
    <col min="19" max="19" width="4.6640625" customWidth="1"/>
    <col min="20" max="20" width="13.44140625" customWidth="1"/>
    <col min="21" max="21" width="24.44140625" customWidth="1"/>
    <col min="22" max="22" width="0" hidden="1" customWidth="1" outlineLevel="1"/>
    <col min="23" max="23" width="20.6640625" customWidth="1" collapsed="1"/>
    <col min="24" max="24" width="54.33203125" customWidth="1"/>
    <col min="25" max="25" width="12.33203125" customWidth="1"/>
    <col min="26" max="26" width="38.5546875" customWidth="1"/>
    <col min="28" max="28" width="4.6640625" customWidth="1"/>
    <col min="29" max="29" width="13.44140625" customWidth="1"/>
    <col min="30" max="30" width="24.44140625" customWidth="1"/>
    <col min="31" max="31" width="0" hidden="1" customWidth="1" outlineLevel="1"/>
    <col min="32" max="32" width="20.6640625" customWidth="1" collapsed="1"/>
    <col min="33" max="33" width="54.33203125" customWidth="1"/>
    <col min="34" max="34" width="12.33203125" customWidth="1"/>
    <col min="35" max="35" width="38.5546875" customWidth="1"/>
    <col min="37" max="37" width="4.6640625" customWidth="1"/>
    <col min="38" max="38" width="13.44140625" customWidth="1"/>
    <col min="39" max="39" width="24.44140625" customWidth="1"/>
    <col min="40" max="40" width="0" hidden="1" customWidth="1" outlineLevel="1"/>
    <col min="41" max="41" width="20.6640625" customWidth="1" collapsed="1"/>
    <col min="42" max="42" width="54.33203125" customWidth="1"/>
    <col min="43" max="43" width="12.33203125" customWidth="1"/>
    <col min="44" max="44" width="38.5546875" customWidth="1"/>
    <col min="46" max="46" width="4.6640625" customWidth="1"/>
    <col min="47" max="47" width="13.44140625" customWidth="1"/>
    <col min="48" max="48" width="24.44140625" customWidth="1"/>
    <col min="49" max="49" width="0" hidden="1" customWidth="1" outlineLevel="1"/>
    <col min="50" max="50" width="20.6640625" customWidth="1" collapsed="1"/>
    <col min="51" max="51" width="54.33203125" customWidth="1"/>
    <col min="52" max="52" width="12.33203125" customWidth="1"/>
    <col min="53" max="53" width="38.5546875" customWidth="1"/>
  </cols>
  <sheetData>
    <row r="1" spans="1:54" ht="24.6" thickTop="1" thickBot="1" x14ac:dyDescent="0.35">
      <c r="A1" s="166" t="str">
        <f>ETANCHEITE!I20</f>
        <v>Entreprise 1</v>
      </c>
      <c r="B1" s="167"/>
      <c r="C1" s="167"/>
      <c r="D1" s="167"/>
      <c r="E1" s="167"/>
      <c r="F1" s="167"/>
      <c r="G1" s="167"/>
      <c r="H1" s="167"/>
      <c r="I1" s="209"/>
      <c r="J1" s="166" t="str">
        <f>ETANCHEITE!R20</f>
        <v>Entreprise 2</v>
      </c>
      <c r="K1" s="167"/>
      <c r="L1" s="167"/>
      <c r="M1" s="167"/>
      <c r="N1" s="167"/>
      <c r="O1" s="167"/>
      <c r="P1" s="167"/>
      <c r="Q1" s="167"/>
      <c r="R1" s="209"/>
      <c r="S1" s="166" t="str">
        <f>ETANCHEITE!AA20</f>
        <v>Entreprise 3</v>
      </c>
      <c r="T1" s="167"/>
      <c r="U1" s="167"/>
      <c r="V1" s="167"/>
      <c r="W1" s="167"/>
      <c r="X1" s="167"/>
      <c r="Y1" s="167"/>
      <c r="Z1" s="167"/>
      <c r="AA1" s="209"/>
      <c r="AB1" s="166" t="str">
        <f>ETANCHEITE!AJ20</f>
        <v>Entreprise 4</v>
      </c>
      <c r="AC1" s="167"/>
      <c r="AD1" s="167"/>
      <c r="AE1" s="167"/>
      <c r="AF1" s="167"/>
      <c r="AG1" s="167"/>
      <c r="AH1" s="167"/>
      <c r="AI1" s="167"/>
      <c r="AJ1" s="209"/>
      <c r="AK1" s="166" t="str">
        <f>ETANCHEITE!AS20</f>
        <v>Entreprise 5</v>
      </c>
      <c r="AL1" s="167"/>
      <c r="AM1" s="167"/>
      <c r="AN1" s="167"/>
      <c r="AO1" s="167"/>
      <c r="AP1" s="167"/>
      <c r="AQ1" s="167"/>
      <c r="AR1" s="167"/>
      <c r="AS1" s="167"/>
      <c r="AT1" s="166" t="str">
        <f>ETANCHEITE!BB20</f>
        <v>Entreprise 6</v>
      </c>
      <c r="AU1" s="167"/>
      <c r="AV1" s="167"/>
      <c r="AW1" s="167"/>
      <c r="AX1" s="167"/>
      <c r="AY1" s="167"/>
      <c r="AZ1" s="167"/>
      <c r="BA1" s="167"/>
      <c r="BB1" s="167"/>
    </row>
    <row r="2" spans="1:54" ht="16.5" customHeight="1" thickTop="1" x14ac:dyDescent="0.3">
      <c r="A2" s="141" t="s">
        <v>71</v>
      </c>
      <c r="B2" s="142" t="s">
        <v>74</v>
      </c>
      <c r="C2" s="143" t="s">
        <v>75</v>
      </c>
      <c r="D2" s="133" t="s">
        <v>82</v>
      </c>
      <c r="E2" s="133" t="s">
        <v>77</v>
      </c>
      <c r="F2" s="144" t="s">
        <v>72</v>
      </c>
      <c r="G2" s="110" t="s">
        <v>1</v>
      </c>
      <c r="H2" s="135" t="s">
        <v>94</v>
      </c>
      <c r="I2" s="136" t="s">
        <v>95</v>
      </c>
      <c r="J2" s="141" t="s">
        <v>71</v>
      </c>
      <c r="K2" s="142" t="s">
        <v>74</v>
      </c>
      <c r="L2" s="143" t="s">
        <v>75</v>
      </c>
      <c r="M2" s="133" t="s">
        <v>82</v>
      </c>
      <c r="N2" s="133" t="s">
        <v>77</v>
      </c>
      <c r="O2" s="144" t="s">
        <v>72</v>
      </c>
      <c r="P2" s="110" t="s">
        <v>1</v>
      </c>
      <c r="Q2" s="135" t="s">
        <v>94</v>
      </c>
      <c r="R2" s="136" t="s">
        <v>95</v>
      </c>
      <c r="S2" s="141" t="s">
        <v>71</v>
      </c>
      <c r="T2" s="142" t="s">
        <v>74</v>
      </c>
      <c r="U2" s="143" t="s">
        <v>75</v>
      </c>
      <c r="V2" s="133" t="s">
        <v>82</v>
      </c>
      <c r="W2" s="133" t="s">
        <v>77</v>
      </c>
      <c r="X2" s="144" t="s">
        <v>72</v>
      </c>
      <c r="Y2" s="110" t="s">
        <v>1</v>
      </c>
      <c r="Z2" s="135" t="s">
        <v>94</v>
      </c>
      <c r="AA2" s="136" t="s">
        <v>95</v>
      </c>
      <c r="AB2" s="141" t="s">
        <v>71</v>
      </c>
      <c r="AC2" s="142" t="s">
        <v>74</v>
      </c>
      <c r="AD2" s="143" t="s">
        <v>75</v>
      </c>
      <c r="AE2" s="133" t="s">
        <v>82</v>
      </c>
      <c r="AF2" s="133" t="s">
        <v>77</v>
      </c>
      <c r="AG2" s="144" t="s">
        <v>72</v>
      </c>
      <c r="AH2" s="110" t="s">
        <v>1</v>
      </c>
      <c r="AI2" s="135" t="s">
        <v>94</v>
      </c>
      <c r="AJ2" s="136" t="s">
        <v>95</v>
      </c>
      <c r="AK2" s="141" t="s">
        <v>71</v>
      </c>
      <c r="AL2" s="142" t="s">
        <v>74</v>
      </c>
      <c r="AM2" s="143" t="s">
        <v>75</v>
      </c>
      <c r="AN2" s="133" t="s">
        <v>82</v>
      </c>
      <c r="AO2" s="133" t="s">
        <v>77</v>
      </c>
      <c r="AP2" s="144" t="s">
        <v>72</v>
      </c>
      <c r="AQ2" s="110" t="s">
        <v>1</v>
      </c>
      <c r="AR2" s="135" t="s">
        <v>94</v>
      </c>
      <c r="AS2" s="136" t="s">
        <v>95</v>
      </c>
      <c r="AT2" s="141" t="s">
        <v>71</v>
      </c>
      <c r="AU2" s="142" t="s">
        <v>74</v>
      </c>
      <c r="AV2" s="143" t="s">
        <v>75</v>
      </c>
      <c r="AW2" s="133" t="s">
        <v>82</v>
      </c>
      <c r="AX2" s="133" t="s">
        <v>77</v>
      </c>
      <c r="AY2" s="144" t="s">
        <v>72</v>
      </c>
      <c r="AZ2" s="110" t="s">
        <v>1</v>
      </c>
      <c r="BA2" s="135" t="s">
        <v>94</v>
      </c>
      <c r="BB2" s="136" t="s">
        <v>95</v>
      </c>
    </row>
    <row r="3" spans="1:54" ht="16.5" customHeight="1" x14ac:dyDescent="0.3">
      <c r="A3" s="145">
        <v>1</v>
      </c>
      <c r="B3" s="154" t="str">
        <f>IF(F3&lt;&gt;" ",ETANCHEITE!$D$5,"")</f>
        <v/>
      </c>
      <c r="C3" s="154" t="str">
        <f>IF(F3&lt;&gt;" ",ETANCHEITE!$D$8,"")</f>
        <v/>
      </c>
      <c r="D3" s="146" t="str">
        <f>IFERROR(MATCH(A3,ETANCHEITE!O$22:O$167,0)+18,"")</f>
        <v/>
      </c>
      <c r="E3" s="147" t="str" cm="1">
        <f t="array" aca="1" ref="E3" ca="1">IFERROR(IF(_xlfn.XLOOKUP(A3,ETANCHEITE!O$22:O$167,ETANCHEITE!$A$22:$A$167,"")&lt;&gt;"",_xlfn.XLOOKUP(A3,ETANCHEITE!O$22:O$167,ETANCHEITE!$A$22:$A$167,""),    INDEX(ETANCHEITE!$A:$A,MAX(_xlfn._xlws.FILTER(ROW(ETANCHEITE!$A$22:INDIRECT("'MENUISERIES EXTERIEURES'!$A" &amp; D3-1)),ETANCHEITE!$A$22:INDIRECT("'MENUISERIES EXTERIEURES'!$A" &amp; D3-1)&lt;&gt;"")))),"")&amp;"   "&amp;IFERROR(_xlfn.XLOOKUP(A3,ETANCHEITE!O$22:O$167,ETANCHEITE!$B$22:$B$167),"")&amp;IFERROR(_xlfn.XLOOKUP(A3,ETANCHEITE!O$22:O$167,ETANCHEITE!$C$22:$C$167),"")&amp;IFERROR(_xlfn.XLOOKUP(A3,ETANCHEITE!O$22:O$167,ETANCHEITE!$D$22:$D$167),"")&amp;IFERROR(_xlfn.XLOOKUP(A3,ETANCHEITE!O$22:O$167,ETANCHEITE!#REF!),"")&amp;IFERROR(_xlfn.XLOOKUP(A3,ETANCHEITE!O$22:O$167,ETANCHEITE!#REF!),"")</f>
        <v xml:space="preserve">   </v>
      </c>
      <c r="F3" s="155" t="str">
        <f>IFERROR(VLOOKUP(A3,ETANCHEITE!O$22:Q$167,2,FALSE),"")&amp;" "&amp;IFERROR(VLOOKUP(A3,ETANCHEITE!O$22:Q$167,3,FALSE),"")</f>
        <v xml:space="preserve"> </v>
      </c>
      <c r="G3" s="148" t="str">
        <f>IF(F3&lt;&gt;" ",'Feuille de Donnée'!$C$3,"")</f>
        <v/>
      </c>
      <c r="H3" s="162" t="str" cm="1">
        <f t="array" aca="1" ref="H3" ca="1">IFERROR(IF(_xlfn.XLOOKUP(A3,ETANCHEITE!O$22:O$92,ETANCHEITE!M$22:M$92,"")&lt;&gt;"",_xlfn.XLOOKUP(A3,ETANCHEITE!O$22:O$92,ETANCHEITE!M$22:M$92,""),    INDEX(ETANCHEITE!M:M,MAX(_xlfn._xlws.FILTER(ROW(ETANCHEITE!M$22:INDIRECT("'PEINTURE'!O" &amp; D3-1)),ETANCHEITE!M$22:INDIRECT("'PEINTURE'!O" &amp; D3-1)&lt;&gt;"")))),"")</f>
        <v/>
      </c>
      <c r="I3" s="163" t="str" cm="1">
        <f t="array" aca="1" ref="I3" ca="1">IFERROR(IF(_xlfn.XLOOKUP(A3,ETANCHEITE!O$22:O$92,ETANCHEITE!N$22:N$92,"")&lt;&gt;"",_xlfn.XLOOKUP(A3,ETANCHEITE!O$22:O$92,ETANCHEITE!N$22:N$92,""),    INDEX(ETANCHEITE!N:N,MAX(_xlfn._xlws.FILTER(ROW(ETANCHEITE!N$22:INDIRECT("'PEINTURE'!P" &amp; D3-1)),ETANCHEITE!N$22:INDIRECT("'PEINTURE'!P" &amp; D3-1)&lt;&gt;"")))),"")</f>
        <v/>
      </c>
      <c r="J3" s="145">
        <v>1</v>
      </c>
      <c r="K3" s="154" t="str">
        <f>IF(O3&lt;&gt;" ",ETANCHEITE!$D$5,"")</f>
        <v/>
      </c>
      <c r="L3" s="154" t="str">
        <f>IF(O3&lt;&gt;" ",ETANCHEITE!$D$8,"")</f>
        <v/>
      </c>
      <c r="M3" s="146" t="str">
        <f>IFERROR(MATCH(J3,ETANCHEITE!X$22:X$167,0)+18,"")</f>
        <v/>
      </c>
      <c r="N3" s="147" t="str" cm="1">
        <f t="array" aca="1" ref="N3" ca="1">IFERROR(IF(_xlfn.XLOOKUP(J3,ETANCHEITE!X$22:X$167,ETANCHEITE!$A$22:$A$167,"")&lt;&gt;"",_xlfn.XLOOKUP(J3,ETANCHEITE!X$22:X$167,ETANCHEITE!$A$22:$A$167,""),    INDEX(ETANCHEITE!$A:$A,MAX(_xlfn._xlws.FILTER(ROW(ETANCHEITE!$A$22:INDIRECT("'MENUISERIES EXTERIEURES'!$A" &amp; M3-1)),ETANCHEITE!$A$22:INDIRECT("'MENUISERIES EXTERIEURES'!$A" &amp; M3-1)&lt;&gt;"")))),"")&amp;"   "&amp;IFERROR(_xlfn.XLOOKUP(J3,ETANCHEITE!X$22:X$167,ETANCHEITE!$B$22:$B$167),"")&amp;IFERROR(_xlfn.XLOOKUP(J3,ETANCHEITE!X$22:X$167,ETANCHEITE!$C$22:$C$167),"")&amp;IFERROR(_xlfn.XLOOKUP(J3,ETANCHEITE!X$22:X$167,ETANCHEITE!$D$22:$D$167),"")&amp;IFERROR(_xlfn.XLOOKUP(J3,ETANCHEITE!X$22:X$167,ETANCHEITE!#REF!),"")&amp;IFERROR(_xlfn.XLOOKUP(J3,ETANCHEITE!X$22:X$167,ETANCHEITE!#REF!),"")</f>
        <v xml:space="preserve">   </v>
      </c>
      <c r="O3" s="155" t="str">
        <f>IFERROR(VLOOKUP(J3,ETANCHEITE!X$22:Z$167,2,FALSE),"")&amp;" "&amp;IFERROR(VLOOKUP(J3,ETANCHEITE!X$22:Z$167,3,FALSE),"")</f>
        <v xml:space="preserve"> </v>
      </c>
      <c r="P3" s="148" t="str">
        <f>IF(O3&lt;&gt;" ",'Feuille de Donnée'!$C$3,"")</f>
        <v/>
      </c>
      <c r="Q3" s="162" t="str" cm="1">
        <f t="array" aca="1" ref="Q3" ca="1">IFERROR(IF(_xlfn.XLOOKUP(J3,ETANCHEITE!X$22:X$92,ETANCHEITE!V$22:V$92,"")&lt;&gt;"",_xlfn.XLOOKUP(J3,ETANCHEITE!X$22:X$92,ETANCHEITE!V$22:V$92,""),    INDEX(ETANCHEITE!V:V,MAX(_xlfn._xlws.FILTER(ROW(ETANCHEITE!V$22:INDIRECT("'PEINTURE'!O" &amp; M3-1)),ETANCHEITE!V$22:INDIRECT("'PEINTURE'!O" &amp; M3-1)&lt;&gt;"")))),"")</f>
        <v/>
      </c>
      <c r="R3" s="163" t="str" cm="1">
        <f t="array" aca="1" ref="R3" ca="1">IFERROR(IF(_xlfn.XLOOKUP(J3,ETANCHEITE!X$22:X$92,ETANCHEITE!W$22:W$92,"")&lt;&gt;"",_xlfn.XLOOKUP(J3,ETANCHEITE!X$22:X$92,ETANCHEITE!W$22:W$92,""),    INDEX(ETANCHEITE!W:W,MAX(_xlfn._xlws.FILTER(ROW(ETANCHEITE!W$22:INDIRECT("'PEINTURE'!P" &amp; M3-1)),ETANCHEITE!W$22:INDIRECT("'PEINTURE'!P" &amp; M3-1)&lt;&gt;"")))),"")</f>
        <v/>
      </c>
      <c r="S3" s="145">
        <v>1</v>
      </c>
      <c r="T3" s="154" t="str">
        <f>IF(X3&lt;&gt;" ",ETANCHEITE!$D$5,"")</f>
        <v/>
      </c>
      <c r="U3" s="154" t="str">
        <f>IF(X3&lt;&gt;" ",ETANCHEITE!$D$8,"")</f>
        <v/>
      </c>
      <c r="V3" s="146" t="str">
        <f>IFERROR(MATCH(S3,ETANCHEITE!AG$22:AG$167,0)+18,"")</f>
        <v/>
      </c>
      <c r="W3" s="147" t="str" cm="1">
        <f t="array" aca="1" ref="W3" ca="1">IFERROR(IF(_xlfn.XLOOKUP(S3,ETANCHEITE!AG$22:AG$167,ETANCHEITE!$A$22:$A$167,"")&lt;&gt;"",_xlfn.XLOOKUP(S3,ETANCHEITE!AG$22:AG$167,ETANCHEITE!$A$22:$A$167,""),    INDEX(ETANCHEITE!$A:$A,MAX(_xlfn._xlws.FILTER(ROW(ETANCHEITE!$A$22:INDIRECT("'MENUISERIES EXTERIEURES'!$A" &amp; V3-1)),ETANCHEITE!$A$22:INDIRECT("'MENUISERIES EXTERIEURES'!$A" &amp; V3-1)&lt;&gt;"")))),"")&amp;"   "&amp;IFERROR(_xlfn.XLOOKUP(S3,ETANCHEITE!AG$22:AG$167,ETANCHEITE!$B$22:$B$167),"")&amp;IFERROR(_xlfn.XLOOKUP(S3,ETANCHEITE!AG$22:AG$167,ETANCHEITE!$C$22:$C$167),"")&amp;IFERROR(_xlfn.XLOOKUP(S3,ETANCHEITE!AG$22:AG$167,ETANCHEITE!$D$22:$D$167),"")&amp;IFERROR(_xlfn.XLOOKUP(S3,ETANCHEITE!AG$22:AG$167,ETANCHEITE!#REF!),"")&amp;IFERROR(_xlfn.XLOOKUP(S3,ETANCHEITE!AG$22:AG$167,ETANCHEITE!#REF!),"")</f>
        <v xml:space="preserve">   </v>
      </c>
      <c r="X3" s="155" t="str">
        <f>IFERROR(VLOOKUP(S3,ETANCHEITE!AG$22:AI$167,2,FALSE),"")&amp;" "&amp;IFERROR(VLOOKUP(S3,ETANCHEITE!AG$22:AI$167,3,FALSE),"")</f>
        <v xml:space="preserve"> </v>
      </c>
      <c r="Y3" s="148" t="str">
        <f>IF(X3&lt;&gt;" ",'Feuille de Donnée'!$C$3,"")</f>
        <v/>
      </c>
      <c r="Z3" s="162" t="str" cm="1">
        <f t="array" aca="1" ref="Z3" ca="1">IFERROR(IF(_xlfn.XLOOKUP(S3,ETANCHEITE!AG$22:AG$92,ETANCHEITE!AE$22:AE$92,"")&lt;&gt;"",_xlfn.XLOOKUP(S3,ETANCHEITE!AG$22:AG$92,ETANCHEITE!AE$22:AE$92,""),    INDEX(ETANCHEITE!AE:AE,MAX(_xlfn._xlws.FILTER(ROW(ETANCHEITE!AE$22:INDIRECT("'PEINTURE'!O" &amp; V3-1)),ETANCHEITE!AE$22:INDIRECT("'PEINTURE'!O" &amp; V3-1)&lt;&gt;"")))),"")</f>
        <v/>
      </c>
      <c r="AA3" s="163" t="str" cm="1">
        <f t="array" aca="1" ref="AA3" ca="1">IFERROR(IF(_xlfn.XLOOKUP(S3,ETANCHEITE!AG$22:AG$92,ETANCHEITE!AF$22:AF$92,"")&lt;&gt;"",_xlfn.XLOOKUP(S3,ETANCHEITE!AG$22:AG$92,ETANCHEITE!AF$22:AF$92,""),    INDEX(ETANCHEITE!AF:AF,MAX(_xlfn._xlws.FILTER(ROW(ETANCHEITE!AF$22:INDIRECT("'PEINTURE'!P" &amp; V3-1)),ETANCHEITE!AF$22:INDIRECT("'PEINTURE'!P" &amp; V3-1)&lt;&gt;"")))),"")</f>
        <v/>
      </c>
      <c r="AB3" s="145">
        <v>1</v>
      </c>
      <c r="AC3" s="154" t="str">
        <f>IF(AG3&lt;&gt;" ",ETANCHEITE!$D$5,"")</f>
        <v/>
      </c>
      <c r="AD3" s="154" t="str">
        <f>IF(AG3&lt;&gt;" ",ETANCHEITE!$D$8,"")</f>
        <v/>
      </c>
      <c r="AE3" s="146" t="str">
        <f>IFERROR(MATCH(AB3,ETANCHEITE!AP$22:AP$167,0)+18,"")</f>
        <v/>
      </c>
      <c r="AF3" s="147" t="str" cm="1">
        <f t="array" aca="1" ref="AF3" ca="1">IFERROR(IF(_xlfn.XLOOKUP(AB3,ETANCHEITE!AP$22:AP$167,ETANCHEITE!$A$22:$A$167,"")&lt;&gt;"",_xlfn.XLOOKUP(AB3,ETANCHEITE!AP$22:AP$167,ETANCHEITE!$A$22:$A$167,""),    INDEX(ETANCHEITE!$A:$A,MAX(_xlfn._xlws.FILTER(ROW(ETANCHEITE!$A$22:INDIRECT("'MENUISERIES EXTERIEURES'!$A" &amp; AE3-1)),ETANCHEITE!$A$22:INDIRECT("'MENUISERIES EXTERIEURES'!$A" &amp; AE3-1)&lt;&gt;"")))),"")&amp;"   "&amp;IFERROR(_xlfn.XLOOKUP(AB3,ETANCHEITE!AP$22:AP$167,ETANCHEITE!$B$22:$B$167),"")&amp;IFERROR(_xlfn.XLOOKUP(AB3,ETANCHEITE!AP$22:AP$167,ETANCHEITE!$C$22:$C$167),"")&amp;IFERROR(_xlfn.XLOOKUP(AB3,ETANCHEITE!AP$22:AP$167,ETANCHEITE!$D$22:$D$167),"")&amp;IFERROR(_xlfn.XLOOKUP(AB3,ETANCHEITE!AP$22:AP$167,ETANCHEITE!#REF!),"")&amp;IFERROR(_xlfn.XLOOKUP(AB3,ETANCHEITE!AP$22:AP$167,ETANCHEITE!#REF!),"")</f>
        <v xml:space="preserve">   </v>
      </c>
      <c r="AG3" s="155" t="str">
        <f>IFERROR(VLOOKUP(AB3,ETANCHEITE!AP$22:AR$167,2,FALSE),"")&amp;" "&amp;IFERROR(VLOOKUP(AB3,ETANCHEITE!AP$22:AR$167,3,FALSE),"")</f>
        <v xml:space="preserve"> </v>
      </c>
      <c r="AH3" s="148" t="str">
        <f>IF(AG3&lt;&gt;" ",'Feuille de Donnée'!$C$3,"")</f>
        <v/>
      </c>
      <c r="AI3" s="162" t="str" cm="1">
        <f t="array" aca="1" ref="AI3" ca="1">IFERROR(IF(_xlfn.XLOOKUP(AB3,ETANCHEITE!AP$22:AP$92,ETANCHEITE!AN$22:AN$92,"")&lt;&gt;"",_xlfn.XLOOKUP(AB3,ETANCHEITE!AP$22:AP$92,ETANCHEITE!AN$22:AN$92,""),    INDEX(ETANCHEITE!AN:AN,MAX(_xlfn._xlws.FILTER(ROW(ETANCHEITE!AN$22:INDIRECT("'PEINTURE'!O" &amp; AE3-1)),ETANCHEITE!AN$22:INDIRECT("'PEINTURE'!O" &amp; AE3-1)&lt;&gt;"")))),"")</f>
        <v/>
      </c>
      <c r="AJ3" s="163" t="str" cm="1">
        <f t="array" aca="1" ref="AJ3" ca="1">IFERROR(IF(_xlfn.XLOOKUP(AB3,ETANCHEITE!AP$22:AP$92,ETANCHEITE!AO$22:AO$92,"")&lt;&gt;"",_xlfn.XLOOKUP(AB3,ETANCHEITE!AP$22:AP$92,ETANCHEITE!AO$22:AO$92,""),    INDEX(ETANCHEITE!AO:AO,MAX(_xlfn._xlws.FILTER(ROW(ETANCHEITE!AO$22:INDIRECT("'PEINTURE'!P" &amp; AE3-1)),ETANCHEITE!AO$22:INDIRECT("'PEINTURE'!P" &amp; AE3-1)&lt;&gt;"")))),"")</f>
        <v/>
      </c>
      <c r="AK3" s="145">
        <v>1</v>
      </c>
      <c r="AL3" s="154" t="str">
        <f>IF(AP3&lt;&gt;" ",ETANCHEITE!$D$5,"")</f>
        <v/>
      </c>
      <c r="AM3" s="154" t="str">
        <f>IF(AP3&lt;&gt;" ",ETANCHEITE!$D$8,"")</f>
        <v/>
      </c>
      <c r="AN3" s="146" t="str">
        <f>IFERROR(MATCH(AK3,ETANCHEITE!AY$22:AY$167,0)+18,"")</f>
        <v/>
      </c>
      <c r="AO3" s="147" t="str" cm="1">
        <f t="array" aca="1" ref="AO3" ca="1">IFERROR(IF(_xlfn.XLOOKUP(AK3,ETANCHEITE!AY$22:AY$167,ETANCHEITE!$A$22:$A$167,"")&lt;&gt;"",_xlfn.XLOOKUP(AK3,ETANCHEITE!AY$22:AY$167,ETANCHEITE!$A$22:$A$167,""),    INDEX(ETANCHEITE!$A:$A,MAX(_xlfn._xlws.FILTER(ROW(ETANCHEITE!$A$22:INDIRECT("'MENUISERIES EXTERIEURES'!$A" &amp; AN3-1)),ETANCHEITE!$A$22:INDIRECT("'MENUISERIES EXTERIEURES'!$A" &amp; AN3-1)&lt;&gt;"")))),"")&amp;"   "&amp;IFERROR(_xlfn.XLOOKUP(AK3,ETANCHEITE!AY$22:AY$167,ETANCHEITE!$B$22:$B$167),"")&amp;IFERROR(_xlfn.XLOOKUP(AK3,ETANCHEITE!AY$22:AY$167,ETANCHEITE!$C$22:$C$167),"")&amp;IFERROR(_xlfn.XLOOKUP(AK3,ETANCHEITE!AY$22:AY$167,ETANCHEITE!$D$22:$D$167),"")&amp;IFERROR(_xlfn.XLOOKUP(AK3,ETANCHEITE!AY$22:AY$167,ETANCHEITE!#REF!),"")&amp;IFERROR(_xlfn.XLOOKUP(AK3,ETANCHEITE!AY$22:AY$167,ETANCHEITE!#REF!),"")</f>
        <v xml:space="preserve">   </v>
      </c>
      <c r="AP3" s="155" t="str">
        <f>IFERROR(VLOOKUP(AK3,ETANCHEITE!AY$22:BA$167,2,FALSE),"")&amp;" "&amp;IFERROR(VLOOKUP(AK3,ETANCHEITE!AY$22:BA$167,3,FALSE),"")</f>
        <v xml:space="preserve"> </v>
      </c>
      <c r="AQ3" s="148" t="str">
        <f>IF(AP3&lt;&gt;" ",'Feuille de Donnée'!$C$3,"")</f>
        <v/>
      </c>
      <c r="AR3" s="162" t="str" cm="1">
        <f t="array" aca="1" ref="AR3" ca="1">IFERROR(IF(_xlfn.XLOOKUP(AK3,ETANCHEITE!AY$22:AY$92,ETANCHEITE!AW$22:AW$92,"")&lt;&gt;"",_xlfn.XLOOKUP(AK3,ETANCHEITE!AY$22:AY$92,ETANCHEITE!AW$22:AW$92,""),    INDEX(ETANCHEITE!AW:AW,MAX(_xlfn._xlws.FILTER(ROW(ETANCHEITE!AW$22:INDIRECT("'PEINTURE'!O" &amp; AN3-1)),ETANCHEITE!AW$22:INDIRECT("'PEINTURE'!O" &amp; AN3-1)&lt;&gt;"")))),"")</f>
        <v/>
      </c>
      <c r="AS3" s="163" t="str" cm="1">
        <f t="array" aca="1" ref="AS3" ca="1">IFERROR(IF(_xlfn.XLOOKUP(AK3,ETANCHEITE!AY$22:AY$92,ETANCHEITE!AX$22:AX$92,"")&lt;&gt;"",_xlfn.XLOOKUP(AK3,ETANCHEITE!AY$22:AY$92,ETANCHEITE!AX$22:AX$92,""),    INDEX(ETANCHEITE!AX:AX,MAX(_xlfn._xlws.FILTER(ROW(ETANCHEITE!AX$22:INDIRECT("'PEINTURE'!P" &amp; AN3-1)),ETANCHEITE!AX$22:INDIRECT("'PEINTURE'!P" &amp; AN3-1)&lt;&gt;"")))),"")</f>
        <v/>
      </c>
      <c r="AT3" s="145">
        <v>1</v>
      </c>
      <c r="AU3" s="154" t="str">
        <f>IF(AY3&lt;&gt;" ",ETANCHEITE!$D$5,"")</f>
        <v/>
      </c>
      <c r="AV3" s="154" t="str">
        <f>IF(AY3&lt;&gt;" ",ETANCHEITE!$D$8,"")</f>
        <v/>
      </c>
      <c r="AW3" s="146" t="str">
        <f>IFERROR(MATCH(AT3,ETANCHEITE!BH$22:BH$167,0)+18,"")</f>
        <v/>
      </c>
      <c r="AX3" s="147" t="str" cm="1">
        <f t="array" aca="1" ref="AX3" ca="1">IFERROR(IF(_xlfn.XLOOKUP(AT3,ETANCHEITE!BH$22:BH$167,ETANCHEITE!$A$22:$A$167,"")&lt;&gt;"",_xlfn.XLOOKUP(AT3,ETANCHEITE!BH$22:BH$167,ETANCHEITE!$A$22:$A$167,""),    INDEX(ETANCHEITE!$A:$A,MAX(_xlfn._xlws.FILTER(ROW(ETANCHEITE!$A$22:INDIRECT("'MENUISERIES EXTERIEURES'!$A" &amp; AW3-1)),ETANCHEITE!$A$22:INDIRECT("'MENUISERIES EXTERIEURES'!$A" &amp; AW3-1)&lt;&gt;"")))),"")&amp;"   "&amp;IFERROR(_xlfn.XLOOKUP(AT3,ETANCHEITE!BH$22:BH$167,ETANCHEITE!$B$22:$B$167),"")&amp;IFERROR(_xlfn.XLOOKUP(AT3,ETANCHEITE!BH$22:BH$167,ETANCHEITE!$C$22:$C$167),"")&amp;IFERROR(_xlfn.XLOOKUP(AT3,ETANCHEITE!BH$22:BH$167,ETANCHEITE!$D$22:$D$167),"")&amp;IFERROR(_xlfn.XLOOKUP(AT3,ETANCHEITE!BH$22:BH$167,ETANCHEITE!#REF!),"")&amp;IFERROR(_xlfn.XLOOKUP(AT3,ETANCHEITE!BH$22:BH$167,ETANCHEITE!#REF!),"")</f>
        <v xml:space="preserve">   </v>
      </c>
      <c r="AY3" s="155" t="str">
        <f>IFERROR(VLOOKUP(AT3,ETANCHEITE!BH$22:BJ$167,2,FALSE),"")&amp;" "&amp;IFERROR(VLOOKUP(AT3,ETANCHEITE!BH$22:BJ$167,3,FALSE),"")</f>
        <v xml:space="preserve"> </v>
      </c>
      <c r="AZ3" s="148" t="str">
        <f>IF(AY3&lt;&gt;" ",'Feuille de Donnée'!$C$3,"")</f>
        <v/>
      </c>
      <c r="BA3" s="162" t="str" cm="1">
        <f t="array" aca="1" ref="BA3" ca="1">IFERROR(IF(_xlfn.XLOOKUP(AT3,ETANCHEITE!BH$22:BH$92,ETANCHEITE!BF$22:BF$92,"")&lt;&gt;"",_xlfn.XLOOKUP(AT3,ETANCHEITE!BH$22:BH$92,ETANCHEITE!BF$22:BF$92,""),    INDEX(ETANCHEITE!BF:BF,MAX(_xlfn._xlws.FILTER(ROW(ETANCHEITE!BF$22:INDIRECT("'PEINTURE'!O" &amp; AW3-1)),ETANCHEITE!BF$22:INDIRECT("'PEINTURE'!O" &amp; AW3-1)&lt;&gt;"")))),"")</f>
        <v/>
      </c>
      <c r="BB3" s="163" t="str" cm="1">
        <f t="array" aca="1" ref="BB3" ca="1">IFERROR(IF(_xlfn.XLOOKUP(AT3,ETANCHEITE!BH$22:BH$92,ETANCHEITE!BG$22:BG$92,"")&lt;&gt;"",_xlfn.XLOOKUP(AT3,ETANCHEITE!BH$22:BH$92,ETANCHEITE!BG$22:BG$92,""),    INDEX(ETANCHEITE!BG:BG,MAX(_xlfn._xlws.FILTER(ROW(ETANCHEITE!BG$22:INDIRECT("'PEINTURE'!P" &amp; AW3-1)),ETANCHEITE!BG$22:INDIRECT("'PEINTURE'!P" &amp; AW3-1)&lt;&gt;"")))),"")</f>
        <v/>
      </c>
    </row>
    <row r="4" spans="1:54" ht="15" customHeight="1" x14ac:dyDescent="0.3">
      <c r="A4" s="145">
        <v>2</v>
      </c>
      <c r="B4" s="154" t="str">
        <f>IF(F4&lt;&gt;" ",ETANCHEITE!$D$5,"")</f>
        <v/>
      </c>
      <c r="C4" s="154" t="str">
        <f>IF(F4&lt;&gt;" ",ETANCHEITE!$D$8,"")</f>
        <v/>
      </c>
      <c r="D4" s="146" t="str">
        <f>IFERROR(MATCH(A4,ETANCHEITE!O$22:O$167,0)+18,"")</f>
        <v/>
      </c>
      <c r="E4" s="147" t="str" cm="1">
        <f t="array" aca="1" ref="E4" ca="1">IFERROR(IF(_xlfn.XLOOKUP(A4,ETANCHEITE!O$23:O$168,ETANCHEITE!$A$23:$A$168,"")&lt;&gt;"",_xlfn.XLOOKUP(A4,ETANCHEITE!O$23:O$168,ETANCHEITE!$A$23:$A$168,""),    INDEX(ETANCHEITE!$A:$A,MAX(_xlfn._xlws.FILTER(ROW(ETANCHEITE!$A$23:INDIRECT("'MENUISERIES EXTERIEURES'!$A" &amp; D4-1)),ETANCHEITE!$A$23:INDIRECT("'MENUISERIES EXTERIEURES'!$A" &amp; D4-1)&lt;&gt;"")))),"")&amp;"   "&amp;IFERROR(_xlfn.XLOOKUP(A4,ETANCHEITE!O$23:O$168,ETANCHEITE!$B$23:$B$168),"")&amp;IFERROR(_xlfn.XLOOKUP(A4,ETANCHEITE!O$23:O$168,ETANCHEITE!$C$23:$C$168),"")&amp;IFERROR(_xlfn.XLOOKUP(A4,ETANCHEITE!O$23:O$168,ETANCHEITE!$D$23:$D$168),"")&amp;IFERROR(_xlfn.XLOOKUP(A4,ETANCHEITE!O$23:O$168,ETANCHEITE!#REF!),"")&amp;IFERROR(_xlfn.XLOOKUP(A4,ETANCHEITE!O$23:O$168,ETANCHEITE!#REF!),"")</f>
        <v xml:space="preserve">   </v>
      </c>
      <c r="F4" s="155" t="str">
        <f>IFERROR(VLOOKUP(A4,ETANCHEITE!O$22:Q$167,2,FALSE),"")&amp;" "&amp;IFERROR(VLOOKUP(A4,ETANCHEITE!O$22:Q$167,3,FALSE),"")</f>
        <v xml:space="preserve"> </v>
      </c>
      <c r="G4" s="148" t="str">
        <f>IF(F4&lt;&gt;" ",'Feuille de Donnée'!$C$3,"")</f>
        <v/>
      </c>
      <c r="H4" s="162" t="str" cm="1">
        <f t="array" aca="1" ref="H4" ca="1">IFERROR(IF(_xlfn.XLOOKUP(A4,ETANCHEITE!O$22:O$92,ETANCHEITE!M$22:M$92,"")&lt;&gt;"",_xlfn.XLOOKUP(A4,ETANCHEITE!O$22:O$92,ETANCHEITE!M$22:M$92,""),    INDEX(ETANCHEITE!M:M,MAX(_xlfn._xlws.FILTER(ROW(ETANCHEITE!M$22:INDIRECT("'PEINTURE'!O" &amp; D4-1)),ETANCHEITE!M$22:INDIRECT("'PEINTURE'!O" &amp; D4-1)&lt;&gt;"")))),"")</f>
        <v/>
      </c>
      <c r="I4" s="163" t="str" cm="1">
        <f t="array" aca="1" ref="I4" ca="1">IFERROR(IF(_xlfn.XLOOKUP(A4,ETANCHEITE!O$22:O$92,ETANCHEITE!N$22:N$92,"")&lt;&gt;"",_xlfn.XLOOKUP(A4,ETANCHEITE!O$22:O$92,ETANCHEITE!N$22:N$92,""),    INDEX(ETANCHEITE!N:N,MAX(_xlfn._xlws.FILTER(ROW(ETANCHEITE!N$22:INDIRECT("'PEINTURE'!P" &amp; D4-1)),ETANCHEITE!N$22:INDIRECT("'PEINTURE'!P" &amp; D4-1)&lt;&gt;"")))),"")</f>
        <v/>
      </c>
      <c r="J4" s="145">
        <v>2</v>
      </c>
      <c r="K4" s="154" t="str">
        <f>IF(O4&lt;&gt;" ",ETANCHEITE!$D$5,"")</f>
        <v/>
      </c>
      <c r="L4" s="154" t="str">
        <f>IF(O4&lt;&gt;" ",ETANCHEITE!$D$8,"")</f>
        <v/>
      </c>
      <c r="M4" s="146" t="str">
        <f>IFERROR(MATCH(J4,ETANCHEITE!X$22:X$167,0)+18,"")</f>
        <v/>
      </c>
      <c r="N4" s="147" t="str" cm="1">
        <f t="array" aca="1" ref="N4" ca="1">IFERROR(IF(_xlfn.XLOOKUP(J4,ETANCHEITE!X$22:X$167,ETANCHEITE!$A$22:$A$167,"")&lt;&gt;"",_xlfn.XLOOKUP(J4,ETANCHEITE!X$22:X$167,ETANCHEITE!$A$22:$A$167,""),    INDEX(ETANCHEITE!$A:$A,MAX(_xlfn._xlws.FILTER(ROW(ETANCHEITE!$A$22:INDIRECT("'MENUISERIES EXTERIEURES'!$A" &amp; M4-1)),ETANCHEITE!$A$22:INDIRECT("'MENUISERIES EXTERIEURES'!$A" &amp; M4-1)&lt;&gt;"")))),"")&amp;"   "&amp;IFERROR(_xlfn.XLOOKUP(J4,ETANCHEITE!X$22:X$167,ETANCHEITE!$B$22:$B$167),"")&amp;IFERROR(_xlfn.XLOOKUP(J4,ETANCHEITE!X$22:X$167,ETANCHEITE!$C$22:$C$167),"")&amp;IFERROR(_xlfn.XLOOKUP(J4,ETANCHEITE!X$22:X$167,ETANCHEITE!$D$22:$D$167),"")&amp;IFERROR(_xlfn.XLOOKUP(J4,ETANCHEITE!X$22:X$167,ETANCHEITE!#REF!),"")&amp;IFERROR(_xlfn.XLOOKUP(J4,ETANCHEITE!X$22:X$167,ETANCHEITE!#REF!),"")</f>
        <v xml:space="preserve">   </v>
      </c>
      <c r="O4" s="155" t="str">
        <f>IFERROR(VLOOKUP(J4,ETANCHEITE!X$22:Z$167,2,FALSE),"")&amp;" "&amp;IFERROR(VLOOKUP(J4,ETANCHEITE!X$22:Z$167,3,FALSE),"")</f>
        <v xml:space="preserve"> </v>
      </c>
      <c r="P4" s="148" t="str">
        <f>IF(O4&lt;&gt;" ",'Feuille de Donnée'!$C$3,"")</f>
        <v/>
      </c>
      <c r="Q4" s="162" t="str" cm="1">
        <f t="array" aca="1" ref="Q4" ca="1">IFERROR(IF(_xlfn.XLOOKUP(J4,ETANCHEITE!X$22:X$92,ETANCHEITE!V$22:V$92,"")&lt;&gt;"",_xlfn.XLOOKUP(J4,ETANCHEITE!X$22:X$92,ETANCHEITE!V$22:V$92,""),    INDEX(ETANCHEITE!V:V,MAX(_xlfn._xlws.FILTER(ROW(ETANCHEITE!V$22:INDIRECT("'PEINTURE'!O" &amp; M4-1)),ETANCHEITE!V$22:INDIRECT("'PEINTURE'!O" &amp; M4-1)&lt;&gt;"")))),"")</f>
        <v/>
      </c>
      <c r="R4" s="163" t="str" cm="1">
        <f t="array" aca="1" ref="R4" ca="1">IFERROR(IF(_xlfn.XLOOKUP(J4,ETANCHEITE!X$22:X$92,ETANCHEITE!W$22:W$92,"")&lt;&gt;"",_xlfn.XLOOKUP(J4,ETANCHEITE!X$22:X$92,ETANCHEITE!W$22:W$92,""),    INDEX(ETANCHEITE!W:W,MAX(_xlfn._xlws.FILTER(ROW(ETANCHEITE!W$22:INDIRECT("'PEINTURE'!P" &amp; M4-1)),ETANCHEITE!W$22:INDIRECT("'PEINTURE'!P" &amp; M4-1)&lt;&gt;"")))),"")</f>
        <v/>
      </c>
      <c r="S4" s="145">
        <v>2</v>
      </c>
      <c r="T4" s="154" t="str">
        <f>IF(X4&lt;&gt;" ",ETANCHEITE!$D$5,"")</f>
        <v/>
      </c>
      <c r="U4" s="154" t="str">
        <f>IF(X4&lt;&gt;" ",ETANCHEITE!$D$8,"")</f>
        <v/>
      </c>
      <c r="V4" s="146" t="str">
        <f>IFERROR(MATCH(S4,ETANCHEITE!AG$22:AG$167,0)+18,"")</f>
        <v/>
      </c>
      <c r="W4" s="147" t="str" cm="1">
        <f t="array" aca="1" ref="W4" ca="1">IFERROR(IF(_xlfn.XLOOKUP(S4,ETANCHEITE!AG$22:AG$167,ETANCHEITE!$A$22:$A$167,"")&lt;&gt;"",_xlfn.XLOOKUP(S4,ETANCHEITE!AG$22:AG$167,ETANCHEITE!$A$22:$A$167,""),    INDEX(ETANCHEITE!$A:$A,MAX(_xlfn._xlws.FILTER(ROW(ETANCHEITE!$A$22:INDIRECT("'MENUISERIES EXTERIEURES'!$A" &amp; V4-1)),ETANCHEITE!$A$22:INDIRECT("'MENUISERIES EXTERIEURES'!$A" &amp; V4-1)&lt;&gt;"")))),"")&amp;"   "&amp;IFERROR(_xlfn.XLOOKUP(S4,ETANCHEITE!AG$22:AG$167,ETANCHEITE!$B$22:$B$167),"")&amp;IFERROR(_xlfn.XLOOKUP(S4,ETANCHEITE!AG$22:AG$167,ETANCHEITE!$C$22:$C$167),"")&amp;IFERROR(_xlfn.XLOOKUP(S4,ETANCHEITE!AG$22:AG$167,ETANCHEITE!$D$22:$D$167),"")&amp;IFERROR(_xlfn.XLOOKUP(S4,ETANCHEITE!AG$22:AG$167,ETANCHEITE!#REF!),"")&amp;IFERROR(_xlfn.XLOOKUP(S4,ETANCHEITE!AG$22:AG$167,ETANCHEITE!#REF!),"")</f>
        <v xml:space="preserve">   </v>
      </c>
      <c r="X4" s="155" t="str">
        <f>IFERROR(VLOOKUP(S4,ETANCHEITE!AG$22:AI$167,2,FALSE),"")&amp;" "&amp;IFERROR(VLOOKUP(S4,ETANCHEITE!AG$22:AI$167,3,FALSE),"")</f>
        <v xml:space="preserve"> </v>
      </c>
      <c r="Y4" s="148" t="str">
        <f>IF(X4&lt;&gt;" ",'Feuille de Donnée'!$C$3,"")</f>
        <v/>
      </c>
      <c r="Z4" s="162" t="str" cm="1">
        <f t="array" aca="1" ref="Z4" ca="1">IFERROR(IF(_xlfn.XLOOKUP(S4,ETANCHEITE!AG$22:AG$92,ETANCHEITE!AE$22:AE$92,"")&lt;&gt;"",_xlfn.XLOOKUP(S4,ETANCHEITE!AG$22:AG$92,ETANCHEITE!AE$22:AE$92,""),    INDEX(ETANCHEITE!AE:AE,MAX(_xlfn._xlws.FILTER(ROW(ETANCHEITE!AE$22:INDIRECT("'PEINTURE'!O" &amp; V4-1)),ETANCHEITE!AE$22:INDIRECT("'PEINTURE'!O" &amp; V4-1)&lt;&gt;"")))),"")</f>
        <v/>
      </c>
      <c r="AA4" s="163" t="str" cm="1">
        <f t="array" aca="1" ref="AA4" ca="1">IFERROR(IF(_xlfn.XLOOKUP(S4,ETANCHEITE!AG$22:AG$92,ETANCHEITE!AF$22:AF$92,"")&lt;&gt;"",_xlfn.XLOOKUP(S4,ETANCHEITE!AG$22:AG$92,ETANCHEITE!AF$22:AF$92,""),    INDEX(ETANCHEITE!AF:AF,MAX(_xlfn._xlws.FILTER(ROW(ETANCHEITE!AF$22:INDIRECT("'PEINTURE'!P" &amp; V4-1)),ETANCHEITE!AF$22:INDIRECT("'PEINTURE'!P" &amp; V4-1)&lt;&gt;"")))),"")</f>
        <v/>
      </c>
      <c r="AB4" s="145">
        <v>2</v>
      </c>
      <c r="AC4" s="154" t="str">
        <f>IF(AG4&lt;&gt;" ",ETANCHEITE!$D$5,"")</f>
        <v/>
      </c>
      <c r="AD4" s="154" t="str">
        <f>IF(AG4&lt;&gt;" ",ETANCHEITE!$D$8,"")</f>
        <v/>
      </c>
      <c r="AE4" s="146" t="str">
        <f>IFERROR(MATCH(AB4,ETANCHEITE!AP$22:AP$167,0)+18,"")</f>
        <v/>
      </c>
      <c r="AF4" s="147" t="str" cm="1">
        <f t="array" aca="1" ref="AF4" ca="1">IFERROR(IF(_xlfn.XLOOKUP(AB4,ETANCHEITE!AP$22:AP$167,ETANCHEITE!$A$22:$A$167,"")&lt;&gt;"",_xlfn.XLOOKUP(AB4,ETANCHEITE!AP$22:AP$167,ETANCHEITE!$A$22:$A$167,""),    INDEX(ETANCHEITE!$A:$A,MAX(_xlfn._xlws.FILTER(ROW(ETANCHEITE!$A$22:INDIRECT("'MENUISERIES EXTERIEURES'!$A" &amp; AE4-1)),ETANCHEITE!$A$22:INDIRECT("'MENUISERIES EXTERIEURES'!$A" &amp; AE4-1)&lt;&gt;"")))),"")&amp;"   "&amp;IFERROR(_xlfn.XLOOKUP(AB4,ETANCHEITE!AP$22:AP$167,ETANCHEITE!$B$22:$B$167),"")&amp;IFERROR(_xlfn.XLOOKUP(AB4,ETANCHEITE!AP$22:AP$167,ETANCHEITE!$C$22:$C$167),"")&amp;IFERROR(_xlfn.XLOOKUP(AB4,ETANCHEITE!AP$22:AP$167,ETANCHEITE!$D$22:$D$167),"")&amp;IFERROR(_xlfn.XLOOKUP(AB4,ETANCHEITE!AP$22:AP$167,ETANCHEITE!#REF!),"")&amp;IFERROR(_xlfn.XLOOKUP(AB4,ETANCHEITE!AP$22:AP$167,ETANCHEITE!#REF!),"")</f>
        <v xml:space="preserve">   </v>
      </c>
      <c r="AG4" s="155" t="str">
        <f>IFERROR(VLOOKUP(AB4,ETANCHEITE!AP$22:AR$167,2,FALSE),"")&amp;" "&amp;IFERROR(VLOOKUP(AB4,ETANCHEITE!AP$22:AR$167,3,FALSE),"")</f>
        <v xml:space="preserve"> </v>
      </c>
      <c r="AH4" s="148" t="str">
        <f>IF(AG4&lt;&gt;" ",'Feuille de Donnée'!$C$3,"")</f>
        <v/>
      </c>
      <c r="AI4" s="162" t="str" cm="1">
        <f t="array" aca="1" ref="AI4" ca="1">IFERROR(IF(_xlfn.XLOOKUP(AB4,ETANCHEITE!AP$22:AP$92,ETANCHEITE!AN$22:AN$92,"")&lt;&gt;"",_xlfn.XLOOKUP(AB4,ETANCHEITE!AP$22:AP$92,ETANCHEITE!AN$22:AN$92,""),    INDEX(ETANCHEITE!AN:AN,MAX(_xlfn._xlws.FILTER(ROW(ETANCHEITE!AN$22:INDIRECT("'PEINTURE'!O" &amp; AE4-1)),ETANCHEITE!AN$22:INDIRECT("'PEINTURE'!O" &amp; AE4-1)&lt;&gt;"")))),"")</f>
        <v/>
      </c>
      <c r="AJ4" s="163" t="str" cm="1">
        <f t="array" aca="1" ref="AJ4" ca="1">IFERROR(IF(_xlfn.XLOOKUP(AB4,ETANCHEITE!AP$22:AP$92,ETANCHEITE!AO$22:AO$92,"")&lt;&gt;"",_xlfn.XLOOKUP(AB4,ETANCHEITE!AP$22:AP$92,ETANCHEITE!AO$22:AO$92,""),    INDEX(ETANCHEITE!AO:AO,MAX(_xlfn._xlws.FILTER(ROW(ETANCHEITE!AO$22:INDIRECT("'PEINTURE'!P" &amp; AE4-1)),ETANCHEITE!AO$22:INDIRECT("'PEINTURE'!P" &amp; AE4-1)&lt;&gt;"")))),"")</f>
        <v/>
      </c>
      <c r="AK4" s="145">
        <v>2</v>
      </c>
      <c r="AL4" s="154" t="str">
        <f>IF(AP4&lt;&gt;" ",ETANCHEITE!$D$5,"")</f>
        <v/>
      </c>
      <c r="AM4" s="154" t="str">
        <f>IF(AP4&lt;&gt;" ",ETANCHEITE!$D$8,"")</f>
        <v/>
      </c>
      <c r="AN4" s="146" t="str">
        <f>IFERROR(MATCH(AK4,ETANCHEITE!AY$22:AY$167,0)+18,"")</f>
        <v/>
      </c>
      <c r="AO4" s="147" t="str" cm="1">
        <f t="array" aca="1" ref="AO4" ca="1">IFERROR(IF(_xlfn.XLOOKUP(AK4,ETANCHEITE!AY$22:AY$167,ETANCHEITE!$A$22:$A$167,"")&lt;&gt;"",_xlfn.XLOOKUP(AK4,ETANCHEITE!AY$22:AY$167,ETANCHEITE!$A$22:$A$167,""),    INDEX(ETANCHEITE!$A:$A,MAX(_xlfn._xlws.FILTER(ROW(ETANCHEITE!$A$22:INDIRECT("'MENUISERIES EXTERIEURES'!$A" &amp; AN4-1)),ETANCHEITE!$A$22:INDIRECT("'MENUISERIES EXTERIEURES'!$A" &amp; AN4-1)&lt;&gt;"")))),"")&amp;"   "&amp;IFERROR(_xlfn.XLOOKUP(AK4,ETANCHEITE!AY$22:AY$167,ETANCHEITE!$B$22:$B$167),"")&amp;IFERROR(_xlfn.XLOOKUP(AK4,ETANCHEITE!AY$22:AY$167,ETANCHEITE!$C$22:$C$167),"")&amp;IFERROR(_xlfn.XLOOKUP(AK4,ETANCHEITE!AY$22:AY$167,ETANCHEITE!$D$22:$D$167),"")&amp;IFERROR(_xlfn.XLOOKUP(AK4,ETANCHEITE!AY$22:AY$167,ETANCHEITE!#REF!),"")&amp;IFERROR(_xlfn.XLOOKUP(AK4,ETANCHEITE!AY$22:AY$167,ETANCHEITE!#REF!),"")</f>
        <v xml:space="preserve">   </v>
      </c>
      <c r="AP4" s="155" t="str">
        <f>IFERROR(VLOOKUP(AK4,ETANCHEITE!AY$22:BA$167,2,FALSE),"")&amp;" "&amp;IFERROR(VLOOKUP(AK4,ETANCHEITE!AY$22:BA$167,3,FALSE),"")</f>
        <v xml:space="preserve"> </v>
      </c>
      <c r="AQ4" s="148" t="str">
        <f>IF(AP4&lt;&gt;" ",'Feuille de Donnée'!$C$3,"")</f>
        <v/>
      </c>
      <c r="AR4" s="162" t="str" cm="1">
        <f t="array" aca="1" ref="AR4" ca="1">IFERROR(IF(_xlfn.XLOOKUP(AK4,ETANCHEITE!AY$22:AY$92,ETANCHEITE!AW$22:AW$92,"")&lt;&gt;"",_xlfn.XLOOKUP(AK4,ETANCHEITE!AY$22:AY$92,ETANCHEITE!AW$22:AW$92,""),    INDEX(ETANCHEITE!AW:AW,MAX(_xlfn._xlws.FILTER(ROW(ETANCHEITE!AW$22:INDIRECT("'PEINTURE'!O" &amp; AN4-1)),ETANCHEITE!AW$22:INDIRECT("'PEINTURE'!O" &amp; AN4-1)&lt;&gt;"")))),"")</f>
        <v/>
      </c>
      <c r="AS4" s="163" t="str" cm="1">
        <f t="array" aca="1" ref="AS4" ca="1">IFERROR(IF(_xlfn.XLOOKUP(AK4,ETANCHEITE!AY$22:AY$92,ETANCHEITE!AX$22:AX$92,"")&lt;&gt;"",_xlfn.XLOOKUP(AK4,ETANCHEITE!AY$22:AY$92,ETANCHEITE!AX$22:AX$92,""),    INDEX(ETANCHEITE!AX:AX,MAX(_xlfn._xlws.FILTER(ROW(ETANCHEITE!AX$22:INDIRECT("'PEINTURE'!P" &amp; AN4-1)),ETANCHEITE!AX$22:INDIRECT("'PEINTURE'!P" &amp; AN4-1)&lt;&gt;"")))),"")</f>
        <v/>
      </c>
      <c r="AT4" s="145">
        <v>2</v>
      </c>
      <c r="AU4" s="154" t="str">
        <f>IF(AY4&lt;&gt;" ",ETANCHEITE!$D$5,"")</f>
        <v/>
      </c>
      <c r="AV4" s="154" t="str">
        <f>IF(AY4&lt;&gt;" ",ETANCHEITE!$D$8,"")</f>
        <v/>
      </c>
      <c r="AW4" s="146" t="str">
        <f>IFERROR(MATCH(AT4,ETANCHEITE!BH$22:BH$167,0)+18,"")</f>
        <v/>
      </c>
      <c r="AX4" s="147" t="str" cm="1">
        <f t="array" aca="1" ref="AX4" ca="1">IFERROR(IF(_xlfn.XLOOKUP(AT4,ETANCHEITE!BH$22:BH$167,ETANCHEITE!$A$22:$A$167,"")&lt;&gt;"",_xlfn.XLOOKUP(AT4,ETANCHEITE!BH$22:BH$167,ETANCHEITE!$A$22:$A$167,""),    INDEX(ETANCHEITE!$A:$A,MAX(_xlfn._xlws.FILTER(ROW(ETANCHEITE!$A$22:INDIRECT("'MENUISERIES EXTERIEURES'!$A" &amp; AW4-1)),ETANCHEITE!$A$22:INDIRECT("'MENUISERIES EXTERIEURES'!$A" &amp; AW4-1)&lt;&gt;"")))),"")&amp;"   "&amp;IFERROR(_xlfn.XLOOKUP(AT4,ETANCHEITE!BH$22:BH$167,ETANCHEITE!$B$22:$B$167),"")&amp;IFERROR(_xlfn.XLOOKUP(AT4,ETANCHEITE!BH$22:BH$167,ETANCHEITE!$C$22:$C$167),"")&amp;IFERROR(_xlfn.XLOOKUP(AT4,ETANCHEITE!BH$22:BH$167,ETANCHEITE!$D$22:$D$167),"")&amp;IFERROR(_xlfn.XLOOKUP(AT4,ETANCHEITE!BH$22:BH$167,ETANCHEITE!#REF!),"")&amp;IFERROR(_xlfn.XLOOKUP(AT4,ETANCHEITE!BH$22:BH$167,ETANCHEITE!#REF!),"")</f>
        <v xml:space="preserve">   </v>
      </c>
      <c r="AY4" s="155" t="str">
        <f>IFERROR(VLOOKUP(AT4,ETANCHEITE!BH$22:BJ$167,2,FALSE),"")&amp;" "&amp;IFERROR(VLOOKUP(AT4,ETANCHEITE!BH$22:BJ$167,3,FALSE),"")</f>
        <v xml:space="preserve"> </v>
      </c>
      <c r="AZ4" s="148" t="str">
        <f>IF(AY4&lt;&gt;" ",'Feuille de Donnée'!$C$3,"")</f>
        <v/>
      </c>
      <c r="BA4" s="162" t="str" cm="1">
        <f t="array" aca="1" ref="BA4" ca="1">IFERROR(IF(_xlfn.XLOOKUP(AT4,ETANCHEITE!BH$22:BH$92,ETANCHEITE!BF$22:BF$92,"")&lt;&gt;"",_xlfn.XLOOKUP(AT4,ETANCHEITE!BH$22:BH$92,ETANCHEITE!BF$22:BF$92,""),    INDEX(ETANCHEITE!BF:BF,MAX(_xlfn._xlws.FILTER(ROW(ETANCHEITE!BF$22:INDIRECT("'PEINTURE'!O" &amp; AW4-1)),ETANCHEITE!BF$22:INDIRECT("'PEINTURE'!O" &amp; AW4-1)&lt;&gt;"")))),"")</f>
        <v/>
      </c>
      <c r="BB4" s="163" t="str" cm="1">
        <f t="array" aca="1" ref="BB4" ca="1">IFERROR(IF(_xlfn.XLOOKUP(AT4,ETANCHEITE!BH$22:BH$92,ETANCHEITE!BG$22:BG$92,"")&lt;&gt;"",_xlfn.XLOOKUP(AT4,ETANCHEITE!BH$22:BH$92,ETANCHEITE!BG$22:BG$92,""),    INDEX(ETANCHEITE!BG:BG,MAX(_xlfn._xlws.FILTER(ROW(ETANCHEITE!BG$22:INDIRECT("'PEINTURE'!P" &amp; AW4-1)),ETANCHEITE!BG$22:INDIRECT("'PEINTURE'!P" &amp; AW4-1)&lt;&gt;"")))),"")</f>
        <v/>
      </c>
    </row>
    <row r="5" spans="1:54" ht="15" customHeight="1" x14ac:dyDescent="0.3">
      <c r="A5" s="145">
        <v>3</v>
      </c>
      <c r="B5" s="154" t="str">
        <f>IF(F5&lt;&gt;" ",ETANCHEITE!$D$5,"")</f>
        <v/>
      </c>
      <c r="C5" s="154" t="str">
        <f>IF(F5&lt;&gt;" ",ETANCHEITE!$D$8,"")</f>
        <v/>
      </c>
      <c r="D5" s="146" t="str">
        <f>IFERROR(MATCH(A5,ETANCHEITE!O$22:O$167,0)+18,"")</f>
        <v/>
      </c>
      <c r="E5" s="147" t="str" cm="1">
        <f t="array" aca="1" ref="E5" ca="1">IFERROR(IF(_xlfn.XLOOKUP(A5,ETANCHEITE!O$22:O$167,ETANCHEITE!$A$22:$A$167,"")&lt;&gt;"",_xlfn.XLOOKUP(A5,ETANCHEITE!O$22:O$167,ETANCHEITE!$A$22:$A$167,""),    INDEX(ETANCHEITE!$A:$A,MAX(_xlfn._xlws.FILTER(ROW(ETANCHEITE!$A$22:INDIRECT("'MENUISERIES EXTERIEURES'!$A" &amp; D5-1)),ETANCHEITE!$A$22:INDIRECT("'MENUISERIES EXTERIEURES'!$A" &amp; D5-1)&lt;&gt;"")))),"")&amp;"   "&amp;IFERROR(_xlfn.XLOOKUP(A5,ETANCHEITE!O$22:O$167,ETANCHEITE!$B$22:$B$167),"")&amp;IFERROR(_xlfn.XLOOKUP(A5,ETANCHEITE!O$22:O$167,ETANCHEITE!$C$22:$C$167),"")&amp;IFERROR(_xlfn.XLOOKUP(A5,ETANCHEITE!O$22:O$167,ETANCHEITE!$D$22:$D$167),"")&amp;IFERROR(_xlfn.XLOOKUP(A5,ETANCHEITE!O$22:O$167,ETANCHEITE!#REF!),"")&amp;IFERROR(_xlfn.XLOOKUP(A5,ETANCHEITE!O$22:O$167,ETANCHEITE!#REF!),"")</f>
        <v xml:space="preserve">   </v>
      </c>
      <c r="F5" s="155" t="str">
        <f>IFERROR(VLOOKUP(A5,ETANCHEITE!O$22:Q$167,2,FALSE),"")&amp;" "&amp;IFERROR(VLOOKUP(A5,ETANCHEITE!O$22:Q$167,3,FALSE),"")</f>
        <v xml:space="preserve"> </v>
      </c>
      <c r="G5" s="148" t="str">
        <f>IF(F5&lt;&gt;" ",'Feuille de Donnée'!$C$3,"")</f>
        <v/>
      </c>
      <c r="H5" s="162" t="str" cm="1">
        <f t="array" aca="1" ref="H5" ca="1">IFERROR(IF(_xlfn.XLOOKUP(A5,ETANCHEITE!O$22:O$92,ETANCHEITE!M$22:M$92,"")&lt;&gt;"",_xlfn.XLOOKUP(A5,ETANCHEITE!O$22:O$92,ETANCHEITE!M$22:M$92,""),    INDEX(ETANCHEITE!M:M,MAX(_xlfn._xlws.FILTER(ROW(ETANCHEITE!M$22:INDIRECT("'PEINTURE'!O" &amp; D5-1)),ETANCHEITE!M$22:INDIRECT("'PEINTURE'!O" &amp; D5-1)&lt;&gt;"")))),"")</f>
        <v/>
      </c>
      <c r="I5" s="163" t="str" cm="1">
        <f t="array" aca="1" ref="I5" ca="1">IFERROR(IF(_xlfn.XLOOKUP(A5,ETANCHEITE!O$22:O$92,ETANCHEITE!N$22:N$92,"")&lt;&gt;"",_xlfn.XLOOKUP(A5,ETANCHEITE!O$22:O$92,ETANCHEITE!N$22:N$92,""),    INDEX(ETANCHEITE!N:N,MAX(_xlfn._xlws.FILTER(ROW(ETANCHEITE!N$22:INDIRECT("'PEINTURE'!P" &amp; D5-1)),ETANCHEITE!N$22:INDIRECT("'PEINTURE'!P" &amp; D5-1)&lt;&gt;"")))),"")</f>
        <v/>
      </c>
      <c r="J5" s="145">
        <v>3</v>
      </c>
      <c r="K5" s="154" t="str">
        <f>IF(O5&lt;&gt;" ",ETANCHEITE!$D$5,"")</f>
        <v/>
      </c>
      <c r="L5" s="154" t="str">
        <f>IF(O5&lt;&gt;" ",ETANCHEITE!$D$8,"")</f>
        <v/>
      </c>
      <c r="M5" s="146" t="str">
        <f>IFERROR(MATCH(J5,ETANCHEITE!X$22:X$167,0)+18,"")</f>
        <v/>
      </c>
      <c r="N5" s="147" t="str" cm="1">
        <f t="array" aca="1" ref="N5" ca="1">IFERROR(IF(_xlfn.XLOOKUP(J5,ETANCHEITE!X$22:X$167,ETANCHEITE!$A$22:$A$167,"")&lt;&gt;"",_xlfn.XLOOKUP(J5,ETANCHEITE!X$22:X$167,ETANCHEITE!$A$22:$A$167,""),    INDEX(ETANCHEITE!$A:$A,MAX(_xlfn._xlws.FILTER(ROW(ETANCHEITE!$A$22:INDIRECT("'MENUISERIES EXTERIEURES'!$A" &amp; M5-1)),ETANCHEITE!$A$22:INDIRECT("'MENUISERIES EXTERIEURES'!$A" &amp; M5-1)&lt;&gt;"")))),"")&amp;"   "&amp;IFERROR(_xlfn.XLOOKUP(J5,ETANCHEITE!X$22:X$167,ETANCHEITE!$B$22:$B$167),"")&amp;IFERROR(_xlfn.XLOOKUP(J5,ETANCHEITE!X$22:X$167,ETANCHEITE!$C$22:$C$167),"")&amp;IFERROR(_xlfn.XLOOKUP(J5,ETANCHEITE!X$22:X$167,ETANCHEITE!$D$22:$D$167),"")&amp;IFERROR(_xlfn.XLOOKUP(J5,ETANCHEITE!X$22:X$167,ETANCHEITE!#REF!),"")&amp;IFERROR(_xlfn.XLOOKUP(J5,ETANCHEITE!X$22:X$167,ETANCHEITE!#REF!),"")</f>
        <v xml:space="preserve">   </v>
      </c>
      <c r="O5" s="155" t="str">
        <f>IFERROR(VLOOKUP(J5,ETANCHEITE!X$22:Z$167,2,FALSE),"")&amp;" "&amp;IFERROR(VLOOKUP(J5,ETANCHEITE!X$22:Z$167,3,FALSE),"")</f>
        <v xml:space="preserve"> </v>
      </c>
      <c r="P5" s="148" t="str">
        <f>IF(O5&lt;&gt;" ",'Feuille de Donnée'!$C$3,"")</f>
        <v/>
      </c>
      <c r="Q5" s="162" t="str" cm="1">
        <f t="array" aca="1" ref="Q5" ca="1">IFERROR(IF(_xlfn.XLOOKUP(J5,ETANCHEITE!X$22:X$92,ETANCHEITE!V$22:V$92,"")&lt;&gt;"",_xlfn.XLOOKUP(J5,ETANCHEITE!X$22:X$92,ETANCHEITE!V$22:V$92,""),    INDEX(ETANCHEITE!V:V,MAX(_xlfn._xlws.FILTER(ROW(ETANCHEITE!V$22:INDIRECT("'PEINTURE'!O" &amp; M5-1)),ETANCHEITE!V$22:INDIRECT("'PEINTURE'!O" &amp; M5-1)&lt;&gt;"")))),"")</f>
        <v/>
      </c>
      <c r="R5" s="163" t="str" cm="1">
        <f t="array" aca="1" ref="R5" ca="1">IFERROR(IF(_xlfn.XLOOKUP(J5,ETANCHEITE!X$22:X$92,ETANCHEITE!W$22:W$92,"")&lt;&gt;"",_xlfn.XLOOKUP(J5,ETANCHEITE!X$22:X$92,ETANCHEITE!W$22:W$92,""),    INDEX(ETANCHEITE!W:W,MAX(_xlfn._xlws.FILTER(ROW(ETANCHEITE!W$22:INDIRECT("'PEINTURE'!P" &amp; M5-1)),ETANCHEITE!W$22:INDIRECT("'PEINTURE'!P" &amp; M5-1)&lt;&gt;"")))),"")</f>
        <v/>
      </c>
      <c r="S5" s="145">
        <v>3</v>
      </c>
      <c r="T5" s="154" t="str">
        <f>IF(X5&lt;&gt;" ",ETANCHEITE!$D$5,"")</f>
        <v/>
      </c>
      <c r="U5" s="154" t="str">
        <f>IF(X5&lt;&gt;" ",ETANCHEITE!$D$8,"")</f>
        <v/>
      </c>
      <c r="V5" s="146" t="str">
        <f>IFERROR(MATCH(S5,ETANCHEITE!AG$22:AG$167,0)+18,"")</f>
        <v/>
      </c>
      <c r="W5" s="147" t="str" cm="1">
        <f t="array" aca="1" ref="W5" ca="1">IFERROR(IF(_xlfn.XLOOKUP(S5,ETANCHEITE!AG$22:AG$167,ETANCHEITE!$A$22:$A$167,"")&lt;&gt;"",_xlfn.XLOOKUP(S5,ETANCHEITE!AG$22:AG$167,ETANCHEITE!$A$22:$A$167,""),    INDEX(ETANCHEITE!$A:$A,MAX(_xlfn._xlws.FILTER(ROW(ETANCHEITE!$A$22:INDIRECT("'MENUISERIES EXTERIEURES'!$A" &amp; V5-1)),ETANCHEITE!$A$22:INDIRECT("'MENUISERIES EXTERIEURES'!$A" &amp; V5-1)&lt;&gt;"")))),"")&amp;"   "&amp;IFERROR(_xlfn.XLOOKUP(S5,ETANCHEITE!AG$22:AG$167,ETANCHEITE!$B$22:$B$167),"")&amp;IFERROR(_xlfn.XLOOKUP(S5,ETANCHEITE!AG$22:AG$167,ETANCHEITE!$C$22:$C$167),"")&amp;IFERROR(_xlfn.XLOOKUP(S5,ETANCHEITE!AG$22:AG$167,ETANCHEITE!$D$22:$D$167),"")&amp;IFERROR(_xlfn.XLOOKUP(S5,ETANCHEITE!AG$22:AG$167,ETANCHEITE!#REF!),"")&amp;IFERROR(_xlfn.XLOOKUP(S5,ETANCHEITE!AG$22:AG$167,ETANCHEITE!#REF!),"")</f>
        <v xml:space="preserve">   </v>
      </c>
      <c r="X5" s="155" t="str">
        <f>IFERROR(VLOOKUP(S5,ETANCHEITE!AG$22:AI$167,2,FALSE),"")&amp;" "&amp;IFERROR(VLOOKUP(S5,ETANCHEITE!AG$22:AI$167,3,FALSE),"")</f>
        <v xml:space="preserve"> </v>
      </c>
      <c r="Y5" s="148" t="str">
        <f>IF(X5&lt;&gt;" ",'Feuille de Donnée'!$C$3,"")</f>
        <v/>
      </c>
      <c r="Z5" s="162" t="str" cm="1">
        <f t="array" aca="1" ref="Z5" ca="1">IFERROR(IF(_xlfn.XLOOKUP(S5,ETANCHEITE!AG$22:AG$92,ETANCHEITE!AE$22:AE$92,"")&lt;&gt;"",_xlfn.XLOOKUP(S5,ETANCHEITE!AG$22:AG$92,ETANCHEITE!AE$22:AE$92,""),    INDEX(ETANCHEITE!AE:AE,MAX(_xlfn._xlws.FILTER(ROW(ETANCHEITE!AE$22:INDIRECT("'PEINTURE'!O" &amp; V5-1)),ETANCHEITE!AE$22:INDIRECT("'PEINTURE'!O" &amp; V5-1)&lt;&gt;"")))),"")</f>
        <v/>
      </c>
      <c r="AA5" s="163" t="str" cm="1">
        <f t="array" aca="1" ref="AA5" ca="1">IFERROR(IF(_xlfn.XLOOKUP(S5,ETANCHEITE!AG$22:AG$92,ETANCHEITE!AF$22:AF$92,"")&lt;&gt;"",_xlfn.XLOOKUP(S5,ETANCHEITE!AG$22:AG$92,ETANCHEITE!AF$22:AF$92,""),    INDEX(ETANCHEITE!AF:AF,MAX(_xlfn._xlws.FILTER(ROW(ETANCHEITE!AF$22:INDIRECT("'PEINTURE'!P" &amp; V5-1)),ETANCHEITE!AF$22:INDIRECT("'PEINTURE'!P" &amp; V5-1)&lt;&gt;"")))),"")</f>
        <v/>
      </c>
      <c r="AB5" s="145">
        <v>3</v>
      </c>
      <c r="AC5" s="154" t="str">
        <f>IF(AG5&lt;&gt;" ",ETANCHEITE!$D$5,"")</f>
        <v/>
      </c>
      <c r="AD5" s="154" t="str">
        <f>IF(AG5&lt;&gt;" ",ETANCHEITE!$D$8,"")</f>
        <v/>
      </c>
      <c r="AE5" s="146" t="str">
        <f>IFERROR(MATCH(AB5,ETANCHEITE!AP$22:AP$167,0)+18,"")</f>
        <v/>
      </c>
      <c r="AF5" s="147" t="str" cm="1">
        <f t="array" aca="1" ref="AF5" ca="1">IFERROR(IF(_xlfn.XLOOKUP(AB5,ETANCHEITE!AP$22:AP$167,ETANCHEITE!$A$22:$A$167,"")&lt;&gt;"",_xlfn.XLOOKUP(AB5,ETANCHEITE!AP$22:AP$167,ETANCHEITE!$A$22:$A$167,""),    INDEX(ETANCHEITE!$A:$A,MAX(_xlfn._xlws.FILTER(ROW(ETANCHEITE!$A$22:INDIRECT("'MENUISERIES EXTERIEURES'!$A" &amp; AE5-1)),ETANCHEITE!$A$22:INDIRECT("'MENUISERIES EXTERIEURES'!$A" &amp; AE5-1)&lt;&gt;"")))),"")&amp;"   "&amp;IFERROR(_xlfn.XLOOKUP(AB5,ETANCHEITE!AP$22:AP$167,ETANCHEITE!$B$22:$B$167),"")&amp;IFERROR(_xlfn.XLOOKUP(AB5,ETANCHEITE!AP$22:AP$167,ETANCHEITE!$C$22:$C$167),"")&amp;IFERROR(_xlfn.XLOOKUP(AB5,ETANCHEITE!AP$22:AP$167,ETANCHEITE!$D$22:$D$167),"")&amp;IFERROR(_xlfn.XLOOKUP(AB5,ETANCHEITE!AP$22:AP$167,ETANCHEITE!#REF!),"")&amp;IFERROR(_xlfn.XLOOKUP(AB5,ETANCHEITE!AP$22:AP$167,ETANCHEITE!#REF!),"")</f>
        <v xml:space="preserve">   </v>
      </c>
      <c r="AG5" s="155" t="str">
        <f>IFERROR(VLOOKUP(AB5,ETANCHEITE!AP$22:AR$167,2,FALSE),"")&amp;" "&amp;IFERROR(VLOOKUP(AB5,ETANCHEITE!AP$22:AR$167,3,FALSE),"")</f>
        <v xml:space="preserve"> </v>
      </c>
      <c r="AH5" s="148" t="str">
        <f>IF(AG5&lt;&gt;" ",'Feuille de Donnée'!$C$3,"")</f>
        <v/>
      </c>
      <c r="AI5" s="162" t="str" cm="1">
        <f t="array" aca="1" ref="AI5" ca="1">IFERROR(IF(_xlfn.XLOOKUP(AB5,ETANCHEITE!AP$22:AP$92,ETANCHEITE!AN$22:AN$92,"")&lt;&gt;"",_xlfn.XLOOKUP(AB5,ETANCHEITE!AP$22:AP$92,ETANCHEITE!AN$22:AN$92,""),    INDEX(ETANCHEITE!AN:AN,MAX(_xlfn._xlws.FILTER(ROW(ETANCHEITE!AN$22:INDIRECT("'PEINTURE'!O" &amp; AE5-1)),ETANCHEITE!AN$22:INDIRECT("'PEINTURE'!O" &amp; AE5-1)&lt;&gt;"")))),"")</f>
        <v/>
      </c>
      <c r="AJ5" s="163" t="str" cm="1">
        <f t="array" aca="1" ref="AJ5" ca="1">IFERROR(IF(_xlfn.XLOOKUP(AB5,ETANCHEITE!AP$22:AP$92,ETANCHEITE!AO$22:AO$92,"")&lt;&gt;"",_xlfn.XLOOKUP(AB5,ETANCHEITE!AP$22:AP$92,ETANCHEITE!AO$22:AO$92,""),    INDEX(ETANCHEITE!AO:AO,MAX(_xlfn._xlws.FILTER(ROW(ETANCHEITE!AO$22:INDIRECT("'PEINTURE'!P" &amp; AE5-1)),ETANCHEITE!AO$22:INDIRECT("'PEINTURE'!P" &amp; AE5-1)&lt;&gt;"")))),"")</f>
        <v/>
      </c>
      <c r="AK5" s="145">
        <v>3</v>
      </c>
      <c r="AL5" s="154" t="str">
        <f>IF(AP5&lt;&gt;" ",ETANCHEITE!$D$5,"")</f>
        <v/>
      </c>
      <c r="AM5" s="154" t="str">
        <f>IF(AP5&lt;&gt;" ",ETANCHEITE!$D$8,"")</f>
        <v/>
      </c>
      <c r="AN5" s="146" t="str">
        <f>IFERROR(MATCH(AK5,ETANCHEITE!AY$22:AY$167,0)+18,"")</f>
        <v/>
      </c>
      <c r="AO5" s="147" t="str" cm="1">
        <f t="array" aca="1" ref="AO5" ca="1">IFERROR(IF(_xlfn.XLOOKUP(AK5,ETANCHEITE!AY$22:AY$167,ETANCHEITE!$A$22:$A$167,"")&lt;&gt;"",_xlfn.XLOOKUP(AK5,ETANCHEITE!AY$22:AY$167,ETANCHEITE!$A$22:$A$167,""),    INDEX(ETANCHEITE!$A:$A,MAX(_xlfn._xlws.FILTER(ROW(ETANCHEITE!$A$22:INDIRECT("'MENUISERIES EXTERIEURES'!$A" &amp; AN5-1)),ETANCHEITE!$A$22:INDIRECT("'MENUISERIES EXTERIEURES'!$A" &amp; AN5-1)&lt;&gt;"")))),"")&amp;"   "&amp;IFERROR(_xlfn.XLOOKUP(AK5,ETANCHEITE!AY$22:AY$167,ETANCHEITE!$B$22:$B$167),"")&amp;IFERROR(_xlfn.XLOOKUP(AK5,ETANCHEITE!AY$22:AY$167,ETANCHEITE!$C$22:$C$167),"")&amp;IFERROR(_xlfn.XLOOKUP(AK5,ETANCHEITE!AY$22:AY$167,ETANCHEITE!$D$22:$D$167),"")&amp;IFERROR(_xlfn.XLOOKUP(AK5,ETANCHEITE!AY$22:AY$167,ETANCHEITE!#REF!),"")&amp;IFERROR(_xlfn.XLOOKUP(AK5,ETANCHEITE!AY$22:AY$167,ETANCHEITE!#REF!),"")</f>
        <v xml:space="preserve">   </v>
      </c>
      <c r="AP5" s="155" t="str">
        <f>IFERROR(VLOOKUP(AK5,ETANCHEITE!AY$22:BA$167,2,FALSE),"")&amp;" "&amp;IFERROR(VLOOKUP(AK5,ETANCHEITE!AY$22:BA$167,3,FALSE),"")</f>
        <v xml:space="preserve"> </v>
      </c>
      <c r="AQ5" s="148" t="str">
        <f>IF(AP5&lt;&gt;" ",'Feuille de Donnée'!$C$3,"")</f>
        <v/>
      </c>
      <c r="AR5" s="162" t="str" cm="1">
        <f t="array" aca="1" ref="AR5" ca="1">IFERROR(IF(_xlfn.XLOOKUP(AK5,ETANCHEITE!AY$22:AY$92,ETANCHEITE!AW$22:AW$92,"")&lt;&gt;"",_xlfn.XLOOKUP(AK5,ETANCHEITE!AY$22:AY$92,ETANCHEITE!AW$22:AW$92,""),    INDEX(ETANCHEITE!AW:AW,MAX(_xlfn._xlws.FILTER(ROW(ETANCHEITE!AW$22:INDIRECT("'PEINTURE'!O" &amp; AN5-1)),ETANCHEITE!AW$22:INDIRECT("'PEINTURE'!O" &amp; AN5-1)&lt;&gt;"")))),"")</f>
        <v/>
      </c>
      <c r="AS5" s="163" t="str" cm="1">
        <f t="array" aca="1" ref="AS5" ca="1">IFERROR(IF(_xlfn.XLOOKUP(AK5,ETANCHEITE!AY$22:AY$92,ETANCHEITE!AX$22:AX$92,"")&lt;&gt;"",_xlfn.XLOOKUP(AK5,ETANCHEITE!AY$22:AY$92,ETANCHEITE!AX$22:AX$92,""),    INDEX(ETANCHEITE!AX:AX,MAX(_xlfn._xlws.FILTER(ROW(ETANCHEITE!AX$22:INDIRECT("'PEINTURE'!P" &amp; AN5-1)),ETANCHEITE!AX$22:INDIRECT("'PEINTURE'!P" &amp; AN5-1)&lt;&gt;"")))),"")</f>
        <v/>
      </c>
      <c r="AT5" s="145">
        <v>3</v>
      </c>
      <c r="AU5" s="154" t="str">
        <f>IF(AY5&lt;&gt;" ",ETANCHEITE!$D$5,"")</f>
        <v/>
      </c>
      <c r="AV5" s="154" t="str">
        <f>IF(AY5&lt;&gt;" ",ETANCHEITE!$D$8,"")</f>
        <v/>
      </c>
      <c r="AW5" s="146" t="str">
        <f>IFERROR(MATCH(AT5,ETANCHEITE!BH$22:BH$167,0)+18,"")</f>
        <v/>
      </c>
      <c r="AX5" s="147" t="str" cm="1">
        <f t="array" aca="1" ref="AX5" ca="1">IFERROR(IF(_xlfn.XLOOKUP(AT5,ETANCHEITE!BH$22:BH$167,ETANCHEITE!$A$22:$A$167,"")&lt;&gt;"",_xlfn.XLOOKUP(AT5,ETANCHEITE!BH$22:BH$167,ETANCHEITE!$A$22:$A$167,""),    INDEX(ETANCHEITE!$A:$A,MAX(_xlfn._xlws.FILTER(ROW(ETANCHEITE!$A$22:INDIRECT("'MENUISERIES EXTERIEURES'!$A" &amp; AW5-1)),ETANCHEITE!$A$22:INDIRECT("'MENUISERIES EXTERIEURES'!$A" &amp; AW5-1)&lt;&gt;"")))),"")&amp;"   "&amp;IFERROR(_xlfn.XLOOKUP(AT5,ETANCHEITE!BH$22:BH$167,ETANCHEITE!$B$22:$B$167),"")&amp;IFERROR(_xlfn.XLOOKUP(AT5,ETANCHEITE!BH$22:BH$167,ETANCHEITE!$C$22:$C$167),"")&amp;IFERROR(_xlfn.XLOOKUP(AT5,ETANCHEITE!BH$22:BH$167,ETANCHEITE!$D$22:$D$167),"")&amp;IFERROR(_xlfn.XLOOKUP(AT5,ETANCHEITE!BH$22:BH$167,ETANCHEITE!#REF!),"")&amp;IFERROR(_xlfn.XLOOKUP(AT5,ETANCHEITE!BH$22:BH$167,ETANCHEITE!#REF!),"")</f>
        <v xml:space="preserve">   </v>
      </c>
      <c r="AY5" s="155" t="str">
        <f>IFERROR(VLOOKUP(AT5,ETANCHEITE!BH$22:BJ$167,2,FALSE),"")&amp;" "&amp;IFERROR(VLOOKUP(AT5,ETANCHEITE!BH$22:BJ$167,3,FALSE),"")</f>
        <v xml:space="preserve"> </v>
      </c>
      <c r="AZ5" s="148" t="str">
        <f>IF(AY5&lt;&gt;" ",'Feuille de Donnée'!$C$3,"")</f>
        <v/>
      </c>
      <c r="BA5" s="162" t="str" cm="1">
        <f t="array" aca="1" ref="BA5" ca="1">IFERROR(IF(_xlfn.XLOOKUP(AT5,ETANCHEITE!BH$22:BH$92,ETANCHEITE!BF$22:BF$92,"")&lt;&gt;"",_xlfn.XLOOKUP(AT5,ETANCHEITE!BH$22:BH$92,ETANCHEITE!BF$22:BF$92,""),    INDEX(ETANCHEITE!BF:BF,MAX(_xlfn._xlws.FILTER(ROW(ETANCHEITE!BF$22:INDIRECT("'PEINTURE'!O" &amp; AW5-1)),ETANCHEITE!BF$22:INDIRECT("'PEINTURE'!O" &amp; AW5-1)&lt;&gt;"")))),"")</f>
        <v/>
      </c>
      <c r="BB5" s="163" t="str" cm="1">
        <f t="array" aca="1" ref="BB5" ca="1">IFERROR(IF(_xlfn.XLOOKUP(AT5,ETANCHEITE!BH$22:BH$92,ETANCHEITE!BG$22:BG$92,"")&lt;&gt;"",_xlfn.XLOOKUP(AT5,ETANCHEITE!BH$22:BH$92,ETANCHEITE!BG$22:BG$92,""),    INDEX(ETANCHEITE!BG:BG,MAX(_xlfn._xlws.FILTER(ROW(ETANCHEITE!BG$22:INDIRECT("'PEINTURE'!P" &amp; AW5-1)),ETANCHEITE!BG$22:INDIRECT("'PEINTURE'!P" &amp; AW5-1)&lt;&gt;"")))),"")</f>
        <v/>
      </c>
    </row>
    <row r="6" spans="1:54" ht="15" customHeight="1" x14ac:dyDescent="0.3">
      <c r="A6" s="145">
        <v>4</v>
      </c>
      <c r="B6" s="154" t="str">
        <f>IF(F6&lt;&gt;" ",ETANCHEITE!$D$5,"")</f>
        <v/>
      </c>
      <c r="C6" s="154" t="str">
        <f>IF(F6&lt;&gt;" ",ETANCHEITE!$D$8,"")</f>
        <v/>
      </c>
      <c r="D6" s="146" t="str">
        <f>IFERROR(MATCH(A6,ETANCHEITE!O$22:O$167,0)+18,"")</f>
        <v/>
      </c>
      <c r="E6" s="147" t="str" cm="1">
        <f t="array" aca="1" ref="E6" ca="1">IFERROR(IF(_xlfn.XLOOKUP(A6,ETANCHEITE!O$22:O$167,ETANCHEITE!$A$22:$A$167,"")&lt;&gt;"",_xlfn.XLOOKUP(A6,ETANCHEITE!O$22:O$167,ETANCHEITE!$A$22:$A$167,""),    INDEX(ETANCHEITE!$A:$A,MAX(_xlfn._xlws.FILTER(ROW(ETANCHEITE!$A$22:INDIRECT("'MENUISERIES EXTERIEURES'!$A" &amp; D6-1)),ETANCHEITE!$A$22:INDIRECT("'MENUISERIES EXTERIEURES'!$A" &amp; D6-1)&lt;&gt;"")))),"")&amp;"   "&amp;IFERROR(_xlfn.XLOOKUP(A6,ETANCHEITE!O$22:O$167,ETANCHEITE!$B$22:$B$167),"")&amp;IFERROR(_xlfn.XLOOKUP(A6,ETANCHEITE!O$22:O$167,ETANCHEITE!$C$22:$C$167),"")&amp;IFERROR(_xlfn.XLOOKUP(A6,ETANCHEITE!O$22:O$167,ETANCHEITE!$D$22:$D$167),"")&amp;IFERROR(_xlfn.XLOOKUP(A6,ETANCHEITE!O$22:O$167,ETANCHEITE!#REF!),"")&amp;IFERROR(_xlfn.XLOOKUP(A6,ETANCHEITE!O$22:O$167,ETANCHEITE!#REF!),"")</f>
        <v xml:space="preserve">   </v>
      </c>
      <c r="F6" s="155" t="str">
        <f>IFERROR(VLOOKUP(A6,ETANCHEITE!O$22:Q$167,2,FALSE),"")&amp;" "&amp;IFERROR(VLOOKUP(A6,ETANCHEITE!O$22:Q$167,3,FALSE),"")</f>
        <v xml:space="preserve"> </v>
      </c>
      <c r="G6" s="148" t="str">
        <f>IF(F6&lt;&gt;" ",'Feuille de Donnée'!$C$3,"")</f>
        <v/>
      </c>
      <c r="H6" s="162" t="str" cm="1">
        <f t="array" aca="1" ref="H6" ca="1">IFERROR(IF(_xlfn.XLOOKUP(A6,ETANCHEITE!O$22:O$92,ETANCHEITE!M$22:M$92,"")&lt;&gt;"",_xlfn.XLOOKUP(A6,ETANCHEITE!O$22:O$92,ETANCHEITE!M$22:M$92,""),    INDEX(ETANCHEITE!M:M,MAX(_xlfn._xlws.FILTER(ROW(ETANCHEITE!M$22:INDIRECT("'PEINTURE'!O" &amp; D6-1)),ETANCHEITE!M$22:INDIRECT("'PEINTURE'!O" &amp; D6-1)&lt;&gt;"")))),"")</f>
        <v/>
      </c>
      <c r="I6" s="163" t="str" cm="1">
        <f t="array" aca="1" ref="I6" ca="1">IFERROR(IF(_xlfn.XLOOKUP(A6,ETANCHEITE!O$22:O$92,ETANCHEITE!N$22:N$92,"")&lt;&gt;"",_xlfn.XLOOKUP(A6,ETANCHEITE!O$22:O$92,ETANCHEITE!N$22:N$92,""),    INDEX(ETANCHEITE!N:N,MAX(_xlfn._xlws.FILTER(ROW(ETANCHEITE!N$22:INDIRECT("'PEINTURE'!P" &amp; D6-1)),ETANCHEITE!N$22:INDIRECT("'PEINTURE'!P" &amp; D6-1)&lt;&gt;"")))),"")</f>
        <v/>
      </c>
      <c r="J6" s="145">
        <v>4</v>
      </c>
      <c r="K6" s="154" t="str">
        <f>IF(O6&lt;&gt;" ",ETANCHEITE!$D$5,"")</f>
        <v/>
      </c>
      <c r="L6" s="154" t="str">
        <f>IF(O6&lt;&gt;" ",ETANCHEITE!$D$8,"")</f>
        <v/>
      </c>
      <c r="M6" s="146" t="str">
        <f>IFERROR(MATCH(J6,ETANCHEITE!X$22:X$167,0)+18,"")</f>
        <v/>
      </c>
      <c r="N6" s="147" t="str" cm="1">
        <f t="array" aca="1" ref="N6" ca="1">IFERROR(IF(_xlfn.XLOOKUP(J6,ETANCHEITE!X$22:X$167,ETANCHEITE!$A$22:$A$167,"")&lt;&gt;"",_xlfn.XLOOKUP(J6,ETANCHEITE!X$22:X$167,ETANCHEITE!$A$22:$A$167,""),    INDEX(ETANCHEITE!$A:$A,MAX(_xlfn._xlws.FILTER(ROW(ETANCHEITE!$A$22:INDIRECT("'MENUISERIES EXTERIEURES'!$A" &amp; M6-1)),ETANCHEITE!$A$22:INDIRECT("'MENUISERIES EXTERIEURES'!$A" &amp; M6-1)&lt;&gt;"")))),"")&amp;"   "&amp;IFERROR(_xlfn.XLOOKUP(J6,ETANCHEITE!X$22:X$167,ETANCHEITE!$B$22:$B$167),"")&amp;IFERROR(_xlfn.XLOOKUP(J6,ETANCHEITE!X$22:X$167,ETANCHEITE!$C$22:$C$167),"")&amp;IFERROR(_xlfn.XLOOKUP(J6,ETANCHEITE!X$22:X$167,ETANCHEITE!$D$22:$D$167),"")&amp;IFERROR(_xlfn.XLOOKUP(J6,ETANCHEITE!X$22:X$167,ETANCHEITE!#REF!),"")&amp;IFERROR(_xlfn.XLOOKUP(J6,ETANCHEITE!X$22:X$167,ETANCHEITE!#REF!),"")</f>
        <v xml:space="preserve">   </v>
      </c>
      <c r="O6" s="155" t="str">
        <f>IFERROR(VLOOKUP(J6,ETANCHEITE!X$22:Z$167,2,FALSE),"")&amp;" "&amp;IFERROR(VLOOKUP(J6,ETANCHEITE!X$22:Z$167,3,FALSE),"")</f>
        <v xml:space="preserve"> </v>
      </c>
      <c r="P6" s="148" t="str">
        <f>IF(O6&lt;&gt;" ",'Feuille de Donnée'!$C$3,"")</f>
        <v/>
      </c>
      <c r="Q6" s="162" t="str" cm="1">
        <f t="array" aca="1" ref="Q6" ca="1">IFERROR(IF(_xlfn.XLOOKUP(J6,ETANCHEITE!X$22:X$92,ETANCHEITE!V$22:V$92,"")&lt;&gt;"",_xlfn.XLOOKUP(J6,ETANCHEITE!X$22:X$92,ETANCHEITE!V$22:V$92,""),    INDEX(ETANCHEITE!V:V,MAX(_xlfn._xlws.FILTER(ROW(ETANCHEITE!V$22:INDIRECT("'PEINTURE'!O" &amp; M6-1)),ETANCHEITE!V$22:INDIRECT("'PEINTURE'!O" &amp; M6-1)&lt;&gt;"")))),"")</f>
        <v/>
      </c>
      <c r="R6" s="163" t="str" cm="1">
        <f t="array" aca="1" ref="R6" ca="1">IFERROR(IF(_xlfn.XLOOKUP(J6,ETANCHEITE!X$22:X$92,ETANCHEITE!W$22:W$92,"")&lt;&gt;"",_xlfn.XLOOKUP(J6,ETANCHEITE!X$22:X$92,ETANCHEITE!W$22:W$92,""),    INDEX(ETANCHEITE!W:W,MAX(_xlfn._xlws.FILTER(ROW(ETANCHEITE!W$22:INDIRECT("'PEINTURE'!P" &amp; M6-1)),ETANCHEITE!W$22:INDIRECT("'PEINTURE'!P" &amp; M6-1)&lt;&gt;"")))),"")</f>
        <v/>
      </c>
      <c r="S6" s="145">
        <v>4</v>
      </c>
      <c r="T6" s="154" t="str">
        <f>IF(X6&lt;&gt;" ",ETANCHEITE!$D$5,"")</f>
        <v/>
      </c>
      <c r="U6" s="154" t="str">
        <f>IF(X6&lt;&gt;" ",ETANCHEITE!$D$8,"")</f>
        <v/>
      </c>
      <c r="V6" s="146" t="str">
        <f>IFERROR(MATCH(S6,ETANCHEITE!AG$22:AG$167,0)+18,"")</f>
        <v/>
      </c>
      <c r="W6" s="147" t="str" cm="1">
        <f t="array" aca="1" ref="W6" ca="1">IFERROR(IF(_xlfn.XLOOKUP(S6,ETANCHEITE!AG$22:AG$167,ETANCHEITE!$A$22:$A$167,"")&lt;&gt;"",_xlfn.XLOOKUP(S6,ETANCHEITE!AG$22:AG$167,ETANCHEITE!$A$22:$A$167,""),    INDEX(ETANCHEITE!$A:$A,MAX(_xlfn._xlws.FILTER(ROW(ETANCHEITE!$A$22:INDIRECT("'MENUISERIES EXTERIEURES'!$A" &amp; V6-1)),ETANCHEITE!$A$22:INDIRECT("'MENUISERIES EXTERIEURES'!$A" &amp; V6-1)&lt;&gt;"")))),"")&amp;"   "&amp;IFERROR(_xlfn.XLOOKUP(S6,ETANCHEITE!AG$22:AG$167,ETANCHEITE!$B$22:$B$167),"")&amp;IFERROR(_xlfn.XLOOKUP(S6,ETANCHEITE!AG$22:AG$167,ETANCHEITE!$C$22:$C$167),"")&amp;IFERROR(_xlfn.XLOOKUP(S6,ETANCHEITE!AG$22:AG$167,ETANCHEITE!$D$22:$D$167),"")&amp;IFERROR(_xlfn.XLOOKUP(S6,ETANCHEITE!AG$22:AG$167,ETANCHEITE!#REF!),"")&amp;IFERROR(_xlfn.XLOOKUP(S6,ETANCHEITE!AG$22:AG$167,ETANCHEITE!#REF!),"")</f>
        <v xml:space="preserve">   </v>
      </c>
      <c r="X6" s="155" t="str">
        <f>IFERROR(VLOOKUP(S6,ETANCHEITE!AG$22:AI$167,2,FALSE),"")&amp;" "&amp;IFERROR(VLOOKUP(S6,ETANCHEITE!AG$22:AI$167,3,FALSE),"")</f>
        <v xml:space="preserve"> </v>
      </c>
      <c r="Y6" s="148" t="str">
        <f>IF(X6&lt;&gt;" ",'Feuille de Donnée'!$C$3,"")</f>
        <v/>
      </c>
      <c r="Z6" s="162" t="str" cm="1">
        <f t="array" aca="1" ref="Z6" ca="1">IFERROR(IF(_xlfn.XLOOKUP(S6,ETANCHEITE!AG$22:AG$92,ETANCHEITE!AE$22:AE$92,"")&lt;&gt;"",_xlfn.XLOOKUP(S6,ETANCHEITE!AG$22:AG$92,ETANCHEITE!AE$22:AE$92,""),    INDEX(ETANCHEITE!AE:AE,MAX(_xlfn._xlws.FILTER(ROW(ETANCHEITE!AE$22:INDIRECT("'PEINTURE'!O" &amp; V6-1)),ETANCHEITE!AE$22:INDIRECT("'PEINTURE'!O" &amp; V6-1)&lt;&gt;"")))),"")</f>
        <v/>
      </c>
      <c r="AA6" s="163" t="str" cm="1">
        <f t="array" aca="1" ref="AA6" ca="1">IFERROR(IF(_xlfn.XLOOKUP(S6,ETANCHEITE!AG$22:AG$92,ETANCHEITE!AF$22:AF$92,"")&lt;&gt;"",_xlfn.XLOOKUP(S6,ETANCHEITE!AG$22:AG$92,ETANCHEITE!AF$22:AF$92,""),    INDEX(ETANCHEITE!AF:AF,MAX(_xlfn._xlws.FILTER(ROW(ETANCHEITE!AF$22:INDIRECT("'PEINTURE'!P" &amp; V6-1)),ETANCHEITE!AF$22:INDIRECT("'PEINTURE'!P" &amp; V6-1)&lt;&gt;"")))),"")</f>
        <v/>
      </c>
      <c r="AB6" s="145">
        <v>4</v>
      </c>
      <c r="AC6" s="154" t="str">
        <f>IF(AG6&lt;&gt;" ",ETANCHEITE!$D$5,"")</f>
        <v/>
      </c>
      <c r="AD6" s="154" t="str">
        <f>IF(AG6&lt;&gt;" ",ETANCHEITE!$D$8,"")</f>
        <v/>
      </c>
      <c r="AE6" s="146" t="str">
        <f>IFERROR(MATCH(AB6,ETANCHEITE!AP$22:AP$167,0)+18,"")</f>
        <v/>
      </c>
      <c r="AF6" s="147" t="str" cm="1">
        <f t="array" aca="1" ref="AF6" ca="1">IFERROR(IF(_xlfn.XLOOKUP(AB6,ETANCHEITE!AP$22:AP$167,ETANCHEITE!$A$22:$A$167,"")&lt;&gt;"",_xlfn.XLOOKUP(AB6,ETANCHEITE!AP$22:AP$167,ETANCHEITE!$A$22:$A$167,""),    INDEX(ETANCHEITE!$A:$A,MAX(_xlfn._xlws.FILTER(ROW(ETANCHEITE!$A$22:INDIRECT("'MENUISERIES EXTERIEURES'!$A" &amp; AE6-1)),ETANCHEITE!$A$22:INDIRECT("'MENUISERIES EXTERIEURES'!$A" &amp; AE6-1)&lt;&gt;"")))),"")&amp;"   "&amp;IFERROR(_xlfn.XLOOKUP(AB6,ETANCHEITE!AP$22:AP$167,ETANCHEITE!$B$22:$B$167),"")&amp;IFERROR(_xlfn.XLOOKUP(AB6,ETANCHEITE!AP$22:AP$167,ETANCHEITE!$C$22:$C$167),"")&amp;IFERROR(_xlfn.XLOOKUP(AB6,ETANCHEITE!AP$22:AP$167,ETANCHEITE!$D$22:$D$167),"")&amp;IFERROR(_xlfn.XLOOKUP(AB6,ETANCHEITE!AP$22:AP$167,ETANCHEITE!#REF!),"")&amp;IFERROR(_xlfn.XLOOKUP(AB6,ETANCHEITE!AP$22:AP$167,ETANCHEITE!#REF!),"")</f>
        <v xml:space="preserve">   </v>
      </c>
      <c r="AG6" s="155" t="str">
        <f>IFERROR(VLOOKUP(AB6,ETANCHEITE!AP$22:AR$167,2,FALSE),"")&amp;" "&amp;IFERROR(VLOOKUP(AB6,ETANCHEITE!AP$22:AR$167,3,FALSE),"")</f>
        <v xml:space="preserve"> </v>
      </c>
      <c r="AH6" s="148" t="str">
        <f>IF(AG6&lt;&gt;" ",'Feuille de Donnée'!$C$3,"")</f>
        <v/>
      </c>
      <c r="AI6" s="162" t="str" cm="1">
        <f t="array" aca="1" ref="AI6" ca="1">IFERROR(IF(_xlfn.XLOOKUP(AB6,ETANCHEITE!AP$22:AP$92,ETANCHEITE!AN$22:AN$92,"")&lt;&gt;"",_xlfn.XLOOKUP(AB6,ETANCHEITE!AP$22:AP$92,ETANCHEITE!AN$22:AN$92,""),    INDEX(ETANCHEITE!AN:AN,MAX(_xlfn._xlws.FILTER(ROW(ETANCHEITE!AN$22:INDIRECT("'PEINTURE'!O" &amp; AE6-1)),ETANCHEITE!AN$22:INDIRECT("'PEINTURE'!O" &amp; AE6-1)&lt;&gt;"")))),"")</f>
        <v/>
      </c>
      <c r="AJ6" s="163" t="str" cm="1">
        <f t="array" aca="1" ref="AJ6" ca="1">IFERROR(IF(_xlfn.XLOOKUP(AB6,ETANCHEITE!AP$22:AP$92,ETANCHEITE!AO$22:AO$92,"")&lt;&gt;"",_xlfn.XLOOKUP(AB6,ETANCHEITE!AP$22:AP$92,ETANCHEITE!AO$22:AO$92,""),    INDEX(ETANCHEITE!AO:AO,MAX(_xlfn._xlws.FILTER(ROW(ETANCHEITE!AO$22:INDIRECT("'PEINTURE'!P" &amp; AE6-1)),ETANCHEITE!AO$22:INDIRECT("'PEINTURE'!P" &amp; AE6-1)&lt;&gt;"")))),"")</f>
        <v/>
      </c>
      <c r="AK6" s="145">
        <v>4</v>
      </c>
      <c r="AL6" s="154" t="str">
        <f>IF(AP6&lt;&gt;" ",ETANCHEITE!$D$5,"")</f>
        <v/>
      </c>
      <c r="AM6" s="154" t="str">
        <f>IF(AP6&lt;&gt;" ",ETANCHEITE!$D$8,"")</f>
        <v/>
      </c>
      <c r="AN6" s="146" t="str">
        <f>IFERROR(MATCH(AK6,ETANCHEITE!AY$22:AY$167,0)+18,"")</f>
        <v/>
      </c>
      <c r="AO6" s="147" t="str" cm="1">
        <f t="array" aca="1" ref="AO6" ca="1">IFERROR(IF(_xlfn.XLOOKUP(AK6,ETANCHEITE!AY$22:AY$167,ETANCHEITE!$A$22:$A$167,"")&lt;&gt;"",_xlfn.XLOOKUP(AK6,ETANCHEITE!AY$22:AY$167,ETANCHEITE!$A$22:$A$167,""),    INDEX(ETANCHEITE!$A:$A,MAX(_xlfn._xlws.FILTER(ROW(ETANCHEITE!$A$22:INDIRECT("'MENUISERIES EXTERIEURES'!$A" &amp; AN6-1)),ETANCHEITE!$A$22:INDIRECT("'MENUISERIES EXTERIEURES'!$A" &amp; AN6-1)&lt;&gt;"")))),"")&amp;"   "&amp;IFERROR(_xlfn.XLOOKUP(AK6,ETANCHEITE!AY$22:AY$167,ETANCHEITE!$B$22:$B$167),"")&amp;IFERROR(_xlfn.XLOOKUP(AK6,ETANCHEITE!AY$22:AY$167,ETANCHEITE!$C$22:$C$167),"")&amp;IFERROR(_xlfn.XLOOKUP(AK6,ETANCHEITE!AY$22:AY$167,ETANCHEITE!$D$22:$D$167),"")&amp;IFERROR(_xlfn.XLOOKUP(AK6,ETANCHEITE!AY$22:AY$167,ETANCHEITE!#REF!),"")&amp;IFERROR(_xlfn.XLOOKUP(AK6,ETANCHEITE!AY$22:AY$167,ETANCHEITE!#REF!),"")</f>
        <v xml:space="preserve">   </v>
      </c>
      <c r="AP6" s="155" t="str">
        <f>IFERROR(VLOOKUP(AK6,ETANCHEITE!AY$22:BA$167,2,FALSE),"")&amp;" "&amp;IFERROR(VLOOKUP(AK6,ETANCHEITE!AY$22:BA$167,3,FALSE),"")</f>
        <v xml:space="preserve"> </v>
      </c>
      <c r="AQ6" s="148" t="str">
        <f>IF(AP6&lt;&gt;" ",'Feuille de Donnée'!$C$3,"")</f>
        <v/>
      </c>
      <c r="AR6" s="162" t="str" cm="1">
        <f t="array" aca="1" ref="AR6" ca="1">IFERROR(IF(_xlfn.XLOOKUP(AK6,ETANCHEITE!AY$22:AY$92,ETANCHEITE!AW$22:AW$92,"")&lt;&gt;"",_xlfn.XLOOKUP(AK6,ETANCHEITE!AY$22:AY$92,ETANCHEITE!AW$22:AW$92,""),    INDEX(ETANCHEITE!AW:AW,MAX(_xlfn._xlws.FILTER(ROW(ETANCHEITE!AW$22:INDIRECT("'PEINTURE'!O" &amp; AN6-1)),ETANCHEITE!AW$22:INDIRECT("'PEINTURE'!O" &amp; AN6-1)&lt;&gt;"")))),"")</f>
        <v/>
      </c>
      <c r="AS6" s="163" t="str" cm="1">
        <f t="array" aca="1" ref="AS6" ca="1">IFERROR(IF(_xlfn.XLOOKUP(AK6,ETANCHEITE!AY$22:AY$92,ETANCHEITE!AX$22:AX$92,"")&lt;&gt;"",_xlfn.XLOOKUP(AK6,ETANCHEITE!AY$22:AY$92,ETANCHEITE!AX$22:AX$92,""),    INDEX(ETANCHEITE!AX:AX,MAX(_xlfn._xlws.FILTER(ROW(ETANCHEITE!AX$22:INDIRECT("'PEINTURE'!P" &amp; AN6-1)),ETANCHEITE!AX$22:INDIRECT("'PEINTURE'!P" &amp; AN6-1)&lt;&gt;"")))),"")</f>
        <v/>
      </c>
      <c r="AT6" s="145">
        <v>4</v>
      </c>
      <c r="AU6" s="154" t="str">
        <f>IF(AY6&lt;&gt;" ",ETANCHEITE!$D$5,"")</f>
        <v/>
      </c>
      <c r="AV6" s="154" t="str">
        <f>IF(AY6&lt;&gt;" ",ETANCHEITE!$D$8,"")</f>
        <v/>
      </c>
      <c r="AW6" s="146" t="str">
        <f>IFERROR(MATCH(AT6,ETANCHEITE!BH$22:BH$167,0)+18,"")</f>
        <v/>
      </c>
      <c r="AX6" s="147" t="str" cm="1">
        <f t="array" aca="1" ref="AX6" ca="1">IFERROR(IF(_xlfn.XLOOKUP(AT6,ETANCHEITE!BH$22:BH$167,ETANCHEITE!$A$22:$A$167,"")&lt;&gt;"",_xlfn.XLOOKUP(AT6,ETANCHEITE!BH$22:BH$167,ETANCHEITE!$A$22:$A$167,""),    INDEX(ETANCHEITE!$A:$A,MAX(_xlfn._xlws.FILTER(ROW(ETANCHEITE!$A$22:INDIRECT("'MENUISERIES EXTERIEURES'!$A" &amp; AW6-1)),ETANCHEITE!$A$22:INDIRECT("'MENUISERIES EXTERIEURES'!$A" &amp; AW6-1)&lt;&gt;"")))),"")&amp;"   "&amp;IFERROR(_xlfn.XLOOKUP(AT6,ETANCHEITE!BH$22:BH$167,ETANCHEITE!$B$22:$B$167),"")&amp;IFERROR(_xlfn.XLOOKUP(AT6,ETANCHEITE!BH$22:BH$167,ETANCHEITE!$C$22:$C$167),"")&amp;IFERROR(_xlfn.XLOOKUP(AT6,ETANCHEITE!BH$22:BH$167,ETANCHEITE!$D$22:$D$167),"")&amp;IFERROR(_xlfn.XLOOKUP(AT6,ETANCHEITE!BH$22:BH$167,ETANCHEITE!#REF!),"")&amp;IFERROR(_xlfn.XLOOKUP(AT6,ETANCHEITE!BH$22:BH$167,ETANCHEITE!#REF!),"")</f>
        <v xml:space="preserve">   </v>
      </c>
      <c r="AY6" s="155" t="str">
        <f>IFERROR(VLOOKUP(AT6,ETANCHEITE!BH$22:BJ$167,2,FALSE),"")&amp;" "&amp;IFERROR(VLOOKUP(AT6,ETANCHEITE!BH$22:BJ$167,3,FALSE),"")</f>
        <v xml:space="preserve"> </v>
      </c>
      <c r="AZ6" s="148" t="str">
        <f>IF(AY6&lt;&gt;" ",'Feuille de Donnée'!$C$3,"")</f>
        <v/>
      </c>
      <c r="BA6" s="162" t="str" cm="1">
        <f t="array" aca="1" ref="BA6" ca="1">IFERROR(IF(_xlfn.XLOOKUP(AT6,ETANCHEITE!BH$22:BH$92,ETANCHEITE!BF$22:BF$92,"")&lt;&gt;"",_xlfn.XLOOKUP(AT6,ETANCHEITE!BH$22:BH$92,ETANCHEITE!BF$22:BF$92,""),    INDEX(ETANCHEITE!BF:BF,MAX(_xlfn._xlws.FILTER(ROW(ETANCHEITE!BF$22:INDIRECT("'PEINTURE'!O" &amp; AW6-1)),ETANCHEITE!BF$22:INDIRECT("'PEINTURE'!O" &amp; AW6-1)&lt;&gt;"")))),"")</f>
        <v/>
      </c>
      <c r="BB6" s="163" t="str" cm="1">
        <f t="array" aca="1" ref="BB6" ca="1">IFERROR(IF(_xlfn.XLOOKUP(AT6,ETANCHEITE!BH$22:BH$92,ETANCHEITE!BG$22:BG$92,"")&lt;&gt;"",_xlfn.XLOOKUP(AT6,ETANCHEITE!BH$22:BH$92,ETANCHEITE!BG$22:BG$92,""),    INDEX(ETANCHEITE!BG:BG,MAX(_xlfn._xlws.FILTER(ROW(ETANCHEITE!BG$22:INDIRECT("'PEINTURE'!P" &amp; AW6-1)),ETANCHEITE!BG$22:INDIRECT("'PEINTURE'!P" &amp; AW6-1)&lt;&gt;"")))),"")</f>
        <v/>
      </c>
    </row>
    <row r="7" spans="1:54" ht="15" customHeight="1" x14ac:dyDescent="0.3">
      <c r="A7" s="145">
        <v>5</v>
      </c>
      <c r="B7" s="154" t="str">
        <f>IF(F7&lt;&gt;" ",ETANCHEITE!$D$5,"")</f>
        <v/>
      </c>
      <c r="C7" s="154" t="str">
        <f>IF(F7&lt;&gt;" ",ETANCHEITE!$D$8,"")</f>
        <v/>
      </c>
      <c r="D7" s="146" t="str">
        <f>IFERROR(MATCH(A7,ETANCHEITE!O$22:O$167,0)+18,"")</f>
        <v/>
      </c>
      <c r="E7" s="147" t="str" cm="1">
        <f t="array" aca="1" ref="E7" ca="1">IFERROR(IF(_xlfn.XLOOKUP(A7,ETANCHEITE!O$22:O$167,ETANCHEITE!$A$22:$A$167,"")&lt;&gt;"",_xlfn.XLOOKUP(A7,ETANCHEITE!O$22:O$167,ETANCHEITE!$A$22:$A$167,""),    INDEX(ETANCHEITE!$A:$A,MAX(_xlfn._xlws.FILTER(ROW(ETANCHEITE!$A$22:INDIRECT("'MENUISERIES EXTERIEURES'!$A" &amp; D7-1)),ETANCHEITE!$A$22:INDIRECT("'MENUISERIES EXTERIEURES'!$A" &amp; D7-1)&lt;&gt;"")))),"")&amp;"   "&amp;IFERROR(_xlfn.XLOOKUP(A7,ETANCHEITE!O$22:O$167,ETANCHEITE!$B$22:$B$167),"")&amp;IFERROR(_xlfn.XLOOKUP(A7,ETANCHEITE!O$22:O$167,ETANCHEITE!$C$22:$C$167),"")&amp;IFERROR(_xlfn.XLOOKUP(A7,ETANCHEITE!O$22:O$167,ETANCHEITE!$D$22:$D$167),"")&amp;IFERROR(_xlfn.XLOOKUP(A7,ETANCHEITE!O$22:O$167,ETANCHEITE!#REF!),"")&amp;IFERROR(_xlfn.XLOOKUP(A7,ETANCHEITE!O$22:O$167,ETANCHEITE!#REF!),"")</f>
        <v xml:space="preserve">   </v>
      </c>
      <c r="F7" s="155" t="str">
        <f>IFERROR(VLOOKUP(A7,ETANCHEITE!O$22:Q$167,2,FALSE),"")&amp;" "&amp;IFERROR(VLOOKUP(A7,ETANCHEITE!O$22:Q$167,3,FALSE),"")</f>
        <v xml:space="preserve"> </v>
      </c>
      <c r="G7" s="148" t="str">
        <f>IF(F7&lt;&gt;" ",'Feuille de Donnée'!$C$3,"")</f>
        <v/>
      </c>
      <c r="H7" s="162" t="str" cm="1">
        <f t="array" aca="1" ref="H7" ca="1">IFERROR(IF(_xlfn.XLOOKUP(A7,ETANCHEITE!O$22:O$92,ETANCHEITE!M$22:M$92,"")&lt;&gt;"",_xlfn.XLOOKUP(A7,ETANCHEITE!O$22:O$92,ETANCHEITE!M$22:M$92,""),    INDEX(ETANCHEITE!M:M,MAX(_xlfn._xlws.FILTER(ROW(ETANCHEITE!M$22:INDIRECT("'PEINTURE'!O" &amp; D7-1)),ETANCHEITE!M$22:INDIRECT("'PEINTURE'!O" &amp; D7-1)&lt;&gt;"")))),"")</f>
        <v/>
      </c>
      <c r="I7" s="163" t="str" cm="1">
        <f t="array" aca="1" ref="I7" ca="1">IFERROR(IF(_xlfn.XLOOKUP(A7,ETANCHEITE!O$22:O$92,ETANCHEITE!N$22:N$92,"")&lt;&gt;"",_xlfn.XLOOKUP(A7,ETANCHEITE!O$22:O$92,ETANCHEITE!N$22:N$92,""),    INDEX(ETANCHEITE!N:N,MAX(_xlfn._xlws.FILTER(ROW(ETANCHEITE!N$22:INDIRECT("'PEINTURE'!P" &amp; D7-1)),ETANCHEITE!N$22:INDIRECT("'PEINTURE'!P" &amp; D7-1)&lt;&gt;"")))),"")</f>
        <v/>
      </c>
      <c r="J7" s="145">
        <v>5</v>
      </c>
      <c r="K7" s="154" t="str">
        <f>IF(O7&lt;&gt;" ",ETANCHEITE!$D$5,"")</f>
        <v/>
      </c>
      <c r="L7" s="154" t="str">
        <f>IF(O7&lt;&gt;" ",ETANCHEITE!$D$8,"")</f>
        <v/>
      </c>
      <c r="M7" s="146" t="str">
        <f>IFERROR(MATCH(J7,ETANCHEITE!X$22:X$167,0)+18,"")</f>
        <v/>
      </c>
      <c r="N7" s="147" t="str" cm="1">
        <f t="array" aca="1" ref="N7" ca="1">IFERROR(IF(_xlfn.XLOOKUP(J7,ETANCHEITE!X$22:X$167,ETANCHEITE!$A$22:$A$167,"")&lt;&gt;"",_xlfn.XLOOKUP(J7,ETANCHEITE!X$22:X$167,ETANCHEITE!$A$22:$A$167,""),    INDEX(ETANCHEITE!$A:$A,MAX(_xlfn._xlws.FILTER(ROW(ETANCHEITE!$A$22:INDIRECT("'MENUISERIES EXTERIEURES'!$A" &amp; M7-1)),ETANCHEITE!$A$22:INDIRECT("'MENUISERIES EXTERIEURES'!$A" &amp; M7-1)&lt;&gt;"")))),"")&amp;"   "&amp;IFERROR(_xlfn.XLOOKUP(J7,ETANCHEITE!X$22:X$167,ETANCHEITE!$B$22:$B$167),"")&amp;IFERROR(_xlfn.XLOOKUP(J7,ETANCHEITE!X$22:X$167,ETANCHEITE!$C$22:$C$167),"")&amp;IFERROR(_xlfn.XLOOKUP(J7,ETANCHEITE!X$22:X$167,ETANCHEITE!$D$22:$D$167),"")&amp;IFERROR(_xlfn.XLOOKUP(J7,ETANCHEITE!X$22:X$167,ETANCHEITE!#REF!),"")&amp;IFERROR(_xlfn.XLOOKUP(J7,ETANCHEITE!X$22:X$167,ETANCHEITE!#REF!),"")</f>
        <v xml:space="preserve">   </v>
      </c>
      <c r="O7" s="155" t="str">
        <f>IFERROR(VLOOKUP(J7,ETANCHEITE!X$22:Z$167,2,FALSE),"")&amp;" "&amp;IFERROR(VLOOKUP(J7,ETANCHEITE!X$22:Z$167,3,FALSE),"")</f>
        <v xml:space="preserve"> </v>
      </c>
      <c r="P7" s="148" t="str">
        <f>IF(O7&lt;&gt;" ",'Feuille de Donnée'!$C$3,"")</f>
        <v/>
      </c>
      <c r="Q7" s="162" t="str" cm="1">
        <f t="array" aca="1" ref="Q7" ca="1">IFERROR(IF(_xlfn.XLOOKUP(J7,ETANCHEITE!X$22:X$92,ETANCHEITE!V$22:V$92,"")&lt;&gt;"",_xlfn.XLOOKUP(J7,ETANCHEITE!X$22:X$92,ETANCHEITE!V$22:V$92,""),    INDEX(ETANCHEITE!V:V,MAX(_xlfn._xlws.FILTER(ROW(ETANCHEITE!V$22:INDIRECT("'PEINTURE'!O" &amp; M7-1)),ETANCHEITE!V$22:INDIRECT("'PEINTURE'!O" &amp; M7-1)&lt;&gt;"")))),"")</f>
        <v/>
      </c>
      <c r="R7" s="163" t="str" cm="1">
        <f t="array" aca="1" ref="R7" ca="1">IFERROR(IF(_xlfn.XLOOKUP(J7,ETANCHEITE!X$22:X$92,ETANCHEITE!W$22:W$92,"")&lt;&gt;"",_xlfn.XLOOKUP(J7,ETANCHEITE!X$22:X$92,ETANCHEITE!W$22:W$92,""),    INDEX(ETANCHEITE!W:W,MAX(_xlfn._xlws.FILTER(ROW(ETANCHEITE!W$22:INDIRECT("'PEINTURE'!P" &amp; M7-1)),ETANCHEITE!W$22:INDIRECT("'PEINTURE'!P" &amp; M7-1)&lt;&gt;"")))),"")</f>
        <v/>
      </c>
      <c r="S7" s="145">
        <v>5</v>
      </c>
      <c r="T7" s="154" t="str">
        <f>IF(X7&lt;&gt;" ",ETANCHEITE!$D$5,"")</f>
        <v/>
      </c>
      <c r="U7" s="154" t="str">
        <f>IF(X7&lt;&gt;" ",ETANCHEITE!$D$8,"")</f>
        <v/>
      </c>
      <c r="V7" s="146" t="str">
        <f>IFERROR(MATCH(S7,ETANCHEITE!AG$22:AG$167,0)+18,"")</f>
        <v/>
      </c>
      <c r="W7" s="147" t="str" cm="1">
        <f t="array" aca="1" ref="W7" ca="1">IFERROR(IF(_xlfn.XLOOKUP(S7,ETANCHEITE!AG$22:AG$167,ETANCHEITE!$A$22:$A$167,"")&lt;&gt;"",_xlfn.XLOOKUP(S7,ETANCHEITE!AG$22:AG$167,ETANCHEITE!$A$22:$A$167,""),    INDEX(ETANCHEITE!$A:$A,MAX(_xlfn._xlws.FILTER(ROW(ETANCHEITE!$A$22:INDIRECT("'MENUISERIES EXTERIEURES'!$A" &amp; V7-1)),ETANCHEITE!$A$22:INDIRECT("'MENUISERIES EXTERIEURES'!$A" &amp; V7-1)&lt;&gt;"")))),"")&amp;"   "&amp;IFERROR(_xlfn.XLOOKUP(S7,ETANCHEITE!AG$22:AG$167,ETANCHEITE!$B$22:$B$167),"")&amp;IFERROR(_xlfn.XLOOKUP(S7,ETANCHEITE!AG$22:AG$167,ETANCHEITE!$C$22:$C$167),"")&amp;IFERROR(_xlfn.XLOOKUP(S7,ETANCHEITE!AG$22:AG$167,ETANCHEITE!$D$22:$D$167),"")&amp;IFERROR(_xlfn.XLOOKUP(S7,ETANCHEITE!AG$22:AG$167,ETANCHEITE!#REF!),"")&amp;IFERROR(_xlfn.XLOOKUP(S7,ETANCHEITE!AG$22:AG$167,ETANCHEITE!#REF!),"")</f>
        <v xml:space="preserve">   </v>
      </c>
      <c r="X7" s="155" t="str">
        <f>IFERROR(VLOOKUP(S7,ETANCHEITE!AG$22:AI$167,2,FALSE),"")&amp;" "&amp;IFERROR(VLOOKUP(S7,ETANCHEITE!AG$22:AI$167,3,FALSE),"")</f>
        <v xml:space="preserve"> </v>
      </c>
      <c r="Y7" s="148" t="str">
        <f>IF(X7&lt;&gt;" ",'Feuille de Donnée'!$C$3,"")</f>
        <v/>
      </c>
      <c r="Z7" s="162" t="str" cm="1">
        <f t="array" aca="1" ref="Z7" ca="1">IFERROR(IF(_xlfn.XLOOKUP(S7,ETANCHEITE!AG$22:AG$92,ETANCHEITE!AE$22:AE$92,"")&lt;&gt;"",_xlfn.XLOOKUP(S7,ETANCHEITE!AG$22:AG$92,ETANCHEITE!AE$22:AE$92,""),    INDEX(ETANCHEITE!AE:AE,MAX(_xlfn._xlws.FILTER(ROW(ETANCHEITE!AE$22:INDIRECT("'PEINTURE'!O" &amp; V7-1)),ETANCHEITE!AE$22:INDIRECT("'PEINTURE'!O" &amp; V7-1)&lt;&gt;"")))),"")</f>
        <v/>
      </c>
      <c r="AA7" s="163" t="str" cm="1">
        <f t="array" aca="1" ref="AA7" ca="1">IFERROR(IF(_xlfn.XLOOKUP(S7,ETANCHEITE!AG$22:AG$92,ETANCHEITE!AF$22:AF$92,"")&lt;&gt;"",_xlfn.XLOOKUP(S7,ETANCHEITE!AG$22:AG$92,ETANCHEITE!AF$22:AF$92,""),    INDEX(ETANCHEITE!AF:AF,MAX(_xlfn._xlws.FILTER(ROW(ETANCHEITE!AF$22:INDIRECT("'PEINTURE'!P" &amp; V7-1)),ETANCHEITE!AF$22:INDIRECT("'PEINTURE'!P" &amp; V7-1)&lt;&gt;"")))),"")</f>
        <v/>
      </c>
      <c r="AB7" s="145">
        <v>5</v>
      </c>
      <c r="AC7" s="154" t="str">
        <f>IF(AG7&lt;&gt;" ",ETANCHEITE!$D$5,"")</f>
        <v/>
      </c>
      <c r="AD7" s="154" t="str">
        <f>IF(AG7&lt;&gt;" ",ETANCHEITE!$D$8,"")</f>
        <v/>
      </c>
      <c r="AE7" s="146" t="str">
        <f>IFERROR(MATCH(AB7,ETANCHEITE!AP$22:AP$167,0)+18,"")</f>
        <v/>
      </c>
      <c r="AF7" s="147" t="str" cm="1">
        <f t="array" aca="1" ref="AF7" ca="1">IFERROR(IF(_xlfn.XLOOKUP(AB7,ETANCHEITE!AP$22:AP$167,ETANCHEITE!$A$22:$A$167,"")&lt;&gt;"",_xlfn.XLOOKUP(AB7,ETANCHEITE!AP$22:AP$167,ETANCHEITE!$A$22:$A$167,""),    INDEX(ETANCHEITE!$A:$A,MAX(_xlfn._xlws.FILTER(ROW(ETANCHEITE!$A$22:INDIRECT("'MENUISERIES EXTERIEURES'!$A" &amp; AE7-1)),ETANCHEITE!$A$22:INDIRECT("'MENUISERIES EXTERIEURES'!$A" &amp; AE7-1)&lt;&gt;"")))),"")&amp;"   "&amp;IFERROR(_xlfn.XLOOKUP(AB7,ETANCHEITE!AP$22:AP$167,ETANCHEITE!$B$22:$B$167),"")&amp;IFERROR(_xlfn.XLOOKUP(AB7,ETANCHEITE!AP$22:AP$167,ETANCHEITE!$C$22:$C$167),"")&amp;IFERROR(_xlfn.XLOOKUP(AB7,ETANCHEITE!AP$22:AP$167,ETANCHEITE!$D$22:$D$167),"")&amp;IFERROR(_xlfn.XLOOKUP(AB7,ETANCHEITE!AP$22:AP$167,ETANCHEITE!#REF!),"")&amp;IFERROR(_xlfn.XLOOKUP(AB7,ETANCHEITE!AP$22:AP$167,ETANCHEITE!#REF!),"")</f>
        <v xml:space="preserve">   </v>
      </c>
      <c r="AG7" s="155" t="str">
        <f>IFERROR(VLOOKUP(AB7,ETANCHEITE!AP$22:AR$167,2,FALSE),"")&amp;" "&amp;IFERROR(VLOOKUP(AB7,ETANCHEITE!AP$22:AR$167,3,FALSE),"")</f>
        <v xml:space="preserve"> </v>
      </c>
      <c r="AH7" s="148" t="str">
        <f>IF(AG7&lt;&gt;" ",'Feuille de Donnée'!$C$3,"")</f>
        <v/>
      </c>
      <c r="AI7" s="162" t="str" cm="1">
        <f t="array" aca="1" ref="AI7" ca="1">IFERROR(IF(_xlfn.XLOOKUP(AB7,ETANCHEITE!AP$22:AP$92,ETANCHEITE!AN$22:AN$92,"")&lt;&gt;"",_xlfn.XLOOKUP(AB7,ETANCHEITE!AP$22:AP$92,ETANCHEITE!AN$22:AN$92,""),    INDEX(ETANCHEITE!AN:AN,MAX(_xlfn._xlws.FILTER(ROW(ETANCHEITE!AN$22:INDIRECT("'PEINTURE'!O" &amp; AE7-1)),ETANCHEITE!AN$22:INDIRECT("'PEINTURE'!O" &amp; AE7-1)&lt;&gt;"")))),"")</f>
        <v/>
      </c>
      <c r="AJ7" s="163" t="str" cm="1">
        <f t="array" aca="1" ref="AJ7" ca="1">IFERROR(IF(_xlfn.XLOOKUP(AB7,ETANCHEITE!AP$22:AP$92,ETANCHEITE!AO$22:AO$92,"")&lt;&gt;"",_xlfn.XLOOKUP(AB7,ETANCHEITE!AP$22:AP$92,ETANCHEITE!AO$22:AO$92,""),    INDEX(ETANCHEITE!AO:AO,MAX(_xlfn._xlws.FILTER(ROW(ETANCHEITE!AO$22:INDIRECT("'PEINTURE'!P" &amp; AE7-1)),ETANCHEITE!AO$22:INDIRECT("'PEINTURE'!P" &amp; AE7-1)&lt;&gt;"")))),"")</f>
        <v/>
      </c>
      <c r="AK7" s="145">
        <v>5</v>
      </c>
      <c r="AL7" s="154" t="str">
        <f>IF(AP7&lt;&gt;" ",ETANCHEITE!$D$5,"")</f>
        <v/>
      </c>
      <c r="AM7" s="154" t="str">
        <f>IF(AP7&lt;&gt;" ",ETANCHEITE!$D$8,"")</f>
        <v/>
      </c>
      <c r="AN7" s="146" t="str">
        <f>IFERROR(MATCH(AK7,ETANCHEITE!AY$22:AY$167,0)+18,"")</f>
        <v/>
      </c>
      <c r="AO7" s="147" t="str" cm="1">
        <f t="array" aca="1" ref="AO7" ca="1">IFERROR(IF(_xlfn.XLOOKUP(AK7,ETANCHEITE!AY$22:AY$167,ETANCHEITE!$A$22:$A$167,"")&lt;&gt;"",_xlfn.XLOOKUP(AK7,ETANCHEITE!AY$22:AY$167,ETANCHEITE!$A$22:$A$167,""),    INDEX(ETANCHEITE!$A:$A,MAX(_xlfn._xlws.FILTER(ROW(ETANCHEITE!$A$22:INDIRECT("'MENUISERIES EXTERIEURES'!$A" &amp; AN7-1)),ETANCHEITE!$A$22:INDIRECT("'MENUISERIES EXTERIEURES'!$A" &amp; AN7-1)&lt;&gt;"")))),"")&amp;"   "&amp;IFERROR(_xlfn.XLOOKUP(AK7,ETANCHEITE!AY$22:AY$167,ETANCHEITE!$B$22:$B$167),"")&amp;IFERROR(_xlfn.XLOOKUP(AK7,ETANCHEITE!AY$22:AY$167,ETANCHEITE!$C$22:$C$167),"")&amp;IFERROR(_xlfn.XLOOKUP(AK7,ETANCHEITE!AY$22:AY$167,ETANCHEITE!$D$22:$D$167),"")&amp;IFERROR(_xlfn.XLOOKUP(AK7,ETANCHEITE!AY$22:AY$167,ETANCHEITE!#REF!),"")&amp;IFERROR(_xlfn.XLOOKUP(AK7,ETANCHEITE!AY$22:AY$167,ETANCHEITE!#REF!),"")</f>
        <v xml:space="preserve">   </v>
      </c>
      <c r="AP7" s="155" t="str">
        <f>IFERROR(VLOOKUP(AK7,ETANCHEITE!AY$22:BA$167,2,FALSE),"")&amp;" "&amp;IFERROR(VLOOKUP(AK7,ETANCHEITE!AY$22:BA$167,3,FALSE),"")</f>
        <v xml:space="preserve"> </v>
      </c>
      <c r="AQ7" s="148" t="str">
        <f>IF(AP7&lt;&gt;" ",'Feuille de Donnée'!$C$3,"")</f>
        <v/>
      </c>
      <c r="AR7" s="162" t="str" cm="1">
        <f t="array" aca="1" ref="AR7" ca="1">IFERROR(IF(_xlfn.XLOOKUP(AK7,ETANCHEITE!AY$22:AY$92,ETANCHEITE!AW$22:AW$92,"")&lt;&gt;"",_xlfn.XLOOKUP(AK7,ETANCHEITE!AY$22:AY$92,ETANCHEITE!AW$22:AW$92,""),    INDEX(ETANCHEITE!AW:AW,MAX(_xlfn._xlws.FILTER(ROW(ETANCHEITE!AW$22:INDIRECT("'PEINTURE'!O" &amp; AN7-1)),ETANCHEITE!AW$22:INDIRECT("'PEINTURE'!O" &amp; AN7-1)&lt;&gt;"")))),"")</f>
        <v/>
      </c>
      <c r="AS7" s="163" t="str" cm="1">
        <f t="array" aca="1" ref="AS7" ca="1">IFERROR(IF(_xlfn.XLOOKUP(AK7,ETANCHEITE!AY$22:AY$92,ETANCHEITE!AX$22:AX$92,"")&lt;&gt;"",_xlfn.XLOOKUP(AK7,ETANCHEITE!AY$22:AY$92,ETANCHEITE!AX$22:AX$92,""),    INDEX(ETANCHEITE!AX:AX,MAX(_xlfn._xlws.FILTER(ROW(ETANCHEITE!AX$22:INDIRECT("'PEINTURE'!P" &amp; AN7-1)),ETANCHEITE!AX$22:INDIRECT("'PEINTURE'!P" &amp; AN7-1)&lt;&gt;"")))),"")</f>
        <v/>
      </c>
      <c r="AT7" s="145">
        <v>5</v>
      </c>
      <c r="AU7" s="154" t="str">
        <f>IF(AY7&lt;&gt;" ",ETANCHEITE!$D$5,"")</f>
        <v/>
      </c>
      <c r="AV7" s="154" t="str">
        <f>IF(AY7&lt;&gt;" ",ETANCHEITE!$D$8,"")</f>
        <v/>
      </c>
      <c r="AW7" s="146" t="str">
        <f>IFERROR(MATCH(AT7,ETANCHEITE!BH$22:BH$167,0)+18,"")</f>
        <v/>
      </c>
      <c r="AX7" s="147" t="str" cm="1">
        <f t="array" aca="1" ref="AX7" ca="1">IFERROR(IF(_xlfn.XLOOKUP(AT7,ETANCHEITE!BH$22:BH$167,ETANCHEITE!$A$22:$A$167,"")&lt;&gt;"",_xlfn.XLOOKUP(AT7,ETANCHEITE!BH$22:BH$167,ETANCHEITE!$A$22:$A$167,""),    INDEX(ETANCHEITE!$A:$A,MAX(_xlfn._xlws.FILTER(ROW(ETANCHEITE!$A$22:INDIRECT("'MENUISERIES EXTERIEURES'!$A" &amp; AW7-1)),ETANCHEITE!$A$22:INDIRECT("'MENUISERIES EXTERIEURES'!$A" &amp; AW7-1)&lt;&gt;"")))),"")&amp;"   "&amp;IFERROR(_xlfn.XLOOKUP(AT7,ETANCHEITE!BH$22:BH$167,ETANCHEITE!$B$22:$B$167),"")&amp;IFERROR(_xlfn.XLOOKUP(AT7,ETANCHEITE!BH$22:BH$167,ETANCHEITE!$C$22:$C$167),"")&amp;IFERROR(_xlfn.XLOOKUP(AT7,ETANCHEITE!BH$22:BH$167,ETANCHEITE!$D$22:$D$167),"")&amp;IFERROR(_xlfn.XLOOKUP(AT7,ETANCHEITE!BH$22:BH$167,ETANCHEITE!#REF!),"")&amp;IFERROR(_xlfn.XLOOKUP(AT7,ETANCHEITE!BH$22:BH$167,ETANCHEITE!#REF!),"")</f>
        <v xml:space="preserve">   </v>
      </c>
      <c r="AY7" s="155" t="str">
        <f>IFERROR(VLOOKUP(AT7,ETANCHEITE!BH$22:BJ$167,2,FALSE),"")&amp;" "&amp;IFERROR(VLOOKUP(AT7,ETANCHEITE!BH$22:BJ$167,3,FALSE),"")</f>
        <v xml:space="preserve"> </v>
      </c>
      <c r="AZ7" s="148" t="str">
        <f>IF(AY7&lt;&gt;" ",'Feuille de Donnée'!$C$3,"")</f>
        <v/>
      </c>
      <c r="BA7" s="162" t="str" cm="1">
        <f t="array" aca="1" ref="BA7" ca="1">IFERROR(IF(_xlfn.XLOOKUP(AT7,ETANCHEITE!BH$22:BH$92,ETANCHEITE!BF$22:BF$92,"")&lt;&gt;"",_xlfn.XLOOKUP(AT7,ETANCHEITE!BH$22:BH$92,ETANCHEITE!BF$22:BF$92,""),    INDEX(ETANCHEITE!BF:BF,MAX(_xlfn._xlws.FILTER(ROW(ETANCHEITE!BF$22:INDIRECT("'PEINTURE'!O" &amp; AW7-1)),ETANCHEITE!BF$22:INDIRECT("'PEINTURE'!O" &amp; AW7-1)&lt;&gt;"")))),"")</f>
        <v/>
      </c>
      <c r="BB7" s="163" t="str" cm="1">
        <f t="array" aca="1" ref="BB7" ca="1">IFERROR(IF(_xlfn.XLOOKUP(AT7,ETANCHEITE!BH$22:BH$92,ETANCHEITE!BG$22:BG$92,"")&lt;&gt;"",_xlfn.XLOOKUP(AT7,ETANCHEITE!BH$22:BH$92,ETANCHEITE!BG$22:BG$92,""),    INDEX(ETANCHEITE!BG:BG,MAX(_xlfn._xlws.FILTER(ROW(ETANCHEITE!BG$22:INDIRECT("'PEINTURE'!P" &amp; AW7-1)),ETANCHEITE!BG$22:INDIRECT("'PEINTURE'!P" &amp; AW7-1)&lt;&gt;"")))),"")</f>
        <v/>
      </c>
    </row>
    <row r="8" spans="1:54" ht="15" customHeight="1" x14ac:dyDescent="0.3">
      <c r="A8" s="145">
        <v>6</v>
      </c>
      <c r="B8" s="154" t="str">
        <f>IF(F8&lt;&gt;" ",ETANCHEITE!$D$5,"")</f>
        <v/>
      </c>
      <c r="C8" s="154" t="str">
        <f>IF(F8&lt;&gt;" ",ETANCHEITE!$D$8,"")</f>
        <v/>
      </c>
      <c r="D8" s="146" t="str">
        <f>IFERROR(MATCH(A8,ETANCHEITE!O$22:O$167,0)+18,"")</f>
        <v/>
      </c>
      <c r="E8" s="147" t="str" cm="1">
        <f t="array" aca="1" ref="E8" ca="1">IFERROR(IF(_xlfn.XLOOKUP(A8,ETANCHEITE!O$22:O$167,ETANCHEITE!$A$22:$A$167,"")&lt;&gt;"",_xlfn.XLOOKUP(A8,ETANCHEITE!O$22:O$167,ETANCHEITE!$A$22:$A$167,""),    INDEX(ETANCHEITE!$A:$A,MAX(_xlfn._xlws.FILTER(ROW(ETANCHEITE!$A$22:INDIRECT("'MENUISERIES EXTERIEURES'!$A" &amp; D8-1)),ETANCHEITE!$A$22:INDIRECT("'MENUISERIES EXTERIEURES'!$A" &amp; D8-1)&lt;&gt;"")))),"")&amp;"   "&amp;IFERROR(_xlfn.XLOOKUP(A8,ETANCHEITE!O$22:O$167,ETANCHEITE!$B$22:$B$167),"")&amp;IFERROR(_xlfn.XLOOKUP(A8,ETANCHEITE!O$22:O$167,ETANCHEITE!$C$22:$C$167),"")&amp;IFERROR(_xlfn.XLOOKUP(A8,ETANCHEITE!O$22:O$167,ETANCHEITE!$D$22:$D$167),"")&amp;IFERROR(_xlfn.XLOOKUP(A8,ETANCHEITE!O$22:O$167,ETANCHEITE!#REF!),"")&amp;IFERROR(_xlfn.XLOOKUP(A8,ETANCHEITE!O$22:O$167,ETANCHEITE!#REF!),"")</f>
        <v xml:space="preserve">   </v>
      </c>
      <c r="F8" s="155" t="str">
        <f>IFERROR(VLOOKUP(A8,ETANCHEITE!O$22:Q$167,2,FALSE),"")&amp;" "&amp;IFERROR(VLOOKUP(A8,ETANCHEITE!O$22:Q$167,3,FALSE),"")</f>
        <v xml:space="preserve"> </v>
      </c>
      <c r="G8" s="148" t="str">
        <f>IF(F8&lt;&gt;" ",'Feuille de Donnée'!$C$3,"")</f>
        <v/>
      </c>
      <c r="H8" s="162" t="str" cm="1">
        <f t="array" aca="1" ref="H8" ca="1">IFERROR(IF(_xlfn.XLOOKUP(A8,ETANCHEITE!O$22:O$92,ETANCHEITE!M$22:M$92,"")&lt;&gt;"",_xlfn.XLOOKUP(A8,ETANCHEITE!O$22:O$92,ETANCHEITE!M$22:M$92,""),    INDEX(ETANCHEITE!M:M,MAX(_xlfn._xlws.FILTER(ROW(ETANCHEITE!M$22:INDIRECT("'PEINTURE'!O" &amp; D8-1)),ETANCHEITE!M$22:INDIRECT("'PEINTURE'!O" &amp; D8-1)&lt;&gt;"")))),"")</f>
        <v/>
      </c>
      <c r="I8" s="163" t="str" cm="1">
        <f t="array" aca="1" ref="I8" ca="1">IFERROR(IF(_xlfn.XLOOKUP(A8,ETANCHEITE!O$22:O$92,ETANCHEITE!N$22:N$92,"")&lt;&gt;"",_xlfn.XLOOKUP(A8,ETANCHEITE!O$22:O$92,ETANCHEITE!N$22:N$92,""),    INDEX(ETANCHEITE!N:N,MAX(_xlfn._xlws.FILTER(ROW(ETANCHEITE!N$22:INDIRECT("'PEINTURE'!P" &amp; D8-1)),ETANCHEITE!N$22:INDIRECT("'PEINTURE'!P" &amp; D8-1)&lt;&gt;"")))),"")</f>
        <v/>
      </c>
      <c r="J8" s="145">
        <v>6</v>
      </c>
      <c r="K8" s="154" t="str">
        <f>IF(O8&lt;&gt;" ",ETANCHEITE!$D$5,"")</f>
        <v/>
      </c>
      <c r="L8" s="154" t="str">
        <f>IF(O8&lt;&gt;" ",ETANCHEITE!$D$8,"")</f>
        <v/>
      </c>
      <c r="M8" s="146" t="str">
        <f>IFERROR(MATCH(J8,ETANCHEITE!X$22:X$167,0)+18,"")</f>
        <v/>
      </c>
      <c r="N8" s="147" t="str" cm="1">
        <f t="array" aca="1" ref="N8" ca="1">IFERROR(IF(_xlfn.XLOOKUP(J8,ETANCHEITE!X$22:X$167,ETANCHEITE!$A$22:$A$167,"")&lt;&gt;"",_xlfn.XLOOKUP(J8,ETANCHEITE!X$22:X$167,ETANCHEITE!$A$22:$A$167,""),    INDEX(ETANCHEITE!$A:$A,MAX(_xlfn._xlws.FILTER(ROW(ETANCHEITE!$A$22:INDIRECT("'MENUISERIES EXTERIEURES'!$A" &amp; M8-1)),ETANCHEITE!$A$22:INDIRECT("'MENUISERIES EXTERIEURES'!$A" &amp; M8-1)&lt;&gt;"")))),"")&amp;"   "&amp;IFERROR(_xlfn.XLOOKUP(J8,ETANCHEITE!X$22:X$167,ETANCHEITE!$B$22:$B$167),"")&amp;IFERROR(_xlfn.XLOOKUP(J8,ETANCHEITE!X$22:X$167,ETANCHEITE!$C$22:$C$167),"")&amp;IFERROR(_xlfn.XLOOKUP(J8,ETANCHEITE!X$22:X$167,ETANCHEITE!$D$22:$D$167),"")&amp;IFERROR(_xlfn.XLOOKUP(J8,ETANCHEITE!X$22:X$167,ETANCHEITE!#REF!),"")&amp;IFERROR(_xlfn.XLOOKUP(J8,ETANCHEITE!X$22:X$167,ETANCHEITE!#REF!),"")</f>
        <v xml:space="preserve">   </v>
      </c>
      <c r="O8" s="155" t="str">
        <f>IFERROR(VLOOKUP(J8,ETANCHEITE!X$22:Z$167,2,FALSE),"")&amp;" "&amp;IFERROR(VLOOKUP(J8,ETANCHEITE!X$22:Z$167,3,FALSE),"")</f>
        <v xml:space="preserve"> </v>
      </c>
      <c r="P8" s="148" t="str">
        <f>IF(O8&lt;&gt;" ",'Feuille de Donnée'!$C$3,"")</f>
        <v/>
      </c>
      <c r="Q8" s="162" t="str" cm="1">
        <f t="array" aca="1" ref="Q8" ca="1">IFERROR(IF(_xlfn.XLOOKUP(J8,ETANCHEITE!X$22:X$92,ETANCHEITE!V$22:V$92,"")&lt;&gt;"",_xlfn.XLOOKUP(J8,ETANCHEITE!X$22:X$92,ETANCHEITE!V$22:V$92,""),    INDEX(ETANCHEITE!V:V,MAX(_xlfn._xlws.FILTER(ROW(ETANCHEITE!V$22:INDIRECT("'PEINTURE'!O" &amp; M8-1)),ETANCHEITE!V$22:INDIRECT("'PEINTURE'!O" &amp; M8-1)&lt;&gt;"")))),"")</f>
        <v/>
      </c>
      <c r="R8" s="163" t="str" cm="1">
        <f t="array" aca="1" ref="R8" ca="1">IFERROR(IF(_xlfn.XLOOKUP(J8,ETANCHEITE!X$22:X$92,ETANCHEITE!W$22:W$92,"")&lt;&gt;"",_xlfn.XLOOKUP(J8,ETANCHEITE!X$22:X$92,ETANCHEITE!W$22:W$92,""),    INDEX(ETANCHEITE!W:W,MAX(_xlfn._xlws.FILTER(ROW(ETANCHEITE!W$22:INDIRECT("'PEINTURE'!P" &amp; M8-1)),ETANCHEITE!W$22:INDIRECT("'PEINTURE'!P" &amp; M8-1)&lt;&gt;"")))),"")</f>
        <v/>
      </c>
      <c r="S8" s="145">
        <v>6</v>
      </c>
      <c r="T8" s="154" t="str">
        <f>IF(X8&lt;&gt;" ",ETANCHEITE!$D$5,"")</f>
        <v/>
      </c>
      <c r="U8" s="154" t="str">
        <f>IF(X8&lt;&gt;" ",ETANCHEITE!$D$8,"")</f>
        <v/>
      </c>
      <c r="V8" s="146" t="str">
        <f>IFERROR(MATCH(S8,ETANCHEITE!AG$22:AG$167,0)+18,"")</f>
        <v/>
      </c>
      <c r="W8" s="147" t="str" cm="1">
        <f t="array" aca="1" ref="W8" ca="1">IFERROR(IF(_xlfn.XLOOKUP(S8,ETANCHEITE!AG$22:AG$167,ETANCHEITE!$A$22:$A$167,"")&lt;&gt;"",_xlfn.XLOOKUP(S8,ETANCHEITE!AG$22:AG$167,ETANCHEITE!$A$22:$A$167,""),    INDEX(ETANCHEITE!$A:$A,MAX(_xlfn._xlws.FILTER(ROW(ETANCHEITE!$A$22:INDIRECT("'MENUISERIES EXTERIEURES'!$A" &amp; V8-1)),ETANCHEITE!$A$22:INDIRECT("'MENUISERIES EXTERIEURES'!$A" &amp; V8-1)&lt;&gt;"")))),"")&amp;"   "&amp;IFERROR(_xlfn.XLOOKUP(S8,ETANCHEITE!AG$22:AG$167,ETANCHEITE!$B$22:$B$167),"")&amp;IFERROR(_xlfn.XLOOKUP(S8,ETANCHEITE!AG$22:AG$167,ETANCHEITE!$C$22:$C$167),"")&amp;IFERROR(_xlfn.XLOOKUP(S8,ETANCHEITE!AG$22:AG$167,ETANCHEITE!$D$22:$D$167),"")&amp;IFERROR(_xlfn.XLOOKUP(S8,ETANCHEITE!AG$22:AG$167,ETANCHEITE!#REF!),"")&amp;IFERROR(_xlfn.XLOOKUP(S8,ETANCHEITE!AG$22:AG$167,ETANCHEITE!#REF!),"")</f>
        <v xml:space="preserve">   </v>
      </c>
      <c r="X8" s="155" t="str">
        <f>IFERROR(VLOOKUP(S8,ETANCHEITE!AG$22:AI$167,2,FALSE),"")&amp;" "&amp;IFERROR(VLOOKUP(S8,ETANCHEITE!AG$22:AI$167,3,FALSE),"")</f>
        <v xml:space="preserve"> </v>
      </c>
      <c r="Y8" s="148" t="str">
        <f>IF(X8&lt;&gt;" ",'Feuille de Donnée'!$C$3,"")</f>
        <v/>
      </c>
      <c r="Z8" s="162" t="str" cm="1">
        <f t="array" aca="1" ref="Z8" ca="1">IFERROR(IF(_xlfn.XLOOKUP(S8,ETANCHEITE!AG$22:AG$92,ETANCHEITE!AE$22:AE$92,"")&lt;&gt;"",_xlfn.XLOOKUP(S8,ETANCHEITE!AG$22:AG$92,ETANCHEITE!AE$22:AE$92,""),    INDEX(ETANCHEITE!AE:AE,MAX(_xlfn._xlws.FILTER(ROW(ETANCHEITE!AE$22:INDIRECT("'PEINTURE'!O" &amp; V8-1)),ETANCHEITE!AE$22:INDIRECT("'PEINTURE'!O" &amp; V8-1)&lt;&gt;"")))),"")</f>
        <v/>
      </c>
      <c r="AA8" s="163" t="str" cm="1">
        <f t="array" aca="1" ref="AA8" ca="1">IFERROR(IF(_xlfn.XLOOKUP(S8,ETANCHEITE!AG$22:AG$92,ETANCHEITE!AF$22:AF$92,"")&lt;&gt;"",_xlfn.XLOOKUP(S8,ETANCHEITE!AG$22:AG$92,ETANCHEITE!AF$22:AF$92,""),    INDEX(ETANCHEITE!AF:AF,MAX(_xlfn._xlws.FILTER(ROW(ETANCHEITE!AF$22:INDIRECT("'PEINTURE'!P" &amp; V8-1)),ETANCHEITE!AF$22:INDIRECT("'PEINTURE'!P" &amp; V8-1)&lt;&gt;"")))),"")</f>
        <v/>
      </c>
      <c r="AB8" s="145">
        <v>6</v>
      </c>
      <c r="AC8" s="154" t="str">
        <f>IF(AG8&lt;&gt;" ",ETANCHEITE!$D$5,"")</f>
        <v/>
      </c>
      <c r="AD8" s="154" t="str">
        <f>IF(AG8&lt;&gt;" ",ETANCHEITE!$D$8,"")</f>
        <v/>
      </c>
      <c r="AE8" s="146" t="str">
        <f>IFERROR(MATCH(AB8,ETANCHEITE!AP$22:AP$167,0)+18,"")</f>
        <v/>
      </c>
      <c r="AF8" s="147" t="str" cm="1">
        <f t="array" aca="1" ref="AF8" ca="1">IFERROR(IF(_xlfn.XLOOKUP(AB8,ETANCHEITE!AP$22:AP$167,ETANCHEITE!$A$22:$A$167,"")&lt;&gt;"",_xlfn.XLOOKUP(AB8,ETANCHEITE!AP$22:AP$167,ETANCHEITE!$A$22:$A$167,""),    INDEX(ETANCHEITE!$A:$A,MAX(_xlfn._xlws.FILTER(ROW(ETANCHEITE!$A$22:INDIRECT("'MENUISERIES EXTERIEURES'!$A" &amp; AE8-1)),ETANCHEITE!$A$22:INDIRECT("'MENUISERIES EXTERIEURES'!$A" &amp; AE8-1)&lt;&gt;"")))),"")&amp;"   "&amp;IFERROR(_xlfn.XLOOKUP(AB8,ETANCHEITE!AP$22:AP$167,ETANCHEITE!$B$22:$B$167),"")&amp;IFERROR(_xlfn.XLOOKUP(AB8,ETANCHEITE!AP$22:AP$167,ETANCHEITE!$C$22:$C$167),"")&amp;IFERROR(_xlfn.XLOOKUP(AB8,ETANCHEITE!AP$22:AP$167,ETANCHEITE!$D$22:$D$167),"")&amp;IFERROR(_xlfn.XLOOKUP(AB8,ETANCHEITE!AP$22:AP$167,ETANCHEITE!#REF!),"")&amp;IFERROR(_xlfn.XLOOKUP(AB8,ETANCHEITE!AP$22:AP$167,ETANCHEITE!#REF!),"")</f>
        <v xml:space="preserve">   </v>
      </c>
      <c r="AG8" s="155" t="str">
        <f>IFERROR(VLOOKUP(AB8,ETANCHEITE!AP$22:AR$167,2,FALSE),"")&amp;" "&amp;IFERROR(VLOOKUP(AB8,ETANCHEITE!AP$22:AR$167,3,FALSE),"")</f>
        <v xml:space="preserve"> </v>
      </c>
      <c r="AH8" s="148" t="str">
        <f>IF(AG8&lt;&gt;" ",'Feuille de Donnée'!$C$3,"")</f>
        <v/>
      </c>
      <c r="AI8" s="162" t="str" cm="1">
        <f t="array" aca="1" ref="AI8" ca="1">IFERROR(IF(_xlfn.XLOOKUP(AB8,ETANCHEITE!AP$22:AP$92,ETANCHEITE!AN$22:AN$92,"")&lt;&gt;"",_xlfn.XLOOKUP(AB8,ETANCHEITE!AP$22:AP$92,ETANCHEITE!AN$22:AN$92,""),    INDEX(ETANCHEITE!AN:AN,MAX(_xlfn._xlws.FILTER(ROW(ETANCHEITE!AN$22:INDIRECT("'PEINTURE'!O" &amp; AE8-1)),ETANCHEITE!AN$22:INDIRECT("'PEINTURE'!O" &amp; AE8-1)&lt;&gt;"")))),"")</f>
        <v/>
      </c>
      <c r="AJ8" s="163" t="str" cm="1">
        <f t="array" aca="1" ref="AJ8" ca="1">IFERROR(IF(_xlfn.XLOOKUP(AB8,ETANCHEITE!AP$22:AP$92,ETANCHEITE!AO$22:AO$92,"")&lt;&gt;"",_xlfn.XLOOKUP(AB8,ETANCHEITE!AP$22:AP$92,ETANCHEITE!AO$22:AO$92,""),    INDEX(ETANCHEITE!AO:AO,MAX(_xlfn._xlws.FILTER(ROW(ETANCHEITE!AO$22:INDIRECT("'PEINTURE'!P" &amp; AE8-1)),ETANCHEITE!AO$22:INDIRECT("'PEINTURE'!P" &amp; AE8-1)&lt;&gt;"")))),"")</f>
        <v/>
      </c>
      <c r="AK8" s="145">
        <v>6</v>
      </c>
      <c r="AL8" s="154" t="str">
        <f>IF(AP8&lt;&gt;" ",ETANCHEITE!$D$5,"")</f>
        <v/>
      </c>
      <c r="AM8" s="154" t="str">
        <f>IF(AP8&lt;&gt;" ",ETANCHEITE!$D$8,"")</f>
        <v/>
      </c>
      <c r="AN8" s="146" t="str">
        <f>IFERROR(MATCH(AK8,ETANCHEITE!AY$22:AY$167,0)+18,"")</f>
        <v/>
      </c>
      <c r="AO8" s="147" t="str" cm="1">
        <f t="array" aca="1" ref="AO8" ca="1">IFERROR(IF(_xlfn.XLOOKUP(AK8,ETANCHEITE!AY$22:AY$167,ETANCHEITE!$A$22:$A$167,"")&lt;&gt;"",_xlfn.XLOOKUP(AK8,ETANCHEITE!AY$22:AY$167,ETANCHEITE!$A$22:$A$167,""),    INDEX(ETANCHEITE!$A:$A,MAX(_xlfn._xlws.FILTER(ROW(ETANCHEITE!$A$22:INDIRECT("'MENUISERIES EXTERIEURES'!$A" &amp; AN8-1)),ETANCHEITE!$A$22:INDIRECT("'MENUISERIES EXTERIEURES'!$A" &amp; AN8-1)&lt;&gt;"")))),"")&amp;"   "&amp;IFERROR(_xlfn.XLOOKUP(AK8,ETANCHEITE!AY$22:AY$167,ETANCHEITE!$B$22:$B$167),"")&amp;IFERROR(_xlfn.XLOOKUP(AK8,ETANCHEITE!AY$22:AY$167,ETANCHEITE!$C$22:$C$167),"")&amp;IFERROR(_xlfn.XLOOKUP(AK8,ETANCHEITE!AY$22:AY$167,ETANCHEITE!$D$22:$D$167),"")&amp;IFERROR(_xlfn.XLOOKUP(AK8,ETANCHEITE!AY$22:AY$167,ETANCHEITE!#REF!),"")&amp;IFERROR(_xlfn.XLOOKUP(AK8,ETANCHEITE!AY$22:AY$167,ETANCHEITE!#REF!),"")</f>
        <v xml:space="preserve">   </v>
      </c>
      <c r="AP8" s="155" t="str">
        <f>IFERROR(VLOOKUP(AK8,ETANCHEITE!AY$22:BA$167,2,FALSE),"")&amp;" "&amp;IFERROR(VLOOKUP(AK8,ETANCHEITE!AY$22:BA$167,3,FALSE),"")</f>
        <v xml:space="preserve"> </v>
      </c>
      <c r="AQ8" s="148" t="str">
        <f>IF(AP8&lt;&gt;" ",'Feuille de Donnée'!$C$3,"")</f>
        <v/>
      </c>
      <c r="AR8" s="162" t="str" cm="1">
        <f t="array" aca="1" ref="AR8" ca="1">IFERROR(IF(_xlfn.XLOOKUP(AK8,ETANCHEITE!AY$22:AY$92,ETANCHEITE!AW$22:AW$92,"")&lt;&gt;"",_xlfn.XLOOKUP(AK8,ETANCHEITE!AY$22:AY$92,ETANCHEITE!AW$22:AW$92,""),    INDEX(ETANCHEITE!AW:AW,MAX(_xlfn._xlws.FILTER(ROW(ETANCHEITE!AW$22:INDIRECT("'PEINTURE'!O" &amp; AN8-1)),ETANCHEITE!AW$22:INDIRECT("'PEINTURE'!O" &amp; AN8-1)&lt;&gt;"")))),"")</f>
        <v/>
      </c>
      <c r="AS8" s="163" t="str" cm="1">
        <f t="array" aca="1" ref="AS8" ca="1">IFERROR(IF(_xlfn.XLOOKUP(AK8,ETANCHEITE!AY$22:AY$92,ETANCHEITE!AX$22:AX$92,"")&lt;&gt;"",_xlfn.XLOOKUP(AK8,ETANCHEITE!AY$22:AY$92,ETANCHEITE!AX$22:AX$92,""),    INDEX(ETANCHEITE!AX:AX,MAX(_xlfn._xlws.FILTER(ROW(ETANCHEITE!AX$22:INDIRECT("'PEINTURE'!P" &amp; AN8-1)),ETANCHEITE!AX$22:INDIRECT("'PEINTURE'!P" &amp; AN8-1)&lt;&gt;"")))),"")</f>
        <v/>
      </c>
      <c r="AT8" s="145">
        <v>6</v>
      </c>
      <c r="AU8" s="154" t="str">
        <f>IF(AY8&lt;&gt;" ",ETANCHEITE!$D$5,"")</f>
        <v/>
      </c>
      <c r="AV8" s="154" t="str">
        <f>IF(AY8&lt;&gt;" ",ETANCHEITE!$D$8,"")</f>
        <v/>
      </c>
      <c r="AW8" s="146" t="str">
        <f>IFERROR(MATCH(AT8,ETANCHEITE!BH$22:BH$167,0)+18,"")</f>
        <v/>
      </c>
      <c r="AX8" s="147" t="str" cm="1">
        <f t="array" aca="1" ref="AX8" ca="1">IFERROR(IF(_xlfn.XLOOKUP(AT8,ETANCHEITE!BH$22:BH$167,ETANCHEITE!$A$22:$A$167,"")&lt;&gt;"",_xlfn.XLOOKUP(AT8,ETANCHEITE!BH$22:BH$167,ETANCHEITE!$A$22:$A$167,""),    INDEX(ETANCHEITE!$A:$A,MAX(_xlfn._xlws.FILTER(ROW(ETANCHEITE!$A$22:INDIRECT("'MENUISERIES EXTERIEURES'!$A" &amp; AW8-1)),ETANCHEITE!$A$22:INDIRECT("'MENUISERIES EXTERIEURES'!$A" &amp; AW8-1)&lt;&gt;"")))),"")&amp;"   "&amp;IFERROR(_xlfn.XLOOKUP(AT8,ETANCHEITE!BH$22:BH$167,ETANCHEITE!$B$22:$B$167),"")&amp;IFERROR(_xlfn.XLOOKUP(AT8,ETANCHEITE!BH$22:BH$167,ETANCHEITE!$C$22:$C$167),"")&amp;IFERROR(_xlfn.XLOOKUP(AT8,ETANCHEITE!BH$22:BH$167,ETANCHEITE!$D$22:$D$167),"")&amp;IFERROR(_xlfn.XLOOKUP(AT8,ETANCHEITE!BH$22:BH$167,ETANCHEITE!#REF!),"")&amp;IFERROR(_xlfn.XLOOKUP(AT8,ETANCHEITE!BH$22:BH$167,ETANCHEITE!#REF!),"")</f>
        <v xml:space="preserve">   </v>
      </c>
      <c r="AY8" s="155" t="str">
        <f>IFERROR(VLOOKUP(AT8,ETANCHEITE!BH$22:BJ$167,2,FALSE),"")&amp;" "&amp;IFERROR(VLOOKUP(AT8,ETANCHEITE!BH$22:BJ$167,3,FALSE),"")</f>
        <v xml:space="preserve"> </v>
      </c>
      <c r="AZ8" s="148" t="str">
        <f>IF(AY8&lt;&gt;" ",'Feuille de Donnée'!$C$3,"")</f>
        <v/>
      </c>
      <c r="BA8" s="162" t="str" cm="1">
        <f t="array" aca="1" ref="BA8" ca="1">IFERROR(IF(_xlfn.XLOOKUP(AT8,ETANCHEITE!BH$22:BH$92,ETANCHEITE!BF$22:BF$92,"")&lt;&gt;"",_xlfn.XLOOKUP(AT8,ETANCHEITE!BH$22:BH$92,ETANCHEITE!BF$22:BF$92,""),    INDEX(ETANCHEITE!BF:BF,MAX(_xlfn._xlws.FILTER(ROW(ETANCHEITE!BF$22:INDIRECT("'PEINTURE'!O" &amp; AW8-1)),ETANCHEITE!BF$22:INDIRECT("'PEINTURE'!O" &amp; AW8-1)&lt;&gt;"")))),"")</f>
        <v/>
      </c>
      <c r="BB8" s="163" t="str" cm="1">
        <f t="array" aca="1" ref="BB8" ca="1">IFERROR(IF(_xlfn.XLOOKUP(AT8,ETANCHEITE!BH$22:BH$92,ETANCHEITE!BG$22:BG$92,"")&lt;&gt;"",_xlfn.XLOOKUP(AT8,ETANCHEITE!BH$22:BH$92,ETANCHEITE!BG$22:BG$92,""),    INDEX(ETANCHEITE!BG:BG,MAX(_xlfn._xlws.FILTER(ROW(ETANCHEITE!BG$22:INDIRECT("'PEINTURE'!P" &amp; AW8-1)),ETANCHEITE!BG$22:INDIRECT("'PEINTURE'!P" &amp; AW8-1)&lt;&gt;"")))),"")</f>
        <v/>
      </c>
    </row>
    <row r="9" spans="1:54" ht="15" customHeight="1" x14ac:dyDescent="0.3">
      <c r="A9" s="145">
        <v>7</v>
      </c>
      <c r="B9" s="154" t="str">
        <f>IF(F9&lt;&gt;" ",ETANCHEITE!$D$5,"")</f>
        <v/>
      </c>
      <c r="C9" s="154" t="str">
        <f>IF(F9&lt;&gt;" ",ETANCHEITE!$D$8,"")</f>
        <v/>
      </c>
      <c r="D9" s="146" t="str">
        <f>IFERROR(MATCH(A9,ETANCHEITE!O$22:O$167,0)+18,"")</f>
        <v/>
      </c>
      <c r="E9" s="147" t="str" cm="1">
        <f t="array" aca="1" ref="E9" ca="1">IFERROR(IF(_xlfn.XLOOKUP(A9,ETANCHEITE!O$22:O$167,ETANCHEITE!$A$22:$A$167,"")&lt;&gt;"",_xlfn.XLOOKUP(A9,ETANCHEITE!O$22:O$167,ETANCHEITE!$A$22:$A$167,""),    INDEX(ETANCHEITE!$A:$A,MAX(_xlfn._xlws.FILTER(ROW(ETANCHEITE!$A$22:INDIRECT("'MENUISERIES EXTERIEURES'!$A" &amp; D9-1)),ETANCHEITE!$A$22:INDIRECT("'MENUISERIES EXTERIEURES'!$A" &amp; D9-1)&lt;&gt;"")))),"")&amp;"   "&amp;IFERROR(_xlfn.XLOOKUP(A9,ETANCHEITE!O$22:O$167,ETANCHEITE!$B$22:$B$167),"")&amp;IFERROR(_xlfn.XLOOKUP(A9,ETANCHEITE!O$22:O$167,ETANCHEITE!$C$22:$C$167),"")&amp;IFERROR(_xlfn.XLOOKUP(A9,ETANCHEITE!O$22:O$167,ETANCHEITE!$D$22:$D$167),"")&amp;IFERROR(_xlfn.XLOOKUP(A9,ETANCHEITE!O$22:O$167,ETANCHEITE!#REF!),"")&amp;IFERROR(_xlfn.XLOOKUP(A9,ETANCHEITE!O$22:O$167,ETANCHEITE!#REF!),"")</f>
        <v xml:space="preserve">   </v>
      </c>
      <c r="F9" s="155" t="str">
        <f>IFERROR(VLOOKUP(A9,ETANCHEITE!O$22:Q$167,2,FALSE),"")&amp;" "&amp;IFERROR(VLOOKUP(A9,ETANCHEITE!O$22:Q$167,3,FALSE),"")</f>
        <v xml:space="preserve"> </v>
      </c>
      <c r="G9" s="148" t="str">
        <f>IF(F9&lt;&gt;" ",'Feuille de Donnée'!$C$3,"")</f>
        <v/>
      </c>
      <c r="H9" s="162" t="str" cm="1">
        <f t="array" aca="1" ref="H9" ca="1">IFERROR(IF(_xlfn.XLOOKUP(A9,ETANCHEITE!O$22:O$92,ETANCHEITE!M$22:M$92,"")&lt;&gt;"",_xlfn.XLOOKUP(A9,ETANCHEITE!O$22:O$92,ETANCHEITE!M$22:M$92,""),    INDEX(ETANCHEITE!M:M,MAX(_xlfn._xlws.FILTER(ROW(ETANCHEITE!M$22:INDIRECT("'PEINTURE'!O" &amp; D9-1)),ETANCHEITE!M$22:INDIRECT("'PEINTURE'!O" &amp; D9-1)&lt;&gt;"")))),"")</f>
        <v/>
      </c>
      <c r="I9" s="163" t="str" cm="1">
        <f t="array" aca="1" ref="I9" ca="1">IFERROR(IF(_xlfn.XLOOKUP(A9,ETANCHEITE!O$22:O$92,ETANCHEITE!N$22:N$92,"")&lt;&gt;"",_xlfn.XLOOKUP(A9,ETANCHEITE!O$22:O$92,ETANCHEITE!N$22:N$92,""),    INDEX(ETANCHEITE!N:N,MAX(_xlfn._xlws.FILTER(ROW(ETANCHEITE!N$22:INDIRECT("'PEINTURE'!P" &amp; D9-1)),ETANCHEITE!N$22:INDIRECT("'PEINTURE'!P" &amp; D9-1)&lt;&gt;"")))),"")</f>
        <v/>
      </c>
      <c r="J9" s="145">
        <v>7</v>
      </c>
      <c r="K9" s="154" t="str">
        <f>IF(O9&lt;&gt;" ",ETANCHEITE!$D$5,"")</f>
        <v/>
      </c>
      <c r="L9" s="154" t="str">
        <f>IF(O9&lt;&gt;" ",ETANCHEITE!$D$8,"")</f>
        <v/>
      </c>
      <c r="M9" s="146" t="str">
        <f>IFERROR(MATCH(J9,ETANCHEITE!X$22:X$167,0)+18,"")</f>
        <v/>
      </c>
      <c r="N9" s="147" t="str" cm="1">
        <f t="array" aca="1" ref="N9" ca="1">IFERROR(IF(_xlfn.XLOOKUP(J9,ETANCHEITE!X$22:X$167,ETANCHEITE!$A$22:$A$167,"")&lt;&gt;"",_xlfn.XLOOKUP(J9,ETANCHEITE!X$22:X$167,ETANCHEITE!$A$22:$A$167,""),    INDEX(ETANCHEITE!$A:$A,MAX(_xlfn._xlws.FILTER(ROW(ETANCHEITE!$A$22:INDIRECT("'MENUISERIES EXTERIEURES'!$A" &amp; M9-1)),ETANCHEITE!$A$22:INDIRECT("'MENUISERIES EXTERIEURES'!$A" &amp; M9-1)&lt;&gt;"")))),"")&amp;"   "&amp;IFERROR(_xlfn.XLOOKUP(J9,ETANCHEITE!X$22:X$167,ETANCHEITE!$B$22:$B$167),"")&amp;IFERROR(_xlfn.XLOOKUP(J9,ETANCHEITE!X$22:X$167,ETANCHEITE!$C$22:$C$167),"")&amp;IFERROR(_xlfn.XLOOKUP(J9,ETANCHEITE!X$22:X$167,ETANCHEITE!$D$22:$D$167),"")&amp;IFERROR(_xlfn.XLOOKUP(J9,ETANCHEITE!X$22:X$167,ETANCHEITE!#REF!),"")&amp;IFERROR(_xlfn.XLOOKUP(J9,ETANCHEITE!X$22:X$167,ETANCHEITE!#REF!),"")</f>
        <v xml:space="preserve">   </v>
      </c>
      <c r="O9" s="155" t="str">
        <f>IFERROR(VLOOKUP(J9,ETANCHEITE!X$22:Z$167,2,FALSE),"")&amp;" "&amp;IFERROR(VLOOKUP(J9,ETANCHEITE!X$22:Z$167,3,FALSE),"")</f>
        <v xml:space="preserve"> </v>
      </c>
      <c r="P9" s="148" t="str">
        <f>IF(O9&lt;&gt;" ",'Feuille de Donnée'!$C$3,"")</f>
        <v/>
      </c>
      <c r="Q9" s="162" t="str" cm="1">
        <f t="array" aca="1" ref="Q9" ca="1">IFERROR(IF(_xlfn.XLOOKUP(J9,ETANCHEITE!X$22:X$92,ETANCHEITE!V$22:V$92,"")&lt;&gt;"",_xlfn.XLOOKUP(J9,ETANCHEITE!X$22:X$92,ETANCHEITE!V$22:V$92,""),    INDEX(ETANCHEITE!V:V,MAX(_xlfn._xlws.FILTER(ROW(ETANCHEITE!V$22:INDIRECT("'PEINTURE'!O" &amp; M9-1)),ETANCHEITE!V$22:INDIRECT("'PEINTURE'!O" &amp; M9-1)&lt;&gt;"")))),"")</f>
        <v/>
      </c>
      <c r="R9" s="163" t="str" cm="1">
        <f t="array" aca="1" ref="R9" ca="1">IFERROR(IF(_xlfn.XLOOKUP(J9,ETANCHEITE!X$22:X$92,ETANCHEITE!W$22:W$92,"")&lt;&gt;"",_xlfn.XLOOKUP(J9,ETANCHEITE!X$22:X$92,ETANCHEITE!W$22:W$92,""),    INDEX(ETANCHEITE!W:W,MAX(_xlfn._xlws.FILTER(ROW(ETANCHEITE!W$22:INDIRECT("'PEINTURE'!P" &amp; M9-1)),ETANCHEITE!W$22:INDIRECT("'PEINTURE'!P" &amp; M9-1)&lt;&gt;"")))),"")</f>
        <v/>
      </c>
      <c r="S9" s="145">
        <v>7</v>
      </c>
      <c r="T9" s="154" t="str">
        <f>IF(X9&lt;&gt;" ",ETANCHEITE!$D$5,"")</f>
        <v/>
      </c>
      <c r="U9" s="154" t="str">
        <f>IF(X9&lt;&gt;" ",ETANCHEITE!$D$8,"")</f>
        <v/>
      </c>
      <c r="V9" s="146" t="str">
        <f>IFERROR(MATCH(S9,ETANCHEITE!AG$22:AG$167,0)+18,"")</f>
        <v/>
      </c>
      <c r="W9" s="147" t="str" cm="1">
        <f t="array" aca="1" ref="W9" ca="1">IFERROR(IF(_xlfn.XLOOKUP(S9,ETANCHEITE!AG$22:AG$167,ETANCHEITE!$A$22:$A$167,"")&lt;&gt;"",_xlfn.XLOOKUP(S9,ETANCHEITE!AG$22:AG$167,ETANCHEITE!$A$22:$A$167,""),    INDEX(ETANCHEITE!$A:$A,MAX(_xlfn._xlws.FILTER(ROW(ETANCHEITE!$A$22:INDIRECT("'MENUISERIES EXTERIEURES'!$A" &amp; V9-1)),ETANCHEITE!$A$22:INDIRECT("'MENUISERIES EXTERIEURES'!$A" &amp; V9-1)&lt;&gt;"")))),"")&amp;"   "&amp;IFERROR(_xlfn.XLOOKUP(S9,ETANCHEITE!AG$22:AG$167,ETANCHEITE!$B$22:$B$167),"")&amp;IFERROR(_xlfn.XLOOKUP(S9,ETANCHEITE!AG$22:AG$167,ETANCHEITE!$C$22:$C$167),"")&amp;IFERROR(_xlfn.XLOOKUP(S9,ETANCHEITE!AG$22:AG$167,ETANCHEITE!$D$22:$D$167),"")&amp;IFERROR(_xlfn.XLOOKUP(S9,ETANCHEITE!AG$22:AG$167,ETANCHEITE!#REF!),"")&amp;IFERROR(_xlfn.XLOOKUP(S9,ETANCHEITE!AG$22:AG$167,ETANCHEITE!#REF!),"")</f>
        <v xml:space="preserve">   </v>
      </c>
      <c r="X9" s="155" t="str">
        <f>IFERROR(VLOOKUP(S9,ETANCHEITE!AG$22:AI$167,2,FALSE),"")&amp;" "&amp;IFERROR(VLOOKUP(S9,ETANCHEITE!AG$22:AI$167,3,FALSE),"")</f>
        <v xml:space="preserve"> </v>
      </c>
      <c r="Y9" s="148" t="str">
        <f>IF(X9&lt;&gt;" ",'Feuille de Donnée'!$C$3,"")</f>
        <v/>
      </c>
      <c r="Z9" s="162" t="str" cm="1">
        <f t="array" aca="1" ref="Z9" ca="1">IFERROR(IF(_xlfn.XLOOKUP(S9,ETANCHEITE!AG$22:AG$92,ETANCHEITE!AE$22:AE$92,"")&lt;&gt;"",_xlfn.XLOOKUP(S9,ETANCHEITE!AG$22:AG$92,ETANCHEITE!AE$22:AE$92,""),    INDEX(ETANCHEITE!AE:AE,MAX(_xlfn._xlws.FILTER(ROW(ETANCHEITE!AE$22:INDIRECT("'PEINTURE'!O" &amp; V9-1)),ETANCHEITE!AE$22:INDIRECT("'PEINTURE'!O" &amp; V9-1)&lt;&gt;"")))),"")</f>
        <v/>
      </c>
      <c r="AA9" s="163" t="str" cm="1">
        <f t="array" aca="1" ref="AA9" ca="1">IFERROR(IF(_xlfn.XLOOKUP(S9,ETANCHEITE!AG$22:AG$92,ETANCHEITE!AF$22:AF$92,"")&lt;&gt;"",_xlfn.XLOOKUP(S9,ETANCHEITE!AG$22:AG$92,ETANCHEITE!AF$22:AF$92,""),    INDEX(ETANCHEITE!AF:AF,MAX(_xlfn._xlws.FILTER(ROW(ETANCHEITE!AF$22:INDIRECT("'PEINTURE'!P" &amp; V9-1)),ETANCHEITE!AF$22:INDIRECT("'PEINTURE'!P" &amp; V9-1)&lt;&gt;"")))),"")</f>
        <v/>
      </c>
      <c r="AB9" s="145">
        <v>7</v>
      </c>
      <c r="AC9" s="154" t="str">
        <f>IF(AG9&lt;&gt;" ",ETANCHEITE!$D$5,"")</f>
        <v/>
      </c>
      <c r="AD9" s="154" t="str">
        <f>IF(AG9&lt;&gt;" ",ETANCHEITE!$D$8,"")</f>
        <v/>
      </c>
      <c r="AE9" s="146" t="str">
        <f>IFERROR(MATCH(AB9,ETANCHEITE!AP$22:AP$167,0)+18,"")</f>
        <v/>
      </c>
      <c r="AF9" s="147" t="str" cm="1">
        <f t="array" aca="1" ref="AF9" ca="1">IFERROR(IF(_xlfn.XLOOKUP(AB9,ETANCHEITE!AP$22:AP$167,ETANCHEITE!$A$22:$A$167,"")&lt;&gt;"",_xlfn.XLOOKUP(AB9,ETANCHEITE!AP$22:AP$167,ETANCHEITE!$A$22:$A$167,""),    INDEX(ETANCHEITE!$A:$A,MAX(_xlfn._xlws.FILTER(ROW(ETANCHEITE!$A$22:INDIRECT("'MENUISERIES EXTERIEURES'!$A" &amp; AE9-1)),ETANCHEITE!$A$22:INDIRECT("'MENUISERIES EXTERIEURES'!$A" &amp; AE9-1)&lt;&gt;"")))),"")&amp;"   "&amp;IFERROR(_xlfn.XLOOKUP(AB9,ETANCHEITE!AP$22:AP$167,ETANCHEITE!$B$22:$B$167),"")&amp;IFERROR(_xlfn.XLOOKUP(AB9,ETANCHEITE!AP$22:AP$167,ETANCHEITE!$C$22:$C$167),"")&amp;IFERROR(_xlfn.XLOOKUP(AB9,ETANCHEITE!AP$22:AP$167,ETANCHEITE!$D$22:$D$167),"")&amp;IFERROR(_xlfn.XLOOKUP(AB9,ETANCHEITE!AP$22:AP$167,ETANCHEITE!#REF!),"")&amp;IFERROR(_xlfn.XLOOKUP(AB9,ETANCHEITE!AP$22:AP$167,ETANCHEITE!#REF!),"")</f>
        <v xml:space="preserve">   </v>
      </c>
      <c r="AG9" s="155" t="str">
        <f>IFERROR(VLOOKUP(AB9,ETANCHEITE!AP$22:AR$167,2,FALSE),"")&amp;" "&amp;IFERROR(VLOOKUP(AB9,ETANCHEITE!AP$22:AR$167,3,FALSE),"")</f>
        <v xml:space="preserve"> </v>
      </c>
      <c r="AH9" s="148" t="str">
        <f>IF(AG9&lt;&gt;" ",'Feuille de Donnée'!$C$3,"")</f>
        <v/>
      </c>
      <c r="AI9" s="162" t="str" cm="1">
        <f t="array" aca="1" ref="AI9" ca="1">IFERROR(IF(_xlfn.XLOOKUP(AB9,ETANCHEITE!AP$22:AP$92,ETANCHEITE!AN$22:AN$92,"")&lt;&gt;"",_xlfn.XLOOKUP(AB9,ETANCHEITE!AP$22:AP$92,ETANCHEITE!AN$22:AN$92,""),    INDEX(ETANCHEITE!AN:AN,MAX(_xlfn._xlws.FILTER(ROW(ETANCHEITE!AN$22:INDIRECT("'PEINTURE'!O" &amp; AE9-1)),ETANCHEITE!AN$22:INDIRECT("'PEINTURE'!O" &amp; AE9-1)&lt;&gt;"")))),"")</f>
        <v/>
      </c>
      <c r="AJ9" s="163" t="str" cm="1">
        <f t="array" aca="1" ref="AJ9" ca="1">IFERROR(IF(_xlfn.XLOOKUP(AB9,ETANCHEITE!AP$22:AP$92,ETANCHEITE!AO$22:AO$92,"")&lt;&gt;"",_xlfn.XLOOKUP(AB9,ETANCHEITE!AP$22:AP$92,ETANCHEITE!AO$22:AO$92,""),    INDEX(ETANCHEITE!AO:AO,MAX(_xlfn._xlws.FILTER(ROW(ETANCHEITE!AO$22:INDIRECT("'PEINTURE'!P" &amp; AE9-1)),ETANCHEITE!AO$22:INDIRECT("'PEINTURE'!P" &amp; AE9-1)&lt;&gt;"")))),"")</f>
        <v/>
      </c>
      <c r="AK9" s="145">
        <v>7</v>
      </c>
      <c r="AL9" s="154" t="str">
        <f>IF(AP9&lt;&gt;" ",ETANCHEITE!$D$5,"")</f>
        <v/>
      </c>
      <c r="AM9" s="154" t="str">
        <f>IF(AP9&lt;&gt;" ",ETANCHEITE!$D$8,"")</f>
        <v/>
      </c>
      <c r="AN9" s="146" t="str">
        <f>IFERROR(MATCH(AK9,ETANCHEITE!AY$22:AY$167,0)+18,"")</f>
        <v/>
      </c>
      <c r="AO9" s="147" t="str" cm="1">
        <f t="array" aca="1" ref="AO9" ca="1">IFERROR(IF(_xlfn.XLOOKUP(AK9,ETANCHEITE!AY$22:AY$167,ETANCHEITE!$A$22:$A$167,"")&lt;&gt;"",_xlfn.XLOOKUP(AK9,ETANCHEITE!AY$22:AY$167,ETANCHEITE!$A$22:$A$167,""),    INDEX(ETANCHEITE!$A:$A,MAX(_xlfn._xlws.FILTER(ROW(ETANCHEITE!$A$22:INDIRECT("'MENUISERIES EXTERIEURES'!$A" &amp; AN9-1)),ETANCHEITE!$A$22:INDIRECT("'MENUISERIES EXTERIEURES'!$A" &amp; AN9-1)&lt;&gt;"")))),"")&amp;"   "&amp;IFERROR(_xlfn.XLOOKUP(AK9,ETANCHEITE!AY$22:AY$167,ETANCHEITE!$B$22:$B$167),"")&amp;IFERROR(_xlfn.XLOOKUP(AK9,ETANCHEITE!AY$22:AY$167,ETANCHEITE!$C$22:$C$167),"")&amp;IFERROR(_xlfn.XLOOKUP(AK9,ETANCHEITE!AY$22:AY$167,ETANCHEITE!$D$22:$D$167),"")&amp;IFERROR(_xlfn.XLOOKUP(AK9,ETANCHEITE!AY$22:AY$167,ETANCHEITE!#REF!),"")&amp;IFERROR(_xlfn.XLOOKUP(AK9,ETANCHEITE!AY$22:AY$167,ETANCHEITE!#REF!),"")</f>
        <v xml:space="preserve">   </v>
      </c>
      <c r="AP9" s="155" t="str">
        <f>IFERROR(VLOOKUP(AK9,ETANCHEITE!AY$22:BA$167,2,FALSE),"")&amp;" "&amp;IFERROR(VLOOKUP(AK9,ETANCHEITE!AY$22:BA$167,3,FALSE),"")</f>
        <v xml:space="preserve"> </v>
      </c>
      <c r="AQ9" s="148" t="str">
        <f>IF(AP9&lt;&gt;" ",'Feuille de Donnée'!$C$3,"")</f>
        <v/>
      </c>
      <c r="AR9" s="162" t="str" cm="1">
        <f t="array" aca="1" ref="AR9" ca="1">IFERROR(IF(_xlfn.XLOOKUP(AK9,ETANCHEITE!AY$22:AY$92,ETANCHEITE!AW$22:AW$92,"")&lt;&gt;"",_xlfn.XLOOKUP(AK9,ETANCHEITE!AY$22:AY$92,ETANCHEITE!AW$22:AW$92,""),    INDEX(ETANCHEITE!AW:AW,MAX(_xlfn._xlws.FILTER(ROW(ETANCHEITE!AW$22:INDIRECT("'PEINTURE'!O" &amp; AN9-1)),ETANCHEITE!AW$22:INDIRECT("'PEINTURE'!O" &amp; AN9-1)&lt;&gt;"")))),"")</f>
        <v/>
      </c>
      <c r="AS9" s="163" t="str" cm="1">
        <f t="array" aca="1" ref="AS9" ca="1">IFERROR(IF(_xlfn.XLOOKUP(AK9,ETANCHEITE!AY$22:AY$92,ETANCHEITE!AX$22:AX$92,"")&lt;&gt;"",_xlfn.XLOOKUP(AK9,ETANCHEITE!AY$22:AY$92,ETANCHEITE!AX$22:AX$92,""),    INDEX(ETANCHEITE!AX:AX,MAX(_xlfn._xlws.FILTER(ROW(ETANCHEITE!AX$22:INDIRECT("'PEINTURE'!P" &amp; AN9-1)),ETANCHEITE!AX$22:INDIRECT("'PEINTURE'!P" &amp; AN9-1)&lt;&gt;"")))),"")</f>
        <v/>
      </c>
      <c r="AT9" s="145">
        <v>7</v>
      </c>
      <c r="AU9" s="154" t="str">
        <f>IF(AY9&lt;&gt;" ",ETANCHEITE!$D$5,"")</f>
        <v/>
      </c>
      <c r="AV9" s="154" t="str">
        <f>IF(AY9&lt;&gt;" ",ETANCHEITE!$D$8,"")</f>
        <v/>
      </c>
      <c r="AW9" s="146" t="str">
        <f>IFERROR(MATCH(AT9,ETANCHEITE!BH$22:BH$167,0)+18,"")</f>
        <v/>
      </c>
      <c r="AX9" s="147" t="str" cm="1">
        <f t="array" aca="1" ref="AX9" ca="1">IFERROR(IF(_xlfn.XLOOKUP(AT9,ETANCHEITE!BH$22:BH$167,ETANCHEITE!$A$22:$A$167,"")&lt;&gt;"",_xlfn.XLOOKUP(AT9,ETANCHEITE!BH$22:BH$167,ETANCHEITE!$A$22:$A$167,""),    INDEX(ETANCHEITE!$A:$A,MAX(_xlfn._xlws.FILTER(ROW(ETANCHEITE!$A$22:INDIRECT("'MENUISERIES EXTERIEURES'!$A" &amp; AW9-1)),ETANCHEITE!$A$22:INDIRECT("'MENUISERIES EXTERIEURES'!$A" &amp; AW9-1)&lt;&gt;"")))),"")&amp;"   "&amp;IFERROR(_xlfn.XLOOKUP(AT9,ETANCHEITE!BH$22:BH$167,ETANCHEITE!$B$22:$B$167),"")&amp;IFERROR(_xlfn.XLOOKUP(AT9,ETANCHEITE!BH$22:BH$167,ETANCHEITE!$C$22:$C$167),"")&amp;IFERROR(_xlfn.XLOOKUP(AT9,ETANCHEITE!BH$22:BH$167,ETANCHEITE!$D$22:$D$167),"")&amp;IFERROR(_xlfn.XLOOKUP(AT9,ETANCHEITE!BH$22:BH$167,ETANCHEITE!#REF!),"")&amp;IFERROR(_xlfn.XLOOKUP(AT9,ETANCHEITE!BH$22:BH$167,ETANCHEITE!#REF!),"")</f>
        <v xml:space="preserve">   </v>
      </c>
      <c r="AY9" s="155" t="str">
        <f>IFERROR(VLOOKUP(AT9,ETANCHEITE!BH$22:BJ$167,2,FALSE),"")&amp;" "&amp;IFERROR(VLOOKUP(AT9,ETANCHEITE!BH$22:BJ$167,3,FALSE),"")</f>
        <v xml:space="preserve"> </v>
      </c>
      <c r="AZ9" s="148" t="str">
        <f>IF(AY9&lt;&gt;" ",'Feuille de Donnée'!$C$3,"")</f>
        <v/>
      </c>
      <c r="BA9" s="162" t="str" cm="1">
        <f t="array" aca="1" ref="BA9" ca="1">IFERROR(IF(_xlfn.XLOOKUP(AT9,ETANCHEITE!BH$22:BH$92,ETANCHEITE!BF$22:BF$92,"")&lt;&gt;"",_xlfn.XLOOKUP(AT9,ETANCHEITE!BH$22:BH$92,ETANCHEITE!BF$22:BF$92,""),    INDEX(ETANCHEITE!BF:BF,MAX(_xlfn._xlws.FILTER(ROW(ETANCHEITE!BF$22:INDIRECT("'PEINTURE'!O" &amp; AW9-1)),ETANCHEITE!BF$22:INDIRECT("'PEINTURE'!O" &amp; AW9-1)&lt;&gt;"")))),"")</f>
        <v/>
      </c>
      <c r="BB9" s="163" t="str" cm="1">
        <f t="array" aca="1" ref="BB9" ca="1">IFERROR(IF(_xlfn.XLOOKUP(AT9,ETANCHEITE!BH$22:BH$92,ETANCHEITE!BG$22:BG$92,"")&lt;&gt;"",_xlfn.XLOOKUP(AT9,ETANCHEITE!BH$22:BH$92,ETANCHEITE!BG$22:BG$92,""),    INDEX(ETANCHEITE!BG:BG,MAX(_xlfn._xlws.FILTER(ROW(ETANCHEITE!BG$22:INDIRECT("'PEINTURE'!P" &amp; AW9-1)),ETANCHEITE!BG$22:INDIRECT("'PEINTURE'!P" &amp; AW9-1)&lt;&gt;"")))),"")</f>
        <v/>
      </c>
    </row>
    <row r="10" spans="1:54" ht="15" customHeight="1" x14ac:dyDescent="0.3">
      <c r="A10" s="145">
        <v>8</v>
      </c>
      <c r="B10" s="154" t="str">
        <f>IF(F10&lt;&gt;" ",ETANCHEITE!$D$5,"")</f>
        <v/>
      </c>
      <c r="C10" s="154" t="str">
        <f>IF(F10&lt;&gt;" ",ETANCHEITE!$D$8,"")</f>
        <v/>
      </c>
      <c r="D10" s="146" t="str">
        <f>IFERROR(MATCH(A10,ETANCHEITE!O$22:O$167,0)+18,"")</f>
        <v/>
      </c>
      <c r="E10" s="147" t="str" cm="1">
        <f t="array" aca="1" ref="E10" ca="1">IFERROR(IF(_xlfn.XLOOKUP(A10,ETANCHEITE!O$22:O$167,ETANCHEITE!$A$22:$A$167,"")&lt;&gt;"",_xlfn.XLOOKUP(A10,ETANCHEITE!O$22:O$167,ETANCHEITE!$A$22:$A$167,""),    INDEX(ETANCHEITE!$A:$A,MAX(_xlfn._xlws.FILTER(ROW(ETANCHEITE!$A$22:INDIRECT("'MENUISERIES EXTERIEURES'!$A" &amp; D10-1)),ETANCHEITE!$A$22:INDIRECT("'MENUISERIES EXTERIEURES'!$A" &amp; D10-1)&lt;&gt;"")))),"")&amp;"   "&amp;IFERROR(_xlfn.XLOOKUP(A10,ETANCHEITE!O$22:O$167,ETANCHEITE!$B$22:$B$167),"")&amp;IFERROR(_xlfn.XLOOKUP(A10,ETANCHEITE!O$22:O$167,ETANCHEITE!$C$22:$C$167),"")&amp;IFERROR(_xlfn.XLOOKUP(A10,ETANCHEITE!O$22:O$167,ETANCHEITE!$D$22:$D$167),"")&amp;IFERROR(_xlfn.XLOOKUP(A10,ETANCHEITE!O$22:O$167,ETANCHEITE!#REF!),"")&amp;IFERROR(_xlfn.XLOOKUP(A10,ETANCHEITE!O$22:O$167,ETANCHEITE!#REF!),"")</f>
        <v xml:space="preserve">   </v>
      </c>
      <c r="F10" s="155" t="str">
        <f>IFERROR(VLOOKUP(A10,ETANCHEITE!O$22:Q$167,2,FALSE),"")&amp;" "&amp;IFERROR(VLOOKUP(A10,ETANCHEITE!O$22:Q$167,3,FALSE),"")</f>
        <v xml:space="preserve"> </v>
      </c>
      <c r="G10" s="148" t="str">
        <f>IF(F10&lt;&gt;" ",'Feuille de Donnée'!$C$3,"")</f>
        <v/>
      </c>
      <c r="H10" s="162" t="str" cm="1">
        <f t="array" aca="1" ref="H10" ca="1">IFERROR(IF(_xlfn.XLOOKUP(A10,ETANCHEITE!O$22:O$92,ETANCHEITE!M$22:M$92,"")&lt;&gt;"",_xlfn.XLOOKUP(A10,ETANCHEITE!O$22:O$92,ETANCHEITE!M$22:M$92,""),    INDEX(ETANCHEITE!M:M,MAX(_xlfn._xlws.FILTER(ROW(ETANCHEITE!M$22:INDIRECT("'PEINTURE'!O" &amp; D10-1)),ETANCHEITE!M$22:INDIRECT("'PEINTURE'!O" &amp; D10-1)&lt;&gt;"")))),"")</f>
        <v/>
      </c>
      <c r="I10" s="163" t="str" cm="1">
        <f t="array" aca="1" ref="I10" ca="1">IFERROR(IF(_xlfn.XLOOKUP(A10,ETANCHEITE!O$22:O$92,ETANCHEITE!N$22:N$92,"")&lt;&gt;"",_xlfn.XLOOKUP(A10,ETANCHEITE!O$22:O$92,ETANCHEITE!N$22:N$92,""),    INDEX(ETANCHEITE!N:N,MAX(_xlfn._xlws.FILTER(ROW(ETANCHEITE!N$22:INDIRECT("'PEINTURE'!P" &amp; D10-1)),ETANCHEITE!N$22:INDIRECT("'PEINTURE'!P" &amp; D10-1)&lt;&gt;"")))),"")</f>
        <v/>
      </c>
      <c r="J10" s="145">
        <v>8</v>
      </c>
      <c r="K10" s="154" t="str">
        <f>IF(O10&lt;&gt;" ",ETANCHEITE!$D$5,"")</f>
        <v/>
      </c>
      <c r="L10" s="154" t="str">
        <f>IF(O10&lt;&gt;" ",ETANCHEITE!$D$8,"")</f>
        <v/>
      </c>
      <c r="M10" s="146" t="str">
        <f>IFERROR(MATCH(J10,ETANCHEITE!X$22:X$167,0)+18,"")</f>
        <v/>
      </c>
      <c r="N10" s="147" t="str" cm="1">
        <f t="array" aca="1" ref="N10" ca="1">IFERROR(IF(_xlfn.XLOOKUP(J10,ETANCHEITE!X$22:X$167,ETANCHEITE!$A$22:$A$167,"")&lt;&gt;"",_xlfn.XLOOKUP(J10,ETANCHEITE!X$22:X$167,ETANCHEITE!$A$22:$A$167,""),    INDEX(ETANCHEITE!$A:$A,MAX(_xlfn._xlws.FILTER(ROW(ETANCHEITE!$A$22:INDIRECT("'MENUISERIES EXTERIEURES'!$A" &amp; M10-1)),ETANCHEITE!$A$22:INDIRECT("'MENUISERIES EXTERIEURES'!$A" &amp; M10-1)&lt;&gt;"")))),"")&amp;"   "&amp;IFERROR(_xlfn.XLOOKUP(J10,ETANCHEITE!X$22:X$167,ETANCHEITE!$B$22:$B$167),"")&amp;IFERROR(_xlfn.XLOOKUP(J10,ETANCHEITE!X$22:X$167,ETANCHEITE!$C$22:$C$167),"")&amp;IFERROR(_xlfn.XLOOKUP(J10,ETANCHEITE!X$22:X$167,ETANCHEITE!$D$22:$D$167),"")&amp;IFERROR(_xlfn.XLOOKUP(J10,ETANCHEITE!X$22:X$167,ETANCHEITE!#REF!),"")&amp;IFERROR(_xlfn.XLOOKUP(J10,ETANCHEITE!X$22:X$167,ETANCHEITE!#REF!),"")</f>
        <v xml:space="preserve">   </v>
      </c>
      <c r="O10" s="155" t="str">
        <f>IFERROR(VLOOKUP(J10,ETANCHEITE!X$22:Z$167,2,FALSE),"")&amp;" "&amp;IFERROR(VLOOKUP(J10,ETANCHEITE!X$22:Z$167,3,FALSE),"")</f>
        <v xml:space="preserve"> </v>
      </c>
      <c r="P10" s="148" t="str">
        <f>IF(O10&lt;&gt;" ",'Feuille de Donnée'!$C$3,"")</f>
        <v/>
      </c>
      <c r="Q10" s="162" t="str" cm="1">
        <f t="array" aca="1" ref="Q10" ca="1">IFERROR(IF(_xlfn.XLOOKUP(J10,ETANCHEITE!X$22:X$92,ETANCHEITE!V$22:V$92,"")&lt;&gt;"",_xlfn.XLOOKUP(J10,ETANCHEITE!X$22:X$92,ETANCHEITE!V$22:V$92,""),    INDEX(ETANCHEITE!V:V,MAX(_xlfn._xlws.FILTER(ROW(ETANCHEITE!V$22:INDIRECT("'PEINTURE'!O" &amp; M10-1)),ETANCHEITE!V$22:INDIRECT("'PEINTURE'!O" &amp; M10-1)&lt;&gt;"")))),"")</f>
        <v/>
      </c>
      <c r="R10" s="163" t="str" cm="1">
        <f t="array" aca="1" ref="R10" ca="1">IFERROR(IF(_xlfn.XLOOKUP(J10,ETANCHEITE!X$22:X$92,ETANCHEITE!W$22:W$92,"")&lt;&gt;"",_xlfn.XLOOKUP(J10,ETANCHEITE!X$22:X$92,ETANCHEITE!W$22:W$92,""),    INDEX(ETANCHEITE!W:W,MAX(_xlfn._xlws.FILTER(ROW(ETANCHEITE!W$22:INDIRECT("'PEINTURE'!P" &amp; M10-1)),ETANCHEITE!W$22:INDIRECT("'PEINTURE'!P" &amp; M10-1)&lt;&gt;"")))),"")</f>
        <v/>
      </c>
      <c r="S10" s="145">
        <v>8</v>
      </c>
      <c r="T10" s="154" t="str">
        <f>IF(X10&lt;&gt;" ",ETANCHEITE!$D$5,"")</f>
        <v/>
      </c>
      <c r="U10" s="154" t="str">
        <f>IF(X10&lt;&gt;" ",ETANCHEITE!$D$8,"")</f>
        <v/>
      </c>
      <c r="V10" s="146" t="str">
        <f>IFERROR(MATCH(S10,ETANCHEITE!AG$22:AG$167,0)+18,"")</f>
        <v/>
      </c>
      <c r="W10" s="147" t="str" cm="1">
        <f t="array" aca="1" ref="W10" ca="1">IFERROR(IF(_xlfn.XLOOKUP(S10,ETANCHEITE!AG$22:AG$167,ETANCHEITE!$A$22:$A$167,"")&lt;&gt;"",_xlfn.XLOOKUP(S10,ETANCHEITE!AG$22:AG$167,ETANCHEITE!$A$22:$A$167,""),    INDEX(ETANCHEITE!$A:$A,MAX(_xlfn._xlws.FILTER(ROW(ETANCHEITE!$A$22:INDIRECT("'MENUISERIES EXTERIEURES'!$A" &amp; V10-1)),ETANCHEITE!$A$22:INDIRECT("'MENUISERIES EXTERIEURES'!$A" &amp; V10-1)&lt;&gt;"")))),"")&amp;"   "&amp;IFERROR(_xlfn.XLOOKUP(S10,ETANCHEITE!AG$22:AG$167,ETANCHEITE!$B$22:$B$167),"")&amp;IFERROR(_xlfn.XLOOKUP(S10,ETANCHEITE!AG$22:AG$167,ETANCHEITE!$C$22:$C$167),"")&amp;IFERROR(_xlfn.XLOOKUP(S10,ETANCHEITE!AG$22:AG$167,ETANCHEITE!$D$22:$D$167),"")&amp;IFERROR(_xlfn.XLOOKUP(S10,ETANCHEITE!AG$22:AG$167,ETANCHEITE!#REF!),"")&amp;IFERROR(_xlfn.XLOOKUP(S10,ETANCHEITE!AG$22:AG$167,ETANCHEITE!#REF!),"")</f>
        <v xml:space="preserve">   </v>
      </c>
      <c r="X10" s="155" t="str">
        <f>IFERROR(VLOOKUP(S10,ETANCHEITE!AG$22:AI$167,2,FALSE),"")&amp;" "&amp;IFERROR(VLOOKUP(S10,ETANCHEITE!AG$22:AI$167,3,FALSE),"")</f>
        <v xml:space="preserve"> </v>
      </c>
      <c r="Y10" s="148" t="str">
        <f>IF(X10&lt;&gt;" ",'Feuille de Donnée'!$C$3,"")</f>
        <v/>
      </c>
      <c r="Z10" s="162" t="str" cm="1">
        <f t="array" aca="1" ref="Z10" ca="1">IFERROR(IF(_xlfn.XLOOKUP(S10,ETANCHEITE!AG$22:AG$92,ETANCHEITE!AE$22:AE$92,"")&lt;&gt;"",_xlfn.XLOOKUP(S10,ETANCHEITE!AG$22:AG$92,ETANCHEITE!AE$22:AE$92,""),    INDEX(ETANCHEITE!AE:AE,MAX(_xlfn._xlws.FILTER(ROW(ETANCHEITE!AE$22:INDIRECT("'PEINTURE'!O" &amp; V10-1)),ETANCHEITE!AE$22:INDIRECT("'PEINTURE'!O" &amp; V10-1)&lt;&gt;"")))),"")</f>
        <v/>
      </c>
      <c r="AA10" s="163" t="str" cm="1">
        <f t="array" aca="1" ref="AA10" ca="1">IFERROR(IF(_xlfn.XLOOKUP(S10,ETANCHEITE!AG$22:AG$92,ETANCHEITE!AF$22:AF$92,"")&lt;&gt;"",_xlfn.XLOOKUP(S10,ETANCHEITE!AG$22:AG$92,ETANCHEITE!AF$22:AF$92,""),    INDEX(ETANCHEITE!AF:AF,MAX(_xlfn._xlws.FILTER(ROW(ETANCHEITE!AF$22:INDIRECT("'PEINTURE'!P" &amp; V10-1)),ETANCHEITE!AF$22:INDIRECT("'PEINTURE'!P" &amp; V10-1)&lt;&gt;"")))),"")</f>
        <v/>
      </c>
      <c r="AB10" s="145">
        <v>8</v>
      </c>
      <c r="AC10" s="154" t="str">
        <f>IF(AG10&lt;&gt;" ",ETANCHEITE!$D$5,"")</f>
        <v/>
      </c>
      <c r="AD10" s="154" t="str">
        <f>IF(AG10&lt;&gt;" ",ETANCHEITE!$D$8,"")</f>
        <v/>
      </c>
      <c r="AE10" s="146" t="str">
        <f>IFERROR(MATCH(AB10,ETANCHEITE!AP$22:AP$167,0)+18,"")</f>
        <v/>
      </c>
      <c r="AF10" s="147" t="str" cm="1">
        <f t="array" aca="1" ref="AF10" ca="1">IFERROR(IF(_xlfn.XLOOKUP(AB10,ETANCHEITE!AP$22:AP$167,ETANCHEITE!$A$22:$A$167,"")&lt;&gt;"",_xlfn.XLOOKUP(AB10,ETANCHEITE!AP$22:AP$167,ETANCHEITE!$A$22:$A$167,""),    INDEX(ETANCHEITE!$A:$A,MAX(_xlfn._xlws.FILTER(ROW(ETANCHEITE!$A$22:INDIRECT("'MENUISERIES EXTERIEURES'!$A" &amp; AE10-1)),ETANCHEITE!$A$22:INDIRECT("'MENUISERIES EXTERIEURES'!$A" &amp; AE10-1)&lt;&gt;"")))),"")&amp;"   "&amp;IFERROR(_xlfn.XLOOKUP(AB10,ETANCHEITE!AP$22:AP$167,ETANCHEITE!$B$22:$B$167),"")&amp;IFERROR(_xlfn.XLOOKUP(AB10,ETANCHEITE!AP$22:AP$167,ETANCHEITE!$C$22:$C$167),"")&amp;IFERROR(_xlfn.XLOOKUP(AB10,ETANCHEITE!AP$22:AP$167,ETANCHEITE!$D$22:$D$167),"")&amp;IFERROR(_xlfn.XLOOKUP(AB10,ETANCHEITE!AP$22:AP$167,ETANCHEITE!#REF!),"")&amp;IFERROR(_xlfn.XLOOKUP(AB10,ETANCHEITE!AP$22:AP$167,ETANCHEITE!#REF!),"")</f>
        <v xml:space="preserve">   </v>
      </c>
      <c r="AG10" s="155" t="str">
        <f>IFERROR(VLOOKUP(AB10,ETANCHEITE!AP$22:AR$167,2,FALSE),"")&amp;" "&amp;IFERROR(VLOOKUP(AB10,ETANCHEITE!AP$22:AR$167,3,FALSE),"")</f>
        <v xml:space="preserve"> </v>
      </c>
      <c r="AH10" s="148" t="str">
        <f>IF(AG10&lt;&gt;" ",'Feuille de Donnée'!$C$3,"")</f>
        <v/>
      </c>
      <c r="AI10" s="162" t="str" cm="1">
        <f t="array" aca="1" ref="AI10" ca="1">IFERROR(IF(_xlfn.XLOOKUP(AB10,ETANCHEITE!AP$22:AP$92,ETANCHEITE!AN$22:AN$92,"")&lt;&gt;"",_xlfn.XLOOKUP(AB10,ETANCHEITE!AP$22:AP$92,ETANCHEITE!AN$22:AN$92,""),    INDEX(ETANCHEITE!AN:AN,MAX(_xlfn._xlws.FILTER(ROW(ETANCHEITE!AN$22:INDIRECT("'PEINTURE'!O" &amp; AE10-1)),ETANCHEITE!AN$22:INDIRECT("'PEINTURE'!O" &amp; AE10-1)&lt;&gt;"")))),"")</f>
        <v/>
      </c>
      <c r="AJ10" s="163" t="str" cm="1">
        <f t="array" aca="1" ref="AJ10" ca="1">IFERROR(IF(_xlfn.XLOOKUP(AB10,ETANCHEITE!AP$22:AP$92,ETANCHEITE!AO$22:AO$92,"")&lt;&gt;"",_xlfn.XLOOKUP(AB10,ETANCHEITE!AP$22:AP$92,ETANCHEITE!AO$22:AO$92,""),    INDEX(ETANCHEITE!AO:AO,MAX(_xlfn._xlws.FILTER(ROW(ETANCHEITE!AO$22:INDIRECT("'PEINTURE'!P" &amp; AE10-1)),ETANCHEITE!AO$22:INDIRECT("'PEINTURE'!P" &amp; AE10-1)&lt;&gt;"")))),"")</f>
        <v/>
      </c>
      <c r="AK10" s="145">
        <v>8</v>
      </c>
      <c r="AL10" s="154" t="str">
        <f>IF(AP10&lt;&gt;" ",ETANCHEITE!$D$5,"")</f>
        <v/>
      </c>
      <c r="AM10" s="154" t="str">
        <f>IF(AP10&lt;&gt;" ",ETANCHEITE!$D$8,"")</f>
        <v/>
      </c>
      <c r="AN10" s="146" t="str">
        <f>IFERROR(MATCH(AK10,ETANCHEITE!AY$22:AY$167,0)+18,"")</f>
        <v/>
      </c>
      <c r="AO10" s="147" t="str" cm="1">
        <f t="array" aca="1" ref="AO10" ca="1">IFERROR(IF(_xlfn.XLOOKUP(AK10,ETANCHEITE!AY$22:AY$167,ETANCHEITE!$A$22:$A$167,"")&lt;&gt;"",_xlfn.XLOOKUP(AK10,ETANCHEITE!AY$22:AY$167,ETANCHEITE!$A$22:$A$167,""),    INDEX(ETANCHEITE!$A:$A,MAX(_xlfn._xlws.FILTER(ROW(ETANCHEITE!$A$22:INDIRECT("'MENUISERIES EXTERIEURES'!$A" &amp; AN10-1)),ETANCHEITE!$A$22:INDIRECT("'MENUISERIES EXTERIEURES'!$A" &amp; AN10-1)&lt;&gt;"")))),"")&amp;"   "&amp;IFERROR(_xlfn.XLOOKUP(AK10,ETANCHEITE!AY$22:AY$167,ETANCHEITE!$B$22:$B$167),"")&amp;IFERROR(_xlfn.XLOOKUP(AK10,ETANCHEITE!AY$22:AY$167,ETANCHEITE!$C$22:$C$167),"")&amp;IFERROR(_xlfn.XLOOKUP(AK10,ETANCHEITE!AY$22:AY$167,ETANCHEITE!$D$22:$D$167),"")&amp;IFERROR(_xlfn.XLOOKUP(AK10,ETANCHEITE!AY$22:AY$167,ETANCHEITE!#REF!),"")&amp;IFERROR(_xlfn.XLOOKUP(AK10,ETANCHEITE!AY$22:AY$167,ETANCHEITE!#REF!),"")</f>
        <v xml:space="preserve">   </v>
      </c>
      <c r="AP10" s="155" t="str">
        <f>IFERROR(VLOOKUP(AK10,ETANCHEITE!AY$22:BA$167,2,FALSE),"")&amp;" "&amp;IFERROR(VLOOKUP(AK10,ETANCHEITE!AY$22:BA$167,3,FALSE),"")</f>
        <v xml:space="preserve"> </v>
      </c>
      <c r="AQ10" s="148" t="str">
        <f>IF(AP10&lt;&gt;" ",'Feuille de Donnée'!$C$3,"")</f>
        <v/>
      </c>
      <c r="AR10" s="162" t="str" cm="1">
        <f t="array" aca="1" ref="AR10" ca="1">IFERROR(IF(_xlfn.XLOOKUP(AK10,ETANCHEITE!AY$22:AY$92,ETANCHEITE!AW$22:AW$92,"")&lt;&gt;"",_xlfn.XLOOKUP(AK10,ETANCHEITE!AY$22:AY$92,ETANCHEITE!AW$22:AW$92,""),    INDEX(ETANCHEITE!AW:AW,MAX(_xlfn._xlws.FILTER(ROW(ETANCHEITE!AW$22:INDIRECT("'PEINTURE'!O" &amp; AN10-1)),ETANCHEITE!AW$22:INDIRECT("'PEINTURE'!O" &amp; AN10-1)&lt;&gt;"")))),"")</f>
        <v/>
      </c>
      <c r="AS10" s="163" t="str" cm="1">
        <f t="array" aca="1" ref="AS10" ca="1">IFERROR(IF(_xlfn.XLOOKUP(AK10,ETANCHEITE!AY$22:AY$92,ETANCHEITE!AX$22:AX$92,"")&lt;&gt;"",_xlfn.XLOOKUP(AK10,ETANCHEITE!AY$22:AY$92,ETANCHEITE!AX$22:AX$92,""),    INDEX(ETANCHEITE!AX:AX,MAX(_xlfn._xlws.FILTER(ROW(ETANCHEITE!AX$22:INDIRECT("'PEINTURE'!P" &amp; AN10-1)),ETANCHEITE!AX$22:INDIRECT("'PEINTURE'!P" &amp; AN10-1)&lt;&gt;"")))),"")</f>
        <v/>
      </c>
      <c r="AT10" s="145">
        <v>8</v>
      </c>
      <c r="AU10" s="154" t="str">
        <f>IF(AY10&lt;&gt;" ",ETANCHEITE!$D$5,"")</f>
        <v/>
      </c>
      <c r="AV10" s="154" t="str">
        <f>IF(AY10&lt;&gt;" ",ETANCHEITE!$D$8,"")</f>
        <v/>
      </c>
      <c r="AW10" s="146" t="str">
        <f>IFERROR(MATCH(AT10,ETANCHEITE!BH$22:BH$167,0)+18,"")</f>
        <v/>
      </c>
      <c r="AX10" s="147" t="str" cm="1">
        <f t="array" aca="1" ref="AX10" ca="1">IFERROR(IF(_xlfn.XLOOKUP(AT10,ETANCHEITE!BH$22:BH$167,ETANCHEITE!$A$22:$A$167,"")&lt;&gt;"",_xlfn.XLOOKUP(AT10,ETANCHEITE!BH$22:BH$167,ETANCHEITE!$A$22:$A$167,""),    INDEX(ETANCHEITE!$A:$A,MAX(_xlfn._xlws.FILTER(ROW(ETANCHEITE!$A$22:INDIRECT("'MENUISERIES EXTERIEURES'!$A" &amp; AW10-1)),ETANCHEITE!$A$22:INDIRECT("'MENUISERIES EXTERIEURES'!$A" &amp; AW10-1)&lt;&gt;"")))),"")&amp;"   "&amp;IFERROR(_xlfn.XLOOKUP(AT10,ETANCHEITE!BH$22:BH$167,ETANCHEITE!$B$22:$B$167),"")&amp;IFERROR(_xlfn.XLOOKUP(AT10,ETANCHEITE!BH$22:BH$167,ETANCHEITE!$C$22:$C$167),"")&amp;IFERROR(_xlfn.XLOOKUP(AT10,ETANCHEITE!BH$22:BH$167,ETANCHEITE!$D$22:$D$167),"")&amp;IFERROR(_xlfn.XLOOKUP(AT10,ETANCHEITE!BH$22:BH$167,ETANCHEITE!#REF!),"")&amp;IFERROR(_xlfn.XLOOKUP(AT10,ETANCHEITE!BH$22:BH$167,ETANCHEITE!#REF!),"")</f>
        <v xml:space="preserve">   </v>
      </c>
      <c r="AY10" s="155" t="str">
        <f>IFERROR(VLOOKUP(AT10,ETANCHEITE!BH$22:BJ$167,2,FALSE),"")&amp;" "&amp;IFERROR(VLOOKUP(AT10,ETANCHEITE!BH$22:BJ$167,3,FALSE),"")</f>
        <v xml:space="preserve"> </v>
      </c>
      <c r="AZ10" s="148" t="str">
        <f>IF(AY10&lt;&gt;" ",'Feuille de Donnée'!$C$3,"")</f>
        <v/>
      </c>
      <c r="BA10" s="162" t="str" cm="1">
        <f t="array" aca="1" ref="BA10" ca="1">IFERROR(IF(_xlfn.XLOOKUP(AT10,ETANCHEITE!BH$22:BH$92,ETANCHEITE!BF$22:BF$92,"")&lt;&gt;"",_xlfn.XLOOKUP(AT10,ETANCHEITE!BH$22:BH$92,ETANCHEITE!BF$22:BF$92,""),    INDEX(ETANCHEITE!BF:BF,MAX(_xlfn._xlws.FILTER(ROW(ETANCHEITE!BF$22:INDIRECT("'PEINTURE'!O" &amp; AW10-1)),ETANCHEITE!BF$22:INDIRECT("'PEINTURE'!O" &amp; AW10-1)&lt;&gt;"")))),"")</f>
        <v/>
      </c>
      <c r="BB10" s="163" t="str" cm="1">
        <f t="array" aca="1" ref="BB10" ca="1">IFERROR(IF(_xlfn.XLOOKUP(AT10,ETANCHEITE!BH$22:BH$92,ETANCHEITE!BG$22:BG$92,"")&lt;&gt;"",_xlfn.XLOOKUP(AT10,ETANCHEITE!BH$22:BH$92,ETANCHEITE!BG$22:BG$92,""),    INDEX(ETANCHEITE!BG:BG,MAX(_xlfn._xlws.FILTER(ROW(ETANCHEITE!BG$22:INDIRECT("'PEINTURE'!P" &amp; AW10-1)),ETANCHEITE!BG$22:INDIRECT("'PEINTURE'!P" &amp; AW10-1)&lt;&gt;"")))),"")</f>
        <v/>
      </c>
    </row>
    <row r="11" spans="1:54" ht="15" customHeight="1" x14ac:dyDescent="0.3">
      <c r="A11" s="145">
        <v>9</v>
      </c>
      <c r="B11" s="154" t="str">
        <f>IF(F11&lt;&gt;" ",ETANCHEITE!$D$5,"")</f>
        <v/>
      </c>
      <c r="C11" s="154" t="str">
        <f>IF(F11&lt;&gt;" ",ETANCHEITE!$D$8,"")</f>
        <v/>
      </c>
      <c r="D11" s="146" t="str">
        <f>IFERROR(MATCH(A11,ETANCHEITE!O$22:O$167,0)+18,"")</f>
        <v/>
      </c>
      <c r="E11" s="147" t="str" cm="1">
        <f t="array" aca="1" ref="E11" ca="1">IFERROR(IF(_xlfn.XLOOKUP(A11,ETANCHEITE!O$22:O$167,ETANCHEITE!$A$22:$A$167,"")&lt;&gt;"",_xlfn.XLOOKUP(A11,ETANCHEITE!O$22:O$167,ETANCHEITE!$A$22:$A$167,""),    INDEX(ETANCHEITE!$A:$A,MAX(_xlfn._xlws.FILTER(ROW(ETANCHEITE!$A$22:INDIRECT("'MENUISERIES EXTERIEURES'!$A" &amp; D11-1)),ETANCHEITE!$A$22:INDIRECT("'MENUISERIES EXTERIEURES'!$A" &amp; D11-1)&lt;&gt;"")))),"")&amp;"   "&amp;IFERROR(_xlfn.XLOOKUP(A11,ETANCHEITE!O$22:O$167,ETANCHEITE!$B$22:$B$167),"")&amp;IFERROR(_xlfn.XLOOKUP(A11,ETANCHEITE!O$22:O$167,ETANCHEITE!$C$22:$C$167),"")&amp;IFERROR(_xlfn.XLOOKUP(A11,ETANCHEITE!O$22:O$167,ETANCHEITE!$D$22:$D$167),"")&amp;IFERROR(_xlfn.XLOOKUP(A11,ETANCHEITE!O$22:O$167,ETANCHEITE!#REF!),"")&amp;IFERROR(_xlfn.XLOOKUP(A11,ETANCHEITE!O$22:O$167,ETANCHEITE!#REF!),"")</f>
        <v xml:space="preserve">   </v>
      </c>
      <c r="F11" s="155" t="str">
        <f>IFERROR(VLOOKUP(A11,ETANCHEITE!O$22:Q$167,2,FALSE),"")&amp;" "&amp;IFERROR(VLOOKUP(A11,ETANCHEITE!O$22:Q$167,3,FALSE),"")</f>
        <v xml:space="preserve"> </v>
      </c>
      <c r="G11" s="148" t="str">
        <f>IF(F11&lt;&gt;" ",'Feuille de Donnée'!$C$3,"")</f>
        <v/>
      </c>
      <c r="H11" s="162" t="str" cm="1">
        <f t="array" aca="1" ref="H11" ca="1">IFERROR(IF(_xlfn.XLOOKUP(A11,ETANCHEITE!O$22:O$92,ETANCHEITE!M$22:M$92,"")&lt;&gt;"",_xlfn.XLOOKUP(A11,ETANCHEITE!O$22:O$92,ETANCHEITE!M$22:M$92,""),    INDEX(ETANCHEITE!M:M,MAX(_xlfn._xlws.FILTER(ROW(ETANCHEITE!M$22:INDIRECT("'PEINTURE'!O" &amp; D11-1)),ETANCHEITE!M$22:INDIRECT("'PEINTURE'!O" &amp; D11-1)&lt;&gt;"")))),"")</f>
        <v/>
      </c>
      <c r="I11" s="163" t="str" cm="1">
        <f t="array" aca="1" ref="I11" ca="1">IFERROR(IF(_xlfn.XLOOKUP(A11,ETANCHEITE!O$22:O$92,ETANCHEITE!N$22:N$92,"")&lt;&gt;"",_xlfn.XLOOKUP(A11,ETANCHEITE!O$22:O$92,ETANCHEITE!N$22:N$92,""),    INDEX(ETANCHEITE!N:N,MAX(_xlfn._xlws.FILTER(ROW(ETANCHEITE!N$22:INDIRECT("'PEINTURE'!P" &amp; D11-1)),ETANCHEITE!N$22:INDIRECT("'PEINTURE'!P" &amp; D11-1)&lt;&gt;"")))),"")</f>
        <v/>
      </c>
      <c r="J11" s="145">
        <v>9</v>
      </c>
      <c r="K11" s="154" t="str">
        <f>IF(O11&lt;&gt;" ",ETANCHEITE!$D$5,"")</f>
        <v/>
      </c>
      <c r="L11" s="154" t="str">
        <f>IF(O11&lt;&gt;" ",ETANCHEITE!$D$8,"")</f>
        <v/>
      </c>
      <c r="M11" s="146" t="str">
        <f>IFERROR(MATCH(J11,ETANCHEITE!X$22:X$167,0)+18,"")</f>
        <v/>
      </c>
      <c r="N11" s="147" t="str" cm="1">
        <f t="array" aca="1" ref="N11" ca="1">IFERROR(IF(_xlfn.XLOOKUP(J11,ETANCHEITE!X$22:X$167,ETANCHEITE!$A$22:$A$167,"")&lt;&gt;"",_xlfn.XLOOKUP(J11,ETANCHEITE!X$22:X$167,ETANCHEITE!$A$22:$A$167,""),    INDEX(ETANCHEITE!$A:$A,MAX(_xlfn._xlws.FILTER(ROW(ETANCHEITE!$A$22:INDIRECT("'MENUISERIES EXTERIEURES'!$A" &amp; M11-1)),ETANCHEITE!$A$22:INDIRECT("'MENUISERIES EXTERIEURES'!$A" &amp; M11-1)&lt;&gt;"")))),"")&amp;"   "&amp;IFERROR(_xlfn.XLOOKUP(J11,ETANCHEITE!X$22:X$167,ETANCHEITE!$B$22:$B$167),"")&amp;IFERROR(_xlfn.XLOOKUP(J11,ETANCHEITE!X$22:X$167,ETANCHEITE!$C$22:$C$167),"")&amp;IFERROR(_xlfn.XLOOKUP(J11,ETANCHEITE!X$22:X$167,ETANCHEITE!$D$22:$D$167),"")&amp;IFERROR(_xlfn.XLOOKUP(J11,ETANCHEITE!X$22:X$167,ETANCHEITE!#REF!),"")&amp;IFERROR(_xlfn.XLOOKUP(J11,ETANCHEITE!X$22:X$167,ETANCHEITE!#REF!),"")</f>
        <v xml:space="preserve">   </v>
      </c>
      <c r="O11" s="155" t="str">
        <f>IFERROR(VLOOKUP(J11,ETANCHEITE!X$22:Z$167,2,FALSE),"")&amp;" "&amp;IFERROR(VLOOKUP(J11,ETANCHEITE!X$22:Z$167,3,FALSE),"")</f>
        <v xml:space="preserve"> </v>
      </c>
      <c r="P11" s="148" t="str">
        <f>IF(O11&lt;&gt;" ",'Feuille de Donnée'!$C$3,"")</f>
        <v/>
      </c>
      <c r="Q11" s="162" t="str" cm="1">
        <f t="array" aca="1" ref="Q11" ca="1">IFERROR(IF(_xlfn.XLOOKUP(J11,ETANCHEITE!X$22:X$92,ETANCHEITE!V$22:V$92,"")&lt;&gt;"",_xlfn.XLOOKUP(J11,ETANCHEITE!X$22:X$92,ETANCHEITE!V$22:V$92,""),    INDEX(ETANCHEITE!V:V,MAX(_xlfn._xlws.FILTER(ROW(ETANCHEITE!V$22:INDIRECT("'PEINTURE'!O" &amp; M11-1)),ETANCHEITE!V$22:INDIRECT("'PEINTURE'!O" &amp; M11-1)&lt;&gt;"")))),"")</f>
        <v/>
      </c>
      <c r="R11" s="163" t="str" cm="1">
        <f t="array" aca="1" ref="R11" ca="1">IFERROR(IF(_xlfn.XLOOKUP(J11,ETANCHEITE!X$22:X$92,ETANCHEITE!W$22:W$92,"")&lt;&gt;"",_xlfn.XLOOKUP(J11,ETANCHEITE!X$22:X$92,ETANCHEITE!W$22:W$92,""),    INDEX(ETANCHEITE!W:W,MAX(_xlfn._xlws.FILTER(ROW(ETANCHEITE!W$22:INDIRECT("'PEINTURE'!P" &amp; M11-1)),ETANCHEITE!W$22:INDIRECT("'PEINTURE'!P" &amp; M11-1)&lt;&gt;"")))),"")</f>
        <v/>
      </c>
      <c r="S11" s="145">
        <v>9</v>
      </c>
      <c r="T11" s="154" t="str">
        <f>IF(X11&lt;&gt;" ",ETANCHEITE!$D$5,"")</f>
        <v/>
      </c>
      <c r="U11" s="154" t="str">
        <f>IF(X11&lt;&gt;" ",ETANCHEITE!$D$8,"")</f>
        <v/>
      </c>
      <c r="V11" s="146" t="str">
        <f>IFERROR(MATCH(S11,ETANCHEITE!AG$22:AG$167,0)+18,"")</f>
        <v/>
      </c>
      <c r="W11" s="147" t="str" cm="1">
        <f t="array" aca="1" ref="W11" ca="1">IFERROR(IF(_xlfn.XLOOKUP(S11,ETANCHEITE!AG$22:AG$167,ETANCHEITE!$A$22:$A$167,"")&lt;&gt;"",_xlfn.XLOOKUP(S11,ETANCHEITE!AG$22:AG$167,ETANCHEITE!$A$22:$A$167,""),    INDEX(ETANCHEITE!$A:$A,MAX(_xlfn._xlws.FILTER(ROW(ETANCHEITE!$A$22:INDIRECT("'MENUISERIES EXTERIEURES'!$A" &amp; V11-1)),ETANCHEITE!$A$22:INDIRECT("'MENUISERIES EXTERIEURES'!$A" &amp; V11-1)&lt;&gt;"")))),"")&amp;"   "&amp;IFERROR(_xlfn.XLOOKUP(S11,ETANCHEITE!AG$22:AG$167,ETANCHEITE!$B$22:$B$167),"")&amp;IFERROR(_xlfn.XLOOKUP(S11,ETANCHEITE!AG$22:AG$167,ETANCHEITE!$C$22:$C$167),"")&amp;IFERROR(_xlfn.XLOOKUP(S11,ETANCHEITE!AG$22:AG$167,ETANCHEITE!$D$22:$D$167),"")&amp;IFERROR(_xlfn.XLOOKUP(S11,ETANCHEITE!AG$22:AG$167,ETANCHEITE!#REF!),"")&amp;IFERROR(_xlfn.XLOOKUP(S11,ETANCHEITE!AG$22:AG$167,ETANCHEITE!#REF!),"")</f>
        <v xml:space="preserve">   </v>
      </c>
      <c r="X11" s="155" t="str">
        <f>IFERROR(VLOOKUP(S11,ETANCHEITE!AG$22:AI$167,2,FALSE),"")&amp;" "&amp;IFERROR(VLOOKUP(S11,ETANCHEITE!AG$22:AI$167,3,FALSE),"")</f>
        <v xml:space="preserve"> </v>
      </c>
      <c r="Y11" s="148" t="str">
        <f>IF(X11&lt;&gt;" ",'Feuille de Donnée'!$C$3,"")</f>
        <v/>
      </c>
      <c r="Z11" s="162" t="str" cm="1">
        <f t="array" aca="1" ref="Z11" ca="1">IFERROR(IF(_xlfn.XLOOKUP(S11,ETANCHEITE!AG$22:AG$92,ETANCHEITE!AE$22:AE$92,"")&lt;&gt;"",_xlfn.XLOOKUP(S11,ETANCHEITE!AG$22:AG$92,ETANCHEITE!AE$22:AE$92,""),    INDEX(ETANCHEITE!AE:AE,MAX(_xlfn._xlws.FILTER(ROW(ETANCHEITE!AE$22:INDIRECT("'PEINTURE'!O" &amp; V11-1)),ETANCHEITE!AE$22:INDIRECT("'PEINTURE'!O" &amp; V11-1)&lt;&gt;"")))),"")</f>
        <v/>
      </c>
      <c r="AA11" s="163" t="str" cm="1">
        <f t="array" aca="1" ref="AA11" ca="1">IFERROR(IF(_xlfn.XLOOKUP(S11,ETANCHEITE!AG$22:AG$92,ETANCHEITE!AF$22:AF$92,"")&lt;&gt;"",_xlfn.XLOOKUP(S11,ETANCHEITE!AG$22:AG$92,ETANCHEITE!AF$22:AF$92,""),    INDEX(ETANCHEITE!AF:AF,MAX(_xlfn._xlws.FILTER(ROW(ETANCHEITE!AF$22:INDIRECT("'PEINTURE'!P" &amp; V11-1)),ETANCHEITE!AF$22:INDIRECT("'PEINTURE'!P" &amp; V11-1)&lt;&gt;"")))),"")</f>
        <v/>
      </c>
      <c r="AB11" s="145">
        <v>9</v>
      </c>
      <c r="AC11" s="154" t="str">
        <f>IF(AG11&lt;&gt;" ",ETANCHEITE!$D$5,"")</f>
        <v/>
      </c>
      <c r="AD11" s="154" t="str">
        <f>IF(AG11&lt;&gt;" ",ETANCHEITE!$D$8,"")</f>
        <v/>
      </c>
      <c r="AE11" s="146" t="str">
        <f>IFERROR(MATCH(AB11,ETANCHEITE!AP$22:AP$167,0)+18,"")</f>
        <v/>
      </c>
      <c r="AF11" s="147" t="str" cm="1">
        <f t="array" aca="1" ref="AF11" ca="1">IFERROR(IF(_xlfn.XLOOKUP(AB11,ETANCHEITE!AP$22:AP$167,ETANCHEITE!$A$22:$A$167,"")&lt;&gt;"",_xlfn.XLOOKUP(AB11,ETANCHEITE!AP$22:AP$167,ETANCHEITE!$A$22:$A$167,""),    INDEX(ETANCHEITE!$A:$A,MAX(_xlfn._xlws.FILTER(ROW(ETANCHEITE!$A$22:INDIRECT("'MENUISERIES EXTERIEURES'!$A" &amp; AE11-1)),ETANCHEITE!$A$22:INDIRECT("'MENUISERIES EXTERIEURES'!$A" &amp; AE11-1)&lt;&gt;"")))),"")&amp;"   "&amp;IFERROR(_xlfn.XLOOKUP(AB11,ETANCHEITE!AP$22:AP$167,ETANCHEITE!$B$22:$B$167),"")&amp;IFERROR(_xlfn.XLOOKUP(AB11,ETANCHEITE!AP$22:AP$167,ETANCHEITE!$C$22:$C$167),"")&amp;IFERROR(_xlfn.XLOOKUP(AB11,ETANCHEITE!AP$22:AP$167,ETANCHEITE!$D$22:$D$167),"")&amp;IFERROR(_xlfn.XLOOKUP(AB11,ETANCHEITE!AP$22:AP$167,ETANCHEITE!#REF!),"")&amp;IFERROR(_xlfn.XLOOKUP(AB11,ETANCHEITE!AP$22:AP$167,ETANCHEITE!#REF!),"")</f>
        <v xml:space="preserve">   </v>
      </c>
      <c r="AG11" s="155" t="str">
        <f>IFERROR(VLOOKUP(AB11,ETANCHEITE!AP$22:AR$167,2,FALSE),"")&amp;" "&amp;IFERROR(VLOOKUP(AB11,ETANCHEITE!AP$22:AR$167,3,FALSE),"")</f>
        <v xml:space="preserve"> </v>
      </c>
      <c r="AH11" s="148" t="str">
        <f>IF(AG11&lt;&gt;" ",'Feuille de Donnée'!$C$3,"")</f>
        <v/>
      </c>
      <c r="AI11" s="162" t="str" cm="1">
        <f t="array" aca="1" ref="AI11" ca="1">IFERROR(IF(_xlfn.XLOOKUP(AB11,ETANCHEITE!AP$22:AP$92,ETANCHEITE!AN$22:AN$92,"")&lt;&gt;"",_xlfn.XLOOKUP(AB11,ETANCHEITE!AP$22:AP$92,ETANCHEITE!AN$22:AN$92,""),    INDEX(ETANCHEITE!AN:AN,MAX(_xlfn._xlws.FILTER(ROW(ETANCHEITE!AN$22:INDIRECT("'PEINTURE'!O" &amp; AE11-1)),ETANCHEITE!AN$22:INDIRECT("'PEINTURE'!O" &amp; AE11-1)&lt;&gt;"")))),"")</f>
        <v/>
      </c>
      <c r="AJ11" s="163" t="str" cm="1">
        <f t="array" aca="1" ref="AJ11" ca="1">IFERROR(IF(_xlfn.XLOOKUP(AB11,ETANCHEITE!AP$22:AP$92,ETANCHEITE!AO$22:AO$92,"")&lt;&gt;"",_xlfn.XLOOKUP(AB11,ETANCHEITE!AP$22:AP$92,ETANCHEITE!AO$22:AO$92,""),    INDEX(ETANCHEITE!AO:AO,MAX(_xlfn._xlws.FILTER(ROW(ETANCHEITE!AO$22:INDIRECT("'PEINTURE'!P" &amp; AE11-1)),ETANCHEITE!AO$22:INDIRECT("'PEINTURE'!P" &amp; AE11-1)&lt;&gt;"")))),"")</f>
        <v/>
      </c>
      <c r="AK11" s="145">
        <v>9</v>
      </c>
      <c r="AL11" s="154" t="str">
        <f>IF(AP11&lt;&gt;" ",ETANCHEITE!$D$5,"")</f>
        <v/>
      </c>
      <c r="AM11" s="154" t="str">
        <f>IF(AP11&lt;&gt;" ",ETANCHEITE!$D$8,"")</f>
        <v/>
      </c>
      <c r="AN11" s="146" t="str">
        <f>IFERROR(MATCH(AK11,ETANCHEITE!AY$22:AY$167,0)+18,"")</f>
        <v/>
      </c>
      <c r="AO11" s="147" t="str" cm="1">
        <f t="array" aca="1" ref="AO11" ca="1">IFERROR(IF(_xlfn.XLOOKUP(AK11,ETANCHEITE!AY$22:AY$167,ETANCHEITE!$A$22:$A$167,"")&lt;&gt;"",_xlfn.XLOOKUP(AK11,ETANCHEITE!AY$22:AY$167,ETANCHEITE!$A$22:$A$167,""),    INDEX(ETANCHEITE!$A:$A,MAX(_xlfn._xlws.FILTER(ROW(ETANCHEITE!$A$22:INDIRECT("'MENUISERIES EXTERIEURES'!$A" &amp; AN11-1)),ETANCHEITE!$A$22:INDIRECT("'MENUISERIES EXTERIEURES'!$A" &amp; AN11-1)&lt;&gt;"")))),"")&amp;"   "&amp;IFERROR(_xlfn.XLOOKUP(AK11,ETANCHEITE!AY$22:AY$167,ETANCHEITE!$B$22:$B$167),"")&amp;IFERROR(_xlfn.XLOOKUP(AK11,ETANCHEITE!AY$22:AY$167,ETANCHEITE!$C$22:$C$167),"")&amp;IFERROR(_xlfn.XLOOKUP(AK11,ETANCHEITE!AY$22:AY$167,ETANCHEITE!$D$22:$D$167),"")&amp;IFERROR(_xlfn.XLOOKUP(AK11,ETANCHEITE!AY$22:AY$167,ETANCHEITE!#REF!),"")&amp;IFERROR(_xlfn.XLOOKUP(AK11,ETANCHEITE!AY$22:AY$167,ETANCHEITE!#REF!),"")</f>
        <v xml:space="preserve">   </v>
      </c>
      <c r="AP11" s="155" t="str">
        <f>IFERROR(VLOOKUP(AK11,ETANCHEITE!AY$22:BA$167,2,FALSE),"")&amp;" "&amp;IFERROR(VLOOKUP(AK11,ETANCHEITE!AY$22:BA$167,3,FALSE),"")</f>
        <v xml:space="preserve"> </v>
      </c>
      <c r="AQ11" s="148" t="str">
        <f>IF(AP11&lt;&gt;" ",'Feuille de Donnée'!$C$3,"")</f>
        <v/>
      </c>
      <c r="AR11" s="162" t="str" cm="1">
        <f t="array" aca="1" ref="AR11" ca="1">IFERROR(IF(_xlfn.XLOOKUP(AK11,ETANCHEITE!AY$22:AY$92,ETANCHEITE!AW$22:AW$92,"")&lt;&gt;"",_xlfn.XLOOKUP(AK11,ETANCHEITE!AY$22:AY$92,ETANCHEITE!AW$22:AW$92,""),    INDEX(ETANCHEITE!AW:AW,MAX(_xlfn._xlws.FILTER(ROW(ETANCHEITE!AW$22:INDIRECT("'PEINTURE'!O" &amp; AN11-1)),ETANCHEITE!AW$22:INDIRECT("'PEINTURE'!O" &amp; AN11-1)&lt;&gt;"")))),"")</f>
        <v/>
      </c>
      <c r="AS11" s="163" t="str" cm="1">
        <f t="array" aca="1" ref="AS11" ca="1">IFERROR(IF(_xlfn.XLOOKUP(AK11,ETANCHEITE!AY$22:AY$92,ETANCHEITE!AX$22:AX$92,"")&lt;&gt;"",_xlfn.XLOOKUP(AK11,ETANCHEITE!AY$22:AY$92,ETANCHEITE!AX$22:AX$92,""),    INDEX(ETANCHEITE!AX:AX,MAX(_xlfn._xlws.FILTER(ROW(ETANCHEITE!AX$22:INDIRECT("'PEINTURE'!P" &amp; AN11-1)),ETANCHEITE!AX$22:INDIRECT("'PEINTURE'!P" &amp; AN11-1)&lt;&gt;"")))),"")</f>
        <v/>
      </c>
      <c r="AT11" s="145">
        <v>9</v>
      </c>
      <c r="AU11" s="154" t="str">
        <f>IF(AY11&lt;&gt;" ",ETANCHEITE!$D$5,"")</f>
        <v/>
      </c>
      <c r="AV11" s="154" t="str">
        <f>IF(AY11&lt;&gt;" ",ETANCHEITE!$D$8,"")</f>
        <v/>
      </c>
      <c r="AW11" s="146" t="str">
        <f>IFERROR(MATCH(AT11,ETANCHEITE!BH$22:BH$167,0)+18,"")</f>
        <v/>
      </c>
      <c r="AX11" s="147" t="str" cm="1">
        <f t="array" aca="1" ref="AX11" ca="1">IFERROR(IF(_xlfn.XLOOKUP(AT11,ETANCHEITE!BH$22:BH$167,ETANCHEITE!$A$22:$A$167,"")&lt;&gt;"",_xlfn.XLOOKUP(AT11,ETANCHEITE!BH$22:BH$167,ETANCHEITE!$A$22:$A$167,""),    INDEX(ETANCHEITE!$A:$A,MAX(_xlfn._xlws.FILTER(ROW(ETANCHEITE!$A$22:INDIRECT("'MENUISERIES EXTERIEURES'!$A" &amp; AW11-1)),ETANCHEITE!$A$22:INDIRECT("'MENUISERIES EXTERIEURES'!$A" &amp; AW11-1)&lt;&gt;"")))),"")&amp;"   "&amp;IFERROR(_xlfn.XLOOKUP(AT11,ETANCHEITE!BH$22:BH$167,ETANCHEITE!$B$22:$B$167),"")&amp;IFERROR(_xlfn.XLOOKUP(AT11,ETANCHEITE!BH$22:BH$167,ETANCHEITE!$C$22:$C$167),"")&amp;IFERROR(_xlfn.XLOOKUP(AT11,ETANCHEITE!BH$22:BH$167,ETANCHEITE!$D$22:$D$167),"")&amp;IFERROR(_xlfn.XLOOKUP(AT11,ETANCHEITE!BH$22:BH$167,ETANCHEITE!#REF!),"")&amp;IFERROR(_xlfn.XLOOKUP(AT11,ETANCHEITE!BH$22:BH$167,ETANCHEITE!#REF!),"")</f>
        <v xml:space="preserve">   </v>
      </c>
      <c r="AY11" s="155" t="str">
        <f>IFERROR(VLOOKUP(AT11,ETANCHEITE!BH$22:BJ$167,2,FALSE),"")&amp;" "&amp;IFERROR(VLOOKUP(AT11,ETANCHEITE!BH$22:BJ$167,3,FALSE),"")</f>
        <v xml:space="preserve"> </v>
      </c>
      <c r="AZ11" s="148" t="str">
        <f>IF(AY11&lt;&gt;" ",'Feuille de Donnée'!$C$3,"")</f>
        <v/>
      </c>
      <c r="BA11" s="162" t="str" cm="1">
        <f t="array" aca="1" ref="BA11" ca="1">IFERROR(IF(_xlfn.XLOOKUP(AT11,ETANCHEITE!BH$22:BH$92,ETANCHEITE!BF$22:BF$92,"")&lt;&gt;"",_xlfn.XLOOKUP(AT11,ETANCHEITE!BH$22:BH$92,ETANCHEITE!BF$22:BF$92,""),    INDEX(ETANCHEITE!BF:BF,MAX(_xlfn._xlws.FILTER(ROW(ETANCHEITE!BF$22:INDIRECT("'PEINTURE'!O" &amp; AW11-1)),ETANCHEITE!BF$22:INDIRECT("'PEINTURE'!O" &amp; AW11-1)&lt;&gt;"")))),"")</f>
        <v/>
      </c>
      <c r="BB11" s="163" t="str" cm="1">
        <f t="array" aca="1" ref="BB11" ca="1">IFERROR(IF(_xlfn.XLOOKUP(AT11,ETANCHEITE!BH$22:BH$92,ETANCHEITE!BG$22:BG$92,"")&lt;&gt;"",_xlfn.XLOOKUP(AT11,ETANCHEITE!BH$22:BH$92,ETANCHEITE!BG$22:BG$92,""),    INDEX(ETANCHEITE!BG:BG,MAX(_xlfn._xlws.FILTER(ROW(ETANCHEITE!BG$22:INDIRECT("'PEINTURE'!P" &amp; AW11-1)),ETANCHEITE!BG$22:INDIRECT("'PEINTURE'!P" &amp; AW11-1)&lt;&gt;"")))),"")</f>
        <v/>
      </c>
    </row>
    <row r="12" spans="1:54" ht="15" customHeight="1" x14ac:dyDescent="0.3">
      <c r="A12" s="145">
        <v>10</v>
      </c>
      <c r="B12" s="154" t="str">
        <f>IF(F12&lt;&gt;" ",ETANCHEITE!$D$5,"")</f>
        <v/>
      </c>
      <c r="C12" s="154" t="str">
        <f>IF(F12&lt;&gt;" ",ETANCHEITE!$D$8,"")</f>
        <v/>
      </c>
      <c r="D12" s="146" t="str">
        <f>IFERROR(MATCH(A12,ETANCHEITE!O$22:O$167,0)+18,"")</f>
        <v/>
      </c>
      <c r="E12" s="147" t="str" cm="1">
        <f t="array" aca="1" ref="E12" ca="1">IFERROR(IF(_xlfn.XLOOKUP(A12,ETANCHEITE!O$22:O$167,ETANCHEITE!$A$22:$A$167,"")&lt;&gt;"",_xlfn.XLOOKUP(A12,ETANCHEITE!O$22:O$167,ETANCHEITE!$A$22:$A$167,""),    INDEX(ETANCHEITE!$A:$A,MAX(_xlfn._xlws.FILTER(ROW(ETANCHEITE!$A$22:INDIRECT("'MENUISERIES EXTERIEURES'!$A" &amp; D12-1)),ETANCHEITE!$A$22:INDIRECT("'MENUISERIES EXTERIEURES'!$A" &amp; D12-1)&lt;&gt;"")))),"")&amp;"   "&amp;IFERROR(_xlfn.XLOOKUP(A12,ETANCHEITE!O$22:O$167,ETANCHEITE!$B$22:$B$167),"")&amp;IFERROR(_xlfn.XLOOKUP(A12,ETANCHEITE!O$22:O$167,ETANCHEITE!$C$22:$C$167),"")&amp;IFERROR(_xlfn.XLOOKUP(A12,ETANCHEITE!O$22:O$167,ETANCHEITE!$D$22:$D$167),"")&amp;IFERROR(_xlfn.XLOOKUP(A12,ETANCHEITE!O$22:O$167,ETANCHEITE!#REF!),"")&amp;IFERROR(_xlfn.XLOOKUP(A12,ETANCHEITE!O$22:O$167,ETANCHEITE!#REF!),"")</f>
        <v xml:space="preserve">   </v>
      </c>
      <c r="F12" s="155" t="str">
        <f>IFERROR(VLOOKUP(A12,ETANCHEITE!O$22:Q$167,2,FALSE),"")&amp;" "&amp;IFERROR(VLOOKUP(A12,ETANCHEITE!O$22:Q$167,3,FALSE),"")</f>
        <v xml:space="preserve"> </v>
      </c>
      <c r="G12" s="148" t="str">
        <f>IF(F12&lt;&gt;" ",'Feuille de Donnée'!$C$3,"")</f>
        <v/>
      </c>
      <c r="H12" s="162" t="str" cm="1">
        <f t="array" aca="1" ref="H12" ca="1">IFERROR(IF(_xlfn.XLOOKUP(A12,ETANCHEITE!O$22:O$92,ETANCHEITE!M$22:M$92,"")&lt;&gt;"",_xlfn.XLOOKUP(A12,ETANCHEITE!O$22:O$92,ETANCHEITE!M$22:M$92,""),    INDEX(ETANCHEITE!M:M,MAX(_xlfn._xlws.FILTER(ROW(ETANCHEITE!M$22:INDIRECT("'PEINTURE'!O" &amp; D12-1)),ETANCHEITE!M$22:INDIRECT("'PEINTURE'!O" &amp; D12-1)&lt;&gt;"")))),"")</f>
        <v/>
      </c>
      <c r="I12" s="163" t="str" cm="1">
        <f t="array" aca="1" ref="I12" ca="1">IFERROR(IF(_xlfn.XLOOKUP(A12,ETANCHEITE!O$22:O$92,ETANCHEITE!N$22:N$92,"")&lt;&gt;"",_xlfn.XLOOKUP(A12,ETANCHEITE!O$22:O$92,ETANCHEITE!N$22:N$92,""),    INDEX(ETANCHEITE!N:N,MAX(_xlfn._xlws.FILTER(ROW(ETANCHEITE!N$22:INDIRECT("'PEINTURE'!P" &amp; D12-1)),ETANCHEITE!N$22:INDIRECT("'PEINTURE'!P" &amp; D12-1)&lt;&gt;"")))),"")</f>
        <v/>
      </c>
      <c r="J12" s="145">
        <v>10</v>
      </c>
      <c r="K12" s="154" t="str">
        <f>IF(O12&lt;&gt;" ",ETANCHEITE!$D$5,"")</f>
        <v/>
      </c>
      <c r="L12" s="154" t="str">
        <f>IF(O12&lt;&gt;" ",ETANCHEITE!$D$8,"")</f>
        <v/>
      </c>
      <c r="M12" s="146" t="str">
        <f>IFERROR(MATCH(J12,ETANCHEITE!X$22:X$167,0)+18,"")</f>
        <v/>
      </c>
      <c r="N12" s="147" t="str" cm="1">
        <f t="array" aca="1" ref="N12" ca="1">IFERROR(IF(_xlfn.XLOOKUP(J12,ETANCHEITE!X$22:X$167,ETANCHEITE!$A$22:$A$167,"")&lt;&gt;"",_xlfn.XLOOKUP(J12,ETANCHEITE!X$22:X$167,ETANCHEITE!$A$22:$A$167,""),    INDEX(ETANCHEITE!$A:$A,MAX(_xlfn._xlws.FILTER(ROW(ETANCHEITE!$A$22:INDIRECT("'MENUISERIES EXTERIEURES'!$A" &amp; M12-1)),ETANCHEITE!$A$22:INDIRECT("'MENUISERIES EXTERIEURES'!$A" &amp; M12-1)&lt;&gt;"")))),"")&amp;"   "&amp;IFERROR(_xlfn.XLOOKUP(J12,ETANCHEITE!X$22:X$167,ETANCHEITE!$B$22:$B$167),"")&amp;IFERROR(_xlfn.XLOOKUP(J12,ETANCHEITE!X$22:X$167,ETANCHEITE!$C$22:$C$167),"")&amp;IFERROR(_xlfn.XLOOKUP(J12,ETANCHEITE!X$22:X$167,ETANCHEITE!$D$22:$D$167),"")&amp;IFERROR(_xlfn.XLOOKUP(J12,ETANCHEITE!X$22:X$167,ETANCHEITE!#REF!),"")&amp;IFERROR(_xlfn.XLOOKUP(J12,ETANCHEITE!X$22:X$167,ETANCHEITE!#REF!),"")</f>
        <v xml:space="preserve">   </v>
      </c>
      <c r="O12" s="155" t="str">
        <f>IFERROR(VLOOKUP(J12,ETANCHEITE!X$22:Z$167,2,FALSE),"")&amp;" "&amp;IFERROR(VLOOKUP(J12,ETANCHEITE!X$22:Z$167,3,FALSE),"")</f>
        <v xml:space="preserve"> </v>
      </c>
      <c r="P12" s="148" t="str">
        <f>IF(O12&lt;&gt;" ",'Feuille de Donnée'!$C$3,"")</f>
        <v/>
      </c>
      <c r="Q12" s="162" t="str" cm="1">
        <f t="array" aca="1" ref="Q12" ca="1">IFERROR(IF(_xlfn.XLOOKUP(J12,ETANCHEITE!X$22:X$92,ETANCHEITE!V$22:V$92,"")&lt;&gt;"",_xlfn.XLOOKUP(J12,ETANCHEITE!X$22:X$92,ETANCHEITE!V$22:V$92,""),    INDEX(ETANCHEITE!V:V,MAX(_xlfn._xlws.FILTER(ROW(ETANCHEITE!V$22:INDIRECT("'PEINTURE'!O" &amp; M12-1)),ETANCHEITE!V$22:INDIRECT("'PEINTURE'!O" &amp; M12-1)&lt;&gt;"")))),"")</f>
        <v/>
      </c>
      <c r="R12" s="163" t="str" cm="1">
        <f t="array" aca="1" ref="R12" ca="1">IFERROR(IF(_xlfn.XLOOKUP(J12,ETANCHEITE!X$22:X$92,ETANCHEITE!W$22:W$92,"")&lt;&gt;"",_xlfn.XLOOKUP(J12,ETANCHEITE!X$22:X$92,ETANCHEITE!W$22:W$92,""),    INDEX(ETANCHEITE!W:W,MAX(_xlfn._xlws.FILTER(ROW(ETANCHEITE!W$22:INDIRECT("'PEINTURE'!P" &amp; M12-1)),ETANCHEITE!W$22:INDIRECT("'PEINTURE'!P" &amp; M12-1)&lt;&gt;"")))),"")</f>
        <v/>
      </c>
      <c r="S12" s="145">
        <v>10</v>
      </c>
      <c r="T12" s="154" t="str">
        <f>IF(X12&lt;&gt;" ",ETANCHEITE!$D$5,"")</f>
        <v/>
      </c>
      <c r="U12" s="154" t="str">
        <f>IF(X12&lt;&gt;" ",ETANCHEITE!$D$8,"")</f>
        <v/>
      </c>
      <c r="V12" s="146" t="str">
        <f>IFERROR(MATCH(S12,ETANCHEITE!AG$22:AG$167,0)+18,"")</f>
        <v/>
      </c>
      <c r="W12" s="147" t="str" cm="1">
        <f t="array" aca="1" ref="W12" ca="1">IFERROR(IF(_xlfn.XLOOKUP(S12,ETANCHEITE!AG$22:AG$167,ETANCHEITE!$A$22:$A$167,"")&lt;&gt;"",_xlfn.XLOOKUP(S12,ETANCHEITE!AG$22:AG$167,ETANCHEITE!$A$22:$A$167,""),    INDEX(ETANCHEITE!$A:$A,MAX(_xlfn._xlws.FILTER(ROW(ETANCHEITE!$A$22:INDIRECT("'MENUISERIES EXTERIEURES'!$A" &amp; V12-1)),ETANCHEITE!$A$22:INDIRECT("'MENUISERIES EXTERIEURES'!$A" &amp; V12-1)&lt;&gt;"")))),"")&amp;"   "&amp;IFERROR(_xlfn.XLOOKUP(S12,ETANCHEITE!AG$22:AG$167,ETANCHEITE!$B$22:$B$167),"")&amp;IFERROR(_xlfn.XLOOKUP(S12,ETANCHEITE!AG$22:AG$167,ETANCHEITE!$C$22:$C$167),"")&amp;IFERROR(_xlfn.XLOOKUP(S12,ETANCHEITE!AG$22:AG$167,ETANCHEITE!$D$22:$D$167),"")&amp;IFERROR(_xlfn.XLOOKUP(S12,ETANCHEITE!AG$22:AG$167,ETANCHEITE!#REF!),"")&amp;IFERROR(_xlfn.XLOOKUP(S12,ETANCHEITE!AG$22:AG$167,ETANCHEITE!#REF!),"")</f>
        <v xml:space="preserve">   </v>
      </c>
      <c r="X12" s="155" t="str">
        <f>IFERROR(VLOOKUP(S12,ETANCHEITE!AG$22:AI$167,2,FALSE),"")&amp;" "&amp;IFERROR(VLOOKUP(S12,ETANCHEITE!AG$22:AI$167,3,FALSE),"")</f>
        <v xml:space="preserve"> </v>
      </c>
      <c r="Y12" s="148" t="str">
        <f>IF(X12&lt;&gt;" ",'Feuille de Donnée'!$C$3,"")</f>
        <v/>
      </c>
      <c r="Z12" s="162" t="str" cm="1">
        <f t="array" aca="1" ref="Z12" ca="1">IFERROR(IF(_xlfn.XLOOKUP(S12,ETANCHEITE!AG$22:AG$92,ETANCHEITE!AE$22:AE$92,"")&lt;&gt;"",_xlfn.XLOOKUP(S12,ETANCHEITE!AG$22:AG$92,ETANCHEITE!AE$22:AE$92,""),    INDEX(ETANCHEITE!AE:AE,MAX(_xlfn._xlws.FILTER(ROW(ETANCHEITE!AE$22:INDIRECT("'PEINTURE'!O" &amp; V12-1)),ETANCHEITE!AE$22:INDIRECT("'PEINTURE'!O" &amp; V12-1)&lt;&gt;"")))),"")</f>
        <v/>
      </c>
      <c r="AA12" s="163" t="str" cm="1">
        <f t="array" aca="1" ref="AA12" ca="1">IFERROR(IF(_xlfn.XLOOKUP(S12,ETANCHEITE!AG$22:AG$92,ETANCHEITE!AF$22:AF$92,"")&lt;&gt;"",_xlfn.XLOOKUP(S12,ETANCHEITE!AG$22:AG$92,ETANCHEITE!AF$22:AF$92,""),    INDEX(ETANCHEITE!AF:AF,MAX(_xlfn._xlws.FILTER(ROW(ETANCHEITE!AF$22:INDIRECT("'PEINTURE'!P" &amp; V12-1)),ETANCHEITE!AF$22:INDIRECT("'PEINTURE'!P" &amp; V12-1)&lt;&gt;"")))),"")</f>
        <v/>
      </c>
      <c r="AB12" s="145">
        <v>10</v>
      </c>
      <c r="AC12" s="154" t="str">
        <f>IF(AG12&lt;&gt;" ",ETANCHEITE!$D$5,"")</f>
        <v/>
      </c>
      <c r="AD12" s="154" t="str">
        <f>IF(AG12&lt;&gt;" ",ETANCHEITE!$D$8,"")</f>
        <v/>
      </c>
      <c r="AE12" s="146" t="str">
        <f>IFERROR(MATCH(AB12,ETANCHEITE!AP$22:AP$167,0)+18,"")</f>
        <v/>
      </c>
      <c r="AF12" s="147" t="str" cm="1">
        <f t="array" aca="1" ref="AF12" ca="1">IFERROR(IF(_xlfn.XLOOKUP(AB12,ETANCHEITE!AP$22:AP$167,ETANCHEITE!$A$22:$A$167,"")&lt;&gt;"",_xlfn.XLOOKUP(AB12,ETANCHEITE!AP$22:AP$167,ETANCHEITE!$A$22:$A$167,""),    INDEX(ETANCHEITE!$A:$A,MAX(_xlfn._xlws.FILTER(ROW(ETANCHEITE!$A$22:INDIRECT("'MENUISERIES EXTERIEURES'!$A" &amp; AE12-1)),ETANCHEITE!$A$22:INDIRECT("'MENUISERIES EXTERIEURES'!$A" &amp; AE12-1)&lt;&gt;"")))),"")&amp;"   "&amp;IFERROR(_xlfn.XLOOKUP(AB12,ETANCHEITE!AP$22:AP$167,ETANCHEITE!$B$22:$B$167),"")&amp;IFERROR(_xlfn.XLOOKUP(AB12,ETANCHEITE!AP$22:AP$167,ETANCHEITE!$C$22:$C$167),"")&amp;IFERROR(_xlfn.XLOOKUP(AB12,ETANCHEITE!AP$22:AP$167,ETANCHEITE!$D$22:$D$167),"")&amp;IFERROR(_xlfn.XLOOKUP(AB12,ETANCHEITE!AP$22:AP$167,ETANCHEITE!#REF!),"")&amp;IFERROR(_xlfn.XLOOKUP(AB12,ETANCHEITE!AP$22:AP$167,ETANCHEITE!#REF!),"")</f>
        <v xml:space="preserve">   </v>
      </c>
      <c r="AG12" s="155" t="str">
        <f>IFERROR(VLOOKUP(AB12,ETANCHEITE!AP$22:AR$167,2,FALSE),"")&amp;" "&amp;IFERROR(VLOOKUP(AB12,ETANCHEITE!AP$22:AR$167,3,FALSE),"")</f>
        <v xml:space="preserve"> </v>
      </c>
      <c r="AH12" s="148" t="str">
        <f>IF(AG12&lt;&gt;" ",'Feuille de Donnée'!$C$3,"")</f>
        <v/>
      </c>
      <c r="AI12" s="162" t="str" cm="1">
        <f t="array" aca="1" ref="AI12" ca="1">IFERROR(IF(_xlfn.XLOOKUP(AB12,ETANCHEITE!AP$22:AP$92,ETANCHEITE!AN$22:AN$92,"")&lt;&gt;"",_xlfn.XLOOKUP(AB12,ETANCHEITE!AP$22:AP$92,ETANCHEITE!AN$22:AN$92,""),    INDEX(ETANCHEITE!AN:AN,MAX(_xlfn._xlws.FILTER(ROW(ETANCHEITE!AN$22:INDIRECT("'PEINTURE'!O" &amp; AE12-1)),ETANCHEITE!AN$22:INDIRECT("'PEINTURE'!O" &amp; AE12-1)&lt;&gt;"")))),"")</f>
        <v/>
      </c>
      <c r="AJ12" s="163" t="str" cm="1">
        <f t="array" aca="1" ref="AJ12" ca="1">IFERROR(IF(_xlfn.XLOOKUP(AB12,ETANCHEITE!AP$22:AP$92,ETANCHEITE!AO$22:AO$92,"")&lt;&gt;"",_xlfn.XLOOKUP(AB12,ETANCHEITE!AP$22:AP$92,ETANCHEITE!AO$22:AO$92,""),    INDEX(ETANCHEITE!AO:AO,MAX(_xlfn._xlws.FILTER(ROW(ETANCHEITE!AO$22:INDIRECT("'PEINTURE'!P" &amp; AE12-1)),ETANCHEITE!AO$22:INDIRECT("'PEINTURE'!P" &amp; AE12-1)&lt;&gt;"")))),"")</f>
        <v/>
      </c>
      <c r="AK12" s="145">
        <v>10</v>
      </c>
      <c r="AL12" s="154" t="str">
        <f>IF(AP12&lt;&gt;" ",ETANCHEITE!$D$5,"")</f>
        <v/>
      </c>
      <c r="AM12" s="154" t="str">
        <f>IF(AP12&lt;&gt;" ",ETANCHEITE!$D$8,"")</f>
        <v/>
      </c>
      <c r="AN12" s="146" t="str">
        <f>IFERROR(MATCH(AK12,ETANCHEITE!AY$22:AY$167,0)+18,"")</f>
        <v/>
      </c>
      <c r="AO12" s="147" t="str" cm="1">
        <f t="array" aca="1" ref="AO12" ca="1">IFERROR(IF(_xlfn.XLOOKUP(AK12,ETANCHEITE!AY$22:AY$167,ETANCHEITE!$A$22:$A$167,"")&lt;&gt;"",_xlfn.XLOOKUP(AK12,ETANCHEITE!AY$22:AY$167,ETANCHEITE!$A$22:$A$167,""),    INDEX(ETANCHEITE!$A:$A,MAX(_xlfn._xlws.FILTER(ROW(ETANCHEITE!$A$22:INDIRECT("'MENUISERIES EXTERIEURES'!$A" &amp; AN12-1)),ETANCHEITE!$A$22:INDIRECT("'MENUISERIES EXTERIEURES'!$A" &amp; AN12-1)&lt;&gt;"")))),"")&amp;"   "&amp;IFERROR(_xlfn.XLOOKUP(AK12,ETANCHEITE!AY$22:AY$167,ETANCHEITE!$B$22:$B$167),"")&amp;IFERROR(_xlfn.XLOOKUP(AK12,ETANCHEITE!AY$22:AY$167,ETANCHEITE!$C$22:$C$167),"")&amp;IFERROR(_xlfn.XLOOKUP(AK12,ETANCHEITE!AY$22:AY$167,ETANCHEITE!$D$22:$D$167),"")&amp;IFERROR(_xlfn.XLOOKUP(AK12,ETANCHEITE!AY$22:AY$167,ETANCHEITE!#REF!),"")&amp;IFERROR(_xlfn.XLOOKUP(AK12,ETANCHEITE!AY$22:AY$167,ETANCHEITE!#REF!),"")</f>
        <v xml:space="preserve">   </v>
      </c>
      <c r="AP12" s="155" t="str">
        <f>IFERROR(VLOOKUP(AK12,ETANCHEITE!AY$22:BA$167,2,FALSE),"")&amp;" "&amp;IFERROR(VLOOKUP(AK12,ETANCHEITE!AY$22:BA$167,3,FALSE),"")</f>
        <v xml:space="preserve"> </v>
      </c>
      <c r="AQ12" s="148" t="str">
        <f>IF(AP12&lt;&gt;" ",'Feuille de Donnée'!$C$3,"")</f>
        <v/>
      </c>
      <c r="AR12" s="162" t="str" cm="1">
        <f t="array" aca="1" ref="AR12" ca="1">IFERROR(IF(_xlfn.XLOOKUP(AK12,ETANCHEITE!AY$22:AY$92,ETANCHEITE!AW$22:AW$92,"")&lt;&gt;"",_xlfn.XLOOKUP(AK12,ETANCHEITE!AY$22:AY$92,ETANCHEITE!AW$22:AW$92,""),    INDEX(ETANCHEITE!AW:AW,MAX(_xlfn._xlws.FILTER(ROW(ETANCHEITE!AW$22:INDIRECT("'PEINTURE'!O" &amp; AN12-1)),ETANCHEITE!AW$22:INDIRECT("'PEINTURE'!O" &amp; AN12-1)&lt;&gt;"")))),"")</f>
        <v/>
      </c>
      <c r="AS12" s="163" t="str" cm="1">
        <f t="array" aca="1" ref="AS12" ca="1">IFERROR(IF(_xlfn.XLOOKUP(AK12,ETANCHEITE!AY$22:AY$92,ETANCHEITE!AX$22:AX$92,"")&lt;&gt;"",_xlfn.XLOOKUP(AK12,ETANCHEITE!AY$22:AY$92,ETANCHEITE!AX$22:AX$92,""),    INDEX(ETANCHEITE!AX:AX,MAX(_xlfn._xlws.FILTER(ROW(ETANCHEITE!AX$22:INDIRECT("'PEINTURE'!P" &amp; AN12-1)),ETANCHEITE!AX$22:INDIRECT("'PEINTURE'!P" &amp; AN12-1)&lt;&gt;"")))),"")</f>
        <v/>
      </c>
      <c r="AT12" s="145">
        <v>10</v>
      </c>
      <c r="AU12" s="154" t="str">
        <f>IF(AY12&lt;&gt;" ",ETANCHEITE!$D$5,"")</f>
        <v/>
      </c>
      <c r="AV12" s="154" t="str">
        <f>IF(AY12&lt;&gt;" ",ETANCHEITE!$D$8,"")</f>
        <v/>
      </c>
      <c r="AW12" s="146" t="str">
        <f>IFERROR(MATCH(AT12,ETANCHEITE!BH$22:BH$167,0)+18,"")</f>
        <v/>
      </c>
      <c r="AX12" s="147" t="str" cm="1">
        <f t="array" aca="1" ref="AX12" ca="1">IFERROR(IF(_xlfn.XLOOKUP(AT12,ETANCHEITE!BH$22:BH$167,ETANCHEITE!$A$22:$A$167,"")&lt;&gt;"",_xlfn.XLOOKUP(AT12,ETANCHEITE!BH$22:BH$167,ETANCHEITE!$A$22:$A$167,""),    INDEX(ETANCHEITE!$A:$A,MAX(_xlfn._xlws.FILTER(ROW(ETANCHEITE!$A$22:INDIRECT("'MENUISERIES EXTERIEURES'!$A" &amp; AW12-1)),ETANCHEITE!$A$22:INDIRECT("'MENUISERIES EXTERIEURES'!$A" &amp; AW12-1)&lt;&gt;"")))),"")&amp;"   "&amp;IFERROR(_xlfn.XLOOKUP(AT12,ETANCHEITE!BH$22:BH$167,ETANCHEITE!$B$22:$B$167),"")&amp;IFERROR(_xlfn.XLOOKUP(AT12,ETANCHEITE!BH$22:BH$167,ETANCHEITE!$C$22:$C$167),"")&amp;IFERROR(_xlfn.XLOOKUP(AT12,ETANCHEITE!BH$22:BH$167,ETANCHEITE!$D$22:$D$167),"")&amp;IFERROR(_xlfn.XLOOKUP(AT12,ETANCHEITE!BH$22:BH$167,ETANCHEITE!#REF!),"")&amp;IFERROR(_xlfn.XLOOKUP(AT12,ETANCHEITE!BH$22:BH$167,ETANCHEITE!#REF!),"")</f>
        <v xml:space="preserve">   </v>
      </c>
      <c r="AY12" s="155" t="str">
        <f>IFERROR(VLOOKUP(AT12,ETANCHEITE!BH$22:BJ$167,2,FALSE),"")&amp;" "&amp;IFERROR(VLOOKUP(AT12,ETANCHEITE!BH$22:BJ$167,3,FALSE),"")</f>
        <v xml:space="preserve"> </v>
      </c>
      <c r="AZ12" s="148" t="str">
        <f>IF(AY12&lt;&gt;" ",'Feuille de Donnée'!$C$3,"")</f>
        <v/>
      </c>
      <c r="BA12" s="162" t="str" cm="1">
        <f t="array" aca="1" ref="BA12" ca="1">IFERROR(IF(_xlfn.XLOOKUP(AT12,ETANCHEITE!BH$22:BH$92,ETANCHEITE!BF$22:BF$92,"")&lt;&gt;"",_xlfn.XLOOKUP(AT12,ETANCHEITE!BH$22:BH$92,ETANCHEITE!BF$22:BF$92,""),    INDEX(ETANCHEITE!BF:BF,MAX(_xlfn._xlws.FILTER(ROW(ETANCHEITE!BF$22:INDIRECT("'PEINTURE'!O" &amp; AW12-1)),ETANCHEITE!BF$22:INDIRECT("'PEINTURE'!O" &amp; AW12-1)&lt;&gt;"")))),"")</f>
        <v/>
      </c>
      <c r="BB12" s="163" t="str" cm="1">
        <f t="array" aca="1" ref="BB12" ca="1">IFERROR(IF(_xlfn.XLOOKUP(AT12,ETANCHEITE!BH$22:BH$92,ETANCHEITE!BG$22:BG$92,"")&lt;&gt;"",_xlfn.XLOOKUP(AT12,ETANCHEITE!BH$22:BH$92,ETANCHEITE!BG$22:BG$92,""),    INDEX(ETANCHEITE!BG:BG,MAX(_xlfn._xlws.FILTER(ROW(ETANCHEITE!BG$22:INDIRECT("'PEINTURE'!P" &amp; AW12-1)),ETANCHEITE!BG$22:INDIRECT("'PEINTURE'!P" &amp; AW12-1)&lt;&gt;"")))),"")</f>
        <v/>
      </c>
    </row>
    <row r="13" spans="1:54" ht="15" customHeight="1" x14ac:dyDescent="0.3">
      <c r="A13" s="145">
        <v>11</v>
      </c>
      <c r="B13" s="154" t="str">
        <f>IF(F13&lt;&gt;" ",ETANCHEITE!$D$5,"")</f>
        <v/>
      </c>
      <c r="C13" s="154" t="str">
        <f>IF(F13&lt;&gt;" ",ETANCHEITE!$D$8,"")</f>
        <v/>
      </c>
      <c r="D13" s="146" t="str">
        <f>IFERROR(MATCH(A13,ETANCHEITE!O$22:O$167,0)+18,"")</f>
        <v/>
      </c>
      <c r="E13" s="147" t="str" cm="1">
        <f t="array" aca="1" ref="E13" ca="1">IFERROR(IF(_xlfn.XLOOKUP(A13,ETANCHEITE!O$22:O$167,ETANCHEITE!$A$22:$A$167,"")&lt;&gt;"",_xlfn.XLOOKUP(A13,ETANCHEITE!O$22:O$167,ETANCHEITE!$A$22:$A$167,""),    INDEX(ETANCHEITE!$A:$A,MAX(_xlfn._xlws.FILTER(ROW(ETANCHEITE!$A$22:INDIRECT("'MENUISERIES EXTERIEURES'!$A" &amp; D13-1)),ETANCHEITE!$A$22:INDIRECT("'MENUISERIES EXTERIEURES'!$A" &amp; D13-1)&lt;&gt;"")))),"")&amp;"   "&amp;IFERROR(_xlfn.XLOOKUP(A13,ETANCHEITE!O$22:O$167,ETANCHEITE!$B$22:$B$167),"")&amp;IFERROR(_xlfn.XLOOKUP(A13,ETANCHEITE!O$22:O$167,ETANCHEITE!$C$22:$C$167),"")&amp;IFERROR(_xlfn.XLOOKUP(A13,ETANCHEITE!O$22:O$167,ETANCHEITE!$D$22:$D$167),"")&amp;IFERROR(_xlfn.XLOOKUP(A13,ETANCHEITE!O$22:O$167,ETANCHEITE!#REF!),"")&amp;IFERROR(_xlfn.XLOOKUP(A13,ETANCHEITE!O$22:O$167,ETANCHEITE!#REF!),"")</f>
        <v xml:space="preserve">   </v>
      </c>
      <c r="F13" s="155" t="str">
        <f>IFERROR(VLOOKUP(A13,ETANCHEITE!O$22:Q$167,2,FALSE),"")&amp;" "&amp;IFERROR(VLOOKUP(A13,ETANCHEITE!O$22:Q$167,3,FALSE),"")</f>
        <v xml:space="preserve"> </v>
      </c>
      <c r="G13" s="148" t="str">
        <f>IF(F13&lt;&gt;" ",'Feuille de Donnée'!$C$3,"")</f>
        <v/>
      </c>
      <c r="H13" s="162" t="str" cm="1">
        <f t="array" aca="1" ref="H13" ca="1">IFERROR(IF(_xlfn.XLOOKUP(A13,ETANCHEITE!O$22:O$92,ETANCHEITE!M$22:M$92,"")&lt;&gt;"",_xlfn.XLOOKUP(A13,ETANCHEITE!O$22:O$92,ETANCHEITE!M$22:M$92,""),    INDEX(ETANCHEITE!M:M,MAX(_xlfn._xlws.FILTER(ROW(ETANCHEITE!M$22:INDIRECT("'PEINTURE'!O" &amp; D13-1)),ETANCHEITE!M$22:INDIRECT("'PEINTURE'!O" &amp; D13-1)&lt;&gt;"")))),"")</f>
        <v/>
      </c>
      <c r="I13" s="163" t="str" cm="1">
        <f t="array" aca="1" ref="I13" ca="1">IFERROR(IF(_xlfn.XLOOKUP(A13,ETANCHEITE!O$22:O$92,ETANCHEITE!N$22:N$92,"")&lt;&gt;"",_xlfn.XLOOKUP(A13,ETANCHEITE!O$22:O$92,ETANCHEITE!N$22:N$92,""),    INDEX(ETANCHEITE!N:N,MAX(_xlfn._xlws.FILTER(ROW(ETANCHEITE!N$22:INDIRECT("'PEINTURE'!P" &amp; D13-1)),ETANCHEITE!N$22:INDIRECT("'PEINTURE'!P" &amp; D13-1)&lt;&gt;"")))),"")</f>
        <v/>
      </c>
      <c r="J13" s="145">
        <v>11</v>
      </c>
      <c r="K13" s="154" t="str">
        <f>IF(O13&lt;&gt;" ",ETANCHEITE!$D$5,"")</f>
        <v/>
      </c>
      <c r="L13" s="154" t="str">
        <f>IF(O13&lt;&gt;" ",ETANCHEITE!$D$8,"")</f>
        <v/>
      </c>
      <c r="M13" s="146" t="str">
        <f>IFERROR(MATCH(J13,ETANCHEITE!X$22:X$167,0)+18,"")</f>
        <v/>
      </c>
      <c r="N13" s="147" t="str" cm="1">
        <f t="array" aca="1" ref="N13" ca="1">IFERROR(IF(_xlfn.XLOOKUP(J13,ETANCHEITE!X$22:X$167,ETANCHEITE!$A$22:$A$167,"")&lt;&gt;"",_xlfn.XLOOKUP(J13,ETANCHEITE!X$22:X$167,ETANCHEITE!$A$22:$A$167,""),    INDEX(ETANCHEITE!$A:$A,MAX(_xlfn._xlws.FILTER(ROW(ETANCHEITE!$A$22:INDIRECT("'MENUISERIES EXTERIEURES'!$A" &amp; M13-1)),ETANCHEITE!$A$22:INDIRECT("'MENUISERIES EXTERIEURES'!$A" &amp; M13-1)&lt;&gt;"")))),"")&amp;"   "&amp;IFERROR(_xlfn.XLOOKUP(J13,ETANCHEITE!X$22:X$167,ETANCHEITE!$B$22:$B$167),"")&amp;IFERROR(_xlfn.XLOOKUP(J13,ETANCHEITE!X$22:X$167,ETANCHEITE!$C$22:$C$167),"")&amp;IFERROR(_xlfn.XLOOKUP(J13,ETANCHEITE!X$22:X$167,ETANCHEITE!$D$22:$D$167),"")&amp;IFERROR(_xlfn.XLOOKUP(J13,ETANCHEITE!X$22:X$167,ETANCHEITE!#REF!),"")&amp;IFERROR(_xlfn.XLOOKUP(J13,ETANCHEITE!X$22:X$167,ETANCHEITE!#REF!),"")</f>
        <v xml:space="preserve">   </v>
      </c>
      <c r="O13" s="155" t="str">
        <f>IFERROR(VLOOKUP(J13,ETANCHEITE!X$22:Z$167,2,FALSE),"")&amp;" "&amp;IFERROR(VLOOKUP(J13,ETANCHEITE!X$22:Z$167,3,FALSE),"")</f>
        <v xml:space="preserve"> </v>
      </c>
      <c r="P13" s="148" t="str">
        <f>IF(O13&lt;&gt;" ",'Feuille de Donnée'!$C$3,"")</f>
        <v/>
      </c>
      <c r="Q13" s="162" t="str" cm="1">
        <f t="array" aca="1" ref="Q13" ca="1">IFERROR(IF(_xlfn.XLOOKUP(J13,ETANCHEITE!X$22:X$92,ETANCHEITE!V$22:V$92,"")&lt;&gt;"",_xlfn.XLOOKUP(J13,ETANCHEITE!X$22:X$92,ETANCHEITE!V$22:V$92,""),    INDEX(ETANCHEITE!V:V,MAX(_xlfn._xlws.FILTER(ROW(ETANCHEITE!V$22:INDIRECT("'PEINTURE'!O" &amp; M13-1)),ETANCHEITE!V$22:INDIRECT("'PEINTURE'!O" &amp; M13-1)&lt;&gt;"")))),"")</f>
        <v/>
      </c>
      <c r="R13" s="163" t="str" cm="1">
        <f t="array" aca="1" ref="R13" ca="1">IFERROR(IF(_xlfn.XLOOKUP(J13,ETANCHEITE!X$22:X$92,ETANCHEITE!W$22:W$92,"")&lt;&gt;"",_xlfn.XLOOKUP(J13,ETANCHEITE!X$22:X$92,ETANCHEITE!W$22:W$92,""),    INDEX(ETANCHEITE!W:W,MAX(_xlfn._xlws.FILTER(ROW(ETANCHEITE!W$22:INDIRECT("'PEINTURE'!P" &amp; M13-1)),ETANCHEITE!W$22:INDIRECT("'PEINTURE'!P" &amp; M13-1)&lt;&gt;"")))),"")</f>
        <v/>
      </c>
      <c r="S13" s="145">
        <v>11</v>
      </c>
      <c r="T13" s="154" t="str">
        <f>IF(X13&lt;&gt;" ",ETANCHEITE!$D$5,"")</f>
        <v/>
      </c>
      <c r="U13" s="154" t="str">
        <f>IF(X13&lt;&gt;" ",ETANCHEITE!$D$8,"")</f>
        <v/>
      </c>
      <c r="V13" s="146" t="str">
        <f>IFERROR(MATCH(S13,ETANCHEITE!AG$22:AG$167,0)+18,"")</f>
        <v/>
      </c>
      <c r="W13" s="147" t="str" cm="1">
        <f t="array" aca="1" ref="W13" ca="1">IFERROR(IF(_xlfn.XLOOKUP(S13,ETANCHEITE!AG$22:AG$167,ETANCHEITE!$A$22:$A$167,"")&lt;&gt;"",_xlfn.XLOOKUP(S13,ETANCHEITE!AG$22:AG$167,ETANCHEITE!$A$22:$A$167,""),    INDEX(ETANCHEITE!$A:$A,MAX(_xlfn._xlws.FILTER(ROW(ETANCHEITE!$A$22:INDIRECT("'MENUISERIES EXTERIEURES'!$A" &amp; V13-1)),ETANCHEITE!$A$22:INDIRECT("'MENUISERIES EXTERIEURES'!$A" &amp; V13-1)&lt;&gt;"")))),"")&amp;"   "&amp;IFERROR(_xlfn.XLOOKUP(S13,ETANCHEITE!AG$22:AG$167,ETANCHEITE!$B$22:$B$167),"")&amp;IFERROR(_xlfn.XLOOKUP(S13,ETANCHEITE!AG$22:AG$167,ETANCHEITE!$C$22:$C$167),"")&amp;IFERROR(_xlfn.XLOOKUP(S13,ETANCHEITE!AG$22:AG$167,ETANCHEITE!$D$22:$D$167),"")&amp;IFERROR(_xlfn.XLOOKUP(S13,ETANCHEITE!AG$22:AG$167,ETANCHEITE!#REF!),"")&amp;IFERROR(_xlfn.XLOOKUP(S13,ETANCHEITE!AG$22:AG$167,ETANCHEITE!#REF!),"")</f>
        <v xml:space="preserve">   </v>
      </c>
      <c r="X13" s="155" t="str">
        <f>IFERROR(VLOOKUP(S13,ETANCHEITE!AG$22:AI$167,2,FALSE),"")&amp;" "&amp;IFERROR(VLOOKUP(S13,ETANCHEITE!AG$22:AI$167,3,FALSE),"")</f>
        <v xml:space="preserve"> </v>
      </c>
      <c r="Y13" s="148" t="str">
        <f>IF(X13&lt;&gt;" ",'Feuille de Donnée'!$C$3,"")</f>
        <v/>
      </c>
      <c r="Z13" s="162" t="str" cm="1">
        <f t="array" aca="1" ref="Z13" ca="1">IFERROR(IF(_xlfn.XLOOKUP(S13,ETANCHEITE!AG$22:AG$92,ETANCHEITE!AE$22:AE$92,"")&lt;&gt;"",_xlfn.XLOOKUP(S13,ETANCHEITE!AG$22:AG$92,ETANCHEITE!AE$22:AE$92,""),    INDEX(ETANCHEITE!AE:AE,MAX(_xlfn._xlws.FILTER(ROW(ETANCHEITE!AE$22:INDIRECT("'PEINTURE'!O" &amp; V13-1)),ETANCHEITE!AE$22:INDIRECT("'PEINTURE'!O" &amp; V13-1)&lt;&gt;"")))),"")</f>
        <v/>
      </c>
      <c r="AA13" s="163" t="str" cm="1">
        <f t="array" aca="1" ref="AA13" ca="1">IFERROR(IF(_xlfn.XLOOKUP(S13,ETANCHEITE!AG$22:AG$92,ETANCHEITE!AF$22:AF$92,"")&lt;&gt;"",_xlfn.XLOOKUP(S13,ETANCHEITE!AG$22:AG$92,ETANCHEITE!AF$22:AF$92,""),    INDEX(ETANCHEITE!AF:AF,MAX(_xlfn._xlws.FILTER(ROW(ETANCHEITE!AF$22:INDIRECT("'PEINTURE'!P" &amp; V13-1)),ETANCHEITE!AF$22:INDIRECT("'PEINTURE'!P" &amp; V13-1)&lt;&gt;"")))),"")</f>
        <v/>
      </c>
      <c r="AB13" s="145">
        <v>11</v>
      </c>
      <c r="AC13" s="154" t="str">
        <f>IF(AG13&lt;&gt;" ",ETANCHEITE!$D$5,"")</f>
        <v/>
      </c>
      <c r="AD13" s="154" t="str">
        <f>IF(AG13&lt;&gt;" ",ETANCHEITE!$D$8,"")</f>
        <v/>
      </c>
      <c r="AE13" s="146" t="str">
        <f>IFERROR(MATCH(AB13,ETANCHEITE!AP$22:AP$167,0)+18,"")</f>
        <v/>
      </c>
      <c r="AF13" s="147" t="str" cm="1">
        <f t="array" aca="1" ref="AF13" ca="1">IFERROR(IF(_xlfn.XLOOKUP(AB13,ETANCHEITE!AP$22:AP$167,ETANCHEITE!$A$22:$A$167,"")&lt;&gt;"",_xlfn.XLOOKUP(AB13,ETANCHEITE!AP$22:AP$167,ETANCHEITE!$A$22:$A$167,""),    INDEX(ETANCHEITE!$A:$A,MAX(_xlfn._xlws.FILTER(ROW(ETANCHEITE!$A$22:INDIRECT("'MENUISERIES EXTERIEURES'!$A" &amp; AE13-1)),ETANCHEITE!$A$22:INDIRECT("'MENUISERIES EXTERIEURES'!$A" &amp; AE13-1)&lt;&gt;"")))),"")&amp;"   "&amp;IFERROR(_xlfn.XLOOKUP(AB13,ETANCHEITE!AP$22:AP$167,ETANCHEITE!$B$22:$B$167),"")&amp;IFERROR(_xlfn.XLOOKUP(AB13,ETANCHEITE!AP$22:AP$167,ETANCHEITE!$C$22:$C$167),"")&amp;IFERROR(_xlfn.XLOOKUP(AB13,ETANCHEITE!AP$22:AP$167,ETANCHEITE!$D$22:$D$167),"")&amp;IFERROR(_xlfn.XLOOKUP(AB13,ETANCHEITE!AP$22:AP$167,ETANCHEITE!#REF!),"")&amp;IFERROR(_xlfn.XLOOKUP(AB13,ETANCHEITE!AP$22:AP$167,ETANCHEITE!#REF!),"")</f>
        <v xml:space="preserve">   </v>
      </c>
      <c r="AG13" s="155" t="str">
        <f>IFERROR(VLOOKUP(AB13,ETANCHEITE!AP$22:AR$167,2,FALSE),"")&amp;" "&amp;IFERROR(VLOOKUP(AB13,ETANCHEITE!AP$22:AR$167,3,FALSE),"")</f>
        <v xml:space="preserve"> </v>
      </c>
      <c r="AH13" s="148" t="str">
        <f>IF(AG13&lt;&gt;" ",'Feuille de Donnée'!$C$3,"")</f>
        <v/>
      </c>
      <c r="AI13" s="162" t="str" cm="1">
        <f t="array" aca="1" ref="AI13" ca="1">IFERROR(IF(_xlfn.XLOOKUP(AB13,ETANCHEITE!AP$22:AP$92,ETANCHEITE!AN$22:AN$92,"")&lt;&gt;"",_xlfn.XLOOKUP(AB13,ETANCHEITE!AP$22:AP$92,ETANCHEITE!AN$22:AN$92,""),    INDEX(ETANCHEITE!AN:AN,MAX(_xlfn._xlws.FILTER(ROW(ETANCHEITE!AN$22:INDIRECT("'PEINTURE'!O" &amp; AE13-1)),ETANCHEITE!AN$22:INDIRECT("'PEINTURE'!O" &amp; AE13-1)&lt;&gt;"")))),"")</f>
        <v/>
      </c>
      <c r="AJ13" s="163" t="str" cm="1">
        <f t="array" aca="1" ref="AJ13" ca="1">IFERROR(IF(_xlfn.XLOOKUP(AB13,ETANCHEITE!AP$22:AP$92,ETANCHEITE!AO$22:AO$92,"")&lt;&gt;"",_xlfn.XLOOKUP(AB13,ETANCHEITE!AP$22:AP$92,ETANCHEITE!AO$22:AO$92,""),    INDEX(ETANCHEITE!AO:AO,MAX(_xlfn._xlws.FILTER(ROW(ETANCHEITE!AO$22:INDIRECT("'PEINTURE'!P" &amp; AE13-1)),ETANCHEITE!AO$22:INDIRECT("'PEINTURE'!P" &amp; AE13-1)&lt;&gt;"")))),"")</f>
        <v/>
      </c>
      <c r="AK13" s="145">
        <v>11</v>
      </c>
      <c r="AL13" s="154" t="str">
        <f>IF(AP13&lt;&gt;" ",ETANCHEITE!$D$5,"")</f>
        <v/>
      </c>
      <c r="AM13" s="154" t="str">
        <f>IF(AP13&lt;&gt;" ",ETANCHEITE!$D$8,"")</f>
        <v/>
      </c>
      <c r="AN13" s="146" t="str">
        <f>IFERROR(MATCH(AK13,ETANCHEITE!AY$22:AY$167,0)+18,"")</f>
        <v/>
      </c>
      <c r="AO13" s="147" t="str" cm="1">
        <f t="array" aca="1" ref="AO13" ca="1">IFERROR(IF(_xlfn.XLOOKUP(AK13,ETANCHEITE!AY$22:AY$167,ETANCHEITE!$A$22:$A$167,"")&lt;&gt;"",_xlfn.XLOOKUP(AK13,ETANCHEITE!AY$22:AY$167,ETANCHEITE!$A$22:$A$167,""),    INDEX(ETANCHEITE!$A:$A,MAX(_xlfn._xlws.FILTER(ROW(ETANCHEITE!$A$22:INDIRECT("'MENUISERIES EXTERIEURES'!$A" &amp; AN13-1)),ETANCHEITE!$A$22:INDIRECT("'MENUISERIES EXTERIEURES'!$A" &amp; AN13-1)&lt;&gt;"")))),"")&amp;"   "&amp;IFERROR(_xlfn.XLOOKUP(AK13,ETANCHEITE!AY$22:AY$167,ETANCHEITE!$B$22:$B$167),"")&amp;IFERROR(_xlfn.XLOOKUP(AK13,ETANCHEITE!AY$22:AY$167,ETANCHEITE!$C$22:$C$167),"")&amp;IFERROR(_xlfn.XLOOKUP(AK13,ETANCHEITE!AY$22:AY$167,ETANCHEITE!$D$22:$D$167),"")&amp;IFERROR(_xlfn.XLOOKUP(AK13,ETANCHEITE!AY$22:AY$167,ETANCHEITE!#REF!),"")&amp;IFERROR(_xlfn.XLOOKUP(AK13,ETANCHEITE!AY$22:AY$167,ETANCHEITE!#REF!),"")</f>
        <v xml:space="preserve">   </v>
      </c>
      <c r="AP13" s="155" t="str">
        <f>IFERROR(VLOOKUP(AK13,ETANCHEITE!AY$22:BA$167,2,FALSE),"")&amp;" "&amp;IFERROR(VLOOKUP(AK13,ETANCHEITE!AY$22:BA$167,3,FALSE),"")</f>
        <v xml:space="preserve"> </v>
      </c>
      <c r="AQ13" s="148" t="str">
        <f>IF(AP13&lt;&gt;" ",'Feuille de Donnée'!$C$3,"")</f>
        <v/>
      </c>
      <c r="AR13" s="162" t="str" cm="1">
        <f t="array" aca="1" ref="AR13" ca="1">IFERROR(IF(_xlfn.XLOOKUP(AK13,ETANCHEITE!AY$22:AY$92,ETANCHEITE!AW$22:AW$92,"")&lt;&gt;"",_xlfn.XLOOKUP(AK13,ETANCHEITE!AY$22:AY$92,ETANCHEITE!AW$22:AW$92,""),    INDEX(ETANCHEITE!AW:AW,MAX(_xlfn._xlws.FILTER(ROW(ETANCHEITE!AW$22:INDIRECT("'PEINTURE'!O" &amp; AN13-1)),ETANCHEITE!AW$22:INDIRECT("'PEINTURE'!O" &amp; AN13-1)&lt;&gt;"")))),"")</f>
        <v/>
      </c>
      <c r="AS13" s="163" t="str" cm="1">
        <f t="array" aca="1" ref="AS13" ca="1">IFERROR(IF(_xlfn.XLOOKUP(AK13,ETANCHEITE!AY$22:AY$92,ETANCHEITE!AX$22:AX$92,"")&lt;&gt;"",_xlfn.XLOOKUP(AK13,ETANCHEITE!AY$22:AY$92,ETANCHEITE!AX$22:AX$92,""),    INDEX(ETANCHEITE!AX:AX,MAX(_xlfn._xlws.FILTER(ROW(ETANCHEITE!AX$22:INDIRECT("'PEINTURE'!P" &amp; AN13-1)),ETANCHEITE!AX$22:INDIRECT("'PEINTURE'!P" &amp; AN13-1)&lt;&gt;"")))),"")</f>
        <v/>
      </c>
      <c r="AT13" s="145">
        <v>11</v>
      </c>
      <c r="AU13" s="154" t="str">
        <f>IF(AY13&lt;&gt;" ",ETANCHEITE!$D$5,"")</f>
        <v/>
      </c>
      <c r="AV13" s="154" t="str">
        <f>IF(AY13&lt;&gt;" ",ETANCHEITE!$D$8,"")</f>
        <v/>
      </c>
      <c r="AW13" s="146" t="str">
        <f>IFERROR(MATCH(AT13,ETANCHEITE!BH$22:BH$167,0)+18,"")</f>
        <v/>
      </c>
      <c r="AX13" s="147" t="str" cm="1">
        <f t="array" aca="1" ref="AX13" ca="1">IFERROR(IF(_xlfn.XLOOKUP(AT13,ETANCHEITE!BH$22:BH$167,ETANCHEITE!$A$22:$A$167,"")&lt;&gt;"",_xlfn.XLOOKUP(AT13,ETANCHEITE!BH$22:BH$167,ETANCHEITE!$A$22:$A$167,""),    INDEX(ETANCHEITE!$A:$A,MAX(_xlfn._xlws.FILTER(ROW(ETANCHEITE!$A$22:INDIRECT("'MENUISERIES EXTERIEURES'!$A" &amp; AW13-1)),ETANCHEITE!$A$22:INDIRECT("'MENUISERIES EXTERIEURES'!$A" &amp; AW13-1)&lt;&gt;"")))),"")&amp;"   "&amp;IFERROR(_xlfn.XLOOKUP(AT13,ETANCHEITE!BH$22:BH$167,ETANCHEITE!$B$22:$B$167),"")&amp;IFERROR(_xlfn.XLOOKUP(AT13,ETANCHEITE!BH$22:BH$167,ETANCHEITE!$C$22:$C$167),"")&amp;IFERROR(_xlfn.XLOOKUP(AT13,ETANCHEITE!BH$22:BH$167,ETANCHEITE!$D$22:$D$167),"")&amp;IFERROR(_xlfn.XLOOKUP(AT13,ETANCHEITE!BH$22:BH$167,ETANCHEITE!#REF!),"")&amp;IFERROR(_xlfn.XLOOKUP(AT13,ETANCHEITE!BH$22:BH$167,ETANCHEITE!#REF!),"")</f>
        <v xml:space="preserve">   </v>
      </c>
      <c r="AY13" s="155" t="str">
        <f>IFERROR(VLOOKUP(AT13,ETANCHEITE!BH$22:BJ$167,2,FALSE),"")&amp;" "&amp;IFERROR(VLOOKUP(AT13,ETANCHEITE!BH$22:BJ$167,3,FALSE),"")</f>
        <v xml:space="preserve"> </v>
      </c>
      <c r="AZ13" s="148" t="str">
        <f>IF(AY13&lt;&gt;" ",'Feuille de Donnée'!$C$3,"")</f>
        <v/>
      </c>
      <c r="BA13" s="162" t="str" cm="1">
        <f t="array" aca="1" ref="BA13" ca="1">IFERROR(IF(_xlfn.XLOOKUP(AT13,ETANCHEITE!BH$22:BH$92,ETANCHEITE!BF$22:BF$92,"")&lt;&gt;"",_xlfn.XLOOKUP(AT13,ETANCHEITE!BH$22:BH$92,ETANCHEITE!BF$22:BF$92,""),    INDEX(ETANCHEITE!BF:BF,MAX(_xlfn._xlws.FILTER(ROW(ETANCHEITE!BF$22:INDIRECT("'PEINTURE'!O" &amp; AW13-1)),ETANCHEITE!BF$22:INDIRECT("'PEINTURE'!O" &amp; AW13-1)&lt;&gt;"")))),"")</f>
        <v/>
      </c>
      <c r="BB13" s="163" t="str" cm="1">
        <f t="array" aca="1" ref="BB13" ca="1">IFERROR(IF(_xlfn.XLOOKUP(AT13,ETANCHEITE!BH$22:BH$92,ETANCHEITE!BG$22:BG$92,"")&lt;&gt;"",_xlfn.XLOOKUP(AT13,ETANCHEITE!BH$22:BH$92,ETANCHEITE!BG$22:BG$92,""),    INDEX(ETANCHEITE!BG:BG,MAX(_xlfn._xlws.FILTER(ROW(ETANCHEITE!BG$22:INDIRECT("'PEINTURE'!P" &amp; AW13-1)),ETANCHEITE!BG$22:INDIRECT("'PEINTURE'!P" &amp; AW13-1)&lt;&gt;"")))),"")</f>
        <v/>
      </c>
    </row>
    <row r="14" spans="1:54" ht="15" customHeight="1" x14ac:dyDescent="0.3">
      <c r="A14" s="145">
        <v>12</v>
      </c>
      <c r="B14" s="154" t="str">
        <f>IF(F14&lt;&gt;" ",ETANCHEITE!$D$5,"")</f>
        <v/>
      </c>
      <c r="C14" s="154" t="str">
        <f>IF(F14&lt;&gt;" ",ETANCHEITE!$D$8,"")</f>
        <v/>
      </c>
      <c r="D14" s="146" t="str">
        <f>IFERROR(MATCH(A14,ETANCHEITE!O$22:O$167,0)+18,"")</f>
        <v/>
      </c>
      <c r="E14" s="147" t="str" cm="1">
        <f t="array" aca="1" ref="E14" ca="1">IFERROR(IF(_xlfn.XLOOKUP(A14,ETANCHEITE!O$22:O$167,ETANCHEITE!$A$22:$A$167,"")&lt;&gt;"",_xlfn.XLOOKUP(A14,ETANCHEITE!O$22:O$167,ETANCHEITE!$A$22:$A$167,""),    INDEX(ETANCHEITE!$A:$A,MAX(_xlfn._xlws.FILTER(ROW(ETANCHEITE!$A$22:INDIRECT("'MENUISERIES EXTERIEURES'!$A" &amp; D14-1)),ETANCHEITE!$A$22:INDIRECT("'MENUISERIES EXTERIEURES'!$A" &amp; D14-1)&lt;&gt;"")))),"")&amp;"   "&amp;IFERROR(_xlfn.XLOOKUP(A14,ETANCHEITE!O$22:O$167,ETANCHEITE!$B$22:$B$167),"")&amp;IFERROR(_xlfn.XLOOKUP(A14,ETANCHEITE!O$22:O$167,ETANCHEITE!$C$22:$C$167),"")&amp;IFERROR(_xlfn.XLOOKUP(A14,ETANCHEITE!O$22:O$167,ETANCHEITE!$D$22:$D$167),"")&amp;IFERROR(_xlfn.XLOOKUP(A14,ETANCHEITE!O$22:O$167,ETANCHEITE!#REF!),"")&amp;IFERROR(_xlfn.XLOOKUP(A14,ETANCHEITE!O$22:O$167,ETANCHEITE!#REF!),"")</f>
        <v xml:space="preserve">   </v>
      </c>
      <c r="F14" s="155" t="str">
        <f>IFERROR(VLOOKUP(A14,ETANCHEITE!O$22:Q$167,2,FALSE),"")&amp;" "&amp;IFERROR(VLOOKUP(A14,ETANCHEITE!O$22:Q$167,3,FALSE),"")</f>
        <v xml:space="preserve"> </v>
      </c>
      <c r="G14" s="148" t="str">
        <f>IF(F14&lt;&gt;" ",'Feuille de Donnée'!$C$3,"")</f>
        <v/>
      </c>
      <c r="H14" s="162" t="str" cm="1">
        <f t="array" aca="1" ref="H14" ca="1">IFERROR(IF(_xlfn.XLOOKUP(A14,ETANCHEITE!O$22:O$92,ETANCHEITE!M$22:M$92,"")&lt;&gt;"",_xlfn.XLOOKUP(A14,ETANCHEITE!O$22:O$92,ETANCHEITE!M$22:M$92,""),    INDEX(ETANCHEITE!M:M,MAX(_xlfn._xlws.FILTER(ROW(ETANCHEITE!M$22:INDIRECT("'PEINTURE'!O" &amp; D14-1)),ETANCHEITE!M$22:INDIRECT("'PEINTURE'!O" &amp; D14-1)&lt;&gt;"")))),"")</f>
        <v/>
      </c>
      <c r="I14" s="163" t="str" cm="1">
        <f t="array" aca="1" ref="I14" ca="1">IFERROR(IF(_xlfn.XLOOKUP(A14,ETANCHEITE!O$22:O$92,ETANCHEITE!N$22:N$92,"")&lt;&gt;"",_xlfn.XLOOKUP(A14,ETANCHEITE!O$22:O$92,ETANCHEITE!N$22:N$92,""),    INDEX(ETANCHEITE!N:N,MAX(_xlfn._xlws.FILTER(ROW(ETANCHEITE!N$22:INDIRECT("'PEINTURE'!P" &amp; D14-1)),ETANCHEITE!N$22:INDIRECT("'PEINTURE'!P" &amp; D14-1)&lt;&gt;"")))),"")</f>
        <v/>
      </c>
      <c r="J14" s="145">
        <v>12</v>
      </c>
      <c r="K14" s="154" t="str">
        <f>IF(O14&lt;&gt;" ",ETANCHEITE!$D$5,"")</f>
        <v/>
      </c>
      <c r="L14" s="154" t="str">
        <f>IF(O14&lt;&gt;" ",ETANCHEITE!$D$8,"")</f>
        <v/>
      </c>
      <c r="M14" s="146" t="str">
        <f>IFERROR(MATCH(J14,ETANCHEITE!X$22:X$167,0)+18,"")</f>
        <v/>
      </c>
      <c r="N14" s="147" t="str" cm="1">
        <f t="array" aca="1" ref="N14" ca="1">IFERROR(IF(_xlfn.XLOOKUP(J14,ETANCHEITE!X$22:X$167,ETANCHEITE!$A$22:$A$167,"")&lt;&gt;"",_xlfn.XLOOKUP(J14,ETANCHEITE!X$22:X$167,ETANCHEITE!$A$22:$A$167,""),    INDEX(ETANCHEITE!$A:$A,MAX(_xlfn._xlws.FILTER(ROW(ETANCHEITE!$A$22:INDIRECT("'MENUISERIES EXTERIEURES'!$A" &amp; M14-1)),ETANCHEITE!$A$22:INDIRECT("'MENUISERIES EXTERIEURES'!$A" &amp; M14-1)&lt;&gt;"")))),"")&amp;"   "&amp;IFERROR(_xlfn.XLOOKUP(J14,ETANCHEITE!X$22:X$167,ETANCHEITE!$B$22:$B$167),"")&amp;IFERROR(_xlfn.XLOOKUP(J14,ETANCHEITE!X$22:X$167,ETANCHEITE!$C$22:$C$167),"")&amp;IFERROR(_xlfn.XLOOKUP(J14,ETANCHEITE!X$22:X$167,ETANCHEITE!$D$22:$D$167),"")&amp;IFERROR(_xlfn.XLOOKUP(J14,ETANCHEITE!X$22:X$167,ETANCHEITE!#REF!),"")&amp;IFERROR(_xlfn.XLOOKUP(J14,ETANCHEITE!X$22:X$167,ETANCHEITE!#REF!),"")</f>
        <v xml:space="preserve">   </v>
      </c>
      <c r="O14" s="155" t="str">
        <f>IFERROR(VLOOKUP(J14,ETANCHEITE!X$22:Z$167,2,FALSE),"")&amp;" "&amp;IFERROR(VLOOKUP(J14,ETANCHEITE!X$22:Z$167,3,FALSE),"")</f>
        <v xml:space="preserve"> </v>
      </c>
      <c r="P14" s="148" t="str">
        <f>IF(O14&lt;&gt;" ",'Feuille de Donnée'!$C$3,"")</f>
        <v/>
      </c>
      <c r="Q14" s="162" t="str" cm="1">
        <f t="array" aca="1" ref="Q14" ca="1">IFERROR(IF(_xlfn.XLOOKUP(J14,ETANCHEITE!X$22:X$92,ETANCHEITE!V$22:V$92,"")&lt;&gt;"",_xlfn.XLOOKUP(J14,ETANCHEITE!X$22:X$92,ETANCHEITE!V$22:V$92,""),    INDEX(ETANCHEITE!V:V,MAX(_xlfn._xlws.FILTER(ROW(ETANCHEITE!V$22:INDIRECT("'PEINTURE'!O" &amp; M14-1)),ETANCHEITE!V$22:INDIRECT("'PEINTURE'!O" &amp; M14-1)&lt;&gt;"")))),"")</f>
        <v/>
      </c>
      <c r="R14" s="163" t="str" cm="1">
        <f t="array" aca="1" ref="R14" ca="1">IFERROR(IF(_xlfn.XLOOKUP(J14,ETANCHEITE!X$22:X$92,ETANCHEITE!W$22:W$92,"")&lt;&gt;"",_xlfn.XLOOKUP(J14,ETANCHEITE!X$22:X$92,ETANCHEITE!W$22:W$92,""),    INDEX(ETANCHEITE!W:W,MAX(_xlfn._xlws.FILTER(ROW(ETANCHEITE!W$22:INDIRECT("'PEINTURE'!P" &amp; M14-1)),ETANCHEITE!W$22:INDIRECT("'PEINTURE'!P" &amp; M14-1)&lt;&gt;"")))),"")</f>
        <v/>
      </c>
      <c r="S14" s="145">
        <v>12</v>
      </c>
      <c r="T14" s="154" t="str">
        <f>IF(X14&lt;&gt;" ",ETANCHEITE!$D$5,"")</f>
        <v/>
      </c>
      <c r="U14" s="154" t="str">
        <f>IF(X14&lt;&gt;" ",ETANCHEITE!$D$8,"")</f>
        <v/>
      </c>
      <c r="V14" s="146" t="str">
        <f>IFERROR(MATCH(S14,ETANCHEITE!AG$22:AG$167,0)+18,"")</f>
        <v/>
      </c>
      <c r="W14" s="147" t="str" cm="1">
        <f t="array" aca="1" ref="W14" ca="1">IFERROR(IF(_xlfn.XLOOKUP(S14,ETANCHEITE!AG$22:AG$167,ETANCHEITE!$A$22:$A$167,"")&lt;&gt;"",_xlfn.XLOOKUP(S14,ETANCHEITE!AG$22:AG$167,ETANCHEITE!$A$22:$A$167,""),    INDEX(ETANCHEITE!$A:$A,MAX(_xlfn._xlws.FILTER(ROW(ETANCHEITE!$A$22:INDIRECT("'MENUISERIES EXTERIEURES'!$A" &amp; V14-1)),ETANCHEITE!$A$22:INDIRECT("'MENUISERIES EXTERIEURES'!$A" &amp; V14-1)&lt;&gt;"")))),"")&amp;"   "&amp;IFERROR(_xlfn.XLOOKUP(S14,ETANCHEITE!AG$22:AG$167,ETANCHEITE!$B$22:$B$167),"")&amp;IFERROR(_xlfn.XLOOKUP(S14,ETANCHEITE!AG$22:AG$167,ETANCHEITE!$C$22:$C$167),"")&amp;IFERROR(_xlfn.XLOOKUP(S14,ETANCHEITE!AG$22:AG$167,ETANCHEITE!$D$22:$D$167),"")&amp;IFERROR(_xlfn.XLOOKUP(S14,ETANCHEITE!AG$22:AG$167,ETANCHEITE!#REF!),"")&amp;IFERROR(_xlfn.XLOOKUP(S14,ETANCHEITE!AG$22:AG$167,ETANCHEITE!#REF!),"")</f>
        <v xml:space="preserve">   </v>
      </c>
      <c r="X14" s="155" t="str">
        <f>IFERROR(VLOOKUP(S14,ETANCHEITE!AG$22:AI$167,2,FALSE),"")&amp;" "&amp;IFERROR(VLOOKUP(S14,ETANCHEITE!AG$22:AI$167,3,FALSE),"")</f>
        <v xml:space="preserve"> </v>
      </c>
      <c r="Y14" s="148" t="str">
        <f>IF(X14&lt;&gt;" ",'Feuille de Donnée'!$C$3,"")</f>
        <v/>
      </c>
      <c r="Z14" s="162" t="str" cm="1">
        <f t="array" aca="1" ref="Z14" ca="1">IFERROR(IF(_xlfn.XLOOKUP(S14,ETANCHEITE!AG$22:AG$92,ETANCHEITE!AE$22:AE$92,"")&lt;&gt;"",_xlfn.XLOOKUP(S14,ETANCHEITE!AG$22:AG$92,ETANCHEITE!AE$22:AE$92,""),    INDEX(ETANCHEITE!AE:AE,MAX(_xlfn._xlws.FILTER(ROW(ETANCHEITE!AE$22:INDIRECT("'PEINTURE'!O" &amp; V14-1)),ETANCHEITE!AE$22:INDIRECT("'PEINTURE'!O" &amp; V14-1)&lt;&gt;"")))),"")</f>
        <v/>
      </c>
      <c r="AA14" s="163" t="str" cm="1">
        <f t="array" aca="1" ref="AA14" ca="1">IFERROR(IF(_xlfn.XLOOKUP(S14,ETANCHEITE!AG$22:AG$92,ETANCHEITE!AF$22:AF$92,"")&lt;&gt;"",_xlfn.XLOOKUP(S14,ETANCHEITE!AG$22:AG$92,ETANCHEITE!AF$22:AF$92,""),    INDEX(ETANCHEITE!AF:AF,MAX(_xlfn._xlws.FILTER(ROW(ETANCHEITE!AF$22:INDIRECT("'PEINTURE'!P" &amp; V14-1)),ETANCHEITE!AF$22:INDIRECT("'PEINTURE'!P" &amp; V14-1)&lt;&gt;"")))),"")</f>
        <v/>
      </c>
      <c r="AB14" s="145">
        <v>12</v>
      </c>
      <c r="AC14" s="154" t="str">
        <f>IF(AG14&lt;&gt;" ",ETANCHEITE!$D$5,"")</f>
        <v/>
      </c>
      <c r="AD14" s="154" t="str">
        <f>IF(AG14&lt;&gt;" ",ETANCHEITE!$D$8,"")</f>
        <v/>
      </c>
      <c r="AE14" s="146" t="str">
        <f>IFERROR(MATCH(AB14,ETANCHEITE!AP$22:AP$167,0)+18,"")</f>
        <v/>
      </c>
      <c r="AF14" s="147" t="str" cm="1">
        <f t="array" aca="1" ref="AF14" ca="1">IFERROR(IF(_xlfn.XLOOKUP(AB14,ETANCHEITE!AP$22:AP$167,ETANCHEITE!$A$22:$A$167,"")&lt;&gt;"",_xlfn.XLOOKUP(AB14,ETANCHEITE!AP$22:AP$167,ETANCHEITE!$A$22:$A$167,""),    INDEX(ETANCHEITE!$A:$A,MAX(_xlfn._xlws.FILTER(ROW(ETANCHEITE!$A$22:INDIRECT("'MENUISERIES EXTERIEURES'!$A" &amp; AE14-1)),ETANCHEITE!$A$22:INDIRECT("'MENUISERIES EXTERIEURES'!$A" &amp; AE14-1)&lt;&gt;"")))),"")&amp;"   "&amp;IFERROR(_xlfn.XLOOKUP(AB14,ETANCHEITE!AP$22:AP$167,ETANCHEITE!$B$22:$B$167),"")&amp;IFERROR(_xlfn.XLOOKUP(AB14,ETANCHEITE!AP$22:AP$167,ETANCHEITE!$C$22:$C$167),"")&amp;IFERROR(_xlfn.XLOOKUP(AB14,ETANCHEITE!AP$22:AP$167,ETANCHEITE!$D$22:$D$167),"")&amp;IFERROR(_xlfn.XLOOKUP(AB14,ETANCHEITE!AP$22:AP$167,ETANCHEITE!#REF!),"")&amp;IFERROR(_xlfn.XLOOKUP(AB14,ETANCHEITE!AP$22:AP$167,ETANCHEITE!#REF!),"")</f>
        <v xml:space="preserve">   </v>
      </c>
      <c r="AG14" s="155" t="str">
        <f>IFERROR(VLOOKUP(AB14,ETANCHEITE!AP$22:AR$167,2,FALSE),"")&amp;" "&amp;IFERROR(VLOOKUP(AB14,ETANCHEITE!AP$22:AR$167,3,FALSE),"")</f>
        <v xml:space="preserve"> </v>
      </c>
      <c r="AH14" s="148" t="str">
        <f>IF(AG14&lt;&gt;" ",'Feuille de Donnée'!$C$3,"")</f>
        <v/>
      </c>
      <c r="AI14" s="162" t="str" cm="1">
        <f t="array" aca="1" ref="AI14" ca="1">IFERROR(IF(_xlfn.XLOOKUP(AB14,ETANCHEITE!AP$22:AP$92,ETANCHEITE!AN$22:AN$92,"")&lt;&gt;"",_xlfn.XLOOKUP(AB14,ETANCHEITE!AP$22:AP$92,ETANCHEITE!AN$22:AN$92,""),    INDEX(ETANCHEITE!AN:AN,MAX(_xlfn._xlws.FILTER(ROW(ETANCHEITE!AN$22:INDIRECT("'PEINTURE'!O" &amp; AE14-1)),ETANCHEITE!AN$22:INDIRECT("'PEINTURE'!O" &amp; AE14-1)&lt;&gt;"")))),"")</f>
        <v/>
      </c>
      <c r="AJ14" s="163" t="str" cm="1">
        <f t="array" aca="1" ref="AJ14" ca="1">IFERROR(IF(_xlfn.XLOOKUP(AB14,ETANCHEITE!AP$22:AP$92,ETANCHEITE!AO$22:AO$92,"")&lt;&gt;"",_xlfn.XLOOKUP(AB14,ETANCHEITE!AP$22:AP$92,ETANCHEITE!AO$22:AO$92,""),    INDEX(ETANCHEITE!AO:AO,MAX(_xlfn._xlws.FILTER(ROW(ETANCHEITE!AO$22:INDIRECT("'PEINTURE'!P" &amp; AE14-1)),ETANCHEITE!AO$22:INDIRECT("'PEINTURE'!P" &amp; AE14-1)&lt;&gt;"")))),"")</f>
        <v/>
      </c>
      <c r="AK14" s="145">
        <v>12</v>
      </c>
      <c r="AL14" s="154" t="str">
        <f>IF(AP14&lt;&gt;" ",ETANCHEITE!$D$5,"")</f>
        <v/>
      </c>
      <c r="AM14" s="154" t="str">
        <f>IF(AP14&lt;&gt;" ",ETANCHEITE!$D$8,"")</f>
        <v/>
      </c>
      <c r="AN14" s="146" t="str">
        <f>IFERROR(MATCH(AK14,ETANCHEITE!AY$22:AY$167,0)+18,"")</f>
        <v/>
      </c>
      <c r="AO14" s="147" t="str" cm="1">
        <f t="array" aca="1" ref="AO14" ca="1">IFERROR(IF(_xlfn.XLOOKUP(AK14,ETANCHEITE!AY$22:AY$167,ETANCHEITE!$A$22:$A$167,"")&lt;&gt;"",_xlfn.XLOOKUP(AK14,ETANCHEITE!AY$22:AY$167,ETANCHEITE!$A$22:$A$167,""),    INDEX(ETANCHEITE!$A:$A,MAX(_xlfn._xlws.FILTER(ROW(ETANCHEITE!$A$22:INDIRECT("'MENUISERIES EXTERIEURES'!$A" &amp; AN14-1)),ETANCHEITE!$A$22:INDIRECT("'MENUISERIES EXTERIEURES'!$A" &amp; AN14-1)&lt;&gt;"")))),"")&amp;"   "&amp;IFERROR(_xlfn.XLOOKUP(AK14,ETANCHEITE!AY$22:AY$167,ETANCHEITE!$B$22:$B$167),"")&amp;IFERROR(_xlfn.XLOOKUP(AK14,ETANCHEITE!AY$22:AY$167,ETANCHEITE!$C$22:$C$167),"")&amp;IFERROR(_xlfn.XLOOKUP(AK14,ETANCHEITE!AY$22:AY$167,ETANCHEITE!$D$22:$D$167),"")&amp;IFERROR(_xlfn.XLOOKUP(AK14,ETANCHEITE!AY$22:AY$167,ETANCHEITE!#REF!),"")&amp;IFERROR(_xlfn.XLOOKUP(AK14,ETANCHEITE!AY$22:AY$167,ETANCHEITE!#REF!),"")</f>
        <v xml:space="preserve">   </v>
      </c>
      <c r="AP14" s="155" t="str">
        <f>IFERROR(VLOOKUP(AK14,ETANCHEITE!AY$22:BA$167,2,FALSE),"")&amp;" "&amp;IFERROR(VLOOKUP(AK14,ETANCHEITE!AY$22:BA$167,3,FALSE),"")</f>
        <v xml:space="preserve"> </v>
      </c>
      <c r="AQ14" s="148" t="str">
        <f>IF(AP14&lt;&gt;" ",'Feuille de Donnée'!$C$3,"")</f>
        <v/>
      </c>
      <c r="AR14" s="162" t="str" cm="1">
        <f t="array" aca="1" ref="AR14" ca="1">IFERROR(IF(_xlfn.XLOOKUP(AK14,ETANCHEITE!AY$22:AY$92,ETANCHEITE!AW$22:AW$92,"")&lt;&gt;"",_xlfn.XLOOKUP(AK14,ETANCHEITE!AY$22:AY$92,ETANCHEITE!AW$22:AW$92,""),    INDEX(ETANCHEITE!AW:AW,MAX(_xlfn._xlws.FILTER(ROW(ETANCHEITE!AW$22:INDIRECT("'PEINTURE'!O" &amp; AN14-1)),ETANCHEITE!AW$22:INDIRECT("'PEINTURE'!O" &amp; AN14-1)&lt;&gt;"")))),"")</f>
        <v/>
      </c>
      <c r="AS14" s="163" t="str" cm="1">
        <f t="array" aca="1" ref="AS14" ca="1">IFERROR(IF(_xlfn.XLOOKUP(AK14,ETANCHEITE!AY$22:AY$92,ETANCHEITE!AX$22:AX$92,"")&lt;&gt;"",_xlfn.XLOOKUP(AK14,ETANCHEITE!AY$22:AY$92,ETANCHEITE!AX$22:AX$92,""),    INDEX(ETANCHEITE!AX:AX,MAX(_xlfn._xlws.FILTER(ROW(ETANCHEITE!AX$22:INDIRECT("'PEINTURE'!P" &amp; AN14-1)),ETANCHEITE!AX$22:INDIRECT("'PEINTURE'!P" &amp; AN14-1)&lt;&gt;"")))),"")</f>
        <v/>
      </c>
      <c r="AT14" s="145">
        <v>12</v>
      </c>
      <c r="AU14" s="154" t="str">
        <f>IF(AY14&lt;&gt;" ",ETANCHEITE!$D$5,"")</f>
        <v/>
      </c>
      <c r="AV14" s="154" t="str">
        <f>IF(AY14&lt;&gt;" ",ETANCHEITE!$D$8,"")</f>
        <v/>
      </c>
      <c r="AW14" s="146" t="str">
        <f>IFERROR(MATCH(AT14,ETANCHEITE!BH$22:BH$167,0)+18,"")</f>
        <v/>
      </c>
      <c r="AX14" s="147" t="str" cm="1">
        <f t="array" aca="1" ref="AX14" ca="1">IFERROR(IF(_xlfn.XLOOKUP(AT14,ETANCHEITE!BH$22:BH$167,ETANCHEITE!$A$22:$A$167,"")&lt;&gt;"",_xlfn.XLOOKUP(AT14,ETANCHEITE!BH$22:BH$167,ETANCHEITE!$A$22:$A$167,""),    INDEX(ETANCHEITE!$A:$A,MAX(_xlfn._xlws.FILTER(ROW(ETANCHEITE!$A$22:INDIRECT("'MENUISERIES EXTERIEURES'!$A" &amp; AW14-1)),ETANCHEITE!$A$22:INDIRECT("'MENUISERIES EXTERIEURES'!$A" &amp; AW14-1)&lt;&gt;"")))),"")&amp;"   "&amp;IFERROR(_xlfn.XLOOKUP(AT14,ETANCHEITE!BH$22:BH$167,ETANCHEITE!$B$22:$B$167),"")&amp;IFERROR(_xlfn.XLOOKUP(AT14,ETANCHEITE!BH$22:BH$167,ETANCHEITE!$C$22:$C$167),"")&amp;IFERROR(_xlfn.XLOOKUP(AT14,ETANCHEITE!BH$22:BH$167,ETANCHEITE!$D$22:$D$167),"")&amp;IFERROR(_xlfn.XLOOKUP(AT14,ETANCHEITE!BH$22:BH$167,ETANCHEITE!#REF!),"")&amp;IFERROR(_xlfn.XLOOKUP(AT14,ETANCHEITE!BH$22:BH$167,ETANCHEITE!#REF!),"")</f>
        <v xml:space="preserve">   </v>
      </c>
      <c r="AY14" s="155" t="str">
        <f>IFERROR(VLOOKUP(AT14,ETANCHEITE!BH$22:BJ$167,2,FALSE),"")&amp;" "&amp;IFERROR(VLOOKUP(AT14,ETANCHEITE!BH$22:BJ$167,3,FALSE),"")</f>
        <v xml:space="preserve"> </v>
      </c>
      <c r="AZ14" s="148" t="str">
        <f>IF(AY14&lt;&gt;" ",'Feuille de Donnée'!$C$3,"")</f>
        <v/>
      </c>
      <c r="BA14" s="162" t="str" cm="1">
        <f t="array" aca="1" ref="BA14" ca="1">IFERROR(IF(_xlfn.XLOOKUP(AT14,ETANCHEITE!BH$22:BH$92,ETANCHEITE!BF$22:BF$92,"")&lt;&gt;"",_xlfn.XLOOKUP(AT14,ETANCHEITE!BH$22:BH$92,ETANCHEITE!BF$22:BF$92,""),    INDEX(ETANCHEITE!BF:BF,MAX(_xlfn._xlws.FILTER(ROW(ETANCHEITE!BF$22:INDIRECT("'PEINTURE'!O" &amp; AW14-1)),ETANCHEITE!BF$22:INDIRECT("'PEINTURE'!O" &amp; AW14-1)&lt;&gt;"")))),"")</f>
        <v/>
      </c>
      <c r="BB14" s="163" t="str" cm="1">
        <f t="array" aca="1" ref="BB14" ca="1">IFERROR(IF(_xlfn.XLOOKUP(AT14,ETANCHEITE!BH$22:BH$92,ETANCHEITE!BG$22:BG$92,"")&lt;&gt;"",_xlfn.XLOOKUP(AT14,ETANCHEITE!BH$22:BH$92,ETANCHEITE!BG$22:BG$92,""),    INDEX(ETANCHEITE!BG:BG,MAX(_xlfn._xlws.FILTER(ROW(ETANCHEITE!BG$22:INDIRECT("'PEINTURE'!P" &amp; AW14-1)),ETANCHEITE!BG$22:INDIRECT("'PEINTURE'!P" &amp; AW14-1)&lt;&gt;"")))),"")</f>
        <v/>
      </c>
    </row>
    <row r="15" spans="1:54" ht="15" customHeight="1" x14ac:dyDescent="0.3">
      <c r="A15" s="145">
        <v>13</v>
      </c>
      <c r="B15" s="154" t="str">
        <f>IF(F15&lt;&gt;" ",ETANCHEITE!$D$5,"")</f>
        <v/>
      </c>
      <c r="C15" s="154" t="str">
        <f>IF(F15&lt;&gt;" ",ETANCHEITE!$D$8,"")</f>
        <v/>
      </c>
      <c r="D15" s="146" t="str">
        <f>IFERROR(MATCH(A15,ETANCHEITE!O$22:O$167,0)+18,"")</f>
        <v/>
      </c>
      <c r="E15" s="147" t="str" cm="1">
        <f t="array" aca="1" ref="E15" ca="1">IFERROR(IF(_xlfn.XLOOKUP(A15,ETANCHEITE!O$22:O$167,ETANCHEITE!$A$22:$A$167,"")&lt;&gt;"",_xlfn.XLOOKUP(A15,ETANCHEITE!O$22:O$167,ETANCHEITE!$A$22:$A$167,""),    INDEX(ETANCHEITE!$A:$A,MAX(_xlfn._xlws.FILTER(ROW(ETANCHEITE!$A$22:INDIRECT("'MENUISERIES EXTERIEURES'!$A" &amp; D15-1)),ETANCHEITE!$A$22:INDIRECT("'MENUISERIES EXTERIEURES'!$A" &amp; D15-1)&lt;&gt;"")))),"")&amp;"   "&amp;IFERROR(_xlfn.XLOOKUP(A15,ETANCHEITE!O$22:O$167,ETANCHEITE!$B$22:$B$167),"")&amp;IFERROR(_xlfn.XLOOKUP(A15,ETANCHEITE!O$22:O$167,ETANCHEITE!$C$22:$C$167),"")&amp;IFERROR(_xlfn.XLOOKUP(A15,ETANCHEITE!O$22:O$167,ETANCHEITE!$D$22:$D$167),"")&amp;IFERROR(_xlfn.XLOOKUP(A15,ETANCHEITE!O$22:O$167,ETANCHEITE!#REF!),"")&amp;IFERROR(_xlfn.XLOOKUP(A15,ETANCHEITE!O$22:O$167,ETANCHEITE!#REF!),"")</f>
        <v xml:space="preserve">   </v>
      </c>
      <c r="F15" s="155" t="str">
        <f>IFERROR(VLOOKUP(A15,ETANCHEITE!O$22:Q$167,2,FALSE),"")&amp;" "&amp;IFERROR(VLOOKUP(A15,ETANCHEITE!O$22:Q$167,3,FALSE),"")</f>
        <v xml:space="preserve"> </v>
      </c>
      <c r="G15" s="148" t="str">
        <f>IF(F15&lt;&gt;" ",'Feuille de Donnée'!$C$3,"")</f>
        <v/>
      </c>
      <c r="H15" s="162" t="str" cm="1">
        <f t="array" aca="1" ref="H15" ca="1">IFERROR(IF(_xlfn.XLOOKUP(A15,ETANCHEITE!O$22:O$92,ETANCHEITE!M$22:M$92,"")&lt;&gt;"",_xlfn.XLOOKUP(A15,ETANCHEITE!O$22:O$92,ETANCHEITE!M$22:M$92,""),    INDEX(ETANCHEITE!M:M,MAX(_xlfn._xlws.FILTER(ROW(ETANCHEITE!M$22:INDIRECT("'PEINTURE'!O" &amp; D15-1)),ETANCHEITE!M$22:INDIRECT("'PEINTURE'!O" &amp; D15-1)&lt;&gt;"")))),"")</f>
        <v/>
      </c>
      <c r="I15" s="163" t="str" cm="1">
        <f t="array" aca="1" ref="I15" ca="1">IFERROR(IF(_xlfn.XLOOKUP(A15,ETANCHEITE!O$22:O$92,ETANCHEITE!N$22:N$92,"")&lt;&gt;"",_xlfn.XLOOKUP(A15,ETANCHEITE!O$22:O$92,ETANCHEITE!N$22:N$92,""),    INDEX(ETANCHEITE!N:N,MAX(_xlfn._xlws.FILTER(ROW(ETANCHEITE!N$22:INDIRECT("'PEINTURE'!P" &amp; D15-1)),ETANCHEITE!N$22:INDIRECT("'PEINTURE'!P" &amp; D15-1)&lt;&gt;"")))),"")</f>
        <v/>
      </c>
      <c r="J15" s="145">
        <v>13</v>
      </c>
      <c r="K15" s="154" t="str">
        <f>IF(O15&lt;&gt;" ",ETANCHEITE!$D$5,"")</f>
        <v/>
      </c>
      <c r="L15" s="154" t="str">
        <f>IF(O15&lt;&gt;" ",ETANCHEITE!$D$8,"")</f>
        <v/>
      </c>
      <c r="M15" s="146" t="str">
        <f>IFERROR(MATCH(J15,ETANCHEITE!X$22:X$167,0)+18,"")</f>
        <v/>
      </c>
      <c r="N15" s="147" t="str" cm="1">
        <f t="array" aca="1" ref="N15" ca="1">IFERROR(IF(_xlfn.XLOOKUP(J15,ETANCHEITE!X$22:X$167,ETANCHEITE!$A$22:$A$167,"")&lt;&gt;"",_xlfn.XLOOKUP(J15,ETANCHEITE!X$22:X$167,ETANCHEITE!$A$22:$A$167,""),    INDEX(ETANCHEITE!$A:$A,MAX(_xlfn._xlws.FILTER(ROW(ETANCHEITE!$A$22:INDIRECT("'MENUISERIES EXTERIEURES'!$A" &amp; M15-1)),ETANCHEITE!$A$22:INDIRECT("'MENUISERIES EXTERIEURES'!$A" &amp; M15-1)&lt;&gt;"")))),"")&amp;"   "&amp;IFERROR(_xlfn.XLOOKUP(J15,ETANCHEITE!X$22:X$167,ETANCHEITE!$B$22:$B$167),"")&amp;IFERROR(_xlfn.XLOOKUP(J15,ETANCHEITE!X$22:X$167,ETANCHEITE!$C$22:$C$167),"")&amp;IFERROR(_xlfn.XLOOKUP(J15,ETANCHEITE!X$22:X$167,ETANCHEITE!$D$22:$D$167),"")&amp;IFERROR(_xlfn.XLOOKUP(J15,ETANCHEITE!X$22:X$167,ETANCHEITE!#REF!),"")&amp;IFERROR(_xlfn.XLOOKUP(J15,ETANCHEITE!X$22:X$167,ETANCHEITE!#REF!),"")</f>
        <v xml:space="preserve">   </v>
      </c>
      <c r="O15" s="155" t="str">
        <f>IFERROR(VLOOKUP(J15,ETANCHEITE!X$22:Z$167,2,FALSE),"")&amp;" "&amp;IFERROR(VLOOKUP(J15,ETANCHEITE!X$22:Z$167,3,FALSE),"")</f>
        <v xml:space="preserve"> </v>
      </c>
      <c r="P15" s="148" t="str">
        <f>IF(O15&lt;&gt;" ",'Feuille de Donnée'!$C$3,"")</f>
        <v/>
      </c>
      <c r="Q15" s="162" t="str" cm="1">
        <f t="array" aca="1" ref="Q15" ca="1">IFERROR(IF(_xlfn.XLOOKUP(J15,ETANCHEITE!X$22:X$92,ETANCHEITE!V$22:V$92,"")&lt;&gt;"",_xlfn.XLOOKUP(J15,ETANCHEITE!X$22:X$92,ETANCHEITE!V$22:V$92,""),    INDEX(ETANCHEITE!V:V,MAX(_xlfn._xlws.FILTER(ROW(ETANCHEITE!V$22:INDIRECT("'PEINTURE'!O" &amp; M15-1)),ETANCHEITE!V$22:INDIRECT("'PEINTURE'!O" &amp; M15-1)&lt;&gt;"")))),"")</f>
        <v/>
      </c>
      <c r="R15" s="163" t="str" cm="1">
        <f t="array" aca="1" ref="R15" ca="1">IFERROR(IF(_xlfn.XLOOKUP(J15,ETANCHEITE!X$22:X$92,ETANCHEITE!W$22:W$92,"")&lt;&gt;"",_xlfn.XLOOKUP(J15,ETANCHEITE!X$22:X$92,ETANCHEITE!W$22:W$92,""),    INDEX(ETANCHEITE!W:W,MAX(_xlfn._xlws.FILTER(ROW(ETANCHEITE!W$22:INDIRECT("'PEINTURE'!P" &amp; M15-1)),ETANCHEITE!W$22:INDIRECT("'PEINTURE'!P" &amp; M15-1)&lt;&gt;"")))),"")</f>
        <v/>
      </c>
      <c r="S15" s="145">
        <v>13</v>
      </c>
      <c r="T15" s="154" t="str">
        <f>IF(X15&lt;&gt;" ",ETANCHEITE!$D$5,"")</f>
        <v/>
      </c>
      <c r="U15" s="154" t="str">
        <f>IF(X15&lt;&gt;" ",ETANCHEITE!$D$8,"")</f>
        <v/>
      </c>
      <c r="V15" s="146" t="str">
        <f>IFERROR(MATCH(S15,ETANCHEITE!AG$22:AG$167,0)+18,"")</f>
        <v/>
      </c>
      <c r="W15" s="147" t="str" cm="1">
        <f t="array" aca="1" ref="W15" ca="1">IFERROR(IF(_xlfn.XLOOKUP(S15,ETANCHEITE!AG$22:AG$167,ETANCHEITE!$A$22:$A$167,"")&lt;&gt;"",_xlfn.XLOOKUP(S15,ETANCHEITE!AG$22:AG$167,ETANCHEITE!$A$22:$A$167,""),    INDEX(ETANCHEITE!$A:$A,MAX(_xlfn._xlws.FILTER(ROW(ETANCHEITE!$A$22:INDIRECT("'MENUISERIES EXTERIEURES'!$A" &amp; V15-1)),ETANCHEITE!$A$22:INDIRECT("'MENUISERIES EXTERIEURES'!$A" &amp; V15-1)&lt;&gt;"")))),"")&amp;"   "&amp;IFERROR(_xlfn.XLOOKUP(S15,ETANCHEITE!AG$22:AG$167,ETANCHEITE!$B$22:$B$167),"")&amp;IFERROR(_xlfn.XLOOKUP(S15,ETANCHEITE!AG$22:AG$167,ETANCHEITE!$C$22:$C$167),"")&amp;IFERROR(_xlfn.XLOOKUP(S15,ETANCHEITE!AG$22:AG$167,ETANCHEITE!$D$22:$D$167),"")&amp;IFERROR(_xlfn.XLOOKUP(S15,ETANCHEITE!AG$22:AG$167,ETANCHEITE!#REF!),"")&amp;IFERROR(_xlfn.XLOOKUP(S15,ETANCHEITE!AG$22:AG$167,ETANCHEITE!#REF!),"")</f>
        <v xml:space="preserve">   </v>
      </c>
      <c r="X15" s="155" t="str">
        <f>IFERROR(VLOOKUP(S15,ETANCHEITE!AG$22:AI$167,2,FALSE),"")&amp;" "&amp;IFERROR(VLOOKUP(S15,ETANCHEITE!AG$22:AI$167,3,FALSE),"")</f>
        <v xml:space="preserve"> </v>
      </c>
      <c r="Y15" s="148" t="str">
        <f>IF(X15&lt;&gt;" ",'Feuille de Donnée'!$C$3,"")</f>
        <v/>
      </c>
      <c r="Z15" s="162" t="str" cm="1">
        <f t="array" aca="1" ref="Z15" ca="1">IFERROR(IF(_xlfn.XLOOKUP(S15,ETANCHEITE!AG$22:AG$92,ETANCHEITE!AE$22:AE$92,"")&lt;&gt;"",_xlfn.XLOOKUP(S15,ETANCHEITE!AG$22:AG$92,ETANCHEITE!AE$22:AE$92,""),    INDEX(ETANCHEITE!AE:AE,MAX(_xlfn._xlws.FILTER(ROW(ETANCHEITE!AE$22:INDIRECT("'PEINTURE'!O" &amp; V15-1)),ETANCHEITE!AE$22:INDIRECT("'PEINTURE'!O" &amp; V15-1)&lt;&gt;"")))),"")</f>
        <v/>
      </c>
      <c r="AA15" s="163" t="str" cm="1">
        <f t="array" aca="1" ref="AA15" ca="1">IFERROR(IF(_xlfn.XLOOKUP(S15,ETANCHEITE!AG$22:AG$92,ETANCHEITE!AF$22:AF$92,"")&lt;&gt;"",_xlfn.XLOOKUP(S15,ETANCHEITE!AG$22:AG$92,ETANCHEITE!AF$22:AF$92,""),    INDEX(ETANCHEITE!AF:AF,MAX(_xlfn._xlws.FILTER(ROW(ETANCHEITE!AF$22:INDIRECT("'PEINTURE'!P" &amp; V15-1)),ETANCHEITE!AF$22:INDIRECT("'PEINTURE'!P" &amp; V15-1)&lt;&gt;"")))),"")</f>
        <v/>
      </c>
      <c r="AB15" s="145">
        <v>13</v>
      </c>
      <c r="AC15" s="154" t="str">
        <f>IF(AG15&lt;&gt;" ",ETANCHEITE!$D$5,"")</f>
        <v/>
      </c>
      <c r="AD15" s="154" t="str">
        <f>IF(AG15&lt;&gt;" ",ETANCHEITE!$D$8,"")</f>
        <v/>
      </c>
      <c r="AE15" s="146" t="str">
        <f>IFERROR(MATCH(AB15,ETANCHEITE!AP$22:AP$167,0)+18,"")</f>
        <v/>
      </c>
      <c r="AF15" s="147" t="str" cm="1">
        <f t="array" aca="1" ref="AF15" ca="1">IFERROR(IF(_xlfn.XLOOKUP(AB15,ETANCHEITE!AP$22:AP$167,ETANCHEITE!$A$22:$A$167,"")&lt;&gt;"",_xlfn.XLOOKUP(AB15,ETANCHEITE!AP$22:AP$167,ETANCHEITE!$A$22:$A$167,""),    INDEX(ETANCHEITE!$A:$A,MAX(_xlfn._xlws.FILTER(ROW(ETANCHEITE!$A$22:INDIRECT("'MENUISERIES EXTERIEURES'!$A" &amp; AE15-1)),ETANCHEITE!$A$22:INDIRECT("'MENUISERIES EXTERIEURES'!$A" &amp; AE15-1)&lt;&gt;"")))),"")&amp;"   "&amp;IFERROR(_xlfn.XLOOKUP(AB15,ETANCHEITE!AP$22:AP$167,ETANCHEITE!$B$22:$B$167),"")&amp;IFERROR(_xlfn.XLOOKUP(AB15,ETANCHEITE!AP$22:AP$167,ETANCHEITE!$C$22:$C$167),"")&amp;IFERROR(_xlfn.XLOOKUP(AB15,ETANCHEITE!AP$22:AP$167,ETANCHEITE!$D$22:$D$167),"")&amp;IFERROR(_xlfn.XLOOKUP(AB15,ETANCHEITE!AP$22:AP$167,ETANCHEITE!#REF!),"")&amp;IFERROR(_xlfn.XLOOKUP(AB15,ETANCHEITE!AP$22:AP$167,ETANCHEITE!#REF!),"")</f>
        <v xml:space="preserve">   </v>
      </c>
      <c r="AG15" s="155" t="str">
        <f>IFERROR(VLOOKUP(AB15,ETANCHEITE!AP$22:AR$167,2,FALSE),"")&amp;" "&amp;IFERROR(VLOOKUP(AB15,ETANCHEITE!AP$22:AR$167,3,FALSE),"")</f>
        <v xml:space="preserve"> </v>
      </c>
      <c r="AH15" s="148" t="str">
        <f>IF(AG15&lt;&gt;" ",'Feuille de Donnée'!$C$3,"")</f>
        <v/>
      </c>
      <c r="AI15" s="162" t="str" cm="1">
        <f t="array" aca="1" ref="AI15" ca="1">IFERROR(IF(_xlfn.XLOOKUP(AB15,ETANCHEITE!AP$22:AP$92,ETANCHEITE!AN$22:AN$92,"")&lt;&gt;"",_xlfn.XLOOKUP(AB15,ETANCHEITE!AP$22:AP$92,ETANCHEITE!AN$22:AN$92,""),    INDEX(ETANCHEITE!AN:AN,MAX(_xlfn._xlws.FILTER(ROW(ETANCHEITE!AN$22:INDIRECT("'PEINTURE'!O" &amp; AE15-1)),ETANCHEITE!AN$22:INDIRECT("'PEINTURE'!O" &amp; AE15-1)&lt;&gt;"")))),"")</f>
        <v/>
      </c>
      <c r="AJ15" s="163" t="str" cm="1">
        <f t="array" aca="1" ref="AJ15" ca="1">IFERROR(IF(_xlfn.XLOOKUP(AB15,ETANCHEITE!AP$22:AP$92,ETANCHEITE!AO$22:AO$92,"")&lt;&gt;"",_xlfn.XLOOKUP(AB15,ETANCHEITE!AP$22:AP$92,ETANCHEITE!AO$22:AO$92,""),    INDEX(ETANCHEITE!AO:AO,MAX(_xlfn._xlws.FILTER(ROW(ETANCHEITE!AO$22:INDIRECT("'PEINTURE'!P" &amp; AE15-1)),ETANCHEITE!AO$22:INDIRECT("'PEINTURE'!P" &amp; AE15-1)&lt;&gt;"")))),"")</f>
        <v/>
      </c>
      <c r="AK15" s="145">
        <v>13</v>
      </c>
      <c r="AL15" s="154" t="str">
        <f>IF(AP15&lt;&gt;" ",ETANCHEITE!$D$5,"")</f>
        <v/>
      </c>
      <c r="AM15" s="154" t="str">
        <f>IF(AP15&lt;&gt;" ",ETANCHEITE!$D$8,"")</f>
        <v/>
      </c>
      <c r="AN15" s="146" t="str">
        <f>IFERROR(MATCH(AK15,ETANCHEITE!AY$22:AY$167,0)+18,"")</f>
        <v/>
      </c>
      <c r="AO15" s="147" t="str" cm="1">
        <f t="array" aca="1" ref="AO15" ca="1">IFERROR(IF(_xlfn.XLOOKUP(AK15,ETANCHEITE!AY$22:AY$167,ETANCHEITE!$A$22:$A$167,"")&lt;&gt;"",_xlfn.XLOOKUP(AK15,ETANCHEITE!AY$22:AY$167,ETANCHEITE!$A$22:$A$167,""),    INDEX(ETANCHEITE!$A:$A,MAX(_xlfn._xlws.FILTER(ROW(ETANCHEITE!$A$22:INDIRECT("'MENUISERIES EXTERIEURES'!$A" &amp; AN15-1)),ETANCHEITE!$A$22:INDIRECT("'MENUISERIES EXTERIEURES'!$A" &amp; AN15-1)&lt;&gt;"")))),"")&amp;"   "&amp;IFERROR(_xlfn.XLOOKUP(AK15,ETANCHEITE!AY$22:AY$167,ETANCHEITE!$B$22:$B$167),"")&amp;IFERROR(_xlfn.XLOOKUP(AK15,ETANCHEITE!AY$22:AY$167,ETANCHEITE!$C$22:$C$167),"")&amp;IFERROR(_xlfn.XLOOKUP(AK15,ETANCHEITE!AY$22:AY$167,ETANCHEITE!$D$22:$D$167),"")&amp;IFERROR(_xlfn.XLOOKUP(AK15,ETANCHEITE!AY$22:AY$167,ETANCHEITE!#REF!),"")&amp;IFERROR(_xlfn.XLOOKUP(AK15,ETANCHEITE!AY$22:AY$167,ETANCHEITE!#REF!),"")</f>
        <v xml:space="preserve">   </v>
      </c>
      <c r="AP15" s="155" t="str">
        <f>IFERROR(VLOOKUP(AK15,ETANCHEITE!AY$22:BA$167,2,FALSE),"")&amp;" "&amp;IFERROR(VLOOKUP(AK15,ETANCHEITE!AY$22:BA$167,3,FALSE),"")</f>
        <v xml:space="preserve"> </v>
      </c>
      <c r="AQ15" s="148" t="str">
        <f>IF(AP15&lt;&gt;" ",'Feuille de Donnée'!$C$3,"")</f>
        <v/>
      </c>
      <c r="AR15" s="162" t="str" cm="1">
        <f t="array" aca="1" ref="AR15" ca="1">IFERROR(IF(_xlfn.XLOOKUP(AK15,ETANCHEITE!AY$22:AY$92,ETANCHEITE!AW$22:AW$92,"")&lt;&gt;"",_xlfn.XLOOKUP(AK15,ETANCHEITE!AY$22:AY$92,ETANCHEITE!AW$22:AW$92,""),    INDEX(ETANCHEITE!AW:AW,MAX(_xlfn._xlws.FILTER(ROW(ETANCHEITE!AW$22:INDIRECT("'PEINTURE'!O" &amp; AN15-1)),ETANCHEITE!AW$22:INDIRECT("'PEINTURE'!O" &amp; AN15-1)&lt;&gt;"")))),"")</f>
        <v/>
      </c>
      <c r="AS15" s="163" t="str" cm="1">
        <f t="array" aca="1" ref="AS15" ca="1">IFERROR(IF(_xlfn.XLOOKUP(AK15,ETANCHEITE!AY$22:AY$92,ETANCHEITE!AX$22:AX$92,"")&lt;&gt;"",_xlfn.XLOOKUP(AK15,ETANCHEITE!AY$22:AY$92,ETANCHEITE!AX$22:AX$92,""),    INDEX(ETANCHEITE!AX:AX,MAX(_xlfn._xlws.FILTER(ROW(ETANCHEITE!AX$22:INDIRECT("'PEINTURE'!P" &amp; AN15-1)),ETANCHEITE!AX$22:INDIRECT("'PEINTURE'!P" &amp; AN15-1)&lt;&gt;"")))),"")</f>
        <v/>
      </c>
      <c r="AT15" s="145">
        <v>13</v>
      </c>
      <c r="AU15" s="154" t="str">
        <f>IF(AY15&lt;&gt;" ",ETANCHEITE!$D$5,"")</f>
        <v/>
      </c>
      <c r="AV15" s="154" t="str">
        <f>IF(AY15&lt;&gt;" ",ETANCHEITE!$D$8,"")</f>
        <v/>
      </c>
      <c r="AW15" s="146" t="str">
        <f>IFERROR(MATCH(AT15,ETANCHEITE!BH$22:BH$167,0)+18,"")</f>
        <v/>
      </c>
      <c r="AX15" s="147" t="str" cm="1">
        <f t="array" aca="1" ref="AX15" ca="1">IFERROR(IF(_xlfn.XLOOKUP(AT15,ETANCHEITE!BH$22:BH$167,ETANCHEITE!$A$22:$A$167,"")&lt;&gt;"",_xlfn.XLOOKUP(AT15,ETANCHEITE!BH$22:BH$167,ETANCHEITE!$A$22:$A$167,""),    INDEX(ETANCHEITE!$A:$A,MAX(_xlfn._xlws.FILTER(ROW(ETANCHEITE!$A$22:INDIRECT("'MENUISERIES EXTERIEURES'!$A" &amp; AW15-1)),ETANCHEITE!$A$22:INDIRECT("'MENUISERIES EXTERIEURES'!$A" &amp; AW15-1)&lt;&gt;"")))),"")&amp;"   "&amp;IFERROR(_xlfn.XLOOKUP(AT15,ETANCHEITE!BH$22:BH$167,ETANCHEITE!$B$22:$B$167),"")&amp;IFERROR(_xlfn.XLOOKUP(AT15,ETANCHEITE!BH$22:BH$167,ETANCHEITE!$C$22:$C$167),"")&amp;IFERROR(_xlfn.XLOOKUP(AT15,ETANCHEITE!BH$22:BH$167,ETANCHEITE!$D$22:$D$167),"")&amp;IFERROR(_xlfn.XLOOKUP(AT15,ETANCHEITE!BH$22:BH$167,ETANCHEITE!#REF!),"")&amp;IFERROR(_xlfn.XLOOKUP(AT15,ETANCHEITE!BH$22:BH$167,ETANCHEITE!#REF!),"")</f>
        <v xml:space="preserve">   </v>
      </c>
      <c r="AY15" s="155" t="str">
        <f>IFERROR(VLOOKUP(AT15,ETANCHEITE!BH$22:BJ$167,2,FALSE),"")&amp;" "&amp;IFERROR(VLOOKUP(AT15,ETANCHEITE!BH$22:BJ$167,3,FALSE),"")</f>
        <v xml:space="preserve"> </v>
      </c>
      <c r="AZ15" s="148" t="str">
        <f>IF(AY15&lt;&gt;" ",'Feuille de Donnée'!$C$3,"")</f>
        <v/>
      </c>
      <c r="BA15" s="162" t="str" cm="1">
        <f t="array" aca="1" ref="BA15" ca="1">IFERROR(IF(_xlfn.XLOOKUP(AT15,ETANCHEITE!BH$22:BH$92,ETANCHEITE!BF$22:BF$92,"")&lt;&gt;"",_xlfn.XLOOKUP(AT15,ETANCHEITE!BH$22:BH$92,ETANCHEITE!BF$22:BF$92,""),    INDEX(ETANCHEITE!BF:BF,MAX(_xlfn._xlws.FILTER(ROW(ETANCHEITE!BF$22:INDIRECT("'PEINTURE'!O" &amp; AW15-1)),ETANCHEITE!BF$22:INDIRECT("'PEINTURE'!O" &amp; AW15-1)&lt;&gt;"")))),"")</f>
        <v/>
      </c>
      <c r="BB15" s="163" t="str" cm="1">
        <f t="array" aca="1" ref="BB15" ca="1">IFERROR(IF(_xlfn.XLOOKUP(AT15,ETANCHEITE!BH$22:BH$92,ETANCHEITE!BG$22:BG$92,"")&lt;&gt;"",_xlfn.XLOOKUP(AT15,ETANCHEITE!BH$22:BH$92,ETANCHEITE!BG$22:BG$92,""),    INDEX(ETANCHEITE!BG:BG,MAX(_xlfn._xlws.FILTER(ROW(ETANCHEITE!BG$22:INDIRECT("'PEINTURE'!P" &amp; AW15-1)),ETANCHEITE!BG$22:INDIRECT("'PEINTURE'!P" &amp; AW15-1)&lt;&gt;"")))),"")</f>
        <v/>
      </c>
    </row>
    <row r="16" spans="1:54" ht="15" customHeight="1" x14ac:dyDescent="0.3">
      <c r="A16" s="145">
        <v>14</v>
      </c>
      <c r="B16" s="154" t="str">
        <f>IF(F16&lt;&gt;" ",ETANCHEITE!$D$5,"")</f>
        <v/>
      </c>
      <c r="C16" s="154" t="str">
        <f>IF(F16&lt;&gt;" ",ETANCHEITE!$D$8,"")</f>
        <v/>
      </c>
      <c r="D16" s="146" t="str">
        <f>IFERROR(MATCH(A16,ETANCHEITE!O$22:O$167,0)+18,"")</f>
        <v/>
      </c>
      <c r="E16" s="147" t="str" cm="1">
        <f t="array" aca="1" ref="E16" ca="1">IFERROR(IF(_xlfn.XLOOKUP(A16,ETANCHEITE!O$22:O$167,ETANCHEITE!$A$22:$A$167,"")&lt;&gt;"",_xlfn.XLOOKUP(A16,ETANCHEITE!O$22:O$167,ETANCHEITE!$A$22:$A$167,""),    INDEX(ETANCHEITE!$A:$A,MAX(_xlfn._xlws.FILTER(ROW(ETANCHEITE!$A$22:INDIRECT("'MENUISERIES EXTERIEURES'!$A" &amp; D16-1)),ETANCHEITE!$A$22:INDIRECT("'MENUISERIES EXTERIEURES'!$A" &amp; D16-1)&lt;&gt;"")))),"")&amp;"   "&amp;IFERROR(_xlfn.XLOOKUP(A16,ETANCHEITE!O$22:O$167,ETANCHEITE!$B$22:$B$167),"")&amp;IFERROR(_xlfn.XLOOKUP(A16,ETANCHEITE!O$22:O$167,ETANCHEITE!$C$22:$C$167),"")&amp;IFERROR(_xlfn.XLOOKUP(A16,ETANCHEITE!O$22:O$167,ETANCHEITE!$D$22:$D$167),"")&amp;IFERROR(_xlfn.XLOOKUP(A16,ETANCHEITE!O$22:O$167,ETANCHEITE!#REF!),"")&amp;IFERROR(_xlfn.XLOOKUP(A16,ETANCHEITE!O$22:O$167,ETANCHEITE!#REF!),"")</f>
        <v xml:space="preserve">   </v>
      </c>
      <c r="F16" s="155" t="str">
        <f>IFERROR(VLOOKUP(A16,ETANCHEITE!O$22:Q$167,2,FALSE),"")&amp;" "&amp;IFERROR(VLOOKUP(A16,ETANCHEITE!O$22:Q$167,3,FALSE),"")</f>
        <v xml:space="preserve"> </v>
      </c>
      <c r="G16" s="148" t="str">
        <f>IF(F16&lt;&gt;" ",'Feuille de Donnée'!$C$3,"")</f>
        <v/>
      </c>
      <c r="H16" s="162" t="str" cm="1">
        <f t="array" aca="1" ref="H16" ca="1">IFERROR(IF(_xlfn.XLOOKUP(A16,ETANCHEITE!O$22:O$92,ETANCHEITE!M$22:M$92,"")&lt;&gt;"",_xlfn.XLOOKUP(A16,ETANCHEITE!O$22:O$92,ETANCHEITE!M$22:M$92,""),    INDEX(ETANCHEITE!M:M,MAX(_xlfn._xlws.FILTER(ROW(ETANCHEITE!M$22:INDIRECT("'PEINTURE'!O" &amp; D16-1)),ETANCHEITE!M$22:INDIRECT("'PEINTURE'!O" &amp; D16-1)&lt;&gt;"")))),"")</f>
        <v/>
      </c>
      <c r="I16" s="163" t="str" cm="1">
        <f t="array" aca="1" ref="I16" ca="1">IFERROR(IF(_xlfn.XLOOKUP(A16,ETANCHEITE!O$22:O$92,ETANCHEITE!N$22:N$92,"")&lt;&gt;"",_xlfn.XLOOKUP(A16,ETANCHEITE!O$22:O$92,ETANCHEITE!N$22:N$92,""),    INDEX(ETANCHEITE!N:N,MAX(_xlfn._xlws.FILTER(ROW(ETANCHEITE!N$22:INDIRECT("'PEINTURE'!P" &amp; D16-1)),ETANCHEITE!N$22:INDIRECT("'PEINTURE'!P" &amp; D16-1)&lt;&gt;"")))),"")</f>
        <v/>
      </c>
      <c r="J16" s="145">
        <v>14</v>
      </c>
      <c r="K16" s="154" t="str">
        <f>IF(O16&lt;&gt;" ",ETANCHEITE!$D$5,"")</f>
        <v/>
      </c>
      <c r="L16" s="154" t="str">
        <f>IF(O16&lt;&gt;" ",ETANCHEITE!$D$8,"")</f>
        <v/>
      </c>
      <c r="M16" s="146" t="str">
        <f>IFERROR(MATCH(J16,ETANCHEITE!X$22:X$167,0)+18,"")</f>
        <v/>
      </c>
      <c r="N16" s="147" t="str" cm="1">
        <f t="array" aca="1" ref="N16" ca="1">IFERROR(IF(_xlfn.XLOOKUP(J16,ETANCHEITE!X$22:X$167,ETANCHEITE!$A$22:$A$167,"")&lt;&gt;"",_xlfn.XLOOKUP(J16,ETANCHEITE!X$22:X$167,ETANCHEITE!$A$22:$A$167,""),    INDEX(ETANCHEITE!$A:$A,MAX(_xlfn._xlws.FILTER(ROW(ETANCHEITE!$A$22:INDIRECT("'MENUISERIES EXTERIEURES'!$A" &amp; M16-1)),ETANCHEITE!$A$22:INDIRECT("'MENUISERIES EXTERIEURES'!$A" &amp; M16-1)&lt;&gt;"")))),"")&amp;"   "&amp;IFERROR(_xlfn.XLOOKUP(J16,ETANCHEITE!X$22:X$167,ETANCHEITE!$B$22:$B$167),"")&amp;IFERROR(_xlfn.XLOOKUP(J16,ETANCHEITE!X$22:X$167,ETANCHEITE!$C$22:$C$167),"")&amp;IFERROR(_xlfn.XLOOKUP(J16,ETANCHEITE!X$22:X$167,ETANCHEITE!$D$22:$D$167),"")&amp;IFERROR(_xlfn.XLOOKUP(J16,ETANCHEITE!X$22:X$167,ETANCHEITE!#REF!),"")&amp;IFERROR(_xlfn.XLOOKUP(J16,ETANCHEITE!X$22:X$167,ETANCHEITE!#REF!),"")</f>
        <v xml:space="preserve">   </v>
      </c>
      <c r="O16" s="155" t="str">
        <f>IFERROR(VLOOKUP(J16,ETANCHEITE!X$22:Z$167,2,FALSE),"")&amp;" "&amp;IFERROR(VLOOKUP(J16,ETANCHEITE!X$22:Z$167,3,FALSE),"")</f>
        <v xml:space="preserve"> </v>
      </c>
      <c r="P16" s="148" t="str">
        <f>IF(O16&lt;&gt;" ",'Feuille de Donnée'!$C$3,"")</f>
        <v/>
      </c>
      <c r="Q16" s="162" t="str" cm="1">
        <f t="array" aca="1" ref="Q16" ca="1">IFERROR(IF(_xlfn.XLOOKUP(J16,ETANCHEITE!X$22:X$92,ETANCHEITE!V$22:V$92,"")&lt;&gt;"",_xlfn.XLOOKUP(J16,ETANCHEITE!X$22:X$92,ETANCHEITE!V$22:V$92,""),    INDEX(ETANCHEITE!V:V,MAX(_xlfn._xlws.FILTER(ROW(ETANCHEITE!V$22:INDIRECT("'PEINTURE'!O" &amp; M16-1)),ETANCHEITE!V$22:INDIRECT("'PEINTURE'!O" &amp; M16-1)&lt;&gt;"")))),"")</f>
        <v/>
      </c>
      <c r="R16" s="163" t="str" cm="1">
        <f t="array" aca="1" ref="R16" ca="1">IFERROR(IF(_xlfn.XLOOKUP(J16,ETANCHEITE!X$22:X$92,ETANCHEITE!W$22:W$92,"")&lt;&gt;"",_xlfn.XLOOKUP(J16,ETANCHEITE!X$22:X$92,ETANCHEITE!W$22:W$92,""),    INDEX(ETANCHEITE!W:W,MAX(_xlfn._xlws.FILTER(ROW(ETANCHEITE!W$22:INDIRECT("'PEINTURE'!P" &amp; M16-1)),ETANCHEITE!W$22:INDIRECT("'PEINTURE'!P" &amp; M16-1)&lt;&gt;"")))),"")</f>
        <v/>
      </c>
      <c r="S16" s="145">
        <v>14</v>
      </c>
      <c r="T16" s="154" t="str">
        <f>IF(X16&lt;&gt;" ",ETANCHEITE!$D$5,"")</f>
        <v/>
      </c>
      <c r="U16" s="154" t="str">
        <f>IF(X16&lt;&gt;" ",ETANCHEITE!$D$8,"")</f>
        <v/>
      </c>
      <c r="V16" s="146" t="str">
        <f>IFERROR(MATCH(S16,ETANCHEITE!AG$22:AG$167,0)+18,"")</f>
        <v/>
      </c>
      <c r="W16" s="147" t="str" cm="1">
        <f t="array" aca="1" ref="W16" ca="1">IFERROR(IF(_xlfn.XLOOKUP(S16,ETANCHEITE!AG$22:AG$167,ETANCHEITE!$A$22:$A$167,"")&lt;&gt;"",_xlfn.XLOOKUP(S16,ETANCHEITE!AG$22:AG$167,ETANCHEITE!$A$22:$A$167,""),    INDEX(ETANCHEITE!$A:$A,MAX(_xlfn._xlws.FILTER(ROW(ETANCHEITE!$A$22:INDIRECT("'MENUISERIES EXTERIEURES'!$A" &amp; V16-1)),ETANCHEITE!$A$22:INDIRECT("'MENUISERIES EXTERIEURES'!$A" &amp; V16-1)&lt;&gt;"")))),"")&amp;"   "&amp;IFERROR(_xlfn.XLOOKUP(S16,ETANCHEITE!AG$22:AG$167,ETANCHEITE!$B$22:$B$167),"")&amp;IFERROR(_xlfn.XLOOKUP(S16,ETANCHEITE!AG$22:AG$167,ETANCHEITE!$C$22:$C$167),"")&amp;IFERROR(_xlfn.XLOOKUP(S16,ETANCHEITE!AG$22:AG$167,ETANCHEITE!$D$22:$D$167),"")&amp;IFERROR(_xlfn.XLOOKUP(S16,ETANCHEITE!AG$22:AG$167,ETANCHEITE!#REF!),"")&amp;IFERROR(_xlfn.XLOOKUP(S16,ETANCHEITE!AG$22:AG$167,ETANCHEITE!#REF!),"")</f>
        <v xml:space="preserve">   </v>
      </c>
      <c r="X16" s="155" t="str">
        <f>IFERROR(VLOOKUP(S16,ETANCHEITE!AG$22:AI$167,2,FALSE),"")&amp;" "&amp;IFERROR(VLOOKUP(S16,ETANCHEITE!AG$22:AI$167,3,FALSE),"")</f>
        <v xml:space="preserve"> </v>
      </c>
      <c r="Y16" s="148" t="str">
        <f>IF(X16&lt;&gt;" ",'Feuille de Donnée'!$C$3,"")</f>
        <v/>
      </c>
      <c r="Z16" s="162" t="str" cm="1">
        <f t="array" aca="1" ref="Z16" ca="1">IFERROR(IF(_xlfn.XLOOKUP(S16,ETANCHEITE!AG$22:AG$92,ETANCHEITE!AE$22:AE$92,"")&lt;&gt;"",_xlfn.XLOOKUP(S16,ETANCHEITE!AG$22:AG$92,ETANCHEITE!AE$22:AE$92,""),    INDEX(ETANCHEITE!AE:AE,MAX(_xlfn._xlws.FILTER(ROW(ETANCHEITE!AE$22:INDIRECT("'PEINTURE'!O" &amp; V16-1)),ETANCHEITE!AE$22:INDIRECT("'PEINTURE'!O" &amp; V16-1)&lt;&gt;"")))),"")</f>
        <v/>
      </c>
      <c r="AA16" s="163" t="str" cm="1">
        <f t="array" aca="1" ref="AA16" ca="1">IFERROR(IF(_xlfn.XLOOKUP(S16,ETANCHEITE!AG$22:AG$92,ETANCHEITE!AF$22:AF$92,"")&lt;&gt;"",_xlfn.XLOOKUP(S16,ETANCHEITE!AG$22:AG$92,ETANCHEITE!AF$22:AF$92,""),    INDEX(ETANCHEITE!AF:AF,MAX(_xlfn._xlws.FILTER(ROW(ETANCHEITE!AF$22:INDIRECT("'PEINTURE'!P" &amp; V16-1)),ETANCHEITE!AF$22:INDIRECT("'PEINTURE'!P" &amp; V16-1)&lt;&gt;"")))),"")</f>
        <v/>
      </c>
      <c r="AB16" s="145">
        <v>14</v>
      </c>
      <c r="AC16" s="154" t="str">
        <f>IF(AG16&lt;&gt;" ",ETANCHEITE!$D$5,"")</f>
        <v/>
      </c>
      <c r="AD16" s="154" t="str">
        <f>IF(AG16&lt;&gt;" ",ETANCHEITE!$D$8,"")</f>
        <v/>
      </c>
      <c r="AE16" s="146" t="str">
        <f>IFERROR(MATCH(AB16,ETANCHEITE!AP$22:AP$167,0)+18,"")</f>
        <v/>
      </c>
      <c r="AF16" s="147" t="str" cm="1">
        <f t="array" aca="1" ref="AF16" ca="1">IFERROR(IF(_xlfn.XLOOKUP(AB16,ETANCHEITE!AP$22:AP$167,ETANCHEITE!$A$22:$A$167,"")&lt;&gt;"",_xlfn.XLOOKUP(AB16,ETANCHEITE!AP$22:AP$167,ETANCHEITE!$A$22:$A$167,""),    INDEX(ETANCHEITE!$A:$A,MAX(_xlfn._xlws.FILTER(ROW(ETANCHEITE!$A$22:INDIRECT("'MENUISERIES EXTERIEURES'!$A" &amp; AE16-1)),ETANCHEITE!$A$22:INDIRECT("'MENUISERIES EXTERIEURES'!$A" &amp; AE16-1)&lt;&gt;"")))),"")&amp;"   "&amp;IFERROR(_xlfn.XLOOKUP(AB16,ETANCHEITE!AP$22:AP$167,ETANCHEITE!$B$22:$B$167),"")&amp;IFERROR(_xlfn.XLOOKUP(AB16,ETANCHEITE!AP$22:AP$167,ETANCHEITE!$C$22:$C$167),"")&amp;IFERROR(_xlfn.XLOOKUP(AB16,ETANCHEITE!AP$22:AP$167,ETANCHEITE!$D$22:$D$167),"")&amp;IFERROR(_xlfn.XLOOKUP(AB16,ETANCHEITE!AP$22:AP$167,ETANCHEITE!#REF!),"")&amp;IFERROR(_xlfn.XLOOKUP(AB16,ETANCHEITE!AP$22:AP$167,ETANCHEITE!#REF!),"")</f>
        <v xml:space="preserve">   </v>
      </c>
      <c r="AG16" s="155" t="str">
        <f>IFERROR(VLOOKUP(AB16,ETANCHEITE!AP$22:AR$167,2,FALSE),"")&amp;" "&amp;IFERROR(VLOOKUP(AB16,ETANCHEITE!AP$22:AR$167,3,FALSE),"")</f>
        <v xml:space="preserve"> </v>
      </c>
      <c r="AH16" s="148" t="str">
        <f>IF(AG16&lt;&gt;" ",'Feuille de Donnée'!$C$3,"")</f>
        <v/>
      </c>
      <c r="AI16" s="162" t="str" cm="1">
        <f t="array" aca="1" ref="AI16" ca="1">IFERROR(IF(_xlfn.XLOOKUP(AB16,ETANCHEITE!AP$22:AP$92,ETANCHEITE!AN$22:AN$92,"")&lt;&gt;"",_xlfn.XLOOKUP(AB16,ETANCHEITE!AP$22:AP$92,ETANCHEITE!AN$22:AN$92,""),    INDEX(ETANCHEITE!AN:AN,MAX(_xlfn._xlws.FILTER(ROW(ETANCHEITE!AN$22:INDIRECT("'PEINTURE'!O" &amp; AE16-1)),ETANCHEITE!AN$22:INDIRECT("'PEINTURE'!O" &amp; AE16-1)&lt;&gt;"")))),"")</f>
        <v/>
      </c>
      <c r="AJ16" s="163" t="str" cm="1">
        <f t="array" aca="1" ref="AJ16" ca="1">IFERROR(IF(_xlfn.XLOOKUP(AB16,ETANCHEITE!AP$22:AP$92,ETANCHEITE!AO$22:AO$92,"")&lt;&gt;"",_xlfn.XLOOKUP(AB16,ETANCHEITE!AP$22:AP$92,ETANCHEITE!AO$22:AO$92,""),    INDEX(ETANCHEITE!AO:AO,MAX(_xlfn._xlws.FILTER(ROW(ETANCHEITE!AO$22:INDIRECT("'PEINTURE'!P" &amp; AE16-1)),ETANCHEITE!AO$22:INDIRECT("'PEINTURE'!P" &amp; AE16-1)&lt;&gt;"")))),"")</f>
        <v/>
      </c>
      <c r="AK16" s="145">
        <v>14</v>
      </c>
      <c r="AL16" s="154" t="str">
        <f>IF(AP16&lt;&gt;" ",ETANCHEITE!$D$5,"")</f>
        <v/>
      </c>
      <c r="AM16" s="154" t="str">
        <f>IF(AP16&lt;&gt;" ",ETANCHEITE!$D$8,"")</f>
        <v/>
      </c>
      <c r="AN16" s="146" t="str">
        <f>IFERROR(MATCH(AK16,ETANCHEITE!AY$22:AY$167,0)+18,"")</f>
        <v/>
      </c>
      <c r="AO16" s="147" t="str" cm="1">
        <f t="array" aca="1" ref="AO16" ca="1">IFERROR(IF(_xlfn.XLOOKUP(AK16,ETANCHEITE!AY$22:AY$167,ETANCHEITE!$A$22:$A$167,"")&lt;&gt;"",_xlfn.XLOOKUP(AK16,ETANCHEITE!AY$22:AY$167,ETANCHEITE!$A$22:$A$167,""),    INDEX(ETANCHEITE!$A:$A,MAX(_xlfn._xlws.FILTER(ROW(ETANCHEITE!$A$22:INDIRECT("'MENUISERIES EXTERIEURES'!$A" &amp; AN16-1)),ETANCHEITE!$A$22:INDIRECT("'MENUISERIES EXTERIEURES'!$A" &amp; AN16-1)&lt;&gt;"")))),"")&amp;"   "&amp;IFERROR(_xlfn.XLOOKUP(AK16,ETANCHEITE!AY$22:AY$167,ETANCHEITE!$B$22:$B$167),"")&amp;IFERROR(_xlfn.XLOOKUP(AK16,ETANCHEITE!AY$22:AY$167,ETANCHEITE!$C$22:$C$167),"")&amp;IFERROR(_xlfn.XLOOKUP(AK16,ETANCHEITE!AY$22:AY$167,ETANCHEITE!$D$22:$D$167),"")&amp;IFERROR(_xlfn.XLOOKUP(AK16,ETANCHEITE!AY$22:AY$167,ETANCHEITE!#REF!),"")&amp;IFERROR(_xlfn.XLOOKUP(AK16,ETANCHEITE!AY$22:AY$167,ETANCHEITE!#REF!),"")</f>
        <v xml:space="preserve">   </v>
      </c>
      <c r="AP16" s="155" t="str">
        <f>IFERROR(VLOOKUP(AK16,ETANCHEITE!AY$22:BA$167,2,FALSE),"")&amp;" "&amp;IFERROR(VLOOKUP(AK16,ETANCHEITE!AY$22:BA$167,3,FALSE),"")</f>
        <v xml:space="preserve"> </v>
      </c>
      <c r="AQ16" s="148" t="str">
        <f>IF(AP16&lt;&gt;" ",'Feuille de Donnée'!$C$3,"")</f>
        <v/>
      </c>
      <c r="AR16" s="162" t="str" cm="1">
        <f t="array" aca="1" ref="AR16" ca="1">IFERROR(IF(_xlfn.XLOOKUP(AK16,ETANCHEITE!AY$22:AY$92,ETANCHEITE!AW$22:AW$92,"")&lt;&gt;"",_xlfn.XLOOKUP(AK16,ETANCHEITE!AY$22:AY$92,ETANCHEITE!AW$22:AW$92,""),    INDEX(ETANCHEITE!AW:AW,MAX(_xlfn._xlws.FILTER(ROW(ETANCHEITE!AW$22:INDIRECT("'PEINTURE'!O" &amp; AN16-1)),ETANCHEITE!AW$22:INDIRECT("'PEINTURE'!O" &amp; AN16-1)&lt;&gt;"")))),"")</f>
        <v/>
      </c>
      <c r="AS16" s="163" t="str" cm="1">
        <f t="array" aca="1" ref="AS16" ca="1">IFERROR(IF(_xlfn.XLOOKUP(AK16,ETANCHEITE!AY$22:AY$92,ETANCHEITE!AX$22:AX$92,"")&lt;&gt;"",_xlfn.XLOOKUP(AK16,ETANCHEITE!AY$22:AY$92,ETANCHEITE!AX$22:AX$92,""),    INDEX(ETANCHEITE!AX:AX,MAX(_xlfn._xlws.FILTER(ROW(ETANCHEITE!AX$22:INDIRECT("'PEINTURE'!P" &amp; AN16-1)),ETANCHEITE!AX$22:INDIRECT("'PEINTURE'!P" &amp; AN16-1)&lt;&gt;"")))),"")</f>
        <v/>
      </c>
      <c r="AT16" s="145">
        <v>14</v>
      </c>
      <c r="AU16" s="154" t="str">
        <f>IF(AY16&lt;&gt;" ",ETANCHEITE!$D$5,"")</f>
        <v/>
      </c>
      <c r="AV16" s="154" t="str">
        <f>IF(AY16&lt;&gt;" ",ETANCHEITE!$D$8,"")</f>
        <v/>
      </c>
      <c r="AW16" s="146" t="str">
        <f>IFERROR(MATCH(AT16,ETANCHEITE!BH$22:BH$167,0)+18,"")</f>
        <v/>
      </c>
      <c r="AX16" s="147" t="str" cm="1">
        <f t="array" aca="1" ref="AX16" ca="1">IFERROR(IF(_xlfn.XLOOKUP(AT16,ETANCHEITE!BH$22:BH$167,ETANCHEITE!$A$22:$A$167,"")&lt;&gt;"",_xlfn.XLOOKUP(AT16,ETANCHEITE!BH$22:BH$167,ETANCHEITE!$A$22:$A$167,""),    INDEX(ETANCHEITE!$A:$A,MAX(_xlfn._xlws.FILTER(ROW(ETANCHEITE!$A$22:INDIRECT("'MENUISERIES EXTERIEURES'!$A" &amp; AW16-1)),ETANCHEITE!$A$22:INDIRECT("'MENUISERIES EXTERIEURES'!$A" &amp; AW16-1)&lt;&gt;"")))),"")&amp;"   "&amp;IFERROR(_xlfn.XLOOKUP(AT16,ETANCHEITE!BH$22:BH$167,ETANCHEITE!$B$22:$B$167),"")&amp;IFERROR(_xlfn.XLOOKUP(AT16,ETANCHEITE!BH$22:BH$167,ETANCHEITE!$C$22:$C$167),"")&amp;IFERROR(_xlfn.XLOOKUP(AT16,ETANCHEITE!BH$22:BH$167,ETANCHEITE!$D$22:$D$167),"")&amp;IFERROR(_xlfn.XLOOKUP(AT16,ETANCHEITE!BH$22:BH$167,ETANCHEITE!#REF!),"")&amp;IFERROR(_xlfn.XLOOKUP(AT16,ETANCHEITE!BH$22:BH$167,ETANCHEITE!#REF!),"")</f>
        <v xml:space="preserve">   </v>
      </c>
      <c r="AY16" s="155" t="str">
        <f>IFERROR(VLOOKUP(AT16,ETANCHEITE!BH$22:BJ$167,2,FALSE),"")&amp;" "&amp;IFERROR(VLOOKUP(AT16,ETANCHEITE!BH$22:BJ$167,3,FALSE),"")</f>
        <v xml:space="preserve"> </v>
      </c>
      <c r="AZ16" s="148" t="str">
        <f>IF(AY16&lt;&gt;" ",'Feuille de Donnée'!$C$3,"")</f>
        <v/>
      </c>
      <c r="BA16" s="162" t="str" cm="1">
        <f t="array" aca="1" ref="BA16" ca="1">IFERROR(IF(_xlfn.XLOOKUP(AT16,ETANCHEITE!BH$22:BH$92,ETANCHEITE!BF$22:BF$92,"")&lt;&gt;"",_xlfn.XLOOKUP(AT16,ETANCHEITE!BH$22:BH$92,ETANCHEITE!BF$22:BF$92,""),    INDEX(ETANCHEITE!BF:BF,MAX(_xlfn._xlws.FILTER(ROW(ETANCHEITE!BF$22:INDIRECT("'PEINTURE'!O" &amp; AW16-1)),ETANCHEITE!BF$22:INDIRECT("'PEINTURE'!O" &amp; AW16-1)&lt;&gt;"")))),"")</f>
        <v/>
      </c>
      <c r="BB16" s="163" t="str" cm="1">
        <f t="array" aca="1" ref="BB16" ca="1">IFERROR(IF(_xlfn.XLOOKUP(AT16,ETANCHEITE!BH$22:BH$92,ETANCHEITE!BG$22:BG$92,"")&lt;&gt;"",_xlfn.XLOOKUP(AT16,ETANCHEITE!BH$22:BH$92,ETANCHEITE!BG$22:BG$92,""),    INDEX(ETANCHEITE!BG:BG,MAX(_xlfn._xlws.FILTER(ROW(ETANCHEITE!BG$22:INDIRECT("'PEINTURE'!P" &amp; AW16-1)),ETANCHEITE!BG$22:INDIRECT("'PEINTURE'!P" &amp; AW16-1)&lt;&gt;"")))),"")</f>
        <v/>
      </c>
    </row>
    <row r="17" spans="1:54" ht="15" customHeight="1" x14ac:dyDescent="0.3">
      <c r="A17" s="145">
        <v>15</v>
      </c>
      <c r="B17" s="154" t="str">
        <f>IF(F17&lt;&gt;" ",ETANCHEITE!$D$5,"")</f>
        <v/>
      </c>
      <c r="C17" s="154" t="str">
        <f>IF(F17&lt;&gt;" ",ETANCHEITE!$D$8,"")</f>
        <v/>
      </c>
      <c r="D17" s="146" t="str">
        <f>IFERROR(MATCH(A17,ETANCHEITE!O$22:O$167,0)+18,"")</f>
        <v/>
      </c>
      <c r="E17" s="147" t="str" cm="1">
        <f t="array" aca="1" ref="E17" ca="1">IFERROR(IF(_xlfn.XLOOKUP(A17,ETANCHEITE!O$22:O$167,ETANCHEITE!$A$22:$A$167,"")&lt;&gt;"",_xlfn.XLOOKUP(A17,ETANCHEITE!O$22:O$167,ETANCHEITE!$A$22:$A$167,""),    INDEX(ETANCHEITE!$A:$A,MAX(_xlfn._xlws.FILTER(ROW(ETANCHEITE!$A$22:INDIRECT("'MENUISERIES EXTERIEURES'!$A" &amp; D17-1)),ETANCHEITE!$A$22:INDIRECT("'MENUISERIES EXTERIEURES'!$A" &amp; D17-1)&lt;&gt;"")))),"")&amp;"   "&amp;IFERROR(_xlfn.XLOOKUP(A17,ETANCHEITE!O$22:O$167,ETANCHEITE!$B$22:$B$167),"")&amp;IFERROR(_xlfn.XLOOKUP(A17,ETANCHEITE!O$22:O$167,ETANCHEITE!$C$22:$C$167),"")&amp;IFERROR(_xlfn.XLOOKUP(A17,ETANCHEITE!O$22:O$167,ETANCHEITE!$D$22:$D$167),"")&amp;IFERROR(_xlfn.XLOOKUP(A17,ETANCHEITE!O$22:O$167,ETANCHEITE!#REF!),"")&amp;IFERROR(_xlfn.XLOOKUP(A17,ETANCHEITE!O$22:O$167,ETANCHEITE!#REF!),"")</f>
        <v xml:space="preserve">   </v>
      </c>
      <c r="F17" s="155" t="str">
        <f>IFERROR(VLOOKUP(A17,ETANCHEITE!O$22:Q$167,2,FALSE),"")&amp;" "&amp;IFERROR(VLOOKUP(A17,ETANCHEITE!O$22:Q$167,3,FALSE),"")</f>
        <v xml:space="preserve"> </v>
      </c>
      <c r="G17" s="148" t="str">
        <f>IF(F17&lt;&gt;" ",'Feuille de Donnée'!$C$3,"")</f>
        <v/>
      </c>
      <c r="H17" s="162" t="str" cm="1">
        <f t="array" aca="1" ref="H17" ca="1">IFERROR(IF(_xlfn.XLOOKUP(A17,ETANCHEITE!O$22:O$92,ETANCHEITE!M$22:M$92,"")&lt;&gt;"",_xlfn.XLOOKUP(A17,ETANCHEITE!O$22:O$92,ETANCHEITE!M$22:M$92,""),    INDEX(ETANCHEITE!M:M,MAX(_xlfn._xlws.FILTER(ROW(ETANCHEITE!M$22:INDIRECT("'PEINTURE'!O" &amp; D17-1)),ETANCHEITE!M$22:INDIRECT("'PEINTURE'!O" &amp; D17-1)&lt;&gt;"")))),"")</f>
        <v/>
      </c>
      <c r="I17" s="163" t="str" cm="1">
        <f t="array" aca="1" ref="I17" ca="1">IFERROR(IF(_xlfn.XLOOKUP(A17,ETANCHEITE!O$22:O$92,ETANCHEITE!N$22:N$92,"")&lt;&gt;"",_xlfn.XLOOKUP(A17,ETANCHEITE!O$22:O$92,ETANCHEITE!N$22:N$92,""),    INDEX(ETANCHEITE!N:N,MAX(_xlfn._xlws.FILTER(ROW(ETANCHEITE!N$22:INDIRECT("'PEINTURE'!P" &amp; D17-1)),ETANCHEITE!N$22:INDIRECT("'PEINTURE'!P" &amp; D17-1)&lt;&gt;"")))),"")</f>
        <v/>
      </c>
      <c r="J17" s="145">
        <v>15</v>
      </c>
      <c r="K17" s="154" t="str">
        <f>IF(O17&lt;&gt;" ",ETANCHEITE!$D$5,"")</f>
        <v/>
      </c>
      <c r="L17" s="154" t="str">
        <f>IF(O17&lt;&gt;" ",ETANCHEITE!$D$8,"")</f>
        <v/>
      </c>
      <c r="M17" s="146" t="str">
        <f>IFERROR(MATCH(J17,ETANCHEITE!X$22:X$167,0)+18,"")</f>
        <v/>
      </c>
      <c r="N17" s="147" t="str" cm="1">
        <f t="array" aca="1" ref="N17" ca="1">IFERROR(IF(_xlfn.XLOOKUP(J17,ETANCHEITE!X$22:X$167,ETANCHEITE!$A$22:$A$167,"")&lt;&gt;"",_xlfn.XLOOKUP(J17,ETANCHEITE!X$22:X$167,ETANCHEITE!$A$22:$A$167,""),    INDEX(ETANCHEITE!$A:$A,MAX(_xlfn._xlws.FILTER(ROW(ETANCHEITE!$A$22:INDIRECT("'MENUISERIES EXTERIEURES'!$A" &amp; M17-1)),ETANCHEITE!$A$22:INDIRECT("'MENUISERIES EXTERIEURES'!$A" &amp; M17-1)&lt;&gt;"")))),"")&amp;"   "&amp;IFERROR(_xlfn.XLOOKUP(J17,ETANCHEITE!X$22:X$167,ETANCHEITE!$B$22:$B$167),"")&amp;IFERROR(_xlfn.XLOOKUP(J17,ETANCHEITE!X$22:X$167,ETANCHEITE!$C$22:$C$167),"")&amp;IFERROR(_xlfn.XLOOKUP(J17,ETANCHEITE!X$22:X$167,ETANCHEITE!$D$22:$D$167),"")&amp;IFERROR(_xlfn.XLOOKUP(J17,ETANCHEITE!X$22:X$167,ETANCHEITE!#REF!),"")&amp;IFERROR(_xlfn.XLOOKUP(J17,ETANCHEITE!X$22:X$167,ETANCHEITE!#REF!),"")</f>
        <v xml:space="preserve">   </v>
      </c>
      <c r="O17" s="155" t="str">
        <f>IFERROR(VLOOKUP(J17,ETANCHEITE!X$22:Z$167,2,FALSE),"")&amp;" "&amp;IFERROR(VLOOKUP(J17,ETANCHEITE!X$22:Z$167,3,FALSE),"")</f>
        <v xml:space="preserve"> </v>
      </c>
      <c r="P17" s="148" t="str">
        <f>IF(O17&lt;&gt;" ",'Feuille de Donnée'!$C$3,"")</f>
        <v/>
      </c>
      <c r="Q17" s="162" t="str" cm="1">
        <f t="array" aca="1" ref="Q17" ca="1">IFERROR(IF(_xlfn.XLOOKUP(J17,ETANCHEITE!X$22:X$92,ETANCHEITE!V$22:V$92,"")&lt;&gt;"",_xlfn.XLOOKUP(J17,ETANCHEITE!X$22:X$92,ETANCHEITE!V$22:V$92,""),    INDEX(ETANCHEITE!V:V,MAX(_xlfn._xlws.FILTER(ROW(ETANCHEITE!V$22:INDIRECT("'PEINTURE'!O" &amp; M17-1)),ETANCHEITE!V$22:INDIRECT("'PEINTURE'!O" &amp; M17-1)&lt;&gt;"")))),"")</f>
        <v/>
      </c>
      <c r="R17" s="163" t="str" cm="1">
        <f t="array" aca="1" ref="R17" ca="1">IFERROR(IF(_xlfn.XLOOKUP(J17,ETANCHEITE!X$22:X$92,ETANCHEITE!W$22:W$92,"")&lt;&gt;"",_xlfn.XLOOKUP(J17,ETANCHEITE!X$22:X$92,ETANCHEITE!W$22:W$92,""),    INDEX(ETANCHEITE!W:W,MAX(_xlfn._xlws.FILTER(ROW(ETANCHEITE!W$22:INDIRECT("'PEINTURE'!P" &amp; M17-1)),ETANCHEITE!W$22:INDIRECT("'PEINTURE'!P" &amp; M17-1)&lt;&gt;"")))),"")</f>
        <v/>
      </c>
      <c r="S17" s="145">
        <v>15</v>
      </c>
      <c r="T17" s="154" t="str">
        <f>IF(X17&lt;&gt;" ",ETANCHEITE!$D$5,"")</f>
        <v/>
      </c>
      <c r="U17" s="154" t="str">
        <f>IF(X17&lt;&gt;" ",ETANCHEITE!$D$8,"")</f>
        <v/>
      </c>
      <c r="V17" s="146" t="str">
        <f>IFERROR(MATCH(S17,ETANCHEITE!AG$22:AG$167,0)+18,"")</f>
        <v/>
      </c>
      <c r="W17" s="147" t="str" cm="1">
        <f t="array" aca="1" ref="W17" ca="1">IFERROR(IF(_xlfn.XLOOKUP(S17,ETANCHEITE!AG$22:AG$167,ETANCHEITE!$A$22:$A$167,"")&lt;&gt;"",_xlfn.XLOOKUP(S17,ETANCHEITE!AG$22:AG$167,ETANCHEITE!$A$22:$A$167,""),    INDEX(ETANCHEITE!$A:$A,MAX(_xlfn._xlws.FILTER(ROW(ETANCHEITE!$A$22:INDIRECT("'MENUISERIES EXTERIEURES'!$A" &amp; V17-1)),ETANCHEITE!$A$22:INDIRECT("'MENUISERIES EXTERIEURES'!$A" &amp; V17-1)&lt;&gt;"")))),"")&amp;"   "&amp;IFERROR(_xlfn.XLOOKUP(S17,ETANCHEITE!AG$22:AG$167,ETANCHEITE!$B$22:$B$167),"")&amp;IFERROR(_xlfn.XLOOKUP(S17,ETANCHEITE!AG$22:AG$167,ETANCHEITE!$C$22:$C$167),"")&amp;IFERROR(_xlfn.XLOOKUP(S17,ETANCHEITE!AG$22:AG$167,ETANCHEITE!$D$22:$D$167),"")&amp;IFERROR(_xlfn.XLOOKUP(S17,ETANCHEITE!AG$22:AG$167,ETANCHEITE!#REF!),"")&amp;IFERROR(_xlfn.XLOOKUP(S17,ETANCHEITE!AG$22:AG$167,ETANCHEITE!#REF!),"")</f>
        <v xml:space="preserve">   </v>
      </c>
      <c r="X17" s="155" t="str">
        <f>IFERROR(VLOOKUP(S17,ETANCHEITE!AG$22:AI$167,2,FALSE),"")&amp;" "&amp;IFERROR(VLOOKUP(S17,ETANCHEITE!AG$22:AI$167,3,FALSE),"")</f>
        <v xml:space="preserve"> </v>
      </c>
      <c r="Y17" s="148" t="str">
        <f>IF(X17&lt;&gt;" ",'Feuille de Donnée'!$C$3,"")</f>
        <v/>
      </c>
      <c r="Z17" s="162" t="str" cm="1">
        <f t="array" aca="1" ref="Z17" ca="1">IFERROR(IF(_xlfn.XLOOKUP(S17,ETANCHEITE!AG$22:AG$92,ETANCHEITE!AE$22:AE$92,"")&lt;&gt;"",_xlfn.XLOOKUP(S17,ETANCHEITE!AG$22:AG$92,ETANCHEITE!AE$22:AE$92,""),    INDEX(ETANCHEITE!AE:AE,MAX(_xlfn._xlws.FILTER(ROW(ETANCHEITE!AE$22:INDIRECT("'PEINTURE'!O" &amp; V17-1)),ETANCHEITE!AE$22:INDIRECT("'PEINTURE'!O" &amp; V17-1)&lt;&gt;"")))),"")</f>
        <v/>
      </c>
      <c r="AA17" s="163" t="str" cm="1">
        <f t="array" aca="1" ref="AA17" ca="1">IFERROR(IF(_xlfn.XLOOKUP(S17,ETANCHEITE!AG$22:AG$92,ETANCHEITE!AF$22:AF$92,"")&lt;&gt;"",_xlfn.XLOOKUP(S17,ETANCHEITE!AG$22:AG$92,ETANCHEITE!AF$22:AF$92,""),    INDEX(ETANCHEITE!AF:AF,MAX(_xlfn._xlws.FILTER(ROW(ETANCHEITE!AF$22:INDIRECT("'PEINTURE'!P" &amp; V17-1)),ETANCHEITE!AF$22:INDIRECT("'PEINTURE'!P" &amp; V17-1)&lt;&gt;"")))),"")</f>
        <v/>
      </c>
      <c r="AB17" s="145">
        <v>15</v>
      </c>
      <c r="AC17" s="154" t="str">
        <f>IF(AG17&lt;&gt;" ",ETANCHEITE!$D$5,"")</f>
        <v/>
      </c>
      <c r="AD17" s="154" t="str">
        <f>IF(AG17&lt;&gt;" ",ETANCHEITE!$D$8,"")</f>
        <v/>
      </c>
      <c r="AE17" s="146" t="str">
        <f>IFERROR(MATCH(AB17,ETANCHEITE!AP$22:AP$167,0)+18,"")</f>
        <v/>
      </c>
      <c r="AF17" s="147" t="str" cm="1">
        <f t="array" aca="1" ref="AF17" ca="1">IFERROR(IF(_xlfn.XLOOKUP(AB17,ETANCHEITE!AP$22:AP$167,ETANCHEITE!$A$22:$A$167,"")&lt;&gt;"",_xlfn.XLOOKUP(AB17,ETANCHEITE!AP$22:AP$167,ETANCHEITE!$A$22:$A$167,""),    INDEX(ETANCHEITE!$A:$A,MAX(_xlfn._xlws.FILTER(ROW(ETANCHEITE!$A$22:INDIRECT("'MENUISERIES EXTERIEURES'!$A" &amp; AE17-1)),ETANCHEITE!$A$22:INDIRECT("'MENUISERIES EXTERIEURES'!$A" &amp; AE17-1)&lt;&gt;"")))),"")&amp;"   "&amp;IFERROR(_xlfn.XLOOKUP(AB17,ETANCHEITE!AP$22:AP$167,ETANCHEITE!$B$22:$B$167),"")&amp;IFERROR(_xlfn.XLOOKUP(AB17,ETANCHEITE!AP$22:AP$167,ETANCHEITE!$C$22:$C$167),"")&amp;IFERROR(_xlfn.XLOOKUP(AB17,ETANCHEITE!AP$22:AP$167,ETANCHEITE!$D$22:$D$167),"")&amp;IFERROR(_xlfn.XLOOKUP(AB17,ETANCHEITE!AP$22:AP$167,ETANCHEITE!#REF!),"")&amp;IFERROR(_xlfn.XLOOKUP(AB17,ETANCHEITE!AP$22:AP$167,ETANCHEITE!#REF!),"")</f>
        <v xml:space="preserve">   </v>
      </c>
      <c r="AG17" s="155" t="str">
        <f>IFERROR(VLOOKUP(AB17,ETANCHEITE!AP$22:AR$167,2,FALSE),"")&amp;" "&amp;IFERROR(VLOOKUP(AB17,ETANCHEITE!AP$22:AR$167,3,FALSE),"")</f>
        <v xml:space="preserve"> </v>
      </c>
      <c r="AH17" s="148" t="str">
        <f>IF(AG17&lt;&gt;" ",'Feuille de Donnée'!$C$3,"")</f>
        <v/>
      </c>
      <c r="AI17" s="162" t="str" cm="1">
        <f t="array" aca="1" ref="AI17" ca="1">IFERROR(IF(_xlfn.XLOOKUP(AB17,ETANCHEITE!AP$22:AP$92,ETANCHEITE!AN$22:AN$92,"")&lt;&gt;"",_xlfn.XLOOKUP(AB17,ETANCHEITE!AP$22:AP$92,ETANCHEITE!AN$22:AN$92,""),    INDEX(ETANCHEITE!AN:AN,MAX(_xlfn._xlws.FILTER(ROW(ETANCHEITE!AN$22:INDIRECT("'PEINTURE'!O" &amp; AE17-1)),ETANCHEITE!AN$22:INDIRECT("'PEINTURE'!O" &amp; AE17-1)&lt;&gt;"")))),"")</f>
        <v/>
      </c>
      <c r="AJ17" s="163" t="str" cm="1">
        <f t="array" aca="1" ref="AJ17" ca="1">IFERROR(IF(_xlfn.XLOOKUP(AB17,ETANCHEITE!AP$22:AP$92,ETANCHEITE!AO$22:AO$92,"")&lt;&gt;"",_xlfn.XLOOKUP(AB17,ETANCHEITE!AP$22:AP$92,ETANCHEITE!AO$22:AO$92,""),    INDEX(ETANCHEITE!AO:AO,MAX(_xlfn._xlws.FILTER(ROW(ETANCHEITE!AO$22:INDIRECT("'PEINTURE'!P" &amp; AE17-1)),ETANCHEITE!AO$22:INDIRECT("'PEINTURE'!P" &amp; AE17-1)&lt;&gt;"")))),"")</f>
        <v/>
      </c>
      <c r="AK17" s="145">
        <v>15</v>
      </c>
      <c r="AL17" s="154" t="str">
        <f>IF(AP17&lt;&gt;" ",ETANCHEITE!$D$5,"")</f>
        <v/>
      </c>
      <c r="AM17" s="154" t="str">
        <f>IF(AP17&lt;&gt;" ",ETANCHEITE!$D$8,"")</f>
        <v/>
      </c>
      <c r="AN17" s="146" t="str">
        <f>IFERROR(MATCH(AK17,ETANCHEITE!AY$22:AY$167,0)+18,"")</f>
        <v/>
      </c>
      <c r="AO17" s="147" t="str" cm="1">
        <f t="array" aca="1" ref="AO17" ca="1">IFERROR(IF(_xlfn.XLOOKUP(AK17,ETANCHEITE!AY$22:AY$167,ETANCHEITE!$A$22:$A$167,"")&lt;&gt;"",_xlfn.XLOOKUP(AK17,ETANCHEITE!AY$22:AY$167,ETANCHEITE!$A$22:$A$167,""),    INDEX(ETANCHEITE!$A:$A,MAX(_xlfn._xlws.FILTER(ROW(ETANCHEITE!$A$22:INDIRECT("'MENUISERIES EXTERIEURES'!$A" &amp; AN17-1)),ETANCHEITE!$A$22:INDIRECT("'MENUISERIES EXTERIEURES'!$A" &amp; AN17-1)&lt;&gt;"")))),"")&amp;"   "&amp;IFERROR(_xlfn.XLOOKUP(AK17,ETANCHEITE!AY$22:AY$167,ETANCHEITE!$B$22:$B$167),"")&amp;IFERROR(_xlfn.XLOOKUP(AK17,ETANCHEITE!AY$22:AY$167,ETANCHEITE!$C$22:$C$167),"")&amp;IFERROR(_xlfn.XLOOKUP(AK17,ETANCHEITE!AY$22:AY$167,ETANCHEITE!$D$22:$D$167),"")&amp;IFERROR(_xlfn.XLOOKUP(AK17,ETANCHEITE!AY$22:AY$167,ETANCHEITE!#REF!),"")&amp;IFERROR(_xlfn.XLOOKUP(AK17,ETANCHEITE!AY$22:AY$167,ETANCHEITE!#REF!),"")</f>
        <v xml:space="preserve">   </v>
      </c>
      <c r="AP17" s="155" t="str">
        <f>IFERROR(VLOOKUP(AK17,ETANCHEITE!AY$22:BA$167,2,FALSE),"")&amp;" "&amp;IFERROR(VLOOKUP(AK17,ETANCHEITE!AY$22:BA$167,3,FALSE),"")</f>
        <v xml:space="preserve"> </v>
      </c>
      <c r="AQ17" s="148" t="str">
        <f>IF(AP17&lt;&gt;" ",'Feuille de Donnée'!$C$3,"")</f>
        <v/>
      </c>
      <c r="AR17" s="162" t="str" cm="1">
        <f t="array" aca="1" ref="AR17" ca="1">IFERROR(IF(_xlfn.XLOOKUP(AK17,ETANCHEITE!AY$22:AY$92,ETANCHEITE!AW$22:AW$92,"")&lt;&gt;"",_xlfn.XLOOKUP(AK17,ETANCHEITE!AY$22:AY$92,ETANCHEITE!AW$22:AW$92,""),    INDEX(ETANCHEITE!AW:AW,MAX(_xlfn._xlws.FILTER(ROW(ETANCHEITE!AW$22:INDIRECT("'PEINTURE'!O" &amp; AN17-1)),ETANCHEITE!AW$22:INDIRECT("'PEINTURE'!O" &amp; AN17-1)&lt;&gt;"")))),"")</f>
        <v/>
      </c>
      <c r="AS17" s="163" t="str" cm="1">
        <f t="array" aca="1" ref="AS17" ca="1">IFERROR(IF(_xlfn.XLOOKUP(AK17,ETANCHEITE!AY$22:AY$92,ETANCHEITE!AX$22:AX$92,"")&lt;&gt;"",_xlfn.XLOOKUP(AK17,ETANCHEITE!AY$22:AY$92,ETANCHEITE!AX$22:AX$92,""),    INDEX(ETANCHEITE!AX:AX,MAX(_xlfn._xlws.FILTER(ROW(ETANCHEITE!AX$22:INDIRECT("'PEINTURE'!P" &amp; AN17-1)),ETANCHEITE!AX$22:INDIRECT("'PEINTURE'!P" &amp; AN17-1)&lt;&gt;"")))),"")</f>
        <v/>
      </c>
      <c r="AT17" s="145">
        <v>15</v>
      </c>
      <c r="AU17" s="154" t="str">
        <f>IF(AY17&lt;&gt;" ",ETANCHEITE!$D$5,"")</f>
        <v/>
      </c>
      <c r="AV17" s="154" t="str">
        <f>IF(AY17&lt;&gt;" ",ETANCHEITE!$D$8,"")</f>
        <v/>
      </c>
      <c r="AW17" s="146" t="str">
        <f>IFERROR(MATCH(AT17,ETANCHEITE!BH$22:BH$167,0)+18,"")</f>
        <v/>
      </c>
      <c r="AX17" s="147" t="str" cm="1">
        <f t="array" aca="1" ref="AX17" ca="1">IFERROR(IF(_xlfn.XLOOKUP(AT17,ETANCHEITE!BH$22:BH$167,ETANCHEITE!$A$22:$A$167,"")&lt;&gt;"",_xlfn.XLOOKUP(AT17,ETANCHEITE!BH$22:BH$167,ETANCHEITE!$A$22:$A$167,""),    INDEX(ETANCHEITE!$A:$A,MAX(_xlfn._xlws.FILTER(ROW(ETANCHEITE!$A$22:INDIRECT("'MENUISERIES EXTERIEURES'!$A" &amp; AW17-1)),ETANCHEITE!$A$22:INDIRECT("'MENUISERIES EXTERIEURES'!$A" &amp; AW17-1)&lt;&gt;"")))),"")&amp;"   "&amp;IFERROR(_xlfn.XLOOKUP(AT17,ETANCHEITE!BH$22:BH$167,ETANCHEITE!$B$22:$B$167),"")&amp;IFERROR(_xlfn.XLOOKUP(AT17,ETANCHEITE!BH$22:BH$167,ETANCHEITE!$C$22:$C$167),"")&amp;IFERROR(_xlfn.XLOOKUP(AT17,ETANCHEITE!BH$22:BH$167,ETANCHEITE!$D$22:$D$167),"")&amp;IFERROR(_xlfn.XLOOKUP(AT17,ETANCHEITE!BH$22:BH$167,ETANCHEITE!#REF!),"")&amp;IFERROR(_xlfn.XLOOKUP(AT17,ETANCHEITE!BH$22:BH$167,ETANCHEITE!#REF!),"")</f>
        <v xml:space="preserve">   </v>
      </c>
      <c r="AY17" s="155" t="str">
        <f>IFERROR(VLOOKUP(AT17,ETANCHEITE!BH$22:BJ$167,2,FALSE),"")&amp;" "&amp;IFERROR(VLOOKUP(AT17,ETANCHEITE!BH$22:BJ$167,3,FALSE),"")</f>
        <v xml:space="preserve"> </v>
      </c>
      <c r="AZ17" s="148" t="str">
        <f>IF(AY17&lt;&gt;" ",'Feuille de Donnée'!$C$3,"")</f>
        <v/>
      </c>
      <c r="BA17" s="162" t="str" cm="1">
        <f t="array" aca="1" ref="BA17" ca="1">IFERROR(IF(_xlfn.XLOOKUP(AT17,ETANCHEITE!BH$22:BH$92,ETANCHEITE!BF$22:BF$92,"")&lt;&gt;"",_xlfn.XLOOKUP(AT17,ETANCHEITE!BH$22:BH$92,ETANCHEITE!BF$22:BF$92,""),    INDEX(ETANCHEITE!BF:BF,MAX(_xlfn._xlws.FILTER(ROW(ETANCHEITE!BF$22:INDIRECT("'PEINTURE'!O" &amp; AW17-1)),ETANCHEITE!BF$22:INDIRECT("'PEINTURE'!O" &amp; AW17-1)&lt;&gt;"")))),"")</f>
        <v/>
      </c>
      <c r="BB17" s="163" t="str" cm="1">
        <f t="array" aca="1" ref="BB17" ca="1">IFERROR(IF(_xlfn.XLOOKUP(AT17,ETANCHEITE!BH$22:BH$92,ETANCHEITE!BG$22:BG$92,"")&lt;&gt;"",_xlfn.XLOOKUP(AT17,ETANCHEITE!BH$22:BH$92,ETANCHEITE!BG$22:BG$92,""),    INDEX(ETANCHEITE!BG:BG,MAX(_xlfn._xlws.FILTER(ROW(ETANCHEITE!BG$22:INDIRECT("'PEINTURE'!P" &amp; AW17-1)),ETANCHEITE!BG$22:INDIRECT("'PEINTURE'!P" &amp; AW17-1)&lt;&gt;"")))),"")</f>
        <v/>
      </c>
    </row>
    <row r="18" spans="1:54" ht="15" customHeight="1" x14ac:dyDescent="0.3">
      <c r="A18" s="145">
        <v>16</v>
      </c>
      <c r="B18" s="154" t="str">
        <f>IF(F18&lt;&gt;" ",ETANCHEITE!$D$5,"")</f>
        <v/>
      </c>
      <c r="C18" s="154" t="str">
        <f>IF(F18&lt;&gt;" ",ETANCHEITE!$D$8,"")</f>
        <v/>
      </c>
      <c r="D18" s="146" t="str">
        <f>IFERROR(MATCH(A18,ETANCHEITE!O$22:O$167,0)+18,"")</f>
        <v/>
      </c>
      <c r="E18" s="147" t="str" cm="1">
        <f t="array" aca="1" ref="E18" ca="1">IFERROR(IF(_xlfn.XLOOKUP(A18,ETANCHEITE!O$22:O$167,ETANCHEITE!$A$22:$A$167,"")&lt;&gt;"",_xlfn.XLOOKUP(A18,ETANCHEITE!O$22:O$167,ETANCHEITE!$A$22:$A$167,""),    INDEX(ETANCHEITE!$A:$A,MAX(_xlfn._xlws.FILTER(ROW(ETANCHEITE!$A$22:INDIRECT("'MENUISERIES EXTERIEURES'!$A" &amp; D18-1)),ETANCHEITE!$A$22:INDIRECT("'MENUISERIES EXTERIEURES'!$A" &amp; D18-1)&lt;&gt;"")))),"")&amp;"   "&amp;IFERROR(_xlfn.XLOOKUP(A18,ETANCHEITE!O$22:O$167,ETANCHEITE!$B$22:$B$167),"")&amp;IFERROR(_xlfn.XLOOKUP(A18,ETANCHEITE!O$22:O$167,ETANCHEITE!$C$22:$C$167),"")&amp;IFERROR(_xlfn.XLOOKUP(A18,ETANCHEITE!O$22:O$167,ETANCHEITE!$D$22:$D$167),"")&amp;IFERROR(_xlfn.XLOOKUP(A18,ETANCHEITE!O$22:O$167,ETANCHEITE!#REF!),"")&amp;IFERROR(_xlfn.XLOOKUP(A18,ETANCHEITE!O$22:O$167,ETANCHEITE!#REF!),"")</f>
        <v xml:space="preserve">   </v>
      </c>
      <c r="F18" s="155" t="str">
        <f>IFERROR(VLOOKUP(A18,ETANCHEITE!O$22:Q$167,2,FALSE),"")&amp;" "&amp;IFERROR(VLOOKUP(A18,ETANCHEITE!O$22:Q$167,3,FALSE),"")</f>
        <v xml:space="preserve"> </v>
      </c>
      <c r="G18" s="148" t="str">
        <f>IF(F18&lt;&gt;" ",'Feuille de Donnée'!$C$3,"")</f>
        <v/>
      </c>
      <c r="H18" s="162" t="str" cm="1">
        <f t="array" aca="1" ref="H18" ca="1">IFERROR(IF(_xlfn.XLOOKUP(A18,ETANCHEITE!O$22:O$92,ETANCHEITE!M$22:M$92,"")&lt;&gt;"",_xlfn.XLOOKUP(A18,ETANCHEITE!O$22:O$92,ETANCHEITE!M$22:M$92,""),    INDEX(ETANCHEITE!M:M,MAX(_xlfn._xlws.FILTER(ROW(ETANCHEITE!M$22:INDIRECT("'PEINTURE'!O" &amp; D18-1)),ETANCHEITE!M$22:INDIRECT("'PEINTURE'!O" &amp; D18-1)&lt;&gt;"")))),"")</f>
        <v/>
      </c>
      <c r="I18" s="163" t="str" cm="1">
        <f t="array" aca="1" ref="I18" ca="1">IFERROR(IF(_xlfn.XLOOKUP(A18,ETANCHEITE!O$22:O$92,ETANCHEITE!N$22:N$92,"")&lt;&gt;"",_xlfn.XLOOKUP(A18,ETANCHEITE!O$22:O$92,ETANCHEITE!N$22:N$92,""),    INDEX(ETANCHEITE!N:N,MAX(_xlfn._xlws.FILTER(ROW(ETANCHEITE!N$22:INDIRECT("'PEINTURE'!P" &amp; D18-1)),ETANCHEITE!N$22:INDIRECT("'PEINTURE'!P" &amp; D18-1)&lt;&gt;"")))),"")</f>
        <v/>
      </c>
      <c r="J18" s="145">
        <v>16</v>
      </c>
      <c r="K18" s="154" t="str">
        <f>IF(O18&lt;&gt;" ",ETANCHEITE!$D$5,"")</f>
        <v/>
      </c>
      <c r="L18" s="154" t="str">
        <f>IF(O18&lt;&gt;" ",ETANCHEITE!$D$8,"")</f>
        <v/>
      </c>
      <c r="M18" s="146" t="str">
        <f>IFERROR(MATCH(J18,ETANCHEITE!X$22:X$167,0)+18,"")</f>
        <v/>
      </c>
      <c r="N18" s="147" t="str" cm="1">
        <f t="array" aca="1" ref="N18" ca="1">IFERROR(IF(_xlfn.XLOOKUP(J18,ETANCHEITE!X$22:X$167,ETANCHEITE!$A$22:$A$167,"")&lt;&gt;"",_xlfn.XLOOKUP(J18,ETANCHEITE!X$22:X$167,ETANCHEITE!$A$22:$A$167,""),    INDEX(ETANCHEITE!$A:$A,MAX(_xlfn._xlws.FILTER(ROW(ETANCHEITE!$A$22:INDIRECT("'MENUISERIES EXTERIEURES'!$A" &amp; M18-1)),ETANCHEITE!$A$22:INDIRECT("'MENUISERIES EXTERIEURES'!$A" &amp; M18-1)&lt;&gt;"")))),"")&amp;"   "&amp;IFERROR(_xlfn.XLOOKUP(J18,ETANCHEITE!X$22:X$167,ETANCHEITE!$B$22:$B$167),"")&amp;IFERROR(_xlfn.XLOOKUP(J18,ETANCHEITE!X$22:X$167,ETANCHEITE!$C$22:$C$167),"")&amp;IFERROR(_xlfn.XLOOKUP(J18,ETANCHEITE!X$22:X$167,ETANCHEITE!$D$22:$D$167),"")&amp;IFERROR(_xlfn.XLOOKUP(J18,ETANCHEITE!X$22:X$167,ETANCHEITE!#REF!),"")&amp;IFERROR(_xlfn.XLOOKUP(J18,ETANCHEITE!X$22:X$167,ETANCHEITE!#REF!),"")</f>
        <v xml:space="preserve">   </v>
      </c>
      <c r="O18" s="155" t="str">
        <f>IFERROR(VLOOKUP(J18,ETANCHEITE!X$22:Z$167,2,FALSE),"")&amp;" "&amp;IFERROR(VLOOKUP(J18,ETANCHEITE!X$22:Z$167,3,FALSE),"")</f>
        <v xml:space="preserve"> </v>
      </c>
      <c r="P18" s="148" t="str">
        <f>IF(O18&lt;&gt;" ",'Feuille de Donnée'!$C$3,"")</f>
        <v/>
      </c>
      <c r="Q18" s="162" t="str" cm="1">
        <f t="array" aca="1" ref="Q18" ca="1">IFERROR(IF(_xlfn.XLOOKUP(J18,ETANCHEITE!X$22:X$92,ETANCHEITE!V$22:V$92,"")&lt;&gt;"",_xlfn.XLOOKUP(J18,ETANCHEITE!X$22:X$92,ETANCHEITE!V$22:V$92,""),    INDEX(ETANCHEITE!V:V,MAX(_xlfn._xlws.FILTER(ROW(ETANCHEITE!V$22:INDIRECT("'PEINTURE'!O" &amp; M18-1)),ETANCHEITE!V$22:INDIRECT("'PEINTURE'!O" &amp; M18-1)&lt;&gt;"")))),"")</f>
        <v/>
      </c>
      <c r="R18" s="163" t="str" cm="1">
        <f t="array" aca="1" ref="R18" ca="1">IFERROR(IF(_xlfn.XLOOKUP(J18,ETANCHEITE!X$22:X$92,ETANCHEITE!W$22:W$92,"")&lt;&gt;"",_xlfn.XLOOKUP(J18,ETANCHEITE!X$22:X$92,ETANCHEITE!W$22:W$92,""),    INDEX(ETANCHEITE!W:W,MAX(_xlfn._xlws.FILTER(ROW(ETANCHEITE!W$22:INDIRECT("'PEINTURE'!P" &amp; M18-1)),ETANCHEITE!W$22:INDIRECT("'PEINTURE'!P" &amp; M18-1)&lt;&gt;"")))),"")</f>
        <v/>
      </c>
      <c r="S18" s="145">
        <v>16</v>
      </c>
      <c r="T18" s="154" t="str">
        <f>IF(X18&lt;&gt;" ",ETANCHEITE!$D$5,"")</f>
        <v/>
      </c>
      <c r="U18" s="154" t="str">
        <f>IF(X18&lt;&gt;" ",ETANCHEITE!$D$8,"")</f>
        <v/>
      </c>
      <c r="V18" s="146" t="str">
        <f>IFERROR(MATCH(S18,ETANCHEITE!AG$22:AG$167,0)+18,"")</f>
        <v/>
      </c>
      <c r="W18" s="147" t="str" cm="1">
        <f t="array" aca="1" ref="W18" ca="1">IFERROR(IF(_xlfn.XLOOKUP(S18,ETANCHEITE!AG$22:AG$167,ETANCHEITE!$A$22:$A$167,"")&lt;&gt;"",_xlfn.XLOOKUP(S18,ETANCHEITE!AG$22:AG$167,ETANCHEITE!$A$22:$A$167,""),    INDEX(ETANCHEITE!$A:$A,MAX(_xlfn._xlws.FILTER(ROW(ETANCHEITE!$A$22:INDIRECT("'MENUISERIES EXTERIEURES'!$A" &amp; V18-1)),ETANCHEITE!$A$22:INDIRECT("'MENUISERIES EXTERIEURES'!$A" &amp; V18-1)&lt;&gt;"")))),"")&amp;"   "&amp;IFERROR(_xlfn.XLOOKUP(S18,ETANCHEITE!AG$22:AG$167,ETANCHEITE!$B$22:$B$167),"")&amp;IFERROR(_xlfn.XLOOKUP(S18,ETANCHEITE!AG$22:AG$167,ETANCHEITE!$C$22:$C$167),"")&amp;IFERROR(_xlfn.XLOOKUP(S18,ETANCHEITE!AG$22:AG$167,ETANCHEITE!$D$22:$D$167),"")&amp;IFERROR(_xlfn.XLOOKUP(S18,ETANCHEITE!AG$22:AG$167,ETANCHEITE!#REF!),"")&amp;IFERROR(_xlfn.XLOOKUP(S18,ETANCHEITE!AG$22:AG$167,ETANCHEITE!#REF!),"")</f>
        <v xml:space="preserve">   </v>
      </c>
      <c r="X18" s="155" t="str">
        <f>IFERROR(VLOOKUP(S18,ETANCHEITE!AG$22:AI$167,2,FALSE),"")&amp;" "&amp;IFERROR(VLOOKUP(S18,ETANCHEITE!AG$22:AI$167,3,FALSE),"")</f>
        <v xml:space="preserve"> </v>
      </c>
      <c r="Y18" s="148" t="str">
        <f>IF(X18&lt;&gt;" ",'Feuille de Donnée'!$C$3,"")</f>
        <v/>
      </c>
      <c r="Z18" s="162" t="str" cm="1">
        <f t="array" aca="1" ref="Z18" ca="1">IFERROR(IF(_xlfn.XLOOKUP(S18,ETANCHEITE!AG$22:AG$92,ETANCHEITE!AE$22:AE$92,"")&lt;&gt;"",_xlfn.XLOOKUP(S18,ETANCHEITE!AG$22:AG$92,ETANCHEITE!AE$22:AE$92,""),    INDEX(ETANCHEITE!AE:AE,MAX(_xlfn._xlws.FILTER(ROW(ETANCHEITE!AE$22:INDIRECT("'PEINTURE'!O" &amp; V18-1)),ETANCHEITE!AE$22:INDIRECT("'PEINTURE'!O" &amp; V18-1)&lt;&gt;"")))),"")</f>
        <v/>
      </c>
      <c r="AA18" s="163" t="str" cm="1">
        <f t="array" aca="1" ref="AA18" ca="1">IFERROR(IF(_xlfn.XLOOKUP(S18,ETANCHEITE!AG$22:AG$92,ETANCHEITE!AF$22:AF$92,"")&lt;&gt;"",_xlfn.XLOOKUP(S18,ETANCHEITE!AG$22:AG$92,ETANCHEITE!AF$22:AF$92,""),    INDEX(ETANCHEITE!AF:AF,MAX(_xlfn._xlws.FILTER(ROW(ETANCHEITE!AF$22:INDIRECT("'PEINTURE'!P" &amp; V18-1)),ETANCHEITE!AF$22:INDIRECT("'PEINTURE'!P" &amp; V18-1)&lt;&gt;"")))),"")</f>
        <v/>
      </c>
      <c r="AB18" s="145">
        <v>16</v>
      </c>
      <c r="AC18" s="154" t="str">
        <f>IF(AG18&lt;&gt;" ",ETANCHEITE!$D$5,"")</f>
        <v/>
      </c>
      <c r="AD18" s="154" t="str">
        <f>IF(AG18&lt;&gt;" ",ETANCHEITE!$D$8,"")</f>
        <v/>
      </c>
      <c r="AE18" s="146" t="str">
        <f>IFERROR(MATCH(AB18,ETANCHEITE!AP$22:AP$167,0)+18,"")</f>
        <v/>
      </c>
      <c r="AF18" s="147" t="str" cm="1">
        <f t="array" aca="1" ref="AF18" ca="1">IFERROR(IF(_xlfn.XLOOKUP(AB18,ETANCHEITE!AP$22:AP$167,ETANCHEITE!$A$22:$A$167,"")&lt;&gt;"",_xlfn.XLOOKUP(AB18,ETANCHEITE!AP$22:AP$167,ETANCHEITE!$A$22:$A$167,""),    INDEX(ETANCHEITE!$A:$A,MAX(_xlfn._xlws.FILTER(ROW(ETANCHEITE!$A$22:INDIRECT("'MENUISERIES EXTERIEURES'!$A" &amp; AE18-1)),ETANCHEITE!$A$22:INDIRECT("'MENUISERIES EXTERIEURES'!$A" &amp; AE18-1)&lt;&gt;"")))),"")&amp;"   "&amp;IFERROR(_xlfn.XLOOKUP(AB18,ETANCHEITE!AP$22:AP$167,ETANCHEITE!$B$22:$B$167),"")&amp;IFERROR(_xlfn.XLOOKUP(AB18,ETANCHEITE!AP$22:AP$167,ETANCHEITE!$C$22:$C$167),"")&amp;IFERROR(_xlfn.XLOOKUP(AB18,ETANCHEITE!AP$22:AP$167,ETANCHEITE!$D$22:$D$167),"")&amp;IFERROR(_xlfn.XLOOKUP(AB18,ETANCHEITE!AP$22:AP$167,ETANCHEITE!#REF!),"")&amp;IFERROR(_xlfn.XLOOKUP(AB18,ETANCHEITE!AP$22:AP$167,ETANCHEITE!#REF!),"")</f>
        <v xml:space="preserve">   </v>
      </c>
      <c r="AG18" s="155" t="str">
        <f>IFERROR(VLOOKUP(AB18,ETANCHEITE!AP$22:AR$167,2,FALSE),"")&amp;" "&amp;IFERROR(VLOOKUP(AB18,ETANCHEITE!AP$22:AR$167,3,FALSE),"")</f>
        <v xml:space="preserve"> </v>
      </c>
      <c r="AH18" s="148" t="str">
        <f>IF(AG18&lt;&gt;" ",'Feuille de Donnée'!$C$3,"")</f>
        <v/>
      </c>
      <c r="AI18" s="162" t="str" cm="1">
        <f t="array" aca="1" ref="AI18" ca="1">IFERROR(IF(_xlfn.XLOOKUP(AB18,ETANCHEITE!AP$22:AP$92,ETANCHEITE!AN$22:AN$92,"")&lt;&gt;"",_xlfn.XLOOKUP(AB18,ETANCHEITE!AP$22:AP$92,ETANCHEITE!AN$22:AN$92,""),    INDEX(ETANCHEITE!AN:AN,MAX(_xlfn._xlws.FILTER(ROW(ETANCHEITE!AN$22:INDIRECT("'PEINTURE'!O" &amp; AE18-1)),ETANCHEITE!AN$22:INDIRECT("'PEINTURE'!O" &amp; AE18-1)&lt;&gt;"")))),"")</f>
        <v/>
      </c>
      <c r="AJ18" s="163" t="str" cm="1">
        <f t="array" aca="1" ref="AJ18" ca="1">IFERROR(IF(_xlfn.XLOOKUP(AB18,ETANCHEITE!AP$22:AP$92,ETANCHEITE!AO$22:AO$92,"")&lt;&gt;"",_xlfn.XLOOKUP(AB18,ETANCHEITE!AP$22:AP$92,ETANCHEITE!AO$22:AO$92,""),    INDEX(ETANCHEITE!AO:AO,MAX(_xlfn._xlws.FILTER(ROW(ETANCHEITE!AO$22:INDIRECT("'PEINTURE'!P" &amp; AE18-1)),ETANCHEITE!AO$22:INDIRECT("'PEINTURE'!P" &amp; AE18-1)&lt;&gt;"")))),"")</f>
        <v/>
      </c>
      <c r="AK18" s="145">
        <v>16</v>
      </c>
      <c r="AL18" s="154" t="str">
        <f>IF(AP18&lt;&gt;" ",ETANCHEITE!$D$5,"")</f>
        <v/>
      </c>
      <c r="AM18" s="154" t="str">
        <f>IF(AP18&lt;&gt;" ",ETANCHEITE!$D$8,"")</f>
        <v/>
      </c>
      <c r="AN18" s="146" t="str">
        <f>IFERROR(MATCH(AK18,ETANCHEITE!AY$22:AY$167,0)+18,"")</f>
        <v/>
      </c>
      <c r="AO18" s="147" t="str" cm="1">
        <f t="array" aca="1" ref="AO18" ca="1">IFERROR(IF(_xlfn.XLOOKUP(AK18,ETANCHEITE!AY$22:AY$167,ETANCHEITE!$A$22:$A$167,"")&lt;&gt;"",_xlfn.XLOOKUP(AK18,ETANCHEITE!AY$22:AY$167,ETANCHEITE!$A$22:$A$167,""),    INDEX(ETANCHEITE!$A:$A,MAX(_xlfn._xlws.FILTER(ROW(ETANCHEITE!$A$22:INDIRECT("'MENUISERIES EXTERIEURES'!$A" &amp; AN18-1)),ETANCHEITE!$A$22:INDIRECT("'MENUISERIES EXTERIEURES'!$A" &amp; AN18-1)&lt;&gt;"")))),"")&amp;"   "&amp;IFERROR(_xlfn.XLOOKUP(AK18,ETANCHEITE!AY$22:AY$167,ETANCHEITE!$B$22:$B$167),"")&amp;IFERROR(_xlfn.XLOOKUP(AK18,ETANCHEITE!AY$22:AY$167,ETANCHEITE!$C$22:$C$167),"")&amp;IFERROR(_xlfn.XLOOKUP(AK18,ETANCHEITE!AY$22:AY$167,ETANCHEITE!$D$22:$D$167),"")&amp;IFERROR(_xlfn.XLOOKUP(AK18,ETANCHEITE!AY$22:AY$167,ETANCHEITE!#REF!),"")&amp;IFERROR(_xlfn.XLOOKUP(AK18,ETANCHEITE!AY$22:AY$167,ETANCHEITE!#REF!),"")</f>
        <v xml:space="preserve">   </v>
      </c>
      <c r="AP18" s="155" t="str">
        <f>IFERROR(VLOOKUP(AK18,ETANCHEITE!AY$22:BA$167,2,FALSE),"")&amp;" "&amp;IFERROR(VLOOKUP(AK18,ETANCHEITE!AY$22:BA$167,3,FALSE),"")</f>
        <v xml:space="preserve"> </v>
      </c>
      <c r="AQ18" s="148" t="str">
        <f>IF(AP18&lt;&gt;" ",'Feuille de Donnée'!$C$3,"")</f>
        <v/>
      </c>
      <c r="AR18" s="162" t="str" cm="1">
        <f t="array" aca="1" ref="AR18" ca="1">IFERROR(IF(_xlfn.XLOOKUP(AK18,ETANCHEITE!AY$22:AY$92,ETANCHEITE!AW$22:AW$92,"")&lt;&gt;"",_xlfn.XLOOKUP(AK18,ETANCHEITE!AY$22:AY$92,ETANCHEITE!AW$22:AW$92,""),    INDEX(ETANCHEITE!AW:AW,MAX(_xlfn._xlws.FILTER(ROW(ETANCHEITE!AW$22:INDIRECT("'PEINTURE'!O" &amp; AN18-1)),ETANCHEITE!AW$22:INDIRECT("'PEINTURE'!O" &amp; AN18-1)&lt;&gt;"")))),"")</f>
        <v/>
      </c>
      <c r="AS18" s="163" t="str" cm="1">
        <f t="array" aca="1" ref="AS18" ca="1">IFERROR(IF(_xlfn.XLOOKUP(AK18,ETANCHEITE!AY$22:AY$92,ETANCHEITE!AX$22:AX$92,"")&lt;&gt;"",_xlfn.XLOOKUP(AK18,ETANCHEITE!AY$22:AY$92,ETANCHEITE!AX$22:AX$92,""),    INDEX(ETANCHEITE!AX:AX,MAX(_xlfn._xlws.FILTER(ROW(ETANCHEITE!AX$22:INDIRECT("'PEINTURE'!P" &amp; AN18-1)),ETANCHEITE!AX$22:INDIRECT("'PEINTURE'!P" &amp; AN18-1)&lt;&gt;"")))),"")</f>
        <v/>
      </c>
      <c r="AT18" s="145">
        <v>16</v>
      </c>
      <c r="AU18" s="154" t="str">
        <f>IF(AY18&lt;&gt;" ",ETANCHEITE!$D$5,"")</f>
        <v/>
      </c>
      <c r="AV18" s="154" t="str">
        <f>IF(AY18&lt;&gt;" ",ETANCHEITE!$D$8,"")</f>
        <v/>
      </c>
      <c r="AW18" s="146" t="str">
        <f>IFERROR(MATCH(AT18,ETANCHEITE!BH$22:BH$167,0)+18,"")</f>
        <v/>
      </c>
      <c r="AX18" s="147" t="str" cm="1">
        <f t="array" aca="1" ref="AX18" ca="1">IFERROR(IF(_xlfn.XLOOKUP(AT18,ETANCHEITE!BH$22:BH$167,ETANCHEITE!$A$22:$A$167,"")&lt;&gt;"",_xlfn.XLOOKUP(AT18,ETANCHEITE!BH$22:BH$167,ETANCHEITE!$A$22:$A$167,""),    INDEX(ETANCHEITE!$A:$A,MAX(_xlfn._xlws.FILTER(ROW(ETANCHEITE!$A$22:INDIRECT("'MENUISERIES EXTERIEURES'!$A" &amp; AW18-1)),ETANCHEITE!$A$22:INDIRECT("'MENUISERIES EXTERIEURES'!$A" &amp; AW18-1)&lt;&gt;"")))),"")&amp;"   "&amp;IFERROR(_xlfn.XLOOKUP(AT18,ETANCHEITE!BH$22:BH$167,ETANCHEITE!$B$22:$B$167),"")&amp;IFERROR(_xlfn.XLOOKUP(AT18,ETANCHEITE!BH$22:BH$167,ETANCHEITE!$C$22:$C$167),"")&amp;IFERROR(_xlfn.XLOOKUP(AT18,ETANCHEITE!BH$22:BH$167,ETANCHEITE!$D$22:$D$167),"")&amp;IFERROR(_xlfn.XLOOKUP(AT18,ETANCHEITE!BH$22:BH$167,ETANCHEITE!#REF!),"")&amp;IFERROR(_xlfn.XLOOKUP(AT18,ETANCHEITE!BH$22:BH$167,ETANCHEITE!#REF!),"")</f>
        <v xml:space="preserve">   </v>
      </c>
      <c r="AY18" s="155" t="str">
        <f>IFERROR(VLOOKUP(AT18,ETANCHEITE!BH$22:BJ$167,2,FALSE),"")&amp;" "&amp;IFERROR(VLOOKUP(AT18,ETANCHEITE!BH$22:BJ$167,3,FALSE),"")</f>
        <v xml:space="preserve"> </v>
      </c>
      <c r="AZ18" s="148" t="str">
        <f>IF(AY18&lt;&gt;" ",'Feuille de Donnée'!$C$3,"")</f>
        <v/>
      </c>
      <c r="BA18" s="162" t="str" cm="1">
        <f t="array" aca="1" ref="BA18" ca="1">IFERROR(IF(_xlfn.XLOOKUP(AT18,ETANCHEITE!BH$22:BH$92,ETANCHEITE!BF$22:BF$92,"")&lt;&gt;"",_xlfn.XLOOKUP(AT18,ETANCHEITE!BH$22:BH$92,ETANCHEITE!BF$22:BF$92,""),    INDEX(ETANCHEITE!BF:BF,MAX(_xlfn._xlws.FILTER(ROW(ETANCHEITE!BF$22:INDIRECT("'PEINTURE'!O" &amp; AW18-1)),ETANCHEITE!BF$22:INDIRECT("'PEINTURE'!O" &amp; AW18-1)&lt;&gt;"")))),"")</f>
        <v/>
      </c>
      <c r="BB18" s="163" t="str" cm="1">
        <f t="array" aca="1" ref="BB18" ca="1">IFERROR(IF(_xlfn.XLOOKUP(AT18,ETANCHEITE!BH$22:BH$92,ETANCHEITE!BG$22:BG$92,"")&lt;&gt;"",_xlfn.XLOOKUP(AT18,ETANCHEITE!BH$22:BH$92,ETANCHEITE!BG$22:BG$92,""),    INDEX(ETANCHEITE!BG:BG,MAX(_xlfn._xlws.FILTER(ROW(ETANCHEITE!BG$22:INDIRECT("'PEINTURE'!P" &amp; AW18-1)),ETANCHEITE!BG$22:INDIRECT("'PEINTURE'!P" &amp; AW18-1)&lt;&gt;"")))),"")</f>
        <v/>
      </c>
    </row>
    <row r="19" spans="1:54" ht="15" customHeight="1" x14ac:dyDescent="0.3">
      <c r="A19" s="145">
        <v>17</v>
      </c>
      <c r="B19" s="154" t="str">
        <f>IF(F19&lt;&gt;" ",ETANCHEITE!$D$5,"")</f>
        <v/>
      </c>
      <c r="C19" s="154" t="str">
        <f>IF(F19&lt;&gt;" ",ETANCHEITE!$D$8,"")</f>
        <v/>
      </c>
      <c r="D19" s="146" t="str">
        <f>IFERROR(MATCH(A19,ETANCHEITE!O$22:O$167,0)+18,"")</f>
        <v/>
      </c>
      <c r="E19" s="147" t="str" cm="1">
        <f t="array" aca="1" ref="E19" ca="1">IFERROR(IF(_xlfn.XLOOKUP(A19,ETANCHEITE!O$22:O$167,ETANCHEITE!$A$22:$A$167,"")&lt;&gt;"",_xlfn.XLOOKUP(A19,ETANCHEITE!O$22:O$167,ETANCHEITE!$A$22:$A$167,""),    INDEX(ETANCHEITE!$A:$A,MAX(_xlfn._xlws.FILTER(ROW(ETANCHEITE!$A$22:INDIRECT("'MENUISERIES EXTERIEURES'!$A" &amp; D19-1)),ETANCHEITE!$A$22:INDIRECT("'MENUISERIES EXTERIEURES'!$A" &amp; D19-1)&lt;&gt;"")))),"")&amp;"   "&amp;IFERROR(_xlfn.XLOOKUP(A19,ETANCHEITE!O$22:O$167,ETANCHEITE!$B$22:$B$167),"")&amp;IFERROR(_xlfn.XLOOKUP(A19,ETANCHEITE!O$22:O$167,ETANCHEITE!$C$22:$C$167),"")&amp;IFERROR(_xlfn.XLOOKUP(A19,ETANCHEITE!O$22:O$167,ETANCHEITE!$D$22:$D$167),"")&amp;IFERROR(_xlfn.XLOOKUP(A19,ETANCHEITE!O$22:O$167,ETANCHEITE!#REF!),"")&amp;IFERROR(_xlfn.XLOOKUP(A19,ETANCHEITE!O$22:O$167,ETANCHEITE!#REF!),"")</f>
        <v xml:space="preserve">   </v>
      </c>
      <c r="F19" s="155" t="str">
        <f>IFERROR(VLOOKUP(A19,ETANCHEITE!O$22:Q$167,2,FALSE),"")&amp;" "&amp;IFERROR(VLOOKUP(A19,ETANCHEITE!O$22:Q$167,3,FALSE),"")</f>
        <v xml:space="preserve"> </v>
      </c>
      <c r="G19" s="148" t="str">
        <f>IF(F19&lt;&gt;" ",'Feuille de Donnée'!$C$3,"")</f>
        <v/>
      </c>
      <c r="H19" s="162" t="str" cm="1">
        <f t="array" aca="1" ref="H19" ca="1">IFERROR(IF(_xlfn.XLOOKUP(A19,ETANCHEITE!O$22:O$92,ETANCHEITE!M$22:M$92,"")&lt;&gt;"",_xlfn.XLOOKUP(A19,ETANCHEITE!O$22:O$92,ETANCHEITE!M$22:M$92,""),    INDEX(ETANCHEITE!M:M,MAX(_xlfn._xlws.FILTER(ROW(ETANCHEITE!M$22:INDIRECT("'PEINTURE'!O" &amp; D19-1)),ETANCHEITE!M$22:INDIRECT("'PEINTURE'!O" &amp; D19-1)&lt;&gt;"")))),"")</f>
        <v/>
      </c>
      <c r="I19" s="163" t="str" cm="1">
        <f t="array" aca="1" ref="I19" ca="1">IFERROR(IF(_xlfn.XLOOKUP(A19,ETANCHEITE!O$22:O$92,ETANCHEITE!N$22:N$92,"")&lt;&gt;"",_xlfn.XLOOKUP(A19,ETANCHEITE!O$22:O$92,ETANCHEITE!N$22:N$92,""),    INDEX(ETANCHEITE!N:N,MAX(_xlfn._xlws.FILTER(ROW(ETANCHEITE!N$22:INDIRECT("'PEINTURE'!P" &amp; D19-1)),ETANCHEITE!N$22:INDIRECT("'PEINTURE'!P" &amp; D19-1)&lt;&gt;"")))),"")</f>
        <v/>
      </c>
      <c r="J19" s="145">
        <v>17</v>
      </c>
      <c r="K19" s="154" t="str">
        <f>IF(O19&lt;&gt;" ",ETANCHEITE!$D$5,"")</f>
        <v/>
      </c>
      <c r="L19" s="154" t="str">
        <f>IF(O19&lt;&gt;" ",ETANCHEITE!$D$8,"")</f>
        <v/>
      </c>
      <c r="M19" s="146" t="str">
        <f>IFERROR(MATCH(J19,ETANCHEITE!X$22:X$167,0)+18,"")</f>
        <v/>
      </c>
      <c r="N19" s="147" t="str" cm="1">
        <f t="array" aca="1" ref="N19" ca="1">IFERROR(IF(_xlfn.XLOOKUP(J19,ETANCHEITE!X$22:X$167,ETANCHEITE!$A$22:$A$167,"")&lt;&gt;"",_xlfn.XLOOKUP(J19,ETANCHEITE!X$22:X$167,ETANCHEITE!$A$22:$A$167,""),    INDEX(ETANCHEITE!$A:$A,MAX(_xlfn._xlws.FILTER(ROW(ETANCHEITE!$A$22:INDIRECT("'MENUISERIES EXTERIEURES'!$A" &amp; M19-1)),ETANCHEITE!$A$22:INDIRECT("'MENUISERIES EXTERIEURES'!$A" &amp; M19-1)&lt;&gt;"")))),"")&amp;"   "&amp;IFERROR(_xlfn.XLOOKUP(J19,ETANCHEITE!X$22:X$167,ETANCHEITE!$B$22:$B$167),"")&amp;IFERROR(_xlfn.XLOOKUP(J19,ETANCHEITE!X$22:X$167,ETANCHEITE!$C$22:$C$167),"")&amp;IFERROR(_xlfn.XLOOKUP(J19,ETANCHEITE!X$22:X$167,ETANCHEITE!$D$22:$D$167),"")&amp;IFERROR(_xlfn.XLOOKUP(J19,ETANCHEITE!X$22:X$167,ETANCHEITE!#REF!),"")&amp;IFERROR(_xlfn.XLOOKUP(J19,ETANCHEITE!X$22:X$167,ETANCHEITE!#REF!),"")</f>
        <v xml:space="preserve">   </v>
      </c>
      <c r="O19" s="155" t="str">
        <f>IFERROR(VLOOKUP(J19,ETANCHEITE!X$22:Z$167,2,FALSE),"")&amp;" "&amp;IFERROR(VLOOKUP(J19,ETANCHEITE!X$22:Z$167,3,FALSE),"")</f>
        <v xml:space="preserve"> </v>
      </c>
      <c r="P19" s="148" t="str">
        <f>IF(O19&lt;&gt;" ",'Feuille de Donnée'!$C$3,"")</f>
        <v/>
      </c>
      <c r="Q19" s="162" t="str" cm="1">
        <f t="array" aca="1" ref="Q19" ca="1">IFERROR(IF(_xlfn.XLOOKUP(J19,ETANCHEITE!X$22:X$92,ETANCHEITE!V$22:V$92,"")&lt;&gt;"",_xlfn.XLOOKUP(J19,ETANCHEITE!X$22:X$92,ETANCHEITE!V$22:V$92,""),    INDEX(ETANCHEITE!V:V,MAX(_xlfn._xlws.FILTER(ROW(ETANCHEITE!V$22:INDIRECT("'PEINTURE'!O" &amp; M19-1)),ETANCHEITE!V$22:INDIRECT("'PEINTURE'!O" &amp; M19-1)&lt;&gt;"")))),"")</f>
        <v/>
      </c>
      <c r="R19" s="163" t="str" cm="1">
        <f t="array" aca="1" ref="R19" ca="1">IFERROR(IF(_xlfn.XLOOKUP(J19,ETANCHEITE!X$22:X$92,ETANCHEITE!W$22:W$92,"")&lt;&gt;"",_xlfn.XLOOKUP(J19,ETANCHEITE!X$22:X$92,ETANCHEITE!W$22:W$92,""),    INDEX(ETANCHEITE!W:W,MAX(_xlfn._xlws.FILTER(ROW(ETANCHEITE!W$22:INDIRECT("'PEINTURE'!P" &amp; M19-1)),ETANCHEITE!W$22:INDIRECT("'PEINTURE'!P" &amp; M19-1)&lt;&gt;"")))),"")</f>
        <v/>
      </c>
      <c r="S19" s="145">
        <v>17</v>
      </c>
      <c r="T19" s="154" t="str">
        <f>IF(X19&lt;&gt;" ",ETANCHEITE!$D$5,"")</f>
        <v/>
      </c>
      <c r="U19" s="154" t="str">
        <f>IF(X19&lt;&gt;" ",ETANCHEITE!$D$8,"")</f>
        <v/>
      </c>
      <c r="V19" s="146" t="str">
        <f>IFERROR(MATCH(S19,ETANCHEITE!AG$22:AG$167,0)+18,"")</f>
        <v/>
      </c>
      <c r="W19" s="147" t="str" cm="1">
        <f t="array" aca="1" ref="W19" ca="1">IFERROR(IF(_xlfn.XLOOKUP(S19,ETANCHEITE!AG$22:AG$167,ETANCHEITE!$A$22:$A$167,"")&lt;&gt;"",_xlfn.XLOOKUP(S19,ETANCHEITE!AG$22:AG$167,ETANCHEITE!$A$22:$A$167,""),    INDEX(ETANCHEITE!$A:$A,MAX(_xlfn._xlws.FILTER(ROW(ETANCHEITE!$A$22:INDIRECT("'MENUISERIES EXTERIEURES'!$A" &amp; V19-1)),ETANCHEITE!$A$22:INDIRECT("'MENUISERIES EXTERIEURES'!$A" &amp; V19-1)&lt;&gt;"")))),"")&amp;"   "&amp;IFERROR(_xlfn.XLOOKUP(S19,ETANCHEITE!AG$22:AG$167,ETANCHEITE!$B$22:$B$167),"")&amp;IFERROR(_xlfn.XLOOKUP(S19,ETANCHEITE!AG$22:AG$167,ETANCHEITE!$C$22:$C$167),"")&amp;IFERROR(_xlfn.XLOOKUP(S19,ETANCHEITE!AG$22:AG$167,ETANCHEITE!$D$22:$D$167),"")&amp;IFERROR(_xlfn.XLOOKUP(S19,ETANCHEITE!AG$22:AG$167,ETANCHEITE!#REF!),"")&amp;IFERROR(_xlfn.XLOOKUP(S19,ETANCHEITE!AG$22:AG$167,ETANCHEITE!#REF!),"")</f>
        <v xml:space="preserve">   </v>
      </c>
      <c r="X19" s="155" t="str">
        <f>IFERROR(VLOOKUP(S19,ETANCHEITE!AG$22:AI$167,2,FALSE),"")&amp;" "&amp;IFERROR(VLOOKUP(S19,ETANCHEITE!AG$22:AI$167,3,FALSE),"")</f>
        <v xml:space="preserve"> </v>
      </c>
      <c r="Y19" s="148" t="str">
        <f>IF(X19&lt;&gt;" ",'Feuille de Donnée'!$C$3,"")</f>
        <v/>
      </c>
      <c r="Z19" s="162" t="str" cm="1">
        <f t="array" aca="1" ref="Z19" ca="1">IFERROR(IF(_xlfn.XLOOKUP(S19,ETANCHEITE!AG$22:AG$92,ETANCHEITE!AE$22:AE$92,"")&lt;&gt;"",_xlfn.XLOOKUP(S19,ETANCHEITE!AG$22:AG$92,ETANCHEITE!AE$22:AE$92,""),    INDEX(ETANCHEITE!AE:AE,MAX(_xlfn._xlws.FILTER(ROW(ETANCHEITE!AE$22:INDIRECT("'PEINTURE'!O" &amp; V19-1)),ETANCHEITE!AE$22:INDIRECT("'PEINTURE'!O" &amp; V19-1)&lt;&gt;"")))),"")</f>
        <v/>
      </c>
      <c r="AA19" s="163" t="str" cm="1">
        <f t="array" aca="1" ref="AA19" ca="1">IFERROR(IF(_xlfn.XLOOKUP(S19,ETANCHEITE!AG$22:AG$92,ETANCHEITE!AF$22:AF$92,"")&lt;&gt;"",_xlfn.XLOOKUP(S19,ETANCHEITE!AG$22:AG$92,ETANCHEITE!AF$22:AF$92,""),    INDEX(ETANCHEITE!AF:AF,MAX(_xlfn._xlws.FILTER(ROW(ETANCHEITE!AF$22:INDIRECT("'PEINTURE'!P" &amp; V19-1)),ETANCHEITE!AF$22:INDIRECT("'PEINTURE'!P" &amp; V19-1)&lt;&gt;"")))),"")</f>
        <v/>
      </c>
      <c r="AB19" s="145">
        <v>17</v>
      </c>
      <c r="AC19" s="154" t="str">
        <f>IF(AG19&lt;&gt;" ",ETANCHEITE!$D$5,"")</f>
        <v/>
      </c>
      <c r="AD19" s="154" t="str">
        <f>IF(AG19&lt;&gt;" ",ETANCHEITE!$D$8,"")</f>
        <v/>
      </c>
      <c r="AE19" s="146" t="str">
        <f>IFERROR(MATCH(AB19,ETANCHEITE!AP$22:AP$167,0)+18,"")</f>
        <v/>
      </c>
      <c r="AF19" s="147" t="str" cm="1">
        <f t="array" aca="1" ref="AF19" ca="1">IFERROR(IF(_xlfn.XLOOKUP(AB19,ETANCHEITE!AP$22:AP$167,ETANCHEITE!$A$22:$A$167,"")&lt;&gt;"",_xlfn.XLOOKUP(AB19,ETANCHEITE!AP$22:AP$167,ETANCHEITE!$A$22:$A$167,""),    INDEX(ETANCHEITE!$A:$A,MAX(_xlfn._xlws.FILTER(ROW(ETANCHEITE!$A$22:INDIRECT("'MENUISERIES EXTERIEURES'!$A" &amp; AE19-1)),ETANCHEITE!$A$22:INDIRECT("'MENUISERIES EXTERIEURES'!$A" &amp; AE19-1)&lt;&gt;"")))),"")&amp;"   "&amp;IFERROR(_xlfn.XLOOKUP(AB19,ETANCHEITE!AP$22:AP$167,ETANCHEITE!$B$22:$B$167),"")&amp;IFERROR(_xlfn.XLOOKUP(AB19,ETANCHEITE!AP$22:AP$167,ETANCHEITE!$C$22:$C$167),"")&amp;IFERROR(_xlfn.XLOOKUP(AB19,ETANCHEITE!AP$22:AP$167,ETANCHEITE!$D$22:$D$167),"")&amp;IFERROR(_xlfn.XLOOKUP(AB19,ETANCHEITE!AP$22:AP$167,ETANCHEITE!#REF!),"")&amp;IFERROR(_xlfn.XLOOKUP(AB19,ETANCHEITE!AP$22:AP$167,ETANCHEITE!#REF!),"")</f>
        <v xml:space="preserve">   </v>
      </c>
      <c r="AG19" s="155" t="str">
        <f>IFERROR(VLOOKUP(AB19,ETANCHEITE!AP$22:AR$167,2,FALSE),"")&amp;" "&amp;IFERROR(VLOOKUP(AB19,ETANCHEITE!AP$22:AR$167,3,FALSE),"")</f>
        <v xml:space="preserve"> </v>
      </c>
      <c r="AH19" s="148" t="str">
        <f>IF(AG19&lt;&gt;" ",'Feuille de Donnée'!$C$3,"")</f>
        <v/>
      </c>
      <c r="AI19" s="162" t="str" cm="1">
        <f t="array" aca="1" ref="AI19" ca="1">IFERROR(IF(_xlfn.XLOOKUP(AB19,ETANCHEITE!AP$22:AP$92,ETANCHEITE!AN$22:AN$92,"")&lt;&gt;"",_xlfn.XLOOKUP(AB19,ETANCHEITE!AP$22:AP$92,ETANCHEITE!AN$22:AN$92,""),    INDEX(ETANCHEITE!AN:AN,MAX(_xlfn._xlws.FILTER(ROW(ETANCHEITE!AN$22:INDIRECT("'PEINTURE'!O" &amp; AE19-1)),ETANCHEITE!AN$22:INDIRECT("'PEINTURE'!O" &amp; AE19-1)&lt;&gt;"")))),"")</f>
        <v/>
      </c>
      <c r="AJ19" s="163" t="str" cm="1">
        <f t="array" aca="1" ref="AJ19" ca="1">IFERROR(IF(_xlfn.XLOOKUP(AB19,ETANCHEITE!AP$22:AP$92,ETANCHEITE!AO$22:AO$92,"")&lt;&gt;"",_xlfn.XLOOKUP(AB19,ETANCHEITE!AP$22:AP$92,ETANCHEITE!AO$22:AO$92,""),    INDEX(ETANCHEITE!AO:AO,MAX(_xlfn._xlws.FILTER(ROW(ETANCHEITE!AO$22:INDIRECT("'PEINTURE'!P" &amp; AE19-1)),ETANCHEITE!AO$22:INDIRECT("'PEINTURE'!P" &amp; AE19-1)&lt;&gt;"")))),"")</f>
        <v/>
      </c>
      <c r="AK19" s="145">
        <v>17</v>
      </c>
      <c r="AL19" s="154" t="str">
        <f>IF(AP19&lt;&gt;" ",ETANCHEITE!$D$5,"")</f>
        <v/>
      </c>
      <c r="AM19" s="154" t="str">
        <f>IF(AP19&lt;&gt;" ",ETANCHEITE!$D$8,"")</f>
        <v/>
      </c>
      <c r="AN19" s="146" t="str">
        <f>IFERROR(MATCH(AK19,ETANCHEITE!AY$22:AY$167,0)+18,"")</f>
        <v/>
      </c>
      <c r="AO19" s="147" t="str" cm="1">
        <f t="array" aca="1" ref="AO19" ca="1">IFERROR(IF(_xlfn.XLOOKUP(AK19,ETANCHEITE!AY$22:AY$167,ETANCHEITE!$A$22:$A$167,"")&lt;&gt;"",_xlfn.XLOOKUP(AK19,ETANCHEITE!AY$22:AY$167,ETANCHEITE!$A$22:$A$167,""),    INDEX(ETANCHEITE!$A:$A,MAX(_xlfn._xlws.FILTER(ROW(ETANCHEITE!$A$22:INDIRECT("'MENUISERIES EXTERIEURES'!$A" &amp; AN19-1)),ETANCHEITE!$A$22:INDIRECT("'MENUISERIES EXTERIEURES'!$A" &amp; AN19-1)&lt;&gt;"")))),"")&amp;"   "&amp;IFERROR(_xlfn.XLOOKUP(AK19,ETANCHEITE!AY$22:AY$167,ETANCHEITE!$B$22:$B$167),"")&amp;IFERROR(_xlfn.XLOOKUP(AK19,ETANCHEITE!AY$22:AY$167,ETANCHEITE!$C$22:$C$167),"")&amp;IFERROR(_xlfn.XLOOKUP(AK19,ETANCHEITE!AY$22:AY$167,ETANCHEITE!$D$22:$D$167),"")&amp;IFERROR(_xlfn.XLOOKUP(AK19,ETANCHEITE!AY$22:AY$167,ETANCHEITE!#REF!),"")&amp;IFERROR(_xlfn.XLOOKUP(AK19,ETANCHEITE!AY$22:AY$167,ETANCHEITE!#REF!),"")</f>
        <v xml:space="preserve">   </v>
      </c>
      <c r="AP19" s="155" t="str">
        <f>IFERROR(VLOOKUP(AK19,ETANCHEITE!AY$22:BA$167,2,FALSE),"")&amp;" "&amp;IFERROR(VLOOKUP(AK19,ETANCHEITE!AY$22:BA$167,3,FALSE),"")</f>
        <v xml:space="preserve"> </v>
      </c>
      <c r="AQ19" s="148" t="str">
        <f>IF(AP19&lt;&gt;" ",'Feuille de Donnée'!$C$3,"")</f>
        <v/>
      </c>
      <c r="AR19" s="162" t="str" cm="1">
        <f t="array" aca="1" ref="AR19" ca="1">IFERROR(IF(_xlfn.XLOOKUP(AK19,ETANCHEITE!AY$22:AY$92,ETANCHEITE!AW$22:AW$92,"")&lt;&gt;"",_xlfn.XLOOKUP(AK19,ETANCHEITE!AY$22:AY$92,ETANCHEITE!AW$22:AW$92,""),    INDEX(ETANCHEITE!AW:AW,MAX(_xlfn._xlws.FILTER(ROW(ETANCHEITE!AW$22:INDIRECT("'PEINTURE'!O" &amp; AN19-1)),ETANCHEITE!AW$22:INDIRECT("'PEINTURE'!O" &amp; AN19-1)&lt;&gt;"")))),"")</f>
        <v/>
      </c>
      <c r="AS19" s="163" t="str" cm="1">
        <f t="array" aca="1" ref="AS19" ca="1">IFERROR(IF(_xlfn.XLOOKUP(AK19,ETANCHEITE!AY$22:AY$92,ETANCHEITE!AX$22:AX$92,"")&lt;&gt;"",_xlfn.XLOOKUP(AK19,ETANCHEITE!AY$22:AY$92,ETANCHEITE!AX$22:AX$92,""),    INDEX(ETANCHEITE!AX:AX,MAX(_xlfn._xlws.FILTER(ROW(ETANCHEITE!AX$22:INDIRECT("'PEINTURE'!P" &amp; AN19-1)),ETANCHEITE!AX$22:INDIRECT("'PEINTURE'!P" &amp; AN19-1)&lt;&gt;"")))),"")</f>
        <v/>
      </c>
      <c r="AT19" s="145">
        <v>17</v>
      </c>
      <c r="AU19" s="154" t="str">
        <f>IF(AY19&lt;&gt;" ",ETANCHEITE!$D$5,"")</f>
        <v/>
      </c>
      <c r="AV19" s="154" t="str">
        <f>IF(AY19&lt;&gt;" ",ETANCHEITE!$D$8,"")</f>
        <v/>
      </c>
      <c r="AW19" s="146" t="str">
        <f>IFERROR(MATCH(AT19,ETANCHEITE!BH$22:BH$167,0)+18,"")</f>
        <v/>
      </c>
      <c r="AX19" s="147" t="str" cm="1">
        <f t="array" aca="1" ref="AX19" ca="1">IFERROR(IF(_xlfn.XLOOKUP(AT19,ETANCHEITE!BH$22:BH$167,ETANCHEITE!$A$22:$A$167,"")&lt;&gt;"",_xlfn.XLOOKUP(AT19,ETANCHEITE!BH$22:BH$167,ETANCHEITE!$A$22:$A$167,""),    INDEX(ETANCHEITE!$A:$A,MAX(_xlfn._xlws.FILTER(ROW(ETANCHEITE!$A$22:INDIRECT("'MENUISERIES EXTERIEURES'!$A" &amp; AW19-1)),ETANCHEITE!$A$22:INDIRECT("'MENUISERIES EXTERIEURES'!$A" &amp; AW19-1)&lt;&gt;"")))),"")&amp;"   "&amp;IFERROR(_xlfn.XLOOKUP(AT19,ETANCHEITE!BH$22:BH$167,ETANCHEITE!$B$22:$B$167),"")&amp;IFERROR(_xlfn.XLOOKUP(AT19,ETANCHEITE!BH$22:BH$167,ETANCHEITE!$C$22:$C$167),"")&amp;IFERROR(_xlfn.XLOOKUP(AT19,ETANCHEITE!BH$22:BH$167,ETANCHEITE!$D$22:$D$167),"")&amp;IFERROR(_xlfn.XLOOKUP(AT19,ETANCHEITE!BH$22:BH$167,ETANCHEITE!#REF!),"")&amp;IFERROR(_xlfn.XLOOKUP(AT19,ETANCHEITE!BH$22:BH$167,ETANCHEITE!#REF!),"")</f>
        <v xml:space="preserve">   </v>
      </c>
      <c r="AY19" s="155" t="str">
        <f>IFERROR(VLOOKUP(AT19,ETANCHEITE!BH$22:BJ$167,2,FALSE),"")&amp;" "&amp;IFERROR(VLOOKUP(AT19,ETANCHEITE!BH$22:BJ$167,3,FALSE),"")</f>
        <v xml:space="preserve"> </v>
      </c>
      <c r="AZ19" s="148" t="str">
        <f>IF(AY19&lt;&gt;" ",'Feuille de Donnée'!$C$3,"")</f>
        <v/>
      </c>
      <c r="BA19" s="162" t="str" cm="1">
        <f t="array" aca="1" ref="BA19" ca="1">IFERROR(IF(_xlfn.XLOOKUP(AT19,ETANCHEITE!BH$22:BH$92,ETANCHEITE!BF$22:BF$92,"")&lt;&gt;"",_xlfn.XLOOKUP(AT19,ETANCHEITE!BH$22:BH$92,ETANCHEITE!BF$22:BF$92,""),    INDEX(ETANCHEITE!BF:BF,MAX(_xlfn._xlws.FILTER(ROW(ETANCHEITE!BF$22:INDIRECT("'PEINTURE'!O" &amp; AW19-1)),ETANCHEITE!BF$22:INDIRECT("'PEINTURE'!O" &amp; AW19-1)&lt;&gt;"")))),"")</f>
        <v/>
      </c>
      <c r="BB19" s="163" t="str" cm="1">
        <f t="array" aca="1" ref="BB19" ca="1">IFERROR(IF(_xlfn.XLOOKUP(AT19,ETANCHEITE!BH$22:BH$92,ETANCHEITE!BG$22:BG$92,"")&lt;&gt;"",_xlfn.XLOOKUP(AT19,ETANCHEITE!BH$22:BH$92,ETANCHEITE!BG$22:BG$92,""),    INDEX(ETANCHEITE!BG:BG,MAX(_xlfn._xlws.FILTER(ROW(ETANCHEITE!BG$22:INDIRECT("'PEINTURE'!P" &amp; AW19-1)),ETANCHEITE!BG$22:INDIRECT("'PEINTURE'!P" &amp; AW19-1)&lt;&gt;"")))),"")</f>
        <v/>
      </c>
    </row>
    <row r="20" spans="1:54" ht="15" customHeight="1" x14ac:dyDescent="0.3">
      <c r="A20" s="145">
        <v>18</v>
      </c>
      <c r="B20" s="154" t="str">
        <f>IF(F20&lt;&gt;" ",ETANCHEITE!$D$5,"")</f>
        <v/>
      </c>
      <c r="C20" s="154" t="str">
        <f>IF(F20&lt;&gt;" ",ETANCHEITE!$D$8,"")</f>
        <v/>
      </c>
      <c r="D20" s="146" t="str">
        <f>IFERROR(MATCH(A20,ETANCHEITE!O$22:O$167,0)+18,"")</f>
        <v/>
      </c>
      <c r="E20" s="147" t="str" cm="1">
        <f t="array" aca="1" ref="E20" ca="1">IFERROR(IF(_xlfn.XLOOKUP(A20,ETANCHEITE!O$22:O$167,ETANCHEITE!$A$22:$A$167,"")&lt;&gt;"",_xlfn.XLOOKUP(A20,ETANCHEITE!O$22:O$167,ETANCHEITE!$A$22:$A$167,""),    INDEX(ETANCHEITE!$A:$A,MAX(_xlfn._xlws.FILTER(ROW(ETANCHEITE!$A$22:INDIRECT("'MENUISERIES EXTERIEURES'!$A" &amp; D20-1)),ETANCHEITE!$A$22:INDIRECT("'MENUISERIES EXTERIEURES'!$A" &amp; D20-1)&lt;&gt;"")))),"")&amp;"   "&amp;IFERROR(_xlfn.XLOOKUP(A20,ETANCHEITE!O$22:O$167,ETANCHEITE!$B$22:$B$167),"")&amp;IFERROR(_xlfn.XLOOKUP(A20,ETANCHEITE!O$22:O$167,ETANCHEITE!$C$22:$C$167),"")&amp;IFERROR(_xlfn.XLOOKUP(A20,ETANCHEITE!O$22:O$167,ETANCHEITE!$D$22:$D$167),"")&amp;IFERROR(_xlfn.XLOOKUP(A20,ETANCHEITE!O$22:O$167,ETANCHEITE!#REF!),"")&amp;IFERROR(_xlfn.XLOOKUP(A20,ETANCHEITE!O$22:O$167,ETANCHEITE!#REF!),"")</f>
        <v xml:space="preserve">   </v>
      </c>
      <c r="F20" s="155" t="str">
        <f>IFERROR(VLOOKUP(A20,ETANCHEITE!O$22:Q$167,2,FALSE),"")&amp;" "&amp;IFERROR(VLOOKUP(A20,ETANCHEITE!O$22:Q$167,3,FALSE),"")</f>
        <v xml:space="preserve"> </v>
      </c>
      <c r="G20" s="148" t="str">
        <f>IF(F20&lt;&gt;" ",'Feuille de Donnée'!$C$3,"")</f>
        <v/>
      </c>
      <c r="H20" s="162" t="str" cm="1">
        <f t="array" aca="1" ref="H20" ca="1">IFERROR(IF(_xlfn.XLOOKUP(A20,ETANCHEITE!O$22:O$92,ETANCHEITE!M$22:M$92,"")&lt;&gt;"",_xlfn.XLOOKUP(A20,ETANCHEITE!O$22:O$92,ETANCHEITE!M$22:M$92,""),    INDEX(ETANCHEITE!M:M,MAX(_xlfn._xlws.FILTER(ROW(ETANCHEITE!M$22:INDIRECT("'PEINTURE'!O" &amp; D20-1)),ETANCHEITE!M$22:INDIRECT("'PEINTURE'!O" &amp; D20-1)&lt;&gt;"")))),"")</f>
        <v/>
      </c>
      <c r="I20" s="163" t="str" cm="1">
        <f t="array" aca="1" ref="I20" ca="1">IFERROR(IF(_xlfn.XLOOKUP(A20,ETANCHEITE!O$22:O$92,ETANCHEITE!N$22:N$92,"")&lt;&gt;"",_xlfn.XLOOKUP(A20,ETANCHEITE!O$22:O$92,ETANCHEITE!N$22:N$92,""),    INDEX(ETANCHEITE!N:N,MAX(_xlfn._xlws.FILTER(ROW(ETANCHEITE!N$22:INDIRECT("'PEINTURE'!P" &amp; D20-1)),ETANCHEITE!N$22:INDIRECT("'PEINTURE'!P" &amp; D20-1)&lt;&gt;"")))),"")</f>
        <v/>
      </c>
      <c r="J20" s="145">
        <v>18</v>
      </c>
      <c r="K20" s="154" t="str">
        <f>IF(O20&lt;&gt;" ",ETANCHEITE!$D$5,"")</f>
        <v/>
      </c>
      <c r="L20" s="154" t="str">
        <f>IF(O20&lt;&gt;" ",ETANCHEITE!$D$8,"")</f>
        <v/>
      </c>
      <c r="M20" s="146" t="str">
        <f>IFERROR(MATCH(J20,ETANCHEITE!X$22:X$167,0)+18,"")</f>
        <v/>
      </c>
      <c r="N20" s="147" t="str" cm="1">
        <f t="array" aca="1" ref="N20" ca="1">IFERROR(IF(_xlfn.XLOOKUP(J20,ETANCHEITE!X$22:X$167,ETANCHEITE!$A$22:$A$167,"")&lt;&gt;"",_xlfn.XLOOKUP(J20,ETANCHEITE!X$22:X$167,ETANCHEITE!$A$22:$A$167,""),    INDEX(ETANCHEITE!$A:$A,MAX(_xlfn._xlws.FILTER(ROW(ETANCHEITE!$A$22:INDIRECT("'MENUISERIES EXTERIEURES'!$A" &amp; M20-1)),ETANCHEITE!$A$22:INDIRECT("'MENUISERIES EXTERIEURES'!$A" &amp; M20-1)&lt;&gt;"")))),"")&amp;"   "&amp;IFERROR(_xlfn.XLOOKUP(J20,ETANCHEITE!X$22:X$167,ETANCHEITE!$B$22:$B$167),"")&amp;IFERROR(_xlfn.XLOOKUP(J20,ETANCHEITE!X$22:X$167,ETANCHEITE!$C$22:$C$167),"")&amp;IFERROR(_xlfn.XLOOKUP(J20,ETANCHEITE!X$22:X$167,ETANCHEITE!$D$22:$D$167),"")&amp;IFERROR(_xlfn.XLOOKUP(J20,ETANCHEITE!X$22:X$167,ETANCHEITE!#REF!),"")&amp;IFERROR(_xlfn.XLOOKUP(J20,ETANCHEITE!X$22:X$167,ETANCHEITE!#REF!),"")</f>
        <v xml:space="preserve">   </v>
      </c>
      <c r="O20" s="155" t="str">
        <f>IFERROR(VLOOKUP(J20,ETANCHEITE!X$22:Z$167,2,FALSE),"")&amp;" "&amp;IFERROR(VLOOKUP(J20,ETANCHEITE!X$22:Z$167,3,FALSE),"")</f>
        <v xml:space="preserve"> </v>
      </c>
      <c r="P20" s="148" t="str">
        <f>IF(O20&lt;&gt;" ",'Feuille de Donnée'!$C$3,"")</f>
        <v/>
      </c>
      <c r="Q20" s="162" t="str" cm="1">
        <f t="array" aca="1" ref="Q20" ca="1">IFERROR(IF(_xlfn.XLOOKUP(J20,ETANCHEITE!X$22:X$92,ETANCHEITE!V$22:V$92,"")&lt;&gt;"",_xlfn.XLOOKUP(J20,ETANCHEITE!X$22:X$92,ETANCHEITE!V$22:V$92,""),    INDEX(ETANCHEITE!V:V,MAX(_xlfn._xlws.FILTER(ROW(ETANCHEITE!V$22:INDIRECT("'PEINTURE'!O" &amp; M20-1)),ETANCHEITE!V$22:INDIRECT("'PEINTURE'!O" &amp; M20-1)&lt;&gt;"")))),"")</f>
        <v/>
      </c>
      <c r="R20" s="163" t="str" cm="1">
        <f t="array" aca="1" ref="R20" ca="1">IFERROR(IF(_xlfn.XLOOKUP(J20,ETANCHEITE!X$22:X$92,ETANCHEITE!W$22:W$92,"")&lt;&gt;"",_xlfn.XLOOKUP(J20,ETANCHEITE!X$22:X$92,ETANCHEITE!W$22:W$92,""),    INDEX(ETANCHEITE!W:W,MAX(_xlfn._xlws.FILTER(ROW(ETANCHEITE!W$22:INDIRECT("'PEINTURE'!P" &amp; M20-1)),ETANCHEITE!W$22:INDIRECT("'PEINTURE'!P" &amp; M20-1)&lt;&gt;"")))),"")</f>
        <v/>
      </c>
      <c r="S20" s="145">
        <v>18</v>
      </c>
      <c r="T20" s="154" t="str">
        <f>IF(X20&lt;&gt;" ",ETANCHEITE!$D$5,"")</f>
        <v/>
      </c>
      <c r="U20" s="154" t="str">
        <f>IF(X20&lt;&gt;" ",ETANCHEITE!$D$8,"")</f>
        <v/>
      </c>
      <c r="V20" s="146" t="str">
        <f>IFERROR(MATCH(S20,ETANCHEITE!AG$22:AG$167,0)+18,"")</f>
        <v/>
      </c>
      <c r="W20" s="147" t="str" cm="1">
        <f t="array" aca="1" ref="W20" ca="1">IFERROR(IF(_xlfn.XLOOKUP(S20,ETANCHEITE!AG$22:AG$167,ETANCHEITE!$A$22:$A$167,"")&lt;&gt;"",_xlfn.XLOOKUP(S20,ETANCHEITE!AG$22:AG$167,ETANCHEITE!$A$22:$A$167,""),    INDEX(ETANCHEITE!$A:$A,MAX(_xlfn._xlws.FILTER(ROW(ETANCHEITE!$A$22:INDIRECT("'MENUISERIES EXTERIEURES'!$A" &amp; V20-1)),ETANCHEITE!$A$22:INDIRECT("'MENUISERIES EXTERIEURES'!$A" &amp; V20-1)&lt;&gt;"")))),"")&amp;"   "&amp;IFERROR(_xlfn.XLOOKUP(S20,ETANCHEITE!AG$22:AG$167,ETANCHEITE!$B$22:$B$167),"")&amp;IFERROR(_xlfn.XLOOKUP(S20,ETANCHEITE!AG$22:AG$167,ETANCHEITE!$C$22:$C$167),"")&amp;IFERROR(_xlfn.XLOOKUP(S20,ETANCHEITE!AG$22:AG$167,ETANCHEITE!$D$22:$D$167),"")&amp;IFERROR(_xlfn.XLOOKUP(S20,ETANCHEITE!AG$22:AG$167,ETANCHEITE!#REF!),"")&amp;IFERROR(_xlfn.XLOOKUP(S20,ETANCHEITE!AG$22:AG$167,ETANCHEITE!#REF!),"")</f>
        <v xml:space="preserve">   </v>
      </c>
      <c r="X20" s="155" t="str">
        <f>IFERROR(VLOOKUP(S20,ETANCHEITE!AG$22:AI$167,2,FALSE),"")&amp;" "&amp;IFERROR(VLOOKUP(S20,ETANCHEITE!AG$22:AI$167,3,FALSE),"")</f>
        <v xml:space="preserve"> </v>
      </c>
      <c r="Y20" s="148" t="str">
        <f>IF(X20&lt;&gt;" ",'Feuille de Donnée'!$C$3,"")</f>
        <v/>
      </c>
      <c r="Z20" s="162" t="str" cm="1">
        <f t="array" aca="1" ref="Z20" ca="1">IFERROR(IF(_xlfn.XLOOKUP(S20,ETANCHEITE!AG$22:AG$92,ETANCHEITE!AE$22:AE$92,"")&lt;&gt;"",_xlfn.XLOOKUP(S20,ETANCHEITE!AG$22:AG$92,ETANCHEITE!AE$22:AE$92,""),    INDEX(ETANCHEITE!AE:AE,MAX(_xlfn._xlws.FILTER(ROW(ETANCHEITE!AE$22:INDIRECT("'PEINTURE'!O" &amp; V20-1)),ETANCHEITE!AE$22:INDIRECT("'PEINTURE'!O" &amp; V20-1)&lt;&gt;"")))),"")</f>
        <v/>
      </c>
      <c r="AA20" s="163" t="str" cm="1">
        <f t="array" aca="1" ref="AA20" ca="1">IFERROR(IF(_xlfn.XLOOKUP(S20,ETANCHEITE!AG$22:AG$92,ETANCHEITE!AF$22:AF$92,"")&lt;&gt;"",_xlfn.XLOOKUP(S20,ETANCHEITE!AG$22:AG$92,ETANCHEITE!AF$22:AF$92,""),    INDEX(ETANCHEITE!AF:AF,MAX(_xlfn._xlws.FILTER(ROW(ETANCHEITE!AF$22:INDIRECT("'PEINTURE'!P" &amp; V20-1)),ETANCHEITE!AF$22:INDIRECT("'PEINTURE'!P" &amp; V20-1)&lt;&gt;"")))),"")</f>
        <v/>
      </c>
      <c r="AB20" s="145">
        <v>18</v>
      </c>
      <c r="AC20" s="154" t="str">
        <f>IF(AG20&lt;&gt;" ",ETANCHEITE!$D$5,"")</f>
        <v/>
      </c>
      <c r="AD20" s="154" t="str">
        <f>IF(AG20&lt;&gt;" ",ETANCHEITE!$D$8,"")</f>
        <v/>
      </c>
      <c r="AE20" s="146" t="str">
        <f>IFERROR(MATCH(AB20,ETANCHEITE!AP$22:AP$167,0)+18,"")</f>
        <v/>
      </c>
      <c r="AF20" s="147" t="str" cm="1">
        <f t="array" aca="1" ref="AF20" ca="1">IFERROR(IF(_xlfn.XLOOKUP(AB20,ETANCHEITE!AP$22:AP$167,ETANCHEITE!$A$22:$A$167,"")&lt;&gt;"",_xlfn.XLOOKUP(AB20,ETANCHEITE!AP$22:AP$167,ETANCHEITE!$A$22:$A$167,""),    INDEX(ETANCHEITE!$A:$A,MAX(_xlfn._xlws.FILTER(ROW(ETANCHEITE!$A$22:INDIRECT("'MENUISERIES EXTERIEURES'!$A" &amp; AE20-1)),ETANCHEITE!$A$22:INDIRECT("'MENUISERIES EXTERIEURES'!$A" &amp; AE20-1)&lt;&gt;"")))),"")&amp;"   "&amp;IFERROR(_xlfn.XLOOKUP(AB20,ETANCHEITE!AP$22:AP$167,ETANCHEITE!$B$22:$B$167),"")&amp;IFERROR(_xlfn.XLOOKUP(AB20,ETANCHEITE!AP$22:AP$167,ETANCHEITE!$C$22:$C$167),"")&amp;IFERROR(_xlfn.XLOOKUP(AB20,ETANCHEITE!AP$22:AP$167,ETANCHEITE!$D$22:$D$167),"")&amp;IFERROR(_xlfn.XLOOKUP(AB20,ETANCHEITE!AP$22:AP$167,ETANCHEITE!#REF!),"")&amp;IFERROR(_xlfn.XLOOKUP(AB20,ETANCHEITE!AP$22:AP$167,ETANCHEITE!#REF!),"")</f>
        <v xml:space="preserve">   </v>
      </c>
      <c r="AG20" s="155" t="str">
        <f>IFERROR(VLOOKUP(AB20,ETANCHEITE!AP$22:AR$167,2,FALSE),"")&amp;" "&amp;IFERROR(VLOOKUP(AB20,ETANCHEITE!AP$22:AR$167,3,FALSE),"")</f>
        <v xml:space="preserve"> </v>
      </c>
      <c r="AH20" s="148" t="str">
        <f>IF(AG20&lt;&gt;" ",'Feuille de Donnée'!$C$3,"")</f>
        <v/>
      </c>
      <c r="AI20" s="162" t="str" cm="1">
        <f t="array" aca="1" ref="AI20" ca="1">IFERROR(IF(_xlfn.XLOOKUP(AB20,ETANCHEITE!AP$22:AP$92,ETANCHEITE!AN$22:AN$92,"")&lt;&gt;"",_xlfn.XLOOKUP(AB20,ETANCHEITE!AP$22:AP$92,ETANCHEITE!AN$22:AN$92,""),    INDEX(ETANCHEITE!AN:AN,MAX(_xlfn._xlws.FILTER(ROW(ETANCHEITE!AN$22:INDIRECT("'PEINTURE'!O" &amp; AE20-1)),ETANCHEITE!AN$22:INDIRECT("'PEINTURE'!O" &amp; AE20-1)&lt;&gt;"")))),"")</f>
        <v/>
      </c>
      <c r="AJ20" s="163" t="str" cm="1">
        <f t="array" aca="1" ref="AJ20" ca="1">IFERROR(IF(_xlfn.XLOOKUP(AB20,ETANCHEITE!AP$22:AP$92,ETANCHEITE!AO$22:AO$92,"")&lt;&gt;"",_xlfn.XLOOKUP(AB20,ETANCHEITE!AP$22:AP$92,ETANCHEITE!AO$22:AO$92,""),    INDEX(ETANCHEITE!AO:AO,MAX(_xlfn._xlws.FILTER(ROW(ETANCHEITE!AO$22:INDIRECT("'PEINTURE'!P" &amp; AE20-1)),ETANCHEITE!AO$22:INDIRECT("'PEINTURE'!P" &amp; AE20-1)&lt;&gt;"")))),"")</f>
        <v/>
      </c>
      <c r="AK20" s="145">
        <v>18</v>
      </c>
      <c r="AL20" s="154" t="str">
        <f>IF(AP20&lt;&gt;" ",ETANCHEITE!$D$5,"")</f>
        <v/>
      </c>
      <c r="AM20" s="154" t="str">
        <f>IF(AP20&lt;&gt;" ",ETANCHEITE!$D$8,"")</f>
        <v/>
      </c>
      <c r="AN20" s="146" t="str">
        <f>IFERROR(MATCH(AK20,ETANCHEITE!AY$22:AY$167,0)+18,"")</f>
        <v/>
      </c>
      <c r="AO20" s="147" t="str" cm="1">
        <f t="array" aca="1" ref="AO20" ca="1">IFERROR(IF(_xlfn.XLOOKUP(AK20,ETANCHEITE!AY$22:AY$167,ETANCHEITE!$A$22:$A$167,"")&lt;&gt;"",_xlfn.XLOOKUP(AK20,ETANCHEITE!AY$22:AY$167,ETANCHEITE!$A$22:$A$167,""),    INDEX(ETANCHEITE!$A:$A,MAX(_xlfn._xlws.FILTER(ROW(ETANCHEITE!$A$22:INDIRECT("'MENUISERIES EXTERIEURES'!$A" &amp; AN20-1)),ETANCHEITE!$A$22:INDIRECT("'MENUISERIES EXTERIEURES'!$A" &amp; AN20-1)&lt;&gt;"")))),"")&amp;"   "&amp;IFERROR(_xlfn.XLOOKUP(AK20,ETANCHEITE!AY$22:AY$167,ETANCHEITE!$B$22:$B$167),"")&amp;IFERROR(_xlfn.XLOOKUP(AK20,ETANCHEITE!AY$22:AY$167,ETANCHEITE!$C$22:$C$167),"")&amp;IFERROR(_xlfn.XLOOKUP(AK20,ETANCHEITE!AY$22:AY$167,ETANCHEITE!$D$22:$D$167),"")&amp;IFERROR(_xlfn.XLOOKUP(AK20,ETANCHEITE!AY$22:AY$167,ETANCHEITE!#REF!),"")&amp;IFERROR(_xlfn.XLOOKUP(AK20,ETANCHEITE!AY$22:AY$167,ETANCHEITE!#REF!),"")</f>
        <v xml:space="preserve">   </v>
      </c>
      <c r="AP20" s="155" t="str">
        <f>IFERROR(VLOOKUP(AK20,ETANCHEITE!AY$22:BA$167,2,FALSE),"")&amp;" "&amp;IFERROR(VLOOKUP(AK20,ETANCHEITE!AY$22:BA$167,3,FALSE),"")</f>
        <v xml:space="preserve"> </v>
      </c>
      <c r="AQ20" s="148" t="str">
        <f>IF(AP20&lt;&gt;" ",'Feuille de Donnée'!$C$3,"")</f>
        <v/>
      </c>
      <c r="AR20" s="162" t="str" cm="1">
        <f t="array" aca="1" ref="AR20" ca="1">IFERROR(IF(_xlfn.XLOOKUP(AK20,ETANCHEITE!AY$22:AY$92,ETANCHEITE!AW$22:AW$92,"")&lt;&gt;"",_xlfn.XLOOKUP(AK20,ETANCHEITE!AY$22:AY$92,ETANCHEITE!AW$22:AW$92,""),    INDEX(ETANCHEITE!AW:AW,MAX(_xlfn._xlws.FILTER(ROW(ETANCHEITE!AW$22:INDIRECT("'PEINTURE'!O" &amp; AN20-1)),ETANCHEITE!AW$22:INDIRECT("'PEINTURE'!O" &amp; AN20-1)&lt;&gt;"")))),"")</f>
        <v/>
      </c>
      <c r="AS20" s="163" t="str" cm="1">
        <f t="array" aca="1" ref="AS20" ca="1">IFERROR(IF(_xlfn.XLOOKUP(AK20,ETANCHEITE!AY$22:AY$92,ETANCHEITE!AX$22:AX$92,"")&lt;&gt;"",_xlfn.XLOOKUP(AK20,ETANCHEITE!AY$22:AY$92,ETANCHEITE!AX$22:AX$92,""),    INDEX(ETANCHEITE!AX:AX,MAX(_xlfn._xlws.FILTER(ROW(ETANCHEITE!AX$22:INDIRECT("'PEINTURE'!P" &amp; AN20-1)),ETANCHEITE!AX$22:INDIRECT("'PEINTURE'!P" &amp; AN20-1)&lt;&gt;"")))),"")</f>
        <v/>
      </c>
      <c r="AT20" s="145">
        <v>18</v>
      </c>
      <c r="AU20" s="154" t="str">
        <f>IF(AY20&lt;&gt;" ",ETANCHEITE!$D$5,"")</f>
        <v/>
      </c>
      <c r="AV20" s="154" t="str">
        <f>IF(AY20&lt;&gt;" ",ETANCHEITE!$D$8,"")</f>
        <v/>
      </c>
      <c r="AW20" s="146" t="str">
        <f>IFERROR(MATCH(AT20,ETANCHEITE!BH$22:BH$167,0)+18,"")</f>
        <v/>
      </c>
      <c r="AX20" s="147" t="str" cm="1">
        <f t="array" aca="1" ref="AX20" ca="1">IFERROR(IF(_xlfn.XLOOKUP(AT20,ETANCHEITE!BH$22:BH$167,ETANCHEITE!$A$22:$A$167,"")&lt;&gt;"",_xlfn.XLOOKUP(AT20,ETANCHEITE!BH$22:BH$167,ETANCHEITE!$A$22:$A$167,""),    INDEX(ETANCHEITE!$A:$A,MAX(_xlfn._xlws.FILTER(ROW(ETANCHEITE!$A$22:INDIRECT("'MENUISERIES EXTERIEURES'!$A" &amp; AW20-1)),ETANCHEITE!$A$22:INDIRECT("'MENUISERIES EXTERIEURES'!$A" &amp; AW20-1)&lt;&gt;"")))),"")&amp;"   "&amp;IFERROR(_xlfn.XLOOKUP(AT20,ETANCHEITE!BH$22:BH$167,ETANCHEITE!$B$22:$B$167),"")&amp;IFERROR(_xlfn.XLOOKUP(AT20,ETANCHEITE!BH$22:BH$167,ETANCHEITE!$C$22:$C$167),"")&amp;IFERROR(_xlfn.XLOOKUP(AT20,ETANCHEITE!BH$22:BH$167,ETANCHEITE!$D$22:$D$167),"")&amp;IFERROR(_xlfn.XLOOKUP(AT20,ETANCHEITE!BH$22:BH$167,ETANCHEITE!#REF!),"")&amp;IFERROR(_xlfn.XLOOKUP(AT20,ETANCHEITE!BH$22:BH$167,ETANCHEITE!#REF!),"")</f>
        <v xml:space="preserve">   </v>
      </c>
      <c r="AY20" s="155" t="str">
        <f>IFERROR(VLOOKUP(AT20,ETANCHEITE!BH$22:BJ$167,2,FALSE),"")&amp;" "&amp;IFERROR(VLOOKUP(AT20,ETANCHEITE!BH$22:BJ$167,3,FALSE),"")</f>
        <v xml:space="preserve"> </v>
      </c>
      <c r="AZ20" s="148" t="str">
        <f>IF(AY20&lt;&gt;" ",'Feuille de Donnée'!$C$3,"")</f>
        <v/>
      </c>
      <c r="BA20" s="162" t="str" cm="1">
        <f t="array" aca="1" ref="BA20" ca="1">IFERROR(IF(_xlfn.XLOOKUP(AT20,ETANCHEITE!BH$22:BH$92,ETANCHEITE!BF$22:BF$92,"")&lt;&gt;"",_xlfn.XLOOKUP(AT20,ETANCHEITE!BH$22:BH$92,ETANCHEITE!BF$22:BF$92,""),    INDEX(ETANCHEITE!BF:BF,MAX(_xlfn._xlws.FILTER(ROW(ETANCHEITE!BF$22:INDIRECT("'PEINTURE'!O" &amp; AW20-1)),ETANCHEITE!BF$22:INDIRECT("'PEINTURE'!O" &amp; AW20-1)&lt;&gt;"")))),"")</f>
        <v/>
      </c>
      <c r="BB20" s="163" t="str" cm="1">
        <f t="array" aca="1" ref="BB20" ca="1">IFERROR(IF(_xlfn.XLOOKUP(AT20,ETANCHEITE!BH$22:BH$92,ETANCHEITE!BG$22:BG$92,"")&lt;&gt;"",_xlfn.XLOOKUP(AT20,ETANCHEITE!BH$22:BH$92,ETANCHEITE!BG$22:BG$92,""),    INDEX(ETANCHEITE!BG:BG,MAX(_xlfn._xlws.FILTER(ROW(ETANCHEITE!BG$22:INDIRECT("'PEINTURE'!P" &amp; AW20-1)),ETANCHEITE!BG$22:INDIRECT("'PEINTURE'!P" &amp; AW20-1)&lt;&gt;"")))),"")</f>
        <v/>
      </c>
    </row>
    <row r="21" spans="1:54" ht="15" customHeight="1" x14ac:dyDescent="0.3">
      <c r="A21" s="145">
        <v>19</v>
      </c>
      <c r="B21" s="154" t="str">
        <f>IF(F21&lt;&gt;" ",ETANCHEITE!$D$5,"")</f>
        <v/>
      </c>
      <c r="C21" s="154" t="str">
        <f>IF(F21&lt;&gt;" ",ETANCHEITE!$D$8,"")</f>
        <v/>
      </c>
      <c r="D21" s="146" t="str">
        <f>IFERROR(MATCH(A21,ETANCHEITE!O$22:O$167,0)+18,"")</f>
        <v/>
      </c>
      <c r="E21" s="147" t="str" cm="1">
        <f t="array" aca="1" ref="E21" ca="1">IFERROR(IF(_xlfn.XLOOKUP(A21,ETANCHEITE!O$22:O$167,ETANCHEITE!$A$22:$A$167,"")&lt;&gt;"",_xlfn.XLOOKUP(A21,ETANCHEITE!O$22:O$167,ETANCHEITE!$A$22:$A$167,""),    INDEX(ETANCHEITE!$A:$A,MAX(_xlfn._xlws.FILTER(ROW(ETANCHEITE!$A$22:INDIRECT("'MENUISERIES EXTERIEURES'!$A" &amp; D21-1)),ETANCHEITE!$A$22:INDIRECT("'MENUISERIES EXTERIEURES'!$A" &amp; D21-1)&lt;&gt;"")))),"")&amp;"   "&amp;IFERROR(_xlfn.XLOOKUP(A21,ETANCHEITE!O$22:O$167,ETANCHEITE!$B$22:$B$167),"")&amp;IFERROR(_xlfn.XLOOKUP(A21,ETANCHEITE!O$22:O$167,ETANCHEITE!$C$22:$C$167),"")&amp;IFERROR(_xlfn.XLOOKUP(A21,ETANCHEITE!O$22:O$167,ETANCHEITE!$D$22:$D$167),"")&amp;IFERROR(_xlfn.XLOOKUP(A21,ETANCHEITE!O$22:O$167,ETANCHEITE!#REF!),"")&amp;IFERROR(_xlfn.XLOOKUP(A21,ETANCHEITE!O$22:O$167,ETANCHEITE!#REF!),"")</f>
        <v xml:space="preserve">   </v>
      </c>
      <c r="F21" s="155" t="str">
        <f>IFERROR(VLOOKUP(A21,ETANCHEITE!O$22:Q$167,2,FALSE),"")&amp;" "&amp;IFERROR(VLOOKUP(A21,ETANCHEITE!O$22:Q$167,3,FALSE),"")</f>
        <v xml:space="preserve"> </v>
      </c>
      <c r="G21" s="148" t="str">
        <f>IF(F21&lt;&gt;" ",'Feuille de Donnée'!$C$3,"")</f>
        <v/>
      </c>
      <c r="H21" s="162" t="str" cm="1">
        <f t="array" aca="1" ref="H21" ca="1">IFERROR(IF(_xlfn.XLOOKUP(A21,ETANCHEITE!O$22:O$92,ETANCHEITE!M$22:M$92,"")&lt;&gt;"",_xlfn.XLOOKUP(A21,ETANCHEITE!O$22:O$92,ETANCHEITE!M$22:M$92,""),    INDEX(ETANCHEITE!M:M,MAX(_xlfn._xlws.FILTER(ROW(ETANCHEITE!M$22:INDIRECT("'PEINTURE'!O" &amp; D21-1)),ETANCHEITE!M$22:INDIRECT("'PEINTURE'!O" &amp; D21-1)&lt;&gt;"")))),"")</f>
        <v/>
      </c>
      <c r="I21" s="163" t="str" cm="1">
        <f t="array" aca="1" ref="I21" ca="1">IFERROR(IF(_xlfn.XLOOKUP(A21,ETANCHEITE!O$22:O$92,ETANCHEITE!N$22:N$92,"")&lt;&gt;"",_xlfn.XLOOKUP(A21,ETANCHEITE!O$22:O$92,ETANCHEITE!N$22:N$92,""),    INDEX(ETANCHEITE!N:N,MAX(_xlfn._xlws.FILTER(ROW(ETANCHEITE!N$22:INDIRECT("'PEINTURE'!P" &amp; D21-1)),ETANCHEITE!N$22:INDIRECT("'PEINTURE'!P" &amp; D21-1)&lt;&gt;"")))),"")</f>
        <v/>
      </c>
      <c r="J21" s="145">
        <v>19</v>
      </c>
      <c r="K21" s="154" t="str">
        <f>IF(O21&lt;&gt;" ",ETANCHEITE!$D$5,"")</f>
        <v/>
      </c>
      <c r="L21" s="154" t="str">
        <f>IF(O21&lt;&gt;" ",ETANCHEITE!$D$8,"")</f>
        <v/>
      </c>
      <c r="M21" s="146" t="str">
        <f>IFERROR(MATCH(J21,ETANCHEITE!X$22:X$167,0)+18,"")</f>
        <v/>
      </c>
      <c r="N21" s="147" t="str" cm="1">
        <f t="array" aca="1" ref="N21" ca="1">IFERROR(IF(_xlfn.XLOOKUP(J21,ETANCHEITE!X$22:X$167,ETANCHEITE!$A$22:$A$167,"")&lt;&gt;"",_xlfn.XLOOKUP(J21,ETANCHEITE!X$22:X$167,ETANCHEITE!$A$22:$A$167,""),    INDEX(ETANCHEITE!$A:$A,MAX(_xlfn._xlws.FILTER(ROW(ETANCHEITE!$A$22:INDIRECT("'MENUISERIES EXTERIEURES'!$A" &amp; M21-1)),ETANCHEITE!$A$22:INDIRECT("'MENUISERIES EXTERIEURES'!$A" &amp; M21-1)&lt;&gt;"")))),"")&amp;"   "&amp;IFERROR(_xlfn.XLOOKUP(J21,ETANCHEITE!X$22:X$167,ETANCHEITE!$B$22:$B$167),"")&amp;IFERROR(_xlfn.XLOOKUP(J21,ETANCHEITE!X$22:X$167,ETANCHEITE!$C$22:$C$167),"")&amp;IFERROR(_xlfn.XLOOKUP(J21,ETANCHEITE!X$22:X$167,ETANCHEITE!$D$22:$D$167),"")&amp;IFERROR(_xlfn.XLOOKUP(J21,ETANCHEITE!X$22:X$167,ETANCHEITE!#REF!),"")&amp;IFERROR(_xlfn.XLOOKUP(J21,ETANCHEITE!X$22:X$167,ETANCHEITE!#REF!),"")</f>
        <v xml:space="preserve">   </v>
      </c>
      <c r="O21" s="155" t="str">
        <f>IFERROR(VLOOKUP(J21,ETANCHEITE!X$22:Z$167,2,FALSE),"")&amp;" "&amp;IFERROR(VLOOKUP(J21,ETANCHEITE!X$22:Z$167,3,FALSE),"")</f>
        <v xml:space="preserve"> </v>
      </c>
      <c r="P21" s="148" t="str">
        <f>IF(O21&lt;&gt;" ",'Feuille de Donnée'!$C$3,"")</f>
        <v/>
      </c>
      <c r="Q21" s="162" t="str" cm="1">
        <f t="array" aca="1" ref="Q21" ca="1">IFERROR(IF(_xlfn.XLOOKUP(J21,ETANCHEITE!X$22:X$92,ETANCHEITE!V$22:V$92,"")&lt;&gt;"",_xlfn.XLOOKUP(J21,ETANCHEITE!X$22:X$92,ETANCHEITE!V$22:V$92,""),    INDEX(ETANCHEITE!V:V,MAX(_xlfn._xlws.FILTER(ROW(ETANCHEITE!V$22:INDIRECT("'PEINTURE'!O" &amp; M21-1)),ETANCHEITE!V$22:INDIRECT("'PEINTURE'!O" &amp; M21-1)&lt;&gt;"")))),"")</f>
        <v/>
      </c>
      <c r="R21" s="163" t="str" cm="1">
        <f t="array" aca="1" ref="R21" ca="1">IFERROR(IF(_xlfn.XLOOKUP(J21,ETANCHEITE!X$22:X$92,ETANCHEITE!W$22:W$92,"")&lt;&gt;"",_xlfn.XLOOKUP(J21,ETANCHEITE!X$22:X$92,ETANCHEITE!W$22:W$92,""),    INDEX(ETANCHEITE!W:W,MAX(_xlfn._xlws.FILTER(ROW(ETANCHEITE!W$22:INDIRECT("'PEINTURE'!P" &amp; M21-1)),ETANCHEITE!W$22:INDIRECT("'PEINTURE'!P" &amp; M21-1)&lt;&gt;"")))),"")</f>
        <v/>
      </c>
      <c r="S21" s="145">
        <v>19</v>
      </c>
      <c r="T21" s="154" t="str">
        <f>IF(X21&lt;&gt;" ",ETANCHEITE!$D$5,"")</f>
        <v/>
      </c>
      <c r="U21" s="154" t="str">
        <f>IF(X21&lt;&gt;" ",ETANCHEITE!$D$8,"")</f>
        <v/>
      </c>
      <c r="V21" s="146" t="str">
        <f>IFERROR(MATCH(S21,ETANCHEITE!AG$22:AG$167,0)+18,"")</f>
        <v/>
      </c>
      <c r="W21" s="147" t="str" cm="1">
        <f t="array" aca="1" ref="W21" ca="1">IFERROR(IF(_xlfn.XLOOKUP(S21,ETANCHEITE!AG$22:AG$167,ETANCHEITE!$A$22:$A$167,"")&lt;&gt;"",_xlfn.XLOOKUP(S21,ETANCHEITE!AG$22:AG$167,ETANCHEITE!$A$22:$A$167,""),    INDEX(ETANCHEITE!$A:$A,MAX(_xlfn._xlws.FILTER(ROW(ETANCHEITE!$A$22:INDIRECT("'MENUISERIES EXTERIEURES'!$A" &amp; V21-1)),ETANCHEITE!$A$22:INDIRECT("'MENUISERIES EXTERIEURES'!$A" &amp; V21-1)&lt;&gt;"")))),"")&amp;"   "&amp;IFERROR(_xlfn.XLOOKUP(S21,ETANCHEITE!AG$22:AG$167,ETANCHEITE!$B$22:$B$167),"")&amp;IFERROR(_xlfn.XLOOKUP(S21,ETANCHEITE!AG$22:AG$167,ETANCHEITE!$C$22:$C$167),"")&amp;IFERROR(_xlfn.XLOOKUP(S21,ETANCHEITE!AG$22:AG$167,ETANCHEITE!$D$22:$D$167),"")&amp;IFERROR(_xlfn.XLOOKUP(S21,ETANCHEITE!AG$22:AG$167,ETANCHEITE!#REF!),"")&amp;IFERROR(_xlfn.XLOOKUP(S21,ETANCHEITE!AG$22:AG$167,ETANCHEITE!#REF!),"")</f>
        <v xml:space="preserve">   </v>
      </c>
      <c r="X21" s="155" t="str">
        <f>IFERROR(VLOOKUP(S21,ETANCHEITE!AG$22:AI$167,2,FALSE),"")&amp;" "&amp;IFERROR(VLOOKUP(S21,ETANCHEITE!AG$22:AI$167,3,FALSE),"")</f>
        <v xml:space="preserve"> </v>
      </c>
      <c r="Y21" s="148" t="str">
        <f>IF(X21&lt;&gt;" ",'Feuille de Donnée'!$C$3,"")</f>
        <v/>
      </c>
      <c r="Z21" s="162" t="str" cm="1">
        <f t="array" aca="1" ref="Z21" ca="1">IFERROR(IF(_xlfn.XLOOKUP(S21,ETANCHEITE!AG$22:AG$92,ETANCHEITE!AE$22:AE$92,"")&lt;&gt;"",_xlfn.XLOOKUP(S21,ETANCHEITE!AG$22:AG$92,ETANCHEITE!AE$22:AE$92,""),    INDEX(ETANCHEITE!AE:AE,MAX(_xlfn._xlws.FILTER(ROW(ETANCHEITE!AE$22:INDIRECT("'PEINTURE'!O" &amp; V21-1)),ETANCHEITE!AE$22:INDIRECT("'PEINTURE'!O" &amp; V21-1)&lt;&gt;"")))),"")</f>
        <v/>
      </c>
      <c r="AA21" s="163" t="str" cm="1">
        <f t="array" aca="1" ref="AA21" ca="1">IFERROR(IF(_xlfn.XLOOKUP(S21,ETANCHEITE!AG$22:AG$92,ETANCHEITE!AF$22:AF$92,"")&lt;&gt;"",_xlfn.XLOOKUP(S21,ETANCHEITE!AG$22:AG$92,ETANCHEITE!AF$22:AF$92,""),    INDEX(ETANCHEITE!AF:AF,MAX(_xlfn._xlws.FILTER(ROW(ETANCHEITE!AF$22:INDIRECT("'PEINTURE'!P" &amp; V21-1)),ETANCHEITE!AF$22:INDIRECT("'PEINTURE'!P" &amp; V21-1)&lt;&gt;"")))),"")</f>
        <v/>
      </c>
      <c r="AB21" s="145">
        <v>19</v>
      </c>
      <c r="AC21" s="154" t="str">
        <f>IF(AG21&lt;&gt;" ",ETANCHEITE!$D$5,"")</f>
        <v/>
      </c>
      <c r="AD21" s="154" t="str">
        <f>IF(AG21&lt;&gt;" ",ETANCHEITE!$D$8,"")</f>
        <v/>
      </c>
      <c r="AE21" s="146" t="str">
        <f>IFERROR(MATCH(AB21,ETANCHEITE!AP$22:AP$167,0)+18,"")</f>
        <v/>
      </c>
      <c r="AF21" s="147" t="str" cm="1">
        <f t="array" aca="1" ref="AF21" ca="1">IFERROR(IF(_xlfn.XLOOKUP(AB21,ETANCHEITE!AP$22:AP$167,ETANCHEITE!$A$22:$A$167,"")&lt;&gt;"",_xlfn.XLOOKUP(AB21,ETANCHEITE!AP$22:AP$167,ETANCHEITE!$A$22:$A$167,""),    INDEX(ETANCHEITE!$A:$A,MAX(_xlfn._xlws.FILTER(ROW(ETANCHEITE!$A$22:INDIRECT("'MENUISERIES EXTERIEURES'!$A" &amp; AE21-1)),ETANCHEITE!$A$22:INDIRECT("'MENUISERIES EXTERIEURES'!$A" &amp; AE21-1)&lt;&gt;"")))),"")&amp;"   "&amp;IFERROR(_xlfn.XLOOKUP(AB21,ETANCHEITE!AP$22:AP$167,ETANCHEITE!$B$22:$B$167),"")&amp;IFERROR(_xlfn.XLOOKUP(AB21,ETANCHEITE!AP$22:AP$167,ETANCHEITE!$C$22:$C$167),"")&amp;IFERROR(_xlfn.XLOOKUP(AB21,ETANCHEITE!AP$22:AP$167,ETANCHEITE!$D$22:$D$167),"")&amp;IFERROR(_xlfn.XLOOKUP(AB21,ETANCHEITE!AP$22:AP$167,ETANCHEITE!#REF!),"")&amp;IFERROR(_xlfn.XLOOKUP(AB21,ETANCHEITE!AP$22:AP$167,ETANCHEITE!#REF!),"")</f>
        <v xml:space="preserve">   </v>
      </c>
      <c r="AG21" s="155" t="str">
        <f>IFERROR(VLOOKUP(AB21,ETANCHEITE!AP$22:AR$167,2,FALSE),"")&amp;" "&amp;IFERROR(VLOOKUP(AB21,ETANCHEITE!AP$22:AR$167,3,FALSE),"")</f>
        <v xml:space="preserve"> </v>
      </c>
      <c r="AH21" s="148" t="str">
        <f>IF(AG21&lt;&gt;" ",'Feuille de Donnée'!$C$3,"")</f>
        <v/>
      </c>
      <c r="AI21" s="162" t="str" cm="1">
        <f t="array" aca="1" ref="AI21" ca="1">IFERROR(IF(_xlfn.XLOOKUP(AB21,ETANCHEITE!AP$22:AP$92,ETANCHEITE!AN$22:AN$92,"")&lt;&gt;"",_xlfn.XLOOKUP(AB21,ETANCHEITE!AP$22:AP$92,ETANCHEITE!AN$22:AN$92,""),    INDEX(ETANCHEITE!AN:AN,MAX(_xlfn._xlws.FILTER(ROW(ETANCHEITE!AN$22:INDIRECT("'PEINTURE'!O" &amp; AE21-1)),ETANCHEITE!AN$22:INDIRECT("'PEINTURE'!O" &amp; AE21-1)&lt;&gt;"")))),"")</f>
        <v/>
      </c>
      <c r="AJ21" s="163" t="str" cm="1">
        <f t="array" aca="1" ref="AJ21" ca="1">IFERROR(IF(_xlfn.XLOOKUP(AB21,ETANCHEITE!AP$22:AP$92,ETANCHEITE!AO$22:AO$92,"")&lt;&gt;"",_xlfn.XLOOKUP(AB21,ETANCHEITE!AP$22:AP$92,ETANCHEITE!AO$22:AO$92,""),    INDEX(ETANCHEITE!AO:AO,MAX(_xlfn._xlws.FILTER(ROW(ETANCHEITE!AO$22:INDIRECT("'PEINTURE'!P" &amp; AE21-1)),ETANCHEITE!AO$22:INDIRECT("'PEINTURE'!P" &amp; AE21-1)&lt;&gt;"")))),"")</f>
        <v/>
      </c>
      <c r="AK21" s="145">
        <v>19</v>
      </c>
      <c r="AL21" s="154" t="str">
        <f>IF(AP21&lt;&gt;" ",ETANCHEITE!$D$5,"")</f>
        <v/>
      </c>
      <c r="AM21" s="154" t="str">
        <f>IF(AP21&lt;&gt;" ",ETANCHEITE!$D$8,"")</f>
        <v/>
      </c>
      <c r="AN21" s="146" t="str">
        <f>IFERROR(MATCH(AK21,ETANCHEITE!AY$22:AY$167,0)+18,"")</f>
        <v/>
      </c>
      <c r="AO21" s="147" t="str" cm="1">
        <f t="array" aca="1" ref="AO21" ca="1">IFERROR(IF(_xlfn.XLOOKUP(AK21,ETANCHEITE!AY$22:AY$167,ETANCHEITE!$A$22:$A$167,"")&lt;&gt;"",_xlfn.XLOOKUP(AK21,ETANCHEITE!AY$22:AY$167,ETANCHEITE!$A$22:$A$167,""),    INDEX(ETANCHEITE!$A:$A,MAX(_xlfn._xlws.FILTER(ROW(ETANCHEITE!$A$22:INDIRECT("'MENUISERIES EXTERIEURES'!$A" &amp; AN21-1)),ETANCHEITE!$A$22:INDIRECT("'MENUISERIES EXTERIEURES'!$A" &amp; AN21-1)&lt;&gt;"")))),"")&amp;"   "&amp;IFERROR(_xlfn.XLOOKUP(AK21,ETANCHEITE!AY$22:AY$167,ETANCHEITE!$B$22:$B$167),"")&amp;IFERROR(_xlfn.XLOOKUP(AK21,ETANCHEITE!AY$22:AY$167,ETANCHEITE!$C$22:$C$167),"")&amp;IFERROR(_xlfn.XLOOKUP(AK21,ETANCHEITE!AY$22:AY$167,ETANCHEITE!$D$22:$D$167),"")&amp;IFERROR(_xlfn.XLOOKUP(AK21,ETANCHEITE!AY$22:AY$167,ETANCHEITE!#REF!),"")&amp;IFERROR(_xlfn.XLOOKUP(AK21,ETANCHEITE!AY$22:AY$167,ETANCHEITE!#REF!),"")</f>
        <v xml:space="preserve">   </v>
      </c>
      <c r="AP21" s="155" t="str">
        <f>IFERROR(VLOOKUP(AK21,ETANCHEITE!AY$22:BA$167,2,FALSE),"")&amp;" "&amp;IFERROR(VLOOKUP(AK21,ETANCHEITE!AY$22:BA$167,3,FALSE),"")</f>
        <v xml:space="preserve"> </v>
      </c>
      <c r="AQ21" s="148" t="str">
        <f>IF(AP21&lt;&gt;" ",'Feuille de Donnée'!$C$3,"")</f>
        <v/>
      </c>
      <c r="AR21" s="162" t="str" cm="1">
        <f t="array" aca="1" ref="AR21" ca="1">IFERROR(IF(_xlfn.XLOOKUP(AK21,ETANCHEITE!AY$22:AY$92,ETANCHEITE!AW$22:AW$92,"")&lt;&gt;"",_xlfn.XLOOKUP(AK21,ETANCHEITE!AY$22:AY$92,ETANCHEITE!AW$22:AW$92,""),    INDEX(ETANCHEITE!AW:AW,MAX(_xlfn._xlws.FILTER(ROW(ETANCHEITE!AW$22:INDIRECT("'PEINTURE'!O" &amp; AN21-1)),ETANCHEITE!AW$22:INDIRECT("'PEINTURE'!O" &amp; AN21-1)&lt;&gt;"")))),"")</f>
        <v/>
      </c>
      <c r="AS21" s="163" t="str" cm="1">
        <f t="array" aca="1" ref="AS21" ca="1">IFERROR(IF(_xlfn.XLOOKUP(AK21,ETANCHEITE!AY$22:AY$92,ETANCHEITE!AX$22:AX$92,"")&lt;&gt;"",_xlfn.XLOOKUP(AK21,ETANCHEITE!AY$22:AY$92,ETANCHEITE!AX$22:AX$92,""),    INDEX(ETANCHEITE!AX:AX,MAX(_xlfn._xlws.FILTER(ROW(ETANCHEITE!AX$22:INDIRECT("'PEINTURE'!P" &amp; AN21-1)),ETANCHEITE!AX$22:INDIRECT("'PEINTURE'!P" &amp; AN21-1)&lt;&gt;"")))),"")</f>
        <v/>
      </c>
      <c r="AT21" s="145">
        <v>19</v>
      </c>
      <c r="AU21" s="154" t="str">
        <f>IF(AY21&lt;&gt;" ",ETANCHEITE!$D$5,"")</f>
        <v/>
      </c>
      <c r="AV21" s="154" t="str">
        <f>IF(AY21&lt;&gt;" ",ETANCHEITE!$D$8,"")</f>
        <v/>
      </c>
      <c r="AW21" s="146" t="str">
        <f>IFERROR(MATCH(AT21,ETANCHEITE!BH$22:BH$167,0)+18,"")</f>
        <v/>
      </c>
      <c r="AX21" s="147" t="str" cm="1">
        <f t="array" aca="1" ref="AX21" ca="1">IFERROR(IF(_xlfn.XLOOKUP(AT21,ETANCHEITE!BH$22:BH$167,ETANCHEITE!$A$22:$A$167,"")&lt;&gt;"",_xlfn.XLOOKUP(AT21,ETANCHEITE!BH$22:BH$167,ETANCHEITE!$A$22:$A$167,""),    INDEX(ETANCHEITE!$A:$A,MAX(_xlfn._xlws.FILTER(ROW(ETANCHEITE!$A$22:INDIRECT("'MENUISERIES EXTERIEURES'!$A" &amp; AW21-1)),ETANCHEITE!$A$22:INDIRECT("'MENUISERIES EXTERIEURES'!$A" &amp; AW21-1)&lt;&gt;"")))),"")&amp;"   "&amp;IFERROR(_xlfn.XLOOKUP(AT21,ETANCHEITE!BH$22:BH$167,ETANCHEITE!$B$22:$B$167),"")&amp;IFERROR(_xlfn.XLOOKUP(AT21,ETANCHEITE!BH$22:BH$167,ETANCHEITE!$C$22:$C$167),"")&amp;IFERROR(_xlfn.XLOOKUP(AT21,ETANCHEITE!BH$22:BH$167,ETANCHEITE!$D$22:$D$167),"")&amp;IFERROR(_xlfn.XLOOKUP(AT21,ETANCHEITE!BH$22:BH$167,ETANCHEITE!#REF!),"")&amp;IFERROR(_xlfn.XLOOKUP(AT21,ETANCHEITE!BH$22:BH$167,ETANCHEITE!#REF!),"")</f>
        <v xml:space="preserve">   </v>
      </c>
      <c r="AY21" s="155" t="str">
        <f>IFERROR(VLOOKUP(AT21,ETANCHEITE!BH$22:BJ$167,2,FALSE),"")&amp;" "&amp;IFERROR(VLOOKUP(AT21,ETANCHEITE!BH$22:BJ$167,3,FALSE),"")</f>
        <v xml:space="preserve"> </v>
      </c>
      <c r="AZ21" s="148" t="str">
        <f>IF(AY21&lt;&gt;" ",'Feuille de Donnée'!$C$3,"")</f>
        <v/>
      </c>
      <c r="BA21" s="162" t="str" cm="1">
        <f t="array" aca="1" ref="BA21" ca="1">IFERROR(IF(_xlfn.XLOOKUP(AT21,ETANCHEITE!BH$22:BH$92,ETANCHEITE!BF$22:BF$92,"")&lt;&gt;"",_xlfn.XLOOKUP(AT21,ETANCHEITE!BH$22:BH$92,ETANCHEITE!BF$22:BF$92,""),    INDEX(ETANCHEITE!BF:BF,MAX(_xlfn._xlws.FILTER(ROW(ETANCHEITE!BF$22:INDIRECT("'PEINTURE'!O" &amp; AW21-1)),ETANCHEITE!BF$22:INDIRECT("'PEINTURE'!O" &amp; AW21-1)&lt;&gt;"")))),"")</f>
        <v/>
      </c>
      <c r="BB21" s="163" t="str" cm="1">
        <f t="array" aca="1" ref="BB21" ca="1">IFERROR(IF(_xlfn.XLOOKUP(AT21,ETANCHEITE!BH$22:BH$92,ETANCHEITE!BG$22:BG$92,"")&lt;&gt;"",_xlfn.XLOOKUP(AT21,ETANCHEITE!BH$22:BH$92,ETANCHEITE!BG$22:BG$92,""),    INDEX(ETANCHEITE!BG:BG,MAX(_xlfn._xlws.FILTER(ROW(ETANCHEITE!BG$22:INDIRECT("'PEINTURE'!P" &amp; AW21-1)),ETANCHEITE!BG$22:INDIRECT("'PEINTURE'!P" &amp; AW21-1)&lt;&gt;"")))),"")</f>
        <v/>
      </c>
    </row>
    <row r="22" spans="1:54" ht="15" customHeight="1" x14ac:dyDescent="0.3">
      <c r="A22" s="145">
        <v>20</v>
      </c>
      <c r="B22" s="154" t="str">
        <f>IF(F22&lt;&gt;" ",ETANCHEITE!$D$5,"")</f>
        <v/>
      </c>
      <c r="C22" s="154" t="str">
        <f>IF(F22&lt;&gt;" ",ETANCHEITE!$D$8,"")</f>
        <v/>
      </c>
      <c r="D22" s="146" t="str">
        <f>IFERROR(MATCH(A22,ETANCHEITE!O$22:O$167,0)+18,"")</f>
        <v/>
      </c>
      <c r="E22" s="147" t="str" cm="1">
        <f t="array" aca="1" ref="E22" ca="1">IFERROR(IF(_xlfn.XLOOKUP(A22,ETANCHEITE!O$22:O$167,ETANCHEITE!$A$22:$A$167,"")&lt;&gt;"",_xlfn.XLOOKUP(A22,ETANCHEITE!O$22:O$167,ETANCHEITE!$A$22:$A$167,""),    INDEX(ETANCHEITE!$A:$A,MAX(_xlfn._xlws.FILTER(ROW(ETANCHEITE!$A$22:INDIRECT("'MENUISERIES EXTERIEURES'!$A" &amp; D22-1)),ETANCHEITE!$A$22:INDIRECT("'MENUISERIES EXTERIEURES'!$A" &amp; D22-1)&lt;&gt;"")))),"")&amp;"   "&amp;IFERROR(_xlfn.XLOOKUP(A22,ETANCHEITE!O$22:O$167,ETANCHEITE!$B$22:$B$167),"")&amp;IFERROR(_xlfn.XLOOKUP(A22,ETANCHEITE!O$22:O$167,ETANCHEITE!$C$22:$C$167),"")&amp;IFERROR(_xlfn.XLOOKUP(A22,ETANCHEITE!O$22:O$167,ETANCHEITE!$D$22:$D$167),"")&amp;IFERROR(_xlfn.XLOOKUP(A22,ETANCHEITE!O$22:O$167,ETANCHEITE!#REF!),"")&amp;IFERROR(_xlfn.XLOOKUP(A22,ETANCHEITE!O$22:O$167,ETANCHEITE!#REF!),"")</f>
        <v xml:space="preserve">   </v>
      </c>
      <c r="F22" s="155" t="str">
        <f>IFERROR(VLOOKUP(A22,ETANCHEITE!O$22:Q$167,2,FALSE),"")&amp;" "&amp;IFERROR(VLOOKUP(A22,ETANCHEITE!O$22:Q$167,3,FALSE),"")</f>
        <v xml:space="preserve"> </v>
      </c>
      <c r="G22" s="148" t="str">
        <f>IF(F22&lt;&gt;" ",'Feuille de Donnée'!$C$3,"")</f>
        <v/>
      </c>
      <c r="H22" s="162" t="str" cm="1">
        <f t="array" aca="1" ref="H22" ca="1">IFERROR(IF(_xlfn.XLOOKUP(A22,ETANCHEITE!O$22:O$92,ETANCHEITE!M$22:M$92,"")&lt;&gt;"",_xlfn.XLOOKUP(A22,ETANCHEITE!O$22:O$92,ETANCHEITE!M$22:M$92,""),    INDEX(ETANCHEITE!M:M,MAX(_xlfn._xlws.FILTER(ROW(ETANCHEITE!M$22:INDIRECT("'PEINTURE'!O" &amp; D22-1)),ETANCHEITE!M$22:INDIRECT("'PEINTURE'!O" &amp; D22-1)&lt;&gt;"")))),"")</f>
        <v/>
      </c>
      <c r="I22" s="163" t="str" cm="1">
        <f t="array" aca="1" ref="I22" ca="1">IFERROR(IF(_xlfn.XLOOKUP(A22,ETANCHEITE!O$22:O$92,ETANCHEITE!N$22:N$92,"")&lt;&gt;"",_xlfn.XLOOKUP(A22,ETANCHEITE!O$22:O$92,ETANCHEITE!N$22:N$92,""),    INDEX(ETANCHEITE!N:N,MAX(_xlfn._xlws.FILTER(ROW(ETANCHEITE!N$22:INDIRECT("'PEINTURE'!P" &amp; D22-1)),ETANCHEITE!N$22:INDIRECT("'PEINTURE'!P" &amp; D22-1)&lt;&gt;"")))),"")</f>
        <v/>
      </c>
      <c r="J22" s="145">
        <v>20</v>
      </c>
      <c r="K22" s="154" t="str">
        <f>IF(O22&lt;&gt;" ",ETANCHEITE!$D$5,"")</f>
        <v/>
      </c>
      <c r="L22" s="154" t="str">
        <f>IF(O22&lt;&gt;" ",ETANCHEITE!$D$8,"")</f>
        <v/>
      </c>
      <c r="M22" s="146" t="str">
        <f>IFERROR(MATCH(J22,ETANCHEITE!X$22:X$167,0)+18,"")</f>
        <v/>
      </c>
      <c r="N22" s="147" t="str" cm="1">
        <f t="array" aca="1" ref="N22" ca="1">IFERROR(IF(_xlfn.XLOOKUP(J22,ETANCHEITE!X$22:X$167,ETANCHEITE!$A$22:$A$167,"")&lt;&gt;"",_xlfn.XLOOKUP(J22,ETANCHEITE!X$22:X$167,ETANCHEITE!$A$22:$A$167,""),    INDEX(ETANCHEITE!$A:$A,MAX(_xlfn._xlws.FILTER(ROW(ETANCHEITE!$A$22:INDIRECT("'MENUISERIES EXTERIEURES'!$A" &amp; M22-1)),ETANCHEITE!$A$22:INDIRECT("'MENUISERIES EXTERIEURES'!$A" &amp; M22-1)&lt;&gt;"")))),"")&amp;"   "&amp;IFERROR(_xlfn.XLOOKUP(J22,ETANCHEITE!X$22:X$167,ETANCHEITE!$B$22:$B$167),"")&amp;IFERROR(_xlfn.XLOOKUP(J22,ETANCHEITE!X$22:X$167,ETANCHEITE!$C$22:$C$167),"")&amp;IFERROR(_xlfn.XLOOKUP(J22,ETANCHEITE!X$22:X$167,ETANCHEITE!$D$22:$D$167),"")&amp;IFERROR(_xlfn.XLOOKUP(J22,ETANCHEITE!X$22:X$167,ETANCHEITE!#REF!),"")&amp;IFERROR(_xlfn.XLOOKUP(J22,ETANCHEITE!X$22:X$167,ETANCHEITE!#REF!),"")</f>
        <v xml:space="preserve">   </v>
      </c>
      <c r="O22" s="155" t="str">
        <f>IFERROR(VLOOKUP(J22,ETANCHEITE!X$22:Z$167,2,FALSE),"")&amp;" "&amp;IFERROR(VLOOKUP(J22,ETANCHEITE!X$22:Z$167,3,FALSE),"")</f>
        <v xml:space="preserve"> </v>
      </c>
      <c r="P22" s="148" t="str">
        <f>IF(O22&lt;&gt;" ",'Feuille de Donnée'!$C$3,"")</f>
        <v/>
      </c>
      <c r="Q22" s="162" t="str" cm="1">
        <f t="array" aca="1" ref="Q22" ca="1">IFERROR(IF(_xlfn.XLOOKUP(J22,ETANCHEITE!X$22:X$92,ETANCHEITE!V$22:V$92,"")&lt;&gt;"",_xlfn.XLOOKUP(J22,ETANCHEITE!X$22:X$92,ETANCHEITE!V$22:V$92,""),    INDEX(ETANCHEITE!V:V,MAX(_xlfn._xlws.FILTER(ROW(ETANCHEITE!V$22:INDIRECT("'PEINTURE'!O" &amp; M22-1)),ETANCHEITE!V$22:INDIRECT("'PEINTURE'!O" &amp; M22-1)&lt;&gt;"")))),"")</f>
        <v/>
      </c>
      <c r="R22" s="163" t="str" cm="1">
        <f t="array" aca="1" ref="R22" ca="1">IFERROR(IF(_xlfn.XLOOKUP(J22,ETANCHEITE!X$22:X$92,ETANCHEITE!W$22:W$92,"")&lt;&gt;"",_xlfn.XLOOKUP(J22,ETANCHEITE!X$22:X$92,ETANCHEITE!W$22:W$92,""),    INDEX(ETANCHEITE!W:W,MAX(_xlfn._xlws.FILTER(ROW(ETANCHEITE!W$22:INDIRECT("'PEINTURE'!P" &amp; M22-1)),ETANCHEITE!W$22:INDIRECT("'PEINTURE'!P" &amp; M22-1)&lt;&gt;"")))),"")</f>
        <v/>
      </c>
      <c r="S22" s="145">
        <v>20</v>
      </c>
      <c r="T22" s="154" t="str">
        <f>IF(X22&lt;&gt;" ",ETANCHEITE!$D$5,"")</f>
        <v/>
      </c>
      <c r="U22" s="154" t="str">
        <f>IF(X22&lt;&gt;" ",ETANCHEITE!$D$8,"")</f>
        <v/>
      </c>
      <c r="V22" s="146" t="str">
        <f>IFERROR(MATCH(S22,ETANCHEITE!AG$22:AG$167,0)+18,"")</f>
        <v/>
      </c>
      <c r="W22" s="147" t="str" cm="1">
        <f t="array" aca="1" ref="W22" ca="1">IFERROR(IF(_xlfn.XLOOKUP(S22,ETANCHEITE!AG$22:AG$167,ETANCHEITE!$A$22:$A$167,"")&lt;&gt;"",_xlfn.XLOOKUP(S22,ETANCHEITE!AG$22:AG$167,ETANCHEITE!$A$22:$A$167,""),    INDEX(ETANCHEITE!$A:$A,MAX(_xlfn._xlws.FILTER(ROW(ETANCHEITE!$A$22:INDIRECT("'MENUISERIES EXTERIEURES'!$A" &amp; V22-1)),ETANCHEITE!$A$22:INDIRECT("'MENUISERIES EXTERIEURES'!$A" &amp; V22-1)&lt;&gt;"")))),"")&amp;"   "&amp;IFERROR(_xlfn.XLOOKUP(S22,ETANCHEITE!AG$22:AG$167,ETANCHEITE!$B$22:$B$167),"")&amp;IFERROR(_xlfn.XLOOKUP(S22,ETANCHEITE!AG$22:AG$167,ETANCHEITE!$C$22:$C$167),"")&amp;IFERROR(_xlfn.XLOOKUP(S22,ETANCHEITE!AG$22:AG$167,ETANCHEITE!$D$22:$D$167),"")&amp;IFERROR(_xlfn.XLOOKUP(S22,ETANCHEITE!AG$22:AG$167,ETANCHEITE!#REF!),"")&amp;IFERROR(_xlfn.XLOOKUP(S22,ETANCHEITE!AG$22:AG$167,ETANCHEITE!#REF!),"")</f>
        <v xml:space="preserve">   </v>
      </c>
      <c r="X22" s="155" t="str">
        <f>IFERROR(VLOOKUP(S22,ETANCHEITE!AG$22:AI$167,2,FALSE),"")&amp;" "&amp;IFERROR(VLOOKUP(S22,ETANCHEITE!AG$22:AI$167,3,FALSE),"")</f>
        <v xml:space="preserve"> </v>
      </c>
      <c r="Y22" s="148" t="str">
        <f>IF(X22&lt;&gt;" ",'Feuille de Donnée'!$C$3,"")</f>
        <v/>
      </c>
      <c r="Z22" s="162" t="str" cm="1">
        <f t="array" aca="1" ref="Z22" ca="1">IFERROR(IF(_xlfn.XLOOKUP(S22,ETANCHEITE!AG$22:AG$92,ETANCHEITE!AE$22:AE$92,"")&lt;&gt;"",_xlfn.XLOOKUP(S22,ETANCHEITE!AG$22:AG$92,ETANCHEITE!AE$22:AE$92,""),    INDEX(ETANCHEITE!AE:AE,MAX(_xlfn._xlws.FILTER(ROW(ETANCHEITE!AE$22:INDIRECT("'PEINTURE'!O" &amp; V22-1)),ETANCHEITE!AE$22:INDIRECT("'PEINTURE'!O" &amp; V22-1)&lt;&gt;"")))),"")</f>
        <v/>
      </c>
      <c r="AA22" s="163" t="str" cm="1">
        <f t="array" aca="1" ref="AA22" ca="1">IFERROR(IF(_xlfn.XLOOKUP(S22,ETANCHEITE!AG$22:AG$92,ETANCHEITE!AF$22:AF$92,"")&lt;&gt;"",_xlfn.XLOOKUP(S22,ETANCHEITE!AG$22:AG$92,ETANCHEITE!AF$22:AF$92,""),    INDEX(ETANCHEITE!AF:AF,MAX(_xlfn._xlws.FILTER(ROW(ETANCHEITE!AF$22:INDIRECT("'PEINTURE'!P" &amp; V22-1)),ETANCHEITE!AF$22:INDIRECT("'PEINTURE'!P" &amp; V22-1)&lt;&gt;"")))),"")</f>
        <v/>
      </c>
      <c r="AB22" s="145">
        <v>20</v>
      </c>
      <c r="AC22" s="154" t="str">
        <f>IF(AG22&lt;&gt;" ",ETANCHEITE!$D$5,"")</f>
        <v/>
      </c>
      <c r="AD22" s="154" t="str">
        <f>IF(AG22&lt;&gt;" ",ETANCHEITE!$D$8,"")</f>
        <v/>
      </c>
      <c r="AE22" s="146" t="str">
        <f>IFERROR(MATCH(AB22,ETANCHEITE!AP$22:AP$167,0)+18,"")</f>
        <v/>
      </c>
      <c r="AF22" s="147" t="str" cm="1">
        <f t="array" aca="1" ref="AF22" ca="1">IFERROR(IF(_xlfn.XLOOKUP(AB22,ETANCHEITE!AP$22:AP$167,ETANCHEITE!$A$22:$A$167,"")&lt;&gt;"",_xlfn.XLOOKUP(AB22,ETANCHEITE!AP$22:AP$167,ETANCHEITE!$A$22:$A$167,""),    INDEX(ETANCHEITE!$A:$A,MAX(_xlfn._xlws.FILTER(ROW(ETANCHEITE!$A$22:INDIRECT("'MENUISERIES EXTERIEURES'!$A" &amp; AE22-1)),ETANCHEITE!$A$22:INDIRECT("'MENUISERIES EXTERIEURES'!$A" &amp; AE22-1)&lt;&gt;"")))),"")&amp;"   "&amp;IFERROR(_xlfn.XLOOKUP(AB22,ETANCHEITE!AP$22:AP$167,ETANCHEITE!$B$22:$B$167),"")&amp;IFERROR(_xlfn.XLOOKUP(AB22,ETANCHEITE!AP$22:AP$167,ETANCHEITE!$C$22:$C$167),"")&amp;IFERROR(_xlfn.XLOOKUP(AB22,ETANCHEITE!AP$22:AP$167,ETANCHEITE!$D$22:$D$167),"")&amp;IFERROR(_xlfn.XLOOKUP(AB22,ETANCHEITE!AP$22:AP$167,ETANCHEITE!#REF!),"")&amp;IFERROR(_xlfn.XLOOKUP(AB22,ETANCHEITE!AP$22:AP$167,ETANCHEITE!#REF!),"")</f>
        <v xml:space="preserve">   </v>
      </c>
      <c r="AG22" s="155" t="str">
        <f>IFERROR(VLOOKUP(AB22,ETANCHEITE!AP$22:AR$167,2,FALSE),"")&amp;" "&amp;IFERROR(VLOOKUP(AB22,ETANCHEITE!AP$22:AR$167,3,FALSE),"")</f>
        <v xml:space="preserve"> </v>
      </c>
      <c r="AH22" s="148" t="str">
        <f>IF(AG22&lt;&gt;" ",'Feuille de Donnée'!$C$3,"")</f>
        <v/>
      </c>
      <c r="AI22" s="162" t="str" cm="1">
        <f t="array" aca="1" ref="AI22" ca="1">IFERROR(IF(_xlfn.XLOOKUP(AB22,ETANCHEITE!AP$22:AP$92,ETANCHEITE!AN$22:AN$92,"")&lt;&gt;"",_xlfn.XLOOKUP(AB22,ETANCHEITE!AP$22:AP$92,ETANCHEITE!AN$22:AN$92,""),    INDEX(ETANCHEITE!AN:AN,MAX(_xlfn._xlws.FILTER(ROW(ETANCHEITE!AN$22:INDIRECT("'PEINTURE'!O" &amp; AE22-1)),ETANCHEITE!AN$22:INDIRECT("'PEINTURE'!O" &amp; AE22-1)&lt;&gt;"")))),"")</f>
        <v/>
      </c>
      <c r="AJ22" s="163" t="str" cm="1">
        <f t="array" aca="1" ref="AJ22" ca="1">IFERROR(IF(_xlfn.XLOOKUP(AB22,ETANCHEITE!AP$22:AP$92,ETANCHEITE!AO$22:AO$92,"")&lt;&gt;"",_xlfn.XLOOKUP(AB22,ETANCHEITE!AP$22:AP$92,ETANCHEITE!AO$22:AO$92,""),    INDEX(ETANCHEITE!AO:AO,MAX(_xlfn._xlws.FILTER(ROW(ETANCHEITE!AO$22:INDIRECT("'PEINTURE'!P" &amp; AE22-1)),ETANCHEITE!AO$22:INDIRECT("'PEINTURE'!P" &amp; AE22-1)&lt;&gt;"")))),"")</f>
        <v/>
      </c>
      <c r="AK22" s="145">
        <v>20</v>
      </c>
      <c r="AL22" s="154" t="str">
        <f>IF(AP22&lt;&gt;" ",ETANCHEITE!$D$5,"")</f>
        <v/>
      </c>
      <c r="AM22" s="154" t="str">
        <f>IF(AP22&lt;&gt;" ",ETANCHEITE!$D$8,"")</f>
        <v/>
      </c>
      <c r="AN22" s="146" t="str">
        <f>IFERROR(MATCH(AK22,ETANCHEITE!AY$22:AY$167,0)+18,"")</f>
        <v/>
      </c>
      <c r="AO22" s="147" t="str" cm="1">
        <f t="array" aca="1" ref="AO22" ca="1">IFERROR(IF(_xlfn.XLOOKUP(AK22,ETANCHEITE!AY$22:AY$167,ETANCHEITE!$A$22:$A$167,"")&lt;&gt;"",_xlfn.XLOOKUP(AK22,ETANCHEITE!AY$22:AY$167,ETANCHEITE!$A$22:$A$167,""),    INDEX(ETANCHEITE!$A:$A,MAX(_xlfn._xlws.FILTER(ROW(ETANCHEITE!$A$22:INDIRECT("'MENUISERIES EXTERIEURES'!$A" &amp; AN22-1)),ETANCHEITE!$A$22:INDIRECT("'MENUISERIES EXTERIEURES'!$A" &amp; AN22-1)&lt;&gt;"")))),"")&amp;"   "&amp;IFERROR(_xlfn.XLOOKUP(AK22,ETANCHEITE!AY$22:AY$167,ETANCHEITE!$B$22:$B$167),"")&amp;IFERROR(_xlfn.XLOOKUP(AK22,ETANCHEITE!AY$22:AY$167,ETANCHEITE!$C$22:$C$167),"")&amp;IFERROR(_xlfn.XLOOKUP(AK22,ETANCHEITE!AY$22:AY$167,ETANCHEITE!$D$22:$D$167),"")&amp;IFERROR(_xlfn.XLOOKUP(AK22,ETANCHEITE!AY$22:AY$167,ETANCHEITE!#REF!),"")&amp;IFERROR(_xlfn.XLOOKUP(AK22,ETANCHEITE!AY$22:AY$167,ETANCHEITE!#REF!),"")</f>
        <v xml:space="preserve">   </v>
      </c>
      <c r="AP22" s="155" t="str">
        <f>IFERROR(VLOOKUP(AK22,ETANCHEITE!AY$22:BA$167,2,FALSE),"")&amp;" "&amp;IFERROR(VLOOKUP(AK22,ETANCHEITE!AY$22:BA$167,3,FALSE),"")</f>
        <v xml:space="preserve"> </v>
      </c>
      <c r="AQ22" s="148" t="str">
        <f>IF(AP22&lt;&gt;" ",'Feuille de Donnée'!$C$3,"")</f>
        <v/>
      </c>
      <c r="AR22" s="162" t="str" cm="1">
        <f t="array" aca="1" ref="AR22" ca="1">IFERROR(IF(_xlfn.XLOOKUP(AK22,ETANCHEITE!AY$22:AY$92,ETANCHEITE!AW$22:AW$92,"")&lt;&gt;"",_xlfn.XLOOKUP(AK22,ETANCHEITE!AY$22:AY$92,ETANCHEITE!AW$22:AW$92,""),    INDEX(ETANCHEITE!AW:AW,MAX(_xlfn._xlws.FILTER(ROW(ETANCHEITE!AW$22:INDIRECT("'PEINTURE'!O" &amp; AN22-1)),ETANCHEITE!AW$22:INDIRECT("'PEINTURE'!O" &amp; AN22-1)&lt;&gt;"")))),"")</f>
        <v/>
      </c>
      <c r="AS22" s="163" t="str" cm="1">
        <f t="array" aca="1" ref="AS22" ca="1">IFERROR(IF(_xlfn.XLOOKUP(AK22,ETANCHEITE!AY$22:AY$92,ETANCHEITE!AX$22:AX$92,"")&lt;&gt;"",_xlfn.XLOOKUP(AK22,ETANCHEITE!AY$22:AY$92,ETANCHEITE!AX$22:AX$92,""),    INDEX(ETANCHEITE!AX:AX,MAX(_xlfn._xlws.FILTER(ROW(ETANCHEITE!AX$22:INDIRECT("'PEINTURE'!P" &amp; AN22-1)),ETANCHEITE!AX$22:INDIRECT("'PEINTURE'!P" &amp; AN22-1)&lt;&gt;"")))),"")</f>
        <v/>
      </c>
      <c r="AT22" s="145">
        <v>20</v>
      </c>
      <c r="AU22" s="154" t="str">
        <f>IF(AY22&lt;&gt;" ",ETANCHEITE!$D$5,"")</f>
        <v/>
      </c>
      <c r="AV22" s="154" t="str">
        <f>IF(AY22&lt;&gt;" ",ETANCHEITE!$D$8,"")</f>
        <v/>
      </c>
      <c r="AW22" s="146" t="str">
        <f>IFERROR(MATCH(AT22,ETANCHEITE!BH$22:BH$167,0)+18,"")</f>
        <v/>
      </c>
      <c r="AX22" s="147" t="str" cm="1">
        <f t="array" aca="1" ref="AX22" ca="1">IFERROR(IF(_xlfn.XLOOKUP(AT22,ETANCHEITE!BH$22:BH$167,ETANCHEITE!$A$22:$A$167,"")&lt;&gt;"",_xlfn.XLOOKUP(AT22,ETANCHEITE!BH$22:BH$167,ETANCHEITE!$A$22:$A$167,""),    INDEX(ETANCHEITE!$A:$A,MAX(_xlfn._xlws.FILTER(ROW(ETANCHEITE!$A$22:INDIRECT("'MENUISERIES EXTERIEURES'!$A" &amp; AW22-1)),ETANCHEITE!$A$22:INDIRECT("'MENUISERIES EXTERIEURES'!$A" &amp; AW22-1)&lt;&gt;"")))),"")&amp;"   "&amp;IFERROR(_xlfn.XLOOKUP(AT22,ETANCHEITE!BH$22:BH$167,ETANCHEITE!$B$22:$B$167),"")&amp;IFERROR(_xlfn.XLOOKUP(AT22,ETANCHEITE!BH$22:BH$167,ETANCHEITE!$C$22:$C$167),"")&amp;IFERROR(_xlfn.XLOOKUP(AT22,ETANCHEITE!BH$22:BH$167,ETANCHEITE!$D$22:$D$167),"")&amp;IFERROR(_xlfn.XLOOKUP(AT22,ETANCHEITE!BH$22:BH$167,ETANCHEITE!#REF!),"")&amp;IFERROR(_xlfn.XLOOKUP(AT22,ETANCHEITE!BH$22:BH$167,ETANCHEITE!#REF!),"")</f>
        <v xml:space="preserve">   </v>
      </c>
      <c r="AY22" s="155" t="str">
        <f>IFERROR(VLOOKUP(AT22,ETANCHEITE!BH$22:BJ$167,2,FALSE),"")&amp;" "&amp;IFERROR(VLOOKUP(AT22,ETANCHEITE!BH$22:BJ$167,3,FALSE),"")</f>
        <v xml:space="preserve"> </v>
      </c>
      <c r="AZ22" s="148" t="str">
        <f>IF(AY22&lt;&gt;" ",'Feuille de Donnée'!$C$3,"")</f>
        <v/>
      </c>
      <c r="BA22" s="162" t="str" cm="1">
        <f t="array" aca="1" ref="BA22" ca="1">IFERROR(IF(_xlfn.XLOOKUP(AT22,ETANCHEITE!BH$22:BH$92,ETANCHEITE!BF$22:BF$92,"")&lt;&gt;"",_xlfn.XLOOKUP(AT22,ETANCHEITE!BH$22:BH$92,ETANCHEITE!BF$22:BF$92,""),    INDEX(ETANCHEITE!BF:BF,MAX(_xlfn._xlws.FILTER(ROW(ETANCHEITE!BF$22:INDIRECT("'PEINTURE'!O" &amp; AW22-1)),ETANCHEITE!BF$22:INDIRECT("'PEINTURE'!O" &amp; AW22-1)&lt;&gt;"")))),"")</f>
        <v/>
      </c>
      <c r="BB22" s="163" t="str" cm="1">
        <f t="array" aca="1" ref="BB22" ca="1">IFERROR(IF(_xlfn.XLOOKUP(AT22,ETANCHEITE!BH$22:BH$92,ETANCHEITE!BG$22:BG$92,"")&lt;&gt;"",_xlfn.XLOOKUP(AT22,ETANCHEITE!BH$22:BH$92,ETANCHEITE!BG$22:BG$92,""),    INDEX(ETANCHEITE!BG:BG,MAX(_xlfn._xlws.FILTER(ROW(ETANCHEITE!BG$22:INDIRECT("'PEINTURE'!P" &amp; AW22-1)),ETANCHEITE!BG$22:INDIRECT("'PEINTURE'!P" &amp; AW22-1)&lt;&gt;"")))),"")</f>
        <v/>
      </c>
    </row>
    <row r="23" spans="1:54" ht="15" customHeight="1" x14ac:dyDescent="0.3">
      <c r="A23" s="145">
        <v>21</v>
      </c>
      <c r="B23" s="154" t="str">
        <f>IF(F23&lt;&gt;" ",ETANCHEITE!$D$5,"")</f>
        <v/>
      </c>
      <c r="C23" s="154" t="str">
        <f>IF(F23&lt;&gt;" ",ETANCHEITE!$D$8,"")</f>
        <v/>
      </c>
      <c r="D23" s="146" t="str">
        <f>IFERROR(MATCH(A23,ETANCHEITE!O$22:O$167,0)+18,"")</f>
        <v/>
      </c>
      <c r="E23" s="147" t="str" cm="1">
        <f t="array" aca="1" ref="E23" ca="1">IFERROR(IF(_xlfn.XLOOKUP(A23,ETANCHEITE!O$22:O$167,ETANCHEITE!$A$22:$A$167,"")&lt;&gt;"",_xlfn.XLOOKUP(A23,ETANCHEITE!O$22:O$167,ETANCHEITE!$A$22:$A$167,""),    INDEX(ETANCHEITE!$A:$A,MAX(_xlfn._xlws.FILTER(ROW(ETANCHEITE!$A$22:INDIRECT("'MENUISERIES EXTERIEURES'!$A" &amp; D23-1)),ETANCHEITE!$A$22:INDIRECT("'MENUISERIES EXTERIEURES'!$A" &amp; D23-1)&lt;&gt;"")))),"")&amp;"   "&amp;IFERROR(_xlfn.XLOOKUP(A23,ETANCHEITE!O$22:O$167,ETANCHEITE!$B$22:$B$167),"")&amp;IFERROR(_xlfn.XLOOKUP(A23,ETANCHEITE!O$22:O$167,ETANCHEITE!$C$22:$C$167),"")&amp;IFERROR(_xlfn.XLOOKUP(A23,ETANCHEITE!O$22:O$167,ETANCHEITE!$D$22:$D$167),"")&amp;IFERROR(_xlfn.XLOOKUP(A23,ETANCHEITE!O$22:O$167,ETANCHEITE!#REF!),"")&amp;IFERROR(_xlfn.XLOOKUP(A23,ETANCHEITE!O$22:O$167,ETANCHEITE!#REF!),"")</f>
        <v xml:space="preserve">   </v>
      </c>
      <c r="F23" s="155" t="str">
        <f>IFERROR(VLOOKUP(A23,ETANCHEITE!O$22:Q$167,2,FALSE),"")&amp;" "&amp;IFERROR(VLOOKUP(A23,ETANCHEITE!O$22:Q$167,3,FALSE),"")</f>
        <v xml:space="preserve"> </v>
      </c>
      <c r="G23" s="148" t="str">
        <f>IF(F23&lt;&gt;" ",'Feuille de Donnée'!$C$3,"")</f>
        <v/>
      </c>
      <c r="H23" s="162" t="str" cm="1">
        <f t="array" aca="1" ref="H23" ca="1">IFERROR(IF(_xlfn.XLOOKUP(A23,ETANCHEITE!O$22:O$92,ETANCHEITE!M$22:M$92,"")&lt;&gt;"",_xlfn.XLOOKUP(A23,ETANCHEITE!O$22:O$92,ETANCHEITE!M$22:M$92,""),    INDEX(ETANCHEITE!M:M,MAX(_xlfn._xlws.FILTER(ROW(ETANCHEITE!M$22:INDIRECT("'PEINTURE'!O" &amp; D23-1)),ETANCHEITE!M$22:INDIRECT("'PEINTURE'!O" &amp; D23-1)&lt;&gt;"")))),"")</f>
        <v/>
      </c>
      <c r="I23" s="163" t="str" cm="1">
        <f t="array" aca="1" ref="I23" ca="1">IFERROR(IF(_xlfn.XLOOKUP(A23,ETANCHEITE!O$22:O$92,ETANCHEITE!N$22:N$92,"")&lt;&gt;"",_xlfn.XLOOKUP(A23,ETANCHEITE!O$22:O$92,ETANCHEITE!N$22:N$92,""),    INDEX(ETANCHEITE!N:N,MAX(_xlfn._xlws.FILTER(ROW(ETANCHEITE!N$22:INDIRECT("'PEINTURE'!P" &amp; D23-1)),ETANCHEITE!N$22:INDIRECT("'PEINTURE'!P" &amp; D23-1)&lt;&gt;"")))),"")</f>
        <v/>
      </c>
      <c r="J23" s="145">
        <v>21</v>
      </c>
      <c r="K23" s="154" t="str">
        <f>IF(O23&lt;&gt;" ",ETANCHEITE!$D$5,"")</f>
        <v/>
      </c>
      <c r="L23" s="154" t="str">
        <f>IF(O23&lt;&gt;" ",ETANCHEITE!$D$8,"")</f>
        <v/>
      </c>
      <c r="M23" s="146" t="str">
        <f>IFERROR(MATCH(J23,ETANCHEITE!X$22:X$167,0)+18,"")</f>
        <v/>
      </c>
      <c r="N23" s="147" t="str" cm="1">
        <f t="array" aca="1" ref="N23" ca="1">IFERROR(IF(_xlfn.XLOOKUP(J23,ETANCHEITE!X$22:X$167,ETANCHEITE!$A$22:$A$167,"")&lt;&gt;"",_xlfn.XLOOKUP(J23,ETANCHEITE!X$22:X$167,ETANCHEITE!$A$22:$A$167,""),    INDEX(ETANCHEITE!$A:$A,MAX(_xlfn._xlws.FILTER(ROW(ETANCHEITE!$A$22:INDIRECT("'MENUISERIES EXTERIEURES'!$A" &amp; M23-1)),ETANCHEITE!$A$22:INDIRECT("'MENUISERIES EXTERIEURES'!$A" &amp; M23-1)&lt;&gt;"")))),"")&amp;"   "&amp;IFERROR(_xlfn.XLOOKUP(J23,ETANCHEITE!X$22:X$167,ETANCHEITE!$B$22:$B$167),"")&amp;IFERROR(_xlfn.XLOOKUP(J23,ETANCHEITE!X$22:X$167,ETANCHEITE!$C$22:$C$167),"")&amp;IFERROR(_xlfn.XLOOKUP(J23,ETANCHEITE!X$22:X$167,ETANCHEITE!$D$22:$D$167),"")&amp;IFERROR(_xlfn.XLOOKUP(J23,ETANCHEITE!X$22:X$167,ETANCHEITE!#REF!),"")&amp;IFERROR(_xlfn.XLOOKUP(J23,ETANCHEITE!X$22:X$167,ETANCHEITE!#REF!),"")</f>
        <v xml:space="preserve">   </v>
      </c>
      <c r="O23" s="155" t="str">
        <f>IFERROR(VLOOKUP(J23,ETANCHEITE!X$22:Z$167,2,FALSE),"")&amp;" "&amp;IFERROR(VLOOKUP(J23,ETANCHEITE!X$22:Z$167,3,FALSE),"")</f>
        <v xml:space="preserve"> </v>
      </c>
      <c r="P23" s="148" t="str">
        <f>IF(O23&lt;&gt;" ",'Feuille de Donnée'!$C$3,"")</f>
        <v/>
      </c>
      <c r="Q23" s="162" t="str" cm="1">
        <f t="array" aca="1" ref="Q23" ca="1">IFERROR(IF(_xlfn.XLOOKUP(J23,ETANCHEITE!X$22:X$92,ETANCHEITE!V$22:V$92,"")&lt;&gt;"",_xlfn.XLOOKUP(J23,ETANCHEITE!X$22:X$92,ETANCHEITE!V$22:V$92,""),    INDEX(ETANCHEITE!V:V,MAX(_xlfn._xlws.FILTER(ROW(ETANCHEITE!V$22:INDIRECT("'PEINTURE'!O" &amp; M23-1)),ETANCHEITE!V$22:INDIRECT("'PEINTURE'!O" &amp; M23-1)&lt;&gt;"")))),"")</f>
        <v/>
      </c>
      <c r="R23" s="163" t="str" cm="1">
        <f t="array" aca="1" ref="R23" ca="1">IFERROR(IF(_xlfn.XLOOKUP(J23,ETANCHEITE!X$22:X$92,ETANCHEITE!W$22:W$92,"")&lt;&gt;"",_xlfn.XLOOKUP(J23,ETANCHEITE!X$22:X$92,ETANCHEITE!W$22:W$92,""),    INDEX(ETANCHEITE!W:W,MAX(_xlfn._xlws.FILTER(ROW(ETANCHEITE!W$22:INDIRECT("'PEINTURE'!P" &amp; M23-1)),ETANCHEITE!W$22:INDIRECT("'PEINTURE'!P" &amp; M23-1)&lt;&gt;"")))),"")</f>
        <v/>
      </c>
      <c r="S23" s="145">
        <v>21</v>
      </c>
      <c r="T23" s="154" t="str">
        <f>IF(X23&lt;&gt;" ",ETANCHEITE!$D$5,"")</f>
        <v/>
      </c>
      <c r="U23" s="154" t="str">
        <f>IF(X23&lt;&gt;" ",ETANCHEITE!$D$8,"")</f>
        <v/>
      </c>
      <c r="V23" s="146" t="str">
        <f>IFERROR(MATCH(S23,ETANCHEITE!AG$22:AG$167,0)+18,"")</f>
        <v/>
      </c>
      <c r="W23" s="147" t="str" cm="1">
        <f t="array" aca="1" ref="W23" ca="1">IFERROR(IF(_xlfn.XLOOKUP(S23,ETANCHEITE!AG$22:AG$167,ETANCHEITE!$A$22:$A$167,"")&lt;&gt;"",_xlfn.XLOOKUP(S23,ETANCHEITE!AG$22:AG$167,ETANCHEITE!$A$22:$A$167,""),    INDEX(ETANCHEITE!$A:$A,MAX(_xlfn._xlws.FILTER(ROW(ETANCHEITE!$A$22:INDIRECT("'MENUISERIES EXTERIEURES'!$A" &amp; V23-1)),ETANCHEITE!$A$22:INDIRECT("'MENUISERIES EXTERIEURES'!$A" &amp; V23-1)&lt;&gt;"")))),"")&amp;"   "&amp;IFERROR(_xlfn.XLOOKUP(S23,ETANCHEITE!AG$22:AG$167,ETANCHEITE!$B$22:$B$167),"")&amp;IFERROR(_xlfn.XLOOKUP(S23,ETANCHEITE!AG$22:AG$167,ETANCHEITE!$C$22:$C$167),"")&amp;IFERROR(_xlfn.XLOOKUP(S23,ETANCHEITE!AG$22:AG$167,ETANCHEITE!$D$22:$D$167),"")&amp;IFERROR(_xlfn.XLOOKUP(S23,ETANCHEITE!AG$22:AG$167,ETANCHEITE!#REF!),"")&amp;IFERROR(_xlfn.XLOOKUP(S23,ETANCHEITE!AG$22:AG$167,ETANCHEITE!#REF!),"")</f>
        <v xml:space="preserve">   </v>
      </c>
      <c r="X23" s="155" t="str">
        <f>IFERROR(VLOOKUP(S23,ETANCHEITE!AG$22:AI$167,2,FALSE),"")&amp;" "&amp;IFERROR(VLOOKUP(S23,ETANCHEITE!AG$22:AI$167,3,FALSE),"")</f>
        <v xml:space="preserve"> </v>
      </c>
      <c r="Y23" s="148" t="str">
        <f>IF(X23&lt;&gt;" ",'Feuille de Donnée'!$C$3,"")</f>
        <v/>
      </c>
      <c r="Z23" s="162" t="str" cm="1">
        <f t="array" aca="1" ref="Z23" ca="1">IFERROR(IF(_xlfn.XLOOKUP(S23,ETANCHEITE!AG$22:AG$92,ETANCHEITE!AE$22:AE$92,"")&lt;&gt;"",_xlfn.XLOOKUP(S23,ETANCHEITE!AG$22:AG$92,ETANCHEITE!AE$22:AE$92,""),    INDEX(ETANCHEITE!AE:AE,MAX(_xlfn._xlws.FILTER(ROW(ETANCHEITE!AE$22:INDIRECT("'PEINTURE'!O" &amp; V23-1)),ETANCHEITE!AE$22:INDIRECT("'PEINTURE'!O" &amp; V23-1)&lt;&gt;"")))),"")</f>
        <v/>
      </c>
      <c r="AA23" s="163" t="str" cm="1">
        <f t="array" aca="1" ref="AA23" ca="1">IFERROR(IF(_xlfn.XLOOKUP(S23,ETANCHEITE!AG$22:AG$92,ETANCHEITE!AF$22:AF$92,"")&lt;&gt;"",_xlfn.XLOOKUP(S23,ETANCHEITE!AG$22:AG$92,ETANCHEITE!AF$22:AF$92,""),    INDEX(ETANCHEITE!AF:AF,MAX(_xlfn._xlws.FILTER(ROW(ETANCHEITE!AF$22:INDIRECT("'PEINTURE'!P" &amp; V23-1)),ETANCHEITE!AF$22:INDIRECT("'PEINTURE'!P" &amp; V23-1)&lt;&gt;"")))),"")</f>
        <v/>
      </c>
      <c r="AB23" s="145">
        <v>21</v>
      </c>
      <c r="AC23" s="154" t="str">
        <f>IF(AG23&lt;&gt;" ",ETANCHEITE!$D$5,"")</f>
        <v/>
      </c>
      <c r="AD23" s="154" t="str">
        <f>IF(AG23&lt;&gt;" ",ETANCHEITE!$D$8,"")</f>
        <v/>
      </c>
      <c r="AE23" s="146" t="str">
        <f>IFERROR(MATCH(AB23,ETANCHEITE!AP$22:AP$167,0)+18,"")</f>
        <v/>
      </c>
      <c r="AF23" s="147" t="str" cm="1">
        <f t="array" aca="1" ref="AF23" ca="1">IFERROR(IF(_xlfn.XLOOKUP(AB23,ETANCHEITE!AP$22:AP$167,ETANCHEITE!$A$22:$A$167,"")&lt;&gt;"",_xlfn.XLOOKUP(AB23,ETANCHEITE!AP$22:AP$167,ETANCHEITE!$A$22:$A$167,""),    INDEX(ETANCHEITE!$A:$A,MAX(_xlfn._xlws.FILTER(ROW(ETANCHEITE!$A$22:INDIRECT("'MENUISERIES EXTERIEURES'!$A" &amp; AE23-1)),ETANCHEITE!$A$22:INDIRECT("'MENUISERIES EXTERIEURES'!$A" &amp; AE23-1)&lt;&gt;"")))),"")&amp;"   "&amp;IFERROR(_xlfn.XLOOKUP(AB23,ETANCHEITE!AP$22:AP$167,ETANCHEITE!$B$22:$B$167),"")&amp;IFERROR(_xlfn.XLOOKUP(AB23,ETANCHEITE!AP$22:AP$167,ETANCHEITE!$C$22:$C$167),"")&amp;IFERROR(_xlfn.XLOOKUP(AB23,ETANCHEITE!AP$22:AP$167,ETANCHEITE!$D$22:$D$167),"")&amp;IFERROR(_xlfn.XLOOKUP(AB23,ETANCHEITE!AP$22:AP$167,ETANCHEITE!#REF!),"")&amp;IFERROR(_xlfn.XLOOKUP(AB23,ETANCHEITE!AP$22:AP$167,ETANCHEITE!#REF!),"")</f>
        <v xml:space="preserve">   </v>
      </c>
      <c r="AG23" s="155" t="str">
        <f>IFERROR(VLOOKUP(AB23,ETANCHEITE!AP$22:AR$167,2,FALSE),"")&amp;" "&amp;IFERROR(VLOOKUP(AB23,ETANCHEITE!AP$22:AR$167,3,FALSE),"")</f>
        <v xml:space="preserve"> </v>
      </c>
      <c r="AH23" s="148" t="str">
        <f>IF(AG23&lt;&gt;" ",'Feuille de Donnée'!$C$3,"")</f>
        <v/>
      </c>
      <c r="AI23" s="162" t="str" cm="1">
        <f t="array" aca="1" ref="AI23" ca="1">IFERROR(IF(_xlfn.XLOOKUP(AB23,ETANCHEITE!AP$22:AP$92,ETANCHEITE!AN$22:AN$92,"")&lt;&gt;"",_xlfn.XLOOKUP(AB23,ETANCHEITE!AP$22:AP$92,ETANCHEITE!AN$22:AN$92,""),    INDEX(ETANCHEITE!AN:AN,MAX(_xlfn._xlws.FILTER(ROW(ETANCHEITE!AN$22:INDIRECT("'PEINTURE'!O" &amp; AE23-1)),ETANCHEITE!AN$22:INDIRECT("'PEINTURE'!O" &amp; AE23-1)&lt;&gt;"")))),"")</f>
        <v/>
      </c>
      <c r="AJ23" s="163" t="str" cm="1">
        <f t="array" aca="1" ref="AJ23" ca="1">IFERROR(IF(_xlfn.XLOOKUP(AB23,ETANCHEITE!AP$22:AP$92,ETANCHEITE!AO$22:AO$92,"")&lt;&gt;"",_xlfn.XLOOKUP(AB23,ETANCHEITE!AP$22:AP$92,ETANCHEITE!AO$22:AO$92,""),    INDEX(ETANCHEITE!AO:AO,MAX(_xlfn._xlws.FILTER(ROW(ETANCHEITE!AO$22:INDIRECT("'PEINTURE'!P" &amp; AE23-1)),ETANCHEITE!AO$22:INDIRECT("'PEINTURE'!P" &amp; AE23-1)&lt;&gt;"")))),"")</f>
        <v/>
      </c>
      <c r="AK23" s="145">
        <v>21</v>
      </c>
      <c r="AL23" s="154" t="str">
        <f>IF(AP23&lt;&gt;" ",ETANCHEITE!$D$5,"")</f>
        <v/>
      </c>
      <c r="AM23" s="154" t="str">
        <f>IF(AP23&lt;&gt;" ",ETANCHEITE!$D$8,"")</f>
        <v/>
      </c>
      <c r="AN23" s="146" t="str">
        <f>IFERROR(MATCH(AK23,ETANCHEITE!AY$22:AY$167,0)+18,"")</f>
        <v/>
      </c>
      <c r="AO23" s="147" t="str" cm="1">
        <f t="array" aca="1" ref="AO23" ca="1">IFERROR(IF(_xlfn.XLOOKUP(AK23,ETANCHEITE!AY$22:AY$167,ETANCHEITE!$A$22:$A$167,"")&lt;&gt;"",_xlfn.XLOOKUP(AK23,ETANCHEITE!AY$22:AY$167,ETANCHEITE!$A$22:$A$167,""),    INDEX(ETANCHEITE!$A:$A,MAX(_xlfn._xlws.FILTER(ROW(ETANCHEITE!$A$22:INDIRECT("'MENUISERIES EXTERIEURES'!$A" &amp; AN23-1)),ETANCHEITE!$A$22:INDIRECT("'MENUISERIES EXTERIEURES'!$A" &amp; AN23-1)&lt;&gt;"")))),"")&amp;"   "&amp;IFERROR(_xlfn.XLOOKUP(AK23,ETANCHEITE!AY$22:AY$167,ETANCHEITE!$B$22:$B$167),"")&amp;IFERROR(_xlfn.XLOOKUP(AK23,ETANCHEITE!AY$22:AY$167,ETANCHEITE!$C$22:$C$167),"")&amp;IFERROR(_xlfn.XLOOKUP(AK23,ETANCHEITE!AY$22:AY$167,ETANCHEITE!$D$22:$D$167),"")&amp;IFERROR(_xlfn.XLOOKUP(AK23,ETANCHEITE!AY$22:AY$167,ETANCHEITE!#REF!),"")&amp;IFERROR(_xlfn.XLOOKUP(AK23,ETANCHEITE!AY$22:AY$167,ETANCHEITE!#REF!),"")</f>
        <v xml:space="preserve">   </v>
      </c>
      <c r="AP23" s="155" t="str">
        <f>IFERROR(VLOOKUP(AK23,ETANCHEITE!AY$22:BA$167,2,FALSE),"")&amp;" "&amp;IFERROR(VLOOKUP(AK23,ETANCHEITE!AY$22:BA$167,3,FALSE),"")</f>
        <v xml:space="preserve"> </v>
      </c>
      <c r="AQ23" s="148" t="str">
        <f>IF(AP23&lt;&gt;" ",'Feuille de Donnée'!$C$3,"")</f>
        <v/>
      </c>
      <c r="AR23" s="162" t="str" cm="1">
        <f t="array" aca="1" ref="AR23" ca="1">IFERROR(IF(_xlfn.XLOOKUP(AK23,ETANCHEITE!AY$22:AY$92,ETANCHEITE!AW$22:AW$92,"")&lt;&gt;"",_xlfn.XLOOKUP(AK23,ETANCHEITE!AY$22:AY$92,ETANCHEITE!AW$22:AW$92,""),    INDEX(ETANCHEITE!AW:AW,MAX(_xlfn._xlws.FILTER(ROW(ETANCHEITE!AW$22:INDIRECT("'PEINTURE'!O" &amp; AN23-1)),ETANCHEITE!AW$22:INDIRECT("'PEINTURE'!O" &amp; AN23-1)&lt;&gt;"")))),"")</f>
        <v/>
      </c>
      <c r="AS23" s="163" t="str" cm="1">
        <f t="array" aca="1" ref="AS23" ca="1">IFERROR(IF(_xlfn.XLOOKUP(AK23,ETANCHEITE!AY$22:AY$92,ETANCHEITE!AX$22:AX$92,"")&lt;&gt;"",_xlfn.XLOOKUP(AK23,ETANCHEITE!AY$22:AY$92,ETANCHEITE!AX$22:AX$92,""),    INDEX(ETANCHEITE!AX:AX,MAX(_xlfn._xlws.FILTER(ROW(ETANCHEITE!AX$22:INDIRECT("'PEINTURE'!P" &amp; AN23-1)),ETANCHEITE!AX$22:INDIRECT("'PEINTURE'!P" &amp; AN23-1)&lt;&gt;"")))),"")</f>
        <v/>
      </c>
      <c r="AT23" s="145">
        <v>21</v>
      </c>
      <c r="AU23" s="154" t="str">
        <f>IF(AY23&lt;&gt;" ",ETANCHEITE!$D$5,"")</f>
        <v/>
      </c>
      <c r="AV23" s="154" t="str">
        <f>IF(AY23&lt;&gt;" ",ETANCHEITE!$D$8,"")</f>
        <v/>
      </c>
      <c r="AW23" s="146" t="str">
        <f>IFERROR(MATCH(AT23,ETANCHEITE!BH$22:BH$167,0)+18,"")</f>
        <v/>
      </c>
      <c r="AX23" s="147" t="str" cm="1">
        <f t="array" aca="1" ref="AX23" ca="1">IFERROR(IF(_xlfn.XLOOKUP(AT23,ETANCHEITE!BH$22:BH$167,ETANCHEITE!$A$22:$A$167,"")&lt;&gt;"",_xlfn.XLOOKUP(AT23,ETANCHEITE!BH$22:BH$167,ETANCHEITE!$A$22:$A$167,""),    INDEX(ETANCHEITE!$A:$A,MAX(_xlfn._xlws.FILTER(ROW(ETANCHEITE!$A$22:INDIRECT("'MENUISERIES EXTERIEURES'!$A" &amp; AW23-1)),ETANCHEITE!$A$22:INDIRECT("'MENUISERIES EXTERIEURES'!$A" &amp; AW23-1)&lt;&gt;"")))),"")&amp;"   "&amp;IFERROR(_xlfn.XLOOKUP(AT23,ETANCHEITE!BH$22:BH$167,ETANCHEITE!$B$22:$B$167),"")&amp;IFERROR(_xlfn.XLOOKUP(AT23,ETANCHEITE!BH$22:BH$167,ETANCHEITE!$C$22:$C$167),"")&amp;IFERROR(_xlfn.XLOOKUP(AT23,ETANCHEITE!BH$22:BH$167,ETANCHEITE!$D$22:$D$167),"")&amp;IFERROR(_xlfn.XLOOKUP(AT23,ETANCHEITE!BH$22:BH$167,ETANCHEITE!#REF!),"")&amp;IFERROR(_xlfn.XLOOKUP(AT23,ETANCHEITE!BH$22:BH$167,ETANCHEITE!#REF!),"")</f>
        <v xml:space="preserve">   </v>
      </c>
      <c r="AY23" s="155" t="str">
        <f>IFERROR(VLOOKUP(AT23,ETANCHEITE!BH$22:BJ$167,2,FALSE),"")&amp;" "&amp;IFERROR(VLOOKUP(AT23,ETANCHEITE!BH$22:BJ$167,3,FALSE),"")</f>
        <v xml:space="preserve"> </v>
      </c>
      <c r="AZ23" s="148" t="str">
        <f>IF(AY23&lt;&gt;" ",'Feuille de Donnée'!$C$3,"")</f>
        <v/>
      </c>
      <c r="BA23" s="162" t="str" cm="1">
        <f t="array" aca="1" ref="BA23" ca="1">IFERROR(IF(_xlfn.XLOOKUP(AT23,ETANCHEITE!BH$22:BH$92,ETANCHEITE!BF$22:BF$92,"")&lt;&gt;"",_xlfn.XLOOKUP(AT23,ETANCHEITE!BH$22:BH$92,ETANCHEITE!BF$22:BF$92,""),    INDEX(ETANCHEITE!BF:BF,MAX(_xlfn._xlws.FILTER(ROW(ETANCHEITE!BF$22:INDIRECT("'PEINTURE'!O" &amp; AW23-1)),ETANCHEITE!BF$22:INDIRECT("'PEINTURE'!O" &amp; AW23-1)&lt;&gt;"")))),"")</f>
        <v/>
      </c>
      <c r="BB23" s="163" t="str" cm="1">
        <f t="array" aca="1" ref="BB23" ca="1">IFERROR(IF(_xlfn.XLOOKUP(AT23,ETANCHEITE!BH$22:BH$92,ETANCHEITE!BG$22:BG$92,"")&lt;&gt;"",_xlfn.XLOOKUP(AT23,ETANCHEITE!BH$22:BH$92,ETANCHEITE!BG$22:BG$92,""),    INDEX(ETANCHEITE!BG:BG,MAX(_xlfn._xlws.FILTER(ROW(ETANCHEITE!BG$22:INDIRECT("'PEINTURE'!P" &amp; AW23-1)),ETANCHEITE!BG$22:INDIRECT("'PEINTURE'!P" &amp; AW23-1)&lt;&gt;"")))),"")</f>
        <v/>
      </c>
    </row>
    <row r="24" spans="1:54" ht="15" customHeight="1" x14ac:dyDescent="0.3">
      <c r="A24" s="145">
        <v>22</v>
      </c>
      <c r="B24" s="154" t="str">
        <f>IF(F24&lt;&gt;" ",ETANCHEITE!$D$5,"")</f>
        <v/>
      </c>
      <c r="C24" s="154" t="str">
        <f>IF(F24&lt;&gt;" ",ETANCHEITE!$D$8,"")</f>
        <v/>
      </c>
      <c r="D24" s="146" t="str">
        <f>IFERROR(MATCH(A24,ETANCHEITE!O$22:O$167,0)+18,"")</f>
        <v/>
      </c>
      <c r="E24" s="147" t="str" cm="1">
        <f t="array" aca="1" ref="E24" ca="1">IFERROR(IF(_xlfn.XLOOKUP(A24,ETANCHEITE!O$22:O$167,ETANCHEITE!$A$22:$A$167,"")&lt;&gt;"",_xlfn.XLOOKUP(A24,ETANCHEITE!O$22:O$167,ETANCHEITE!$A$22:$A$167,""),    INDEX(ETANCHEITE!$A:$A,MAX(_xlfn._xlws.FILTER(ROW(ETANCHEITE!$A$22:INDIRECT("'MENUISERIES EXTERIEURES'!$A" &amp; D24-1)),ETANCHEITE!$A$22:INDIRECT("'MENUISERIES EXTERIEURES'!$A" &amp; D24-1)&lt;&gt;"")))),"")&amp;"   "&amp;IFERROR(_xlfn.XLOOKUP(A24,ETANCHEITE!O$22:O$167,ETANCHEITE!$B$22:$B$167),"")&amp;IFERROR(_xlfn.XLOOKUP(A24,ETANCHEITE!O$22:O$167,ETANCHEITE!$C$22:$C$167),"")&amp;IFERROR(_xlfn.XLOOKUP(A24,ETANCHEITE!O$22:O$167,ETANCHEITE!$D$22:$D$167),"")&amp;IFERROR(_xlfn.XLOOKUP(A24,ETANCHEITE!O$22:O$167,ETANCHEITE!#REF!),"")&amp;IFERROR(_xlfn.XLOOKUP(A24,ETANCHEITE!O$22:O$167,ETANCHEITE!#REF!),"")</f>
        <v xml:space="preserve">   </v>
      </c>
      <c r="F24" s="155" t="str">
        <f>IFERROR(VLOOKUP(A24,ETANCHEITE!O$22:Q$167,2,FALSE),"")&amp;" "&amp;IFERROR(VLOOKUP(A24,ETANCHEITE!O$22:Q$167,3,FALSE),"")</f>
        <v xml:space="preserve"> </v>
      </c>
      <c r="G24" s="148" t="str">
        <f>IF(F24&lt;&gt;" ",'Feuille de Donnée'!$C$3,"")</f>
        <v/>
      </c>
      <c r="H24" s="162" t="str" cm="1">
        <f t="array" aca="1" ref="H24" ca="1">IFERROR(IF(_xlfn.XLOOKUP(A24,ETANCHEITE!O$22:O$92,ETANCHEITE!M$22:M$92,"")&lt;&gt;"",_xlfn.XLOOKUP(A24,ETANCHEITE!O$22:O$92,ETANCHEITE!M$22:M$92,""),    INDEX(ETANCHEITE!M:M,MAX(_xlfn._xlws.FILTER(ROW(ETANCHEITE!M$22:INDIRECT("'PEINTURE'!O" &amp; D24-1)),ETANCHEITE!M$22:INDIRECT("'PEINTURE'!O" &amp; D24-1)&lt;&gt;"")))),"")</f>
        <v/>
      </c>
      <c r="I24" s="163" t="str" cm="1">
        <f t="array" aca="1" ref="I24" ca="1">IFERROR(IF(_xlfn.XLOOKUP(A24,ETANCHEITE!O$22:O$92,ETANCHEITE!N$22:N$92,"")&lt;&gt;"",_xlfn.XLOOKUP(A24,ETANCHEITE!O$22:O$92,ETANCHEITE!N$22:N$92,""),    INDEX(ETANCHEITE!N:N,MAX(_xlfn._xlws.FILTER(ROW(ETANCHEITE!N$22:INDIRECT("'PEINTURE'!P" &amp; D24-1)),ETANCHEITE!N$22:INDIRECT("'PEINTURE'!P" &amp; D24-1)&lt;&gt;"")))),"")</f>
        <v/>
      </c>
      <c r="J24" s="145">
        <v>22</v>
      </c>
      <c r="K24" s="154" t="str">
        <f>IF(O24&lt;&gt;" ",ETANCHEITE!$D$5,"")</f>
        <v/>
      </c>
      <c r="L24" s="154" t="str">
        <f>IF(O24&lt;&gt;" ",ETANCHEITE!$D$8,"")</f>
        <v/>
      </c>
      <c r="M24" s="146" t="str">
        <f>IFERROR(MATCH(J24,ETANCHEITE!X$22:X$167,0)+18,"")</f>
        <v/>
      </c>
      <c r="N24" s="147" t="str" cm="1">
        <f t="array" aca="1" ref="N24" ca="1">IFERROR(IF(_xlfn.XLOOKUP(J24,ETANCHEITE!X$22:X$167,ETANCHEITE!$A$22:$A$167,"")&lt;&gt;"",_xlfn.XLOOKUP(J24,ETANCHEITE!X$22:X$167,ETANCHEITE!$A$22:$A$167,""),    INDEX(ETANCHEITE!$A:$A,MAX(_xlfn._xlws.FILTER(ROW(ETANCHEITE!$A$22:INDIRECT("'MENUISERIES EXTERIEURES'!$A" &amp; M24-1)),ETANCHEITE!$A$22:INDIRECT("'MENUISERIES EXTERIEURES'!$A" &amp; M24-1)&lt;&gt;"")))),"")&amp;"   "&amp;IFERROR(_xlfn.XLOOKUP(J24,ETANCHEITE!X$22:X$167,ETANCHEITE!$B$22:$B$167),"")&amp;IFERROR(_xlfn.XLOOKUP(J24,ETANCHEITE!X$22:X$167,ETANCHEITE!$C$22:$C$167),"")&amp;IFERROR(_xlfn.XLOOKUP(J24,ETANCHEITE!X$22:X$167,ETANCHEITE!$D$22:$D$167),"")&amp;IFERROR(_xlfn.XLOOKUP(J24,ETANCHEITE!X$22:X$167,ETANCHEITE!#REF!),"")&amp;IFERROR(_xlfn.XLOOKUP(J24,ETANCHEITE!X$22:X$167,ETANCHEITE!#REF!),"")</f>
        <v xml:space="preserve">   </v>
      </c>
      <c r="O24" s="155" t="str">
        <f>IFERROR(VLOOKUP(J24,ETANCHEITE!X$22:Z$167,2,FALSE),"")&amp;" "&amp;IFERROR(VLOOKUP(J24,ETANCHEITE!X$22:Z$167,3,FALSE),"")</f>
        <v xml:space="preserve"> </v>
      </c>
      <c r="P24" s="148" t="str">
        <f>IF(O24&lt;&gt;" ",'Feuille de Donnée'!$C$3,"")</f>
        <v/>
      </c>
      <c r="Q24" s="162" t="str" cm="1">
        <f t="array" aca="1" ref="Q24" ca="1">IFERROR(IF(_xlfn.XLOOKUP(J24,ETANCHEITE!X$22:X$92,ETANCHEITE!V$22:V$92,"")&lt;&gt;"",_xlfn.XLOOKUP(J24,ETANCHEITE!X$22:X$92,ETANCHEITE!V$22:V$92,""),    INDEX(ETANCHEITE!V:V,MAX(_xlfn._xlws.FILTER(ROW(ETANCHEITE!V$22:INDIRECT("'PEINTURE'!O" &amp; M24-1)),ETANCHEITE!V$22:INDIRECT("'PEINTURE'!O" &amp; M24-1)&lt;&gt;"")))),"")</f>
        <v/>
      </c>
      <c r="R24" s="163" t="str" cm="1">
        <f t="array" aca="1" ref="R24" ca="1">IFERROR(IF(_xlfn.XLOOKUP(J24,ETANCHEITE!X$22:X$92,ETANCHEITE!W$22:W$92,"")&lt;&gt;"",_xlfn.XLOOKUP(J24,ETANCHEITE!X$22:X$92,ETANCHEITE!W$22:W$92,""),    INDEX(ETANCHEITE!W:W,MAX(_xlfn._xlws.FILTER(ROW(ETANCHEITE!W$22:INDIRECT("'PEINTURE'!P" &amp; M24-1)),ETANCHEITE!W$22:INDIRECT("'PEINTURE'!P" &amp; M24-1)&lt;&gt;"")))),"")</f>
        <v/>
      </c>
      <c r="S24" s="145">
        <v>22</v>
      </c>
      <c r="T24" s="154" t="str">
        <f>IF(X24&lt;&gt;" ",ETANCHEITE!$D$5,"")</f>
        <v/>
      </c>
      <c r="U24" s="154" t="str">
        <f>IF(X24&lt;&gt;" ",ETANCHEITE!$D$8,"")</f>
        <v/>
      </c>
      <c r="V24" s="146" t="str">
        <f>IFERROR(MATCH(S24,ETANCHEITE!AG$22:AG$167,0)+18,"")</f>
        <v/>
      </c>
      <c r="W24" s="147" t="str" cm="1">
        <f t="array" aca="1" ref="W24" ca="1">IFERROR(IF(_xlfn.XLOOKUP(S24,ETANCHEITE!AG$22:AG$167,ETANCHEITE!$A$22:$A$167,"")&lt;&gt;"",_xlfn.XLOOKUP(S24,ETANCHEITE!AG$22:AG$167,ETANCHEITE!$A$22:$A$167,""),    INDEX(ETANCHEITE!$A:$A,MAX(_xlfn._xlws.FILTER(ROW(ETANCHEITE!$A$22:INDIRECT("'MENUISERIES EXTERIEURES'!$A" &amp; V24-1)),ETANCHEITE!$A$22:INDIRECT("'MENUISERIES EXTERIEURES'!$A" &amp; V24-1)&lt;&gt;"")))),"")&amp;"   "&amp;IFERROR(_xlfn.XLOOKUP(S24,ETANCHEITE!AG$22:AG$167,ETANCHEITE!$B$22:$B$167),"")&amp;IFERROR(_xlfn.XLOOKUP(S24,ETANCHEITE!AG$22:AG$167,ETANCHEITE!$C$22:$C$167),"")&amp;IFERROR(_xlfn.XLOOKUP(S24,ETANCHEITE!AG$22:AG$167,ETANCHEITE!$D$22:$D$167),"")&amp;IFERROR(_xlfn.XLOOKUP(S24,ETANCHEITE!AG$22:AG$167,ETANCHEITE!#REF!),"")&amp;IFERROR(_xlfn.XLOOKUP(S24,ETANCHEITE!AG$22:AG$167,ETANCHEITE!#REF!),"")</f>
        <v xml:space="preserve">   </v>
      </c>
      <c r="X24" s="155" t="str">
        <f>IFERROR(VLOOKUP(S24,ETANCHEITE!AG$22:AI$167,2,FALSE),"")&amp;" "&amp;IFERROR(VLOOKUP(S24,ETANCHEITE!AG$22:AI$167,3,FALSE),"")</f>
        <v xml:space="preserve"> </v>
      </c>
      <c r="Y24" s="148" t="str">
        <f>IF(X24&lt;&gt;" ",'Feuille de Donnée'!$C$3,"")</f>
        <v/>
      </c>
      <c r="Z24" s="162" t="str" cm="1">
        <f t="array" aca="1" ref="Z24" ca="1">IFERROR(IF(_xlfn.XLOOKUP(S24,ETANCHEITE!AG$22:AG$92,ETANCHEITE!AE$22:AE$92,"")&lt;&gt;"",_xlfn.XLOOKUP(S24,ETANCHEITE!AG$22:AG$92,ETANCHEITE!AE$22:AE$92,""),    INDEX(ETANCHEITE!AE:AE,MAX(_xlfn._xlws.FILTER(ROW(ETANCHEITE!AE$22:INDIRECT("'PEINTURE'!O" &amp; V24-1)),ETANCHEITE!AE$22:INDIRECT("'PEINTURE'!O" &amp; V24-1)&lt;&gt;"")))),"")</f>
        <v/>
      </c>
      <c r="AA24" s="163" t="str" cm="1">
        <f t="array" aca="1" ref="AA24" ca="1">IFERROR(IF(_xlfn.XLOOKUP(S24,ETANCHEITE!AG$22:AG$92,ETANCHEITE!AF$22:AF$92,"")&lt;&gt;"",_xlfn.XLOOKUP(S24,ETANCHEITE!AG$22:AG$92,ETANCHEITE!AF$22:AF$92,""),    INDEX(ETANCHEITE!AF:AF,MAX(_xlfn._xlws.FILTER(ROW(ETANCHEITE!AF$22:INDIRECT("'PEINTURE'!P" &amp; V24-1)),ETANCHEITE!AF$22:INDIRECT("'PEINTURE'!P" &amp; V24-1)&lt;&gt;"")))),"")</f>
        <v/>
      </c>
      <c r="AB24" s="145">
        <v>22</v>
      </c>
      <c r="AC24" s="154" t="str">
        <f>IF(AG24&lt;&gt;" ",ETANCHEITE!$D$5,"")</f>
        <v/>
      </c>
      <c r="AD24" s="154" t="str">
        <f>IF(AG24&lt;&gt;" ",ETANCHEITE!$D$8,"")</f>
        <v/>
      </c>
      <c r="AE24" s="146" t="str">
        <f>IFERROR(MATCH(AB24,ETANCHEITE!AP$22:AP$167,0)+18,"")</f>
        <v/>
      </c>
      <c r="AF24" s="147" t="str" cm="1">
        <f t="array" aca="1" ref="AF24" ca="1">IFERROR(IF(_xlfn.XLOOKUP(AB24,ETANCHEITE!AP$22:AP$167,ETANCHEITE!$A$22:$A$167,"")&lt;&gt;"",_xlfn.XLOOKUP(AB24,ETANCHEITE!AP$22:AP$167,ETANCHEITE!$A$22:$A$167,""),    INDEX(ETANCHEITE!$A:$A,MAX(_xlfn._xlws.FILTER(ROW(ETANCHEITE!$A$22:INDIRECT("'MENUISERIES EXTERIEURES'!$A" &amp; AE24-1)),ETANCHEITE!$A$22:INDIRECT("'MENUISERIES EXTERIEURES'!$A" &amp; AE24-1)&lt;&gt;"")))),"")&amp;"   "&amp;IFERROR(_xlfn.XLOOKUP(AB24,ETANCHEITE!AP$22:AP$167,ETANCHEITE!$B$22:$B$167),"")&amp;IFERROR(_xlfn.XLOOKUP(AB24,ETANCHEITE!AP$22:AP$167,ETANCHEITE!$C$22:$C$167),"")&amp;IFERROR(_xlfn.XLOOKUP(AB24,ETANCHEITE!AP$22:AP$167,ETANCHEITE!$D$22:$D$167),"")&amp;IFERROR(_xlfn.XLOOKUP(AB24,ETANCHEITE!AP$22:AP$167,ETANCHEITE!#REF!),"")&amp;IFERROR(_xlfn.XLOOKUP(AB24,ETANCHEITE!AP$22:AP$167,ETANCHEITE!#REF!),"")</f>
        <v xml:space="preserve">   </v>
      </c>
      <c r="AG24" s="155" t="str">
        <f>IFERROR(VLOOKUP(AB24,ETANCHEITE!AP$22:AR$167,2,FALSE),"")&amp;" "&amp;IFERROR(VLOOKUP(AB24,ETANCHEITE!AP$22:AR$167,3,FALSE),"")</f>
        <v xml:space="preserve"> </v>
      </c>
      <c r="AH24" s="148" t="str">
        <f>IF(AG24&lt;&gt;" ",'Feuille de Donnée'!$C$3,"")</f>
        <v/>
      </c>
      <c r="AI24" s="162" t="str" cm="1">
        <f t="array" aca="1" ref="AI24" ca="1">IFERROR(IF(_xlfn.XLOOKUP(AB24,ETANCHEITE!AP$22:AP$92,ETANCHEITE!AN$22:AN$92,"")&lt;&gt;"",_xlfn.XLOOKUP(AB24,ETANCHEITE!AP$22:AP$92,ETANCHEITE!AN$22:AN$92,""),    INDEX(ETANCHEITE!AN:AN,MAX(_xlfn._xlws.FILTER(ROW(ETANCHEITE!AN$22:INDIRECT("'PEINTURE'!O" &amp; AE24-1)),ETANCHEITE!AN$22:INDIRECT("'PEINTURE'!O" &amp; AE24-1)&lt;&gt;"")))),"")</f>
        <v/>
      </c>
      <c r="AJ24" s="163" t="str" cm="1">
        <f t="array" aca="1" ref="AJ24" ca="1">IFERROR(IF(_xlfn.XLOOKUP(AB24,ETANCHEITE!AP$22:AP$92,ETANCHEITE!AO$22:AO$92,"")&lt;&gt;"",_xlfn.XLOOKUP(AB24,ETANCHEITE!AP$22:AP$92,ETANCHEITE!AO$22:AO$92,""),    INDEX(ETANCHEITE!AO:AO,MAX(_xlfn._xlws.FILTER(ROW(ETANCHEITE!AO$22:INDIRECT("'PEINTURE'!P" &amp; AE24-1)),ETANCHEITE!AO$22:INDIRECT("'PEINTURE'!P" &amp; AE24-1)&lt;&gt;"")))),"")</f>
        <v/>
      </c>
      <c r="AK24" s="145">
        <v>22</v>
      </c>
      <c r="AL24" s="154" t="str">
        <f>IF(AP24&lt;&gt;" ",ETANCHEITE!$D$5,"")</f>
        <v/>
      </c>
      <c r="AM24" s="154" t="str">
        <f>IF(AP24&lt;&gt;" ",ETANCHEITE!$D$8,"")</f>
        <v/>
      </c>
      <c r="AN24" s="146" t="str">
        <f>IFERROR(MATCH(AK24,ETANCHEITE!AY$22:AY$167,0)+18,"")</f>
        <v/>
      </c>
      <c r="AO24" s="147" t="str" cm="1">
        <f t="array" aca="1" ref="AO24" ca="1">IFERROR(IF(_xlfn.XLOOKUP(AK24,ETANCHEITE!AY$22:AY$167,ETANCHEITE!$A$22:$A$167,"")&lt;&gt;"",_xlfn.XLOOKUP(AK24,ETANCHEITE!AY$22:AY$167,ETANCHEITE!$A$22:$A$167,""),    INDEX(ETANCHEITE!$A:$A,MAX(_xlfn._xlws.FILTER(ROW(ETANCHEITE!$A$22:INDIRECT("'MENUISERIES EXTERIEURES'!$A" &amp; AN24-1)),ETANCHEITE!$A$22:INDIRECT("'MENUISERIES EXTERIEURES'!$A" &amp; AN24-1)&lt;&gt;"")))),"")&amp;"   "&amp;IFERROR(_xlfn.XLOOKUP(AK24,ETANCHEITE!AY$22:AY$167,ETANCHEITE!$B$22:$B$167),"")&amp;IFERROR(_xlfn.XLOOKUP(AK24,ETANCHEITE!AY$22:AY$167,ETANCHEITE!$C$22:$C$167),"")&amp;IFERROR(_xlfn.XLOOKUP(AK24,ETANCHEITE!AY$22:AY$167,ETANCHEITE!$D$22:$D$167),"")&amp;IFERROR(_xlfn.XLOOKUP(AK24,ETANCHEITE!AY$22:AY$167,ETANCHEITE!#REF!),"")&amp;IFERROR(_xlfn.XLOOKUP(AK24,ETANCHEITE!AY$22:AY$167,ETANCHEITE!#REF!),"")</f>
        <v xml:space="preserve">   </v>
      </c>
      <c r="AP24" s="155" t="str">
        <f>IFERROR(VLOOKUP(AK24,ETANCHEITE!AY$22:BA$167,2,FALSE),"")&amp;" "&amp;IFERROR(VLOOKUP(AK24,ETANCHEITE!AY$22:BA$167,3,FALSE),"")</f>
        <v xml:space="preserve"> </v>
      </c>
      <c r="AQ24" s="148" t="str">
        <f>IF(AP24&lt;&gt;" ",'Feuille de Donnée'!$C$3,"")</f>
        <v/>
      </c>
      <c r="AR24" s="162" t="str" cm="1">
        <f t="array" aca="1" ref="AR24" ca="1">IFERROR(IF(_xlfn.XLOOKUP(AK24,ETANCHEITE!AY$22:AY$92,ETANCHEITE!AW$22:AW$92,"")&lt;&gt;"",_xlfn.XLOOKUP(AK24,ETANCHEITE!AY$22:AY$92,ETANCHEITE!AW$22:AW$92,""),    INDEX(ETANCHEITE!AW:AW,MAX(_xlfn._xlws.FILTER(ROW(ETANCHEITE!AW$22:INDIRECT("'PEINTURE'!O" &amp; AN24-1)),ETANCHEITE!AW$22:INDIRECT("'PEINTURE'!O" &amp; AN24-1)&lt;&gt;"")))),"")</f>
        <v/>
      </c>
      <c r="AS24" s="163" t="str" cm="1">
        <f t="array" aca="1" ref="AS24" ca="1">IFERROR(IF(_xlfn.XLOOKUP(AK24,ETANCHEITE!AY$22:AY$92,ETANCHEITE!AX$22:AX$92,"")&lt;&gt;"",_xlfn.XLOOKUP(AK24,ETANCHEITE!AY$22:AY$92,ETANCHEITE!AX$22:AX$92,""),    INDEX(ETANCHEITE!AX:AX,MAX(_xlfn._xlws.FILTER(ROW(ETANCHEITE!AX$22:INDIRECT("'PEINTURE'!P" &amp; AN24-1)),ETANCHEITE!AX$22:INDIRECT("'PEINTURE'!P" &amp; AN24-1)&lt;&gt;"")))),"")</f>
        <v/>
      </c>
      <c r="AT24" s="145">
        <v>22</v>
      </c>
      <c r="AU24" s="154" t="str">
        <f>IF(AY24&lt;&gt;" ",ETANCHEITE!$D$5,"")</f>
        <v/>
      </c>
      <c r="AV24" s="154" t="str">
        <f>IF(AY24&lt;&gt;" ",ETANCHEITE!$D$8,"")</f>
        <v/>
      </c>
      <c r="AW24" s="146" t="str">
        <f>IFERROR(MATCH(AT24,ETANCHEITE!BH$22:BH$167,0)+18,"")</f>
        <v/>
      </c>
      <c r="AX24" s="147" t="str" cm="1">
        <f t="array" aca="1" ref="AX24" ca="1">IFERROR(IF(_xlfn.XLOOKUP(AT24,ETANCHEITE!BH$22:BH$167,ETANCHEITE!$A$22:$A$167,"")&lt;&gt;"",_xlfn.XLOOKUP(AT24,ETANCHEITE!BH$22:BH$167,ETANCHEITE!$A$22:$A$167,""),    INDEX(ETANCHEITE!$A:$A,MAX(_xlfn._xlws.FILTER(ROW(ETANCHEITE!$A$22:INDIRECT("'MENUISERIES EXTERIEURES'!$A" &amp; AW24-1)),ETANCHEITE!$A$22:INDIRECT("'MENUISERIES EXTERIEURES'!$A" &amp; AW24-1)&lt;&gt;"")))),"")&amp;"   "&amp;IFERROR(_xlfn.XLOOKUP(AT24,ETANCHEITE!BH$22:BH$167,ETANCHEITE!$B$22:$B$167),"")&amp;IFERROR(_xlfn.XLOOKUP(AT24,ETANCHEITE!BH$22:BH$167,ETANCHEITE!$C$22:$C$167),"")&amp;IFERROR(_xlfn.XLOOKUP(AT24,ETANCHEITE!BH$22:BH$167,ETANCHEITE!$D$22:$D$167),"")&amp;IFERROR(_xlfn.XLOOKUP(AT24,ETANCHEITE!BH$22:BH$167,ETANCHEITE!#REF!),"")&amp;IFERROR(_xlfn.XLOOKUP(AT24,ETANCHEITE!BH$22:BH$167,ETANCHEITE!#REF!),"")</f>
        <v xml:space="preserve">   </v>
      </c>
      <c r="AY24" s="155" t="str">
        <f>IFERROR(VLOOKUP(AT24,ETANCHEITE!BH$22:BJ$167,2,FALSE),"")&amp;" "&amp;IFERROR(VLOOKUP(AT24,ETANCHEITE!BH$22:BJ$167,3,FALSE),"")</f>
        <v xml:space="preserve"> </v>
      </c>
      <c r="AZ24" s="148" t="str">
        <f>IF(AY24&lt;&gt;" ",'Feuille de Donnée'!$C$3,"")</f>
        <v/>
      </c>
      <c r="BA24" s="162" t="str" cm="1">
        <f t="array" aca="1" ref="BA24" ca="1">IFERROR(IF(_xlfn.XLOOKUP(AT24,ETANCHEITE!BH$22:BH$92,ETANCHEITE!BF$22:BF$92,"")&lt;&gt;"",_xlfn.XLOOKUP(AT24,ETANCHEITE!BH$22:BH$92,ETANCHEITE!BF$22:BF$92,""),    INDEX(ETANCHEITE!BF:BF,MAX(_xlfn._xlws.FILTER(ROW(ETANCHEITE!BF$22:INDIRECT("'PEINTURE'!O" &amp; AW24-1)),ETANCHEITE!BF$22:INDIRECT("'PEINTURE'!O" &amp; AW24-1)&lt;&gt;"")))),"")</f>
        <v/>
      </c>
      <c r="BB24" s="163" t="str" cm="1">
        <f t="array" aca="1" ref="BB24" ca="1">IFERROR(IF(_xlfn.XLOOKUP(AT24,ETANCHEITE!BH$22:BH$92,ETANCHEITE!BG$22:BG$92,"")&lt;&gt;"",_xlfn.XLOOKUP(AT24,ETANCHEITE!BH$22:BH$92,ETANCHEITE!BG$22:BG$92,""),    INDEX(ETANCHEITE!BG:BG,MAX(_xlfn._xlws.FILTER(ROW(ETANCHEITE!BG$22:INDIRECT("'PEINTURE'!P" &amp; AW24-1)),ETANCHEITE!BG$22:INDIRECT("'PEINTURE'!P" &amp; AW24-1)&lt;&gt;"")))),"")</f>
        <v/>
      </c>
    </row>
    <row r="25" spans="1:54" ht="15" customHeight="1" x14ac:dyDescent="0.3">
      <c r="A25" s="145">
        <v>23</v>
      </c>
      <c r="B25" s="154" t="str">
        <f>IF(F25&lt;&gt;" ",ETANCHEITE!$D$5,"")</f>
        <v/>
      </c>
      <c r="C25" s="154" t="str">
        <f>IF(F25&lt;&gt;" ",ETANCHEITE!$D$8,"")</f>
        <v/>
      </c>
      <c r="D25" s="146" t="str">
        <f>IFERROR(MATCH(A25,ETANCHEITE!O$22:O$167,0)+18,"")</f>
        <v/>
      </c>
      <c r="E25" s="147" t="str" cm="1">
        <f t="array" aca="1" ref="E25" ca="1">IFERROR(IF(_xlfn.XLOOKUP(A25,ETANCHEITE!O$22:O$167,ETANCHEITE!$A$22:$A$167,"")&lt;&gt;"",_xlfn.XLOOKUP(A25,ETANCHEITE!O$22:O$167,ETANCHEITE!$A$22:$A$167,""),    INDEX(ETANCHEITE!$A:$A,MAX(_xlfn._xlws.FILTER(ROW(ETANCHEITE!$A$22:INDIRECT("'MENUISERIES EXTERIEURES'!$A" &amp; D25-1)),ETANCHEITE!$A$22:INDIRECT("'MENUISERIES EXTERIEURES'!$A" &amp; D25-1)&lt;&gt;"")))),"")&amp;"   "&amp;IFERROR(_xlfn.XLOOKUP(A25,ETANCHEITE!O$22:O$167,ETANCHEITE!$B$22:$B$167),"")&amp;IFERROR(_xlfn.XLOOKUP(A25,ETANCHEITE!O$22:O$167,ETANCHEITE!$C$22:$C$167),"")&amp;IFERROR(_xlfn.XLOOKUP(A25,ETANCHEITE!O$22:O$167,ETANCHEITE!$D$22:$D$167),"")&amp;IFERROR(_xlfn.XLOOKUP(A25,ETANCHEITE!O$22:O$167,ETANCHEITE!#REF!),"")&amp;IFERROR(_xlfn.XLOOKUP(A25,ETANCHEITE!O$22:O$167,ETANCHEITE!#REF!),"")</f>
        <v xml:space="preserve">   </v>
      </c>
      <c r="F25" s="155" t="str">
        <f>IFERROR(VLOOKUP(A25,ETANCHEITE!O$22:Q$167,2,FALSE),"")&amp;" "&amp;IFERROR(VLOOKUP(A25,ETANCHEITE!O$22:Q$167,3,FALSE),"")</f>
        <v xml:space="preserve"> </v>
      </c>
      <c r="G25" s="148" t="str">
        <f>IF(F25&lt;&gt;" ",'Feuille de Donnée'!$C$3,"")</f>
        <v/>
      </c>
      <c r="H25" s="162" t="str" cm="1">
        <f t="array" aca="1" ref="H25" ca="1">IFERROR(IF(_xlfn.XLOOKUP(A25,ETANCHEITE!O$22:O$92,ETANCHEITE!M$22:M$92,"")&lt;&gt;"",_xlfn.XLOOKUP(A25,ETANCHEITE!O$22:O$92,ETANCHEITE!M$22:M$92,""),    INDEX(ETANCHEITE!M:M,MAX(_xlfn._xlws.FILTER(ROW(ETANCHEITE!M$22:INDIRECT("'PEINTURE'!O" &amp; D25-1)),ETANCHEITE!M$22:INDIRECT("'PEINTURE'!O" &amp; D25-1)&lt;&gt;"")))),"")</f>
        <v/>
      </c>
      <c r="I25" s="163" t="str" cm="1">
        <f t="array" aca="1" ref="I25" ca="1">IFERROR(IF(_xlfn.XLOOKUP(A25,ETANCHEITE!O$22:O$92,ETANCHEITE!N$22:N$92,"")&lt;&gt;"",_xlfn.XLOOKUP(A25,ETANCHEITE!O$22:O$92,ETANCHEITE!N$22:N$92,""),    INDEX(ETANCHEITE!N:N,MAX(_xlfn._xlws.FILTER(ROW(ETANCHEITE!N$22:INDIRECT("'PEINTURE'!P" &amp; D25-1)),ETANCHEITE!N$22:INDIRECT("'PEINTURE'!P" &amp; D25-1)&lt;&gt;"")))),"")</f>
        <v/>
      </c>
      <c r="J25" s="145">
        <v>23</v>
      </c>
      <c r="K25" s="154" t="str">
        <f>IF(O25&lt;&gt;" ",ETANCHEITE!$D$5,"")</f>
        <v/>
      </c>
      <c r="L25" s="154" t="str">
        <f>IF(O25&lt;&gt;" ",ETANCHEITE!$D$8,"")</f>
        <v/>
      </c>
      <c r="M25" s="146" t="str">
        <f>IFERROR(MATCH(J25,ETANCHEITE!X$22:X$167,0)+18,"")</f>
        <v/>
      </c>
      <c r="N25" s="147" t="str" cm="1">
        <f t="array" aca="1" ref="N25" ca="1">IFERROR(IF(_xlfn.XLOOKUP(J25,ETANCHEITE!X$22:X$167,ETANCHEITE!$A$22:$A$167,"")&lt;&gt;"",_xlfn.XLOOKUP(J25,ETANCHEITE!X$22:X$167,ETANCHEITE!$A$22:$A$167,""),    INDEX(ETANCHEITE!$A:$A,MAX(_xlfn._xlws.FILTER(ROW(ETANCHEITE!$A$22:INDIRECT("'MENUISERIES EXTERIEURES'!$A" &amp; M25-1)),ETANCHEITE!$A$22:INDIRECT("'MENUISERIES EXTERIEURES'!$A" &amp; M25-1)&lt;&gt;"")))),"")&amp;"   "&amp;IFERROR(_xlfn.XLOOKUP(J25,ETANCHEITE!X$22:X$167,ETANCHEITE!$B$22:$B$167),"")&amp;IFERROR(_xlfn.XLOOKUP(J25,ETANCHEITE!X$22:X$167,ETANCHEITE!$C$22:$C$167),"")&amp;IFERROR(_xlfn.XLOOKUP(J25,ETANCHEITE!X$22:X$167,ETANCHEITE!$D$22:$D$167),"")&amp;IFERROR(_xlfn.XLOOKUP(J25,ETANCHEITE!X$22:X$167,ETANCHEITE!#REF!),"")&amp;IFERROR(_xlfn.XLOOKUP(J25,ETANCHEITE!X$22:X$167,ETANCHEITE!#REF!),"")</f>
        <v xml:space="preserve">   </v>
      </c>
      <c r="O25" s="155" t="str">
        <f>IFERROR(VLOOKUP(J25,ETANCHEITE!X$22:Z$167,2,FALSE),"")&amp;" "&amp;IFERROR(VLOOKUP(J25,ETANCHEITE!X$22:Z$167,3,FALSE),"")</f>
        <v xml:space="preserve"> </v>
      </c>
      <c r="P25" s="148" t="str">
        <f>IF(O25&lt;&gt;" ",'Feuille de Donnée'!$C$3,"")</f>
        <v/>
      </c>
      <c r="Q25" s="162" t="str" cm="1">
        <f t="array" aca="1" ref="Q25" ca="1">IFERROR(IF(_xlfn.XLOOKUP(J25,ETANCHEITE!X$22:X$92,ETANCHEITE!V$22:V$92,"")&lt;&gt;"",_xlfn.XLOOKUP(J25,ETANCHEITE!X$22:X$92,ETANCHEITE!V$22:V$92,""),    INDEX(ETANCHEITE!V:V,MAX(_xlfn._xlws.FILTER(ROW(ETANCHEITE!V$22:INDIRECT("'PEINTURE'!O" &amp; M25-1)),ETANCHEITE!V$22:INDIRECT("'PEINTURE'!O" &amp; M25-1)&lt;&gt;"")))),"")</f>
        <v/>
      </c>
      <c r="R25" s="163" t="str" cm="1">
        <f t="array" aca="1" ref="R25" ca="1">IFERROR(IF(_xlfn.XLOOKUP(J25,ETANCHEITE!X$22:X$92,ETANCHEITE!W$22:W$92,"")&lt;&gt;"",_xlfn.XLOOKUP(J25,ETANCHEITE!X$22:X$92,ETANCHEITE!W$22:W$92,""),    INDEX(ETANCHEITE!W:W,MAX(_xlfn._xlws.FILTER(ROW(ETANCHEITE!W$22:INDIRECT("'PEINTURE'!P" &amp; M25-1)),ETANCHEITE!W$22:INDIRECT("'PEINTURE'!P" &amp; M25-1)&lt;&gt;"")))),"")</f>
        <v/>
      </c>
      <c r="S25" s="145">
        <v>23</v>
      </c>
      <c r="T25" s="154" t="str">
        <f>IF(X25&lt;&gt;" ",ETANCHEITE!$D$5,"")</f>
        <v/>
      </c>
      <c r="U25" s="154" t="str">
        <f>IF(X25&lt;&gt;" ",ETANCHEITE!$D$8,"")</f>
        <v/>
      </c>
      <c r="V25" s="146" t="str">
        <f>IFERROR(MATCH(S25,ETANCHEITE!AG$22:AG$167,0)+18,"")</f>
        <v/>
      </c>
      <c r="W25" s="147" t="str" cm="1">
        <f t="array" aca="1" ref="W25" ca="1">IFERROR(IF(_xlfn.XLOOKUP(S25,ETANCHEITE!AG$22:AG$167,ETANCHEITE!$A$22:$A$167,"")&lt;&gt;"",_xlfn.XLOOKUP(S25,ETANCHEITE!AG$22:AG$167,ETANCHEITE!$A$22:$A$167,""),    INDEX(ETANCHEITE!$A:$A,MAX(_xlfn._xlws.FILTER(ROW(ETANCHEITE!$A$22:INDIRECT("'MENUISERIES EXTERIEURES'!$A" &amp; V25-1)),ETANCHEITE!$A$22:INDIRECT("'MENUISERIES EXTERIEURES'!$A" &amp; V25-1)&lt;&gt;"")))),"")&amp;"   "&amp;IFERROR(_xlfn.XLOOKUP(S25,ETANCHEITE!AG$22:AG$167,ETANCHEITE!$B$22:$B$167),"")&amp;IFERROR(_xlfn.XLOOKUP(S25,ETANCHEITE!AG$22:AG$167,ETANCHEITE!$C$22:$C$167),"")&amp;IFERROR(_xlfn.XLOOKUP(S25,ETANCHEITE!AG$22:AG$167,ETANCHEITE!$D$22:$D$167),"")&amp;IFERROR(_xlfn.XLOOKUP(S25,ETANCHEITE!AG$22:AG$167,ETANCHEITE!#REF!),"")&amp;IFERROR(_xlfn.XLOOKUP(S25,ETANCHEITE!AG$22:AG$167,ETANCHEITE!#REF!),"")</f>
        <v xml:space="preserve">   </v>
      </c>
      <c r="X25" s="155" t="str">
        <f>IFERROR(VLOOKUP(S25,ETANCHEITE!AG$22:AI$167,2,FALSE),"")&amp;" "&amp;IFERROR(VLOOKUP(S25,ETANCHEITE!AG$22:AI$167,3,FALSE),"")</f>
        <v xml:space="preserve"> </v>
      </c>
      <c r="Y25" s="148" t="str">
        <f>IF(X25&lt;&gt;" ",'Feuille de Donnée'!$C$3,"")</f>
        <v/>
      </c>
      <c r="Z25" s="162" t="str" cm="1">
        <f t="array" aca="1" ref="Z25" ca="1">IFERROR(IF(_xlfn.XLOOKUP(S25,ETANCHEITE!AG$22:AG$92,ETANCHEITE!AE$22:AE$92,"")&lt;&gt;"",_xlfn.XLOOKUP(S25,ETANCHEITE!AG$22:AG$92,ETANCHEITE!AE$22:AE$92,""),    INDEX(ETANCHEITE!AE:AE,MAX(_xlfn._xlws.FILTER(ROW(ETANCHEITE!AE$22:INDIRECT("'PEINTURE'!O" &amp; V25-1)),ETANCHEITE!AE$22:INDIRECT("'PEINTURE'!O" &amp; V25-1)&lt;&gt;"")))),"")</f>
        <v/>
      </c>
      <c r="AA25" s="163" t="str" cm="1">
        <f t="array" aca="1" ref="AA25" ca="1">IFERROR(IF(_xlfn.XLOOKUP(S25,ETANCHEITE!AG$22:AG$92,ETANCHEITE!AF$22:AF$92,"")&lt;&gt;"",_xlfn.XLOOKUP(S25,ETANCHEITE!AG$22:AG$92,ETANCHEITE!AF$22:AF$92,""),    INDEX(ETANCHEITE!AF:AF,MAX(_xlfn._xlws.FILTER(ROW(ETANCHEITE!AF$22:INDIRECT("'PEINTURE'!P" &amp; V25-1)),ETANCHEITE!AF$22:INDIRECT("'PEINTURE'!P" &amp; V25-1)&lt;&gt;"")))),"")</f>
        <v/>
      </c>
      <c r="AB25" s="145">
        <v>23</v>
      </c>
      <c r="AC25" s="154" t="str">
        <f>IF(AG25&lt;&gt;" ",ETANCHEITE!$D$5,"")</f>
        <v/>
      </c>
      <c r="AD25" s="154" t="str">
        <f>IF(AG25&lt;&gt;" ",ETANCHEITE!$D$8,"")</f>
        <v/>
      </c>
      <c r="AE25" s="146" t="str">
        <f>IFERROR(MATCH(AB25,ETANCHEITE!AP$22:AP$167,0)+18,"")</f>
        <v/>
      </c>
      <c r="AF25" s="147" t="str" cm="1">
        <f t="array" aca="1" ref="AF25" ca="1">IFERROR(IF(_xlfn.XLOOKUP(AB25,ETANCHEITE!AP$22:AP$167,ETANCHEITE!$A$22:$A$167,"")&lt;&gt;"",_xlfn.XLOOKUP(AB25,ETANCHEITE!AP$22:AP$167,ETANCHEITE!$A$22:$A$167,""),    INDEX(ETANCHEITE!$A:$A,MAX(_xlfn._xlws.FILTER(ROW(ETANCHEITE!$A$22:INDIRECT("'MENUISERIES EXTERIEURES'!$A" &amp; AE25-1)),ETANCHEITE!$A$22:INDIRECT("'MENUISERIES EXTERIEURES'!$A" &amp; AE25-1)&lt;&gt;"")))),"")&amp;"   "&amp;IFERROR(_xlfn.XLOOKUP(AB25,ETANCHEITE!AP$22:AP$167,ETANCHEITE!$B$22:$B$167),"")&amp;IFERROR(_xlfn.XLOOKUP(AB25,ETANCHEITE!AP$22:AP$167,ETANCHEITE!$C$22:$C$167),"")&amp;IFERROR(_xlfn.XLOOKUP(AB25,ETANCHEITE!AP$22:AP$167,ETANCHEITE!$D$22:$D$167),"")&amp;IFERROR(_xlfn.XLOOKUP(AB25,ETANCHEITE!AP$22:AP$167,ETANCHEITE!#REF!),"")&amp;IFERROR(_xlfn.XLOOKUP(AB25,ETANCHEITE!AP$22:AP$167,ETANCHEITE!#REF!),"")</f>
        <v xml:space="preserve">   </v>
      </c>
      <c r="AG25" s="155" t="str">
        <f>IFERROR(VLOOKUP(AB25,ETANCHEITE!AP$22:AR$167,2,FALSE),"")&amp;" "&amp;IFERROR(VLOOKUP(AB25,ETANCHEITE!AP$22:AR$167,3,FALSE),"")</f>
        <v xml:space="preserve"> </v>
      </c>
      <c r="AH25" s="148" t="str">
        <f>IF(AG25&lt;&gt;" ",'Feuille de Donnée'!$C$3,"")</f>
        <v/>
      </c>
      <c r="AI25" s="162" t="str" cm="1">
        <f t="array" aca="1" ref="AI25" ca="1">IFERROR(IF(_xlfn.XLOOKUP(AB25,ETANCHEITE!AP$22:AP$92,ETANCHEITE!AN$22:AN$92,"")&lt;&gt;"",_xlfn.XLOOKUP(AB25,ETANCHEITE!AP$22:AP$92,ETANCHEITE!AN$22:AN$92,""),    INDEX(ETANCHEITE!AN:AN,MAX(_xlfn._xlws.FILTER(ROW(ETANCHEITE!AN$22:INDIRECT("'PEINTURE'!O" &amp; AE25-1)),ETANCHEITE!AN$22:INDIRECT("'PEINTURE'!O" &amp; AE25-1)&lt;&gt;"")))),"")</f>
        <v/>
      </c>
      <c r="AJ25" s="163" t="str" cm="1">
        <f t="array" aca="1" ref="AJ25" ca="1">IFERROR(IF(_xlfn.XLOOKUP(AB25,ETANCHEITE!AP$22:AP$92,ETANCHEITE!AO$22:AO$92,"")&lt;&gt;"",_xlfn.XLOOKUP(AB25,ETANCHEITE!AP$22:AP$92,ETANCHEITE!AO$22:AO$92,""),    INDEX(ETANCHEITE!AO:AO,MAX(_xlfn._xlws.FILTER(ROW(ETANCHEITE!AO$22:INDIRECT("'PEINTURE'!P" &amp; AE25-1)),ETANCHEITE!AO$22:INDIRECT("'PEINTURE'!P" &amp; AE25-1)&lt;&gt;"")))),"")</f>
        <v/>
      </c>
      <c r="AK25" s="145">
        <v>23</v>
      </c>
      <c r="AL25" s="154" t="str">
        <f>IF(AP25&lt;&gt;" ",ETANCHEITE!$D$5,"")</f>
        <v/>
      </c>
      <c r="AM25" s="154" t="str">
        <f>IF(AP25&lt;&gt;" ",ETANCHEITE!$D$8,"")</f>
        <v/>
      </c>
      <c r="AN25" s="146" t="str">
        <f>IFERROR(MATCH(AK25,ETANCHEITE!AY$22:AY$167,0)+18,"")</f>
        <v/>
      </c>
      <c r="AO25" s="147" t="str" cm="1">
        <f t="array" aca="1" ref="AO25" ca="1">IFERROR(IF(_xlfn.XLOOKUP(AK25,ETANCHEITE!AY$22:AY$167,ETANCHEITE!$A$22:$A$167,"")&lt;&gt;"",_xlfn.XLOOKUP(AK25,ETANCHEITE!AY$22:AY$167,ETANCHEITE!$A$22:$A$167,""),    INDEX(ETANCHEITE!$A:$A,MAX(_xlfn._xlws.FILTER(ROW(ETANCHEITE!$A$22:INDIRECT("'MENUISERIES EXTERIEURES'!$A" &amp; AN25-1)),ETANCHEITE!$A$22:INDIRECT("'MENUISERIES EXTERIEURES'!$A" &amp; AN25-1)&lt;&gt;"")))),"")&amp;"   "&amp;IFERROR(_xlfn.XLOOKUP(AK25,ETANCHEITE!AY$22:AY$167,ETANCHEITE!$B$22:$B$167),"")&amp;IFERROR(_xlfn.XLOOKUP(AK25,ETANCHEITE!AY$22:AY$167,ETANCHEITE!$C$22:$C$167),"")&amp;IFERROR(_xlfn.XLOOKUP(AK25,ETANCHEITE!AY$22:AY$167,ETANCHEITE!$D$22:$D$167),"")&amp;IFERROR(_xlfn.XLOOKUP(AK25,ETANCHEITE!AY$22:AY$167,ETANCHEITE!#REF!),"")&amp;IFERROR(_xlfn.XLOOKUP(AK25,ETANCHEITE!AY$22:AY$167,ETANCHEITE!#REF!),"")</f>
        <v xml:space="preserve">   </v>
      </c>
      <c r="AP25" s="155" t="str">
        <f>IFERROR(VLOOKUP(AK25,ETANCHEITE!AY$22:BA$167,2,FALSE),"")&amp;" "&amp;IFERROR(VLOOKUP(AK25,ETANCHEITE!AY$22:BA$167,3,FALSE),"")</f>
        <v xml:space="preserve"> </v>
      </c>
      <c r="AQ25" s="148" t="str">
        <f>IF(AP25&lt;&gt;" ",'Feuille de Donnée'!$C$3,"")</f>
        <v/>
      </c>
      <c r="AR25" s="162" t="str" cm="1">
        <f t="array" aca="1" ref="AR25" ca="1">IFERROR(IF(_xlfn.XLOOKUP(AK25,ETANCHEITE!AY$22:AY$92,ETANCHEITE!AW$22:AW$92,"")&lt;&gt;"",_xlfn.XLOOKUP(AK25,ETANCHEITE!AY$22:AY$92,ETANCHEITE!AW$22:AW$92,""),    INDEX(ETANCHEITE!AW:AW,MAX(_xlfn._xlws.FILTER(ROW(ETANCHEITE!AW$22:INDIRECT("'PEINTURE'!O" &amp; AN25-1)),ETANCHEITE!AW$22:INDIRECT("'PEINTURE'!O" &amp; AN25-1)&lt;&gt;"")))),"")</f>
        <v/>
      </c>
      <c r="AS25" s="163" t="str" cm="1">
        <f t="array" aca="1" ref="AS25" ca="1">IFERROR(IF(_xlfn.XLOOKUP(AK25,ETANCHEITE!AY$22:AY$92,ETANCHEITE!AX$22:AX$92,"")&lt;&gt;"",_xlfn.XLOOKUP(AK25,ETANCHEITE!AY$22:AY$92,ETANCHEITE!AX$22:AX$92,""),    INDEX(ETANCHEITE!AX:AX,MAX(_xlfn._xlws.FILTER(ROW(ETANCHEITE!AX$22:INDIRECT("'PEINTURE'!P" &amp; AN25-1)),ETANCHEITE!AX$22:INDIRECT("'PEINTURE'!P" &amp; AN25-1)&lt;&gt;"")))),"")</f>
        <v/>
      </c>
      <c r="AT25" s="145">
        <v>23</v>
      </c>
      <c r="AU25" s="154" t="str">
        <f>IF(AY25&lt;&gt;" ",ETANCHEITE!$D$5,"")</f>
        <v/>
      </c>
      <c r="AV25" s="154" t="str">
        <f>IF(AY25&lt;&gt;" ",ETANCHEITE!$D$8,"")</f>
        <v/>
      </c>
      <c r="AW25" s="146" t="str">
        <f>IFERROR(MATCH(AT25,ETANCHEITE!BH$22:BH$167,0)+18,"")</f>
        <v/>
      </c>
      <c r="AX25" s="147" t="str" cm="1">
        <f t="array" aca="1" ref="AX25" ca="1">IFERROR(IF(_xlfn.XLOOKUP(AT25,ETANCHEITE!BH$22:BH$167,ETANCHEITE!$A$22:$A$167,"")&lt;&gt;"",_xlfn.XLOOKUP(AT25,ETANCHEITE!BH$22:BH$167,ETANCHEITE!$A$22:$A$167,""),    INDEX(ETANCHEITE!$A:$A,MAX(_xlfn._xlws.FILTER(ROW(ETANCHEITE!$A$22:INDIRECT("'MENUISERIES EXTERIEURES'!$A" &amp; AW25-1)),ETANCHEITE!$A$22:INDIRECT("'MENUISERIES EXTERIEURES'!$A" &amp; AW25-1)&lt;&gt;"")))),"")&amp;"   "&amp;IFERROR(_xlfn.XLOOKUP(AT25,ETANCHEITE!BH$22:BH$167,ETANCHEITE!$B$22:$B$167),"")&amp;IFERROR(_xlfn.XLOOKUP(AT25,ETANCHEITE!BH$22:BH$167,ETANCHEITE!$C$22:$C$167),"")&amp;IFERROR(_xlfn.XLOOKUP(AT25,ETANCHEITE!BH$22:BH$167,ETANCHEITE!$D$22:$D$167),"")&amp;IFERROR(_xlfn.XLOOKUP(AT25,ETANCHEITE!BH$22:BH$167,ETANCHEITE!#REF!),"")&amp;IFERROR(_xlfn.XLOOKUP(AT25,ETANCHEITE!BH$22:BH$167,ETANCHEITE!#REF!),"")</f>
        <v xml:space="preserve">   </v>
      </c>
      <c r="AY25" s="155" t="str">
        <f>IFERROR(VLOOKUP(AT25,ETANCHEITE!BH$22:BJ$167,2,FALSE),"")&amp;" "&amp;IFERROR(VLOOKUP(AT25,ETANCHEITE!BH$22:BJ$167,3,FALSE),"")</f>
        <v xml:space="preserve"> </v>
      </c>
      <c r="AZ25" s="148" t="str">
        <f>IF(AY25&lt;&gt;" ",'Feuille de Donnée'!$C$3,"")</f>
        <v/>
      </c>
      <c r="BA25" s="162" t="str" cm="1">
        <f t="array" aca="1" ref="BA25" ca="1">IFERROR(IF(_xlfn.XLOOKUP(AT25,ETANCHEITE!BH$22:BH$92,ETANCHEITE!BF$22:BF$92,"")&lt;&gt;"",_xlfn.XLOOKUP(AT25,ETANCHEITE!BH$22:BH$92,ETANCHEITE!BF$22:BF$92,""),    INDEX(ETANCHEITE!BF:BF,MAX(_xlfn._xlws.FILTER(ROW(ETANCHEITE!BF$22:INDIRECT("'PEINTURE'!O" &amp; AW25-1)),ETANCHEITE!BF$22:INDIRECT("'PEINTURE'!O" &amp; AW25-1)&lt;&gt;"")))),"")</f>
        <v/>
      </c>
      <c r="BB25" s="163" t="str" cm="1">
        <f t="array" aca="1" ref="BB25" ca="1">IFERROR(IF(_xlfn.XLOOKUP(AT25,ETANCHEITE!BH$22:BH$92,ETANCHEITE!BG$22:BG$92,"")&lt;&gt;"",_xlfn.XLOOKUP(AT25,ETANCHEITE!BH$22:BH$92,ETANCHEITE!BG$22:BG$92,""),    INDEX(ETANCHEITE!BG:BG,MAX(_xlfn._xlws.FILTER(ROW(ETANCHEITE!BG$22:INDIRECT("'PEINTURE'!P" &amp; AW25-1)),ETANCHEITE!BG$22:INDIRECT("'PEINTURE'!P" &amp; AW25-1)&lt;&gt;"")))),"")</f>
        <v/>
      </c>
    </row>
    <row r="26" spans="1:54" ht="15" customHeight="1" x14ac:dyDescent="0.3">
      <c r="A26" s="145">
        <v>24</v>
      </c>
      <c r="B26" s="154" t="str">
        <f>IF(F26&lt;&gt;" ",ETANCHEITE!$D$5,"")</f>
        <v/>
      </c>
      <c r="C26" s="154" t="str">
        <f>IF(F26&lt;&gt;" ",ETANCHEITE!$D$8,"")</f>
        <v/>
      </c>
      <c r="D26" s="146" t="str">
        <f>IFERROR(MATCH(A26,ETANCHEITE!O$22:O$167,0)+18,"")</f>
        <v/>
      </c>
      <c r="E26" s="147" t="str" cm="1">
        <f t="array" aca="1" ref="E26" ca="1">IFERROR(IF(_xlfn.XLOOKUP(A26,ETANCHEITE!O$22:O$167,ETANCHEITE!$A$22:$A$167,"")&lt;&gt;"",_xlfn.XLOOKUP(A26,ETANCHEITE!O$22:O$167,ETANCHEITE!$A$22:$A$167,""),    INDEX(ETANCHEITE!$A:$A,MAX(_xlfn._xlws.FILTER(ROW(ETANCHEITE!$A$22:INDIRECT("'MENUISERIES EXTERIEURES'!$A" &amp; D26-1)),ETANCHEITE!$A$22:INDIRECT("'MENUISERIES EXTERIEURES'!$A" &amp; D26-1)&lt;&gt;"")))),"")&amp;"   "&amp;IFERROR(_xlfn.XLOOKUP(A26,ETANCHEITE!O$22:O$167,ETANCHEITE!$B$22:$B$167),"")&amp;IFERROR(_xlfn.XLOOKUP(A26,ETANCHEITE!O$22:O$167,ETANCHEITE!$C$22:$C$167),"")&amp;IFERROR(_xlfn.XLOOKUP(A26,ETANCHEITE!O$22:O$167,ETANCHEITE!$D$22:$D$167),"")&amp;IFERROR(_xlfn.XLOOKUP(A26,ETANCHEITE!O$22:O$167,ETANCHEITE!#REF!),"")&amp;IFERROR(_xlfn.XLOOKUP(A26,ETANCHEITE!O$22:O$167,ETANCHEITE!#REF!),"")</f>
        <v xml:space="preserve">   </v>
      </c>
      <c r="F26" s="155" t="str">
        <f>IFERROR(VLOOKUP(A26,ETANCHEITE!O$22:Q$167,2,FALSE),"")&amp;" "&amp;IFERROR(VLOOKUP(A26,ETANCHEITE!O$22:Q$167,3,FALSE),"")</f>
        <v xml:space="preserve"> </v>
      </c>
      <c r="G26" s="148" t="str">
        <f>IF(F26&lt;&gt;" ",'Feuille de Donnée'!$C$3,"")</f>
        <v/>
      </c>
      <c r="H26" s="162" t="str" cm="1">
        <f t="array" aca="1" ref="H26" ca="1">IFERROR(IF(_xlfn.XLOOKUP(A26,ETANCHEITE!O$22:O$92,ETANCHEITE!M$22:M$92,"")&lt;&gt;"",_xlfn.XLOOKUP(A26,ETANCHEITE!O$22:O$92,ETANCHEITE!M$22:M$92,""),    INDEX(ETANCHEITE!M:M,MAX(_xlfn._xlws.FILTER(ROW(ETANCHEITE!M$22:INDIRECT("'PEINTURE'!O" &amp; D26-1)),ETANCHEITE!M$22:INDIRECT("'PEINTURE'!O" &amp; D26-1)&lt;&gt;"")))),"")</f>
        <v/>
      </c>
      <c r="I26" s="163" t="str" cm="1">
        <f t="array" aca="1" ref="I26" ca="1">IFERROR(IF(_xlfn.XLOOKUP(A26,ETANCHEITE!O$22:O$92,ETANCHEITE!N$22:N$92,"")&lt;&gt;"",_xlfn.XLOOKUP(A26,ETANCHEITE!O$22:O$92,ETANCHEITE!N$22:N$92,""),    INDEX(ETANCHEITE!N:N,MAX(_xlfn._xlws.FILTER(ROW(ETANCHEITE!N$22:INDIRECT("'PEINTURE'!P" &amp; D26-1)),ETANCHEITE!N$22:INDIRECT("'PEINTURE'!P" &amp; D26-1)&lt;&gt;"")))),"")</f>
        <v/>
      </c>
      <c r="J26" s="145">
        <v>24</v>
      </c>
      <c r="K26" s="154" t="str">
        <f>IF(O26&lt;&gt;" ",ETANCHEITE!$D$5,"")</f>
        <v/>
      </c>
      <c r="L26" s="154" t="str">
        <f>IF(O26&lt;&gt;" ",ETANCHEITE!$D$8,"")</f>
        <v/>
      </c>
      <c r="M26" s="146" t="str">
        <f>IFERROR(MATCH(J26,ETANCHEITE!X$22:X$167,0)+18,"")</f>
        <v/>
      </c>
      <c r="N26" s="147" t="str" cm="1">
        <f t="array" aca="1" ref="N26" ca="1">IFERROR(IF(_xlfn.XLOOKUP(J26,ETANCHEITE!X$22:X$167,ETANCHEITE!$A$22:$A$167,"")&lt;&gt;"",_xlfn.XLOOKUP(J26,ETANCHEITE!X$22:X$167,ETANCHEITE!$A$22:$A$167,""),    INDEX(ETANCHEITE!$A:$A,MAX(_xlfn._xlws.FILTER(ROW(ETANCHEITE!$A$22:INDIRECT("'MENUISERIES EXTERIEURES'!$A" &amp; M26-1)),ETANCHEITE!$A$22:INDIRECT("'MENUISERIES EXTERIEURES'!$A" &amp; M26-1)&lt;&gt;"")))),"")&amp;"   "&amp;IFERROR(_xlfn.XLOOKUP(J26,ETANCHEITE!X$22:X$167,ETANCHEITE!$B$22:$B$167),"")&amp;IFERROR(_xlfn.XLOOKUP(J26,ETANCHEITE!X$22:X$167,ETANCHEITE!$C$22:$C$167),"")&amp;IFERROR(_xlfn.XLOOKUP(J26,ETANCHEITE!X$22:X$167,ETANCHEITE!$D$22:$D$167),"")&amp;IFERROR(_xlfn.XLOOKUP(J26,ETANCHEITE!X$22:X$167,ETANCHEITE!#REF!),"")&amp;IFERROR(_xlfn.XLOOKUP(J26,ETANCHEITE!X$22:X$167,ETANCHEITE!#REF!),"")</f>
        <v xml:space="preserve">   </v>
      </c>
      <c r="O26" s="155" t="str">
        <f>IFERROR(VLOOKUP(J26,ETANCHEITE!X$22:Z$167,2,FALSE),"")&amp;" "&amp;IFERROR(VLOOKUP(J26,ETANCHEITE!X$22:Z$167,3,FALSE),"")</f>
        <v xml:space="preserve"> </v>
      </c>
      <c r="P26" s="148" t="str">
        <f>IF(O26&lt;&gt;" ",'Feuille de Donnée'!$C$3,"")</f>
        <v/>
      </c>
      <c r="Q26" s="162" t="str" cm="1">
        <f t="array" aca="1" ref="Q26" ca="1">IFERROR(IF(_xlfn.XLOOKUP(J26,ETANCHEITE!X$22:X$92,ETANCHEITE!V$22:V$92,"")&lt;&gt;"",_xlfn.XLOOKUP(J26,ETANCHEITE!X$22:X$92,ETANCHEITE!V$22:V$92,""),    INDEX(ETANCHEITE!V:V,MAX(_xlfn._xlws.FILTER(ROW(ETANCHEITE!V$22:INDIRECT("'PEINTURE'!O" &amp; M26-1)),ETANCHEITE!V$22:INDIRECT("'PEINTURE'!O" &amp; M26-1)&lt;&gt;"")))),"")</f>
        <v/>
      </c>
      <c r="R26" s="163" t="str" cm="1">
        <f t="array" aca="1" ref="R26" ca="1">IFERROR(IF(_xlfn.XLOOKUP(J26,ETANCHEITE!X$22:X$92,ETANCHEITE!W$22:W$92,"")&lt;&gt;"",_xlfn.XLOOKUP(J26,ETANCHEITE!X$22:X$92,ETANCHEITE!W$22:W$92,""),    INDEX(ETANCHEITE!W:W,MAX(_xlfn._xlws.FILTER(ROW(ETANCHEITE!W$22:INDIRECT("'PEINTURE'!P" &amp; M26-1)),ETANCHEITE!W$22:INDIRECT("'PEINTURE'!P" &amp; M26-1)&lt;&gt;"")))),"")</f>
        <v/>
      </c>
      <c r="S26" s="145">
        <v>24</v>
      </c>
      <c r="T26" s="154" t="str">
        <f>IF(X26&lt;&gt;" ",ETANCHEITE!$D$5,"")</f>
        <v/>
      </c>
      <c r="U26" s="154" t="str">
        <f>IF(X26&lt;&gt;" ",ETANCHEITE!$D$8,"")</f>
        <v/>
      </c>
      <c r="V26" s="146" t="str">
        <f>IFERROR(MATCH(S26,ETANCHEITE!AG$22:AG$167,0)+18,"")</f>
        <v/>
      </c>
      <c r="W26" s="147" t="str" cm="1">
        <f t="array" aca="1" ref="W26" ca="1">IFERROR(IF(_xlfn.XLOOKUP(S26,ETANCHEITE!AG$22:AG$167,ETANCHEITE!$A$22:$A$167,"")&lt;&gt;"",_xlfn.XLOOKUP(S26,ETANCHEITE!AG$22:AG$167,ETANCHEITE!$A$22:$A$167,""),    INDEX(ETANCHEITE!$A:$A,MAX(_xlfn._xlws.FILTER(ROW(ETANCHEITE!$A$22:INDIRECT("'MENUISERIES EXTERIEURES'!$A" &amp; V26-1)),ETANCHEITE!$A$22:INDIRECT("'MENUISERIES EXTERIEURES'!$A" &amp; V26-1)&lt;&gt;"")))),"")&amp;"   "&amp;IFERROR(_xlfn.XLOOKUP(S26,ETANCHEITE!AG$22:AG$167,ETANCHEITE!$B$22:$B$167),"")&amp;IFERROR(_xlfn.XLOOKUP(S26,ETANCHEITE!AG$22:AG$167,ETANCHEITE!$C$22:$C$167),"")&amp;IFERROR(_xlfn.XLOOKUP(S26,ETANCHEITE!AG$22:AG$167,ETANCHEITE!$D$22:$D$167),"")&amp;IFERROR(_xlfn.XLOOKUP(S26,ETANCHEITE!AG$22:AG$167,ETANCHEITE!#REF!),"")&amp;IFERROR(_xlfn.XLOOKUP(S26,ETANCHEITE!AG$22:AG$167,ETANCHEITE!#REF!),"")</f>
        <v xml:space="preserve">   </v>
      </c>
      <c r="X26" s="155" t="str">
        <f>IFERROR(VLOOKUP(S26,ETANCHEITE!AG$22:AI$167,2,FALSE),"")&amp;" "&amp;IFERROR(VLOOKUP(S26,ETANCHEITE!AG$22:AI$167,3,FALSE),"")</f>
        <v xml:space="preserve"> </v>
      </c>
      <c r="Y26" s="148" t="str">
        <f>IF(X26&lt;&gt;" ",'Feuille de Donnée'!$C$3,"")</f>
        <v/>
      </c>
      <c r="Z26" s="162" t="str" cm="1">
        <f t="array" aca="1" ref="Z26" ca="1">IFERROR(IF(_xlfn.XLOOKUP(S26,ETANCHEITE!AG$22:AG$92,ETANCHEITE!AE$22:AE$92,"")&lt;&gt;"",_xlfn.XLOOKUP(S26,ETANCHEITE!AG$22:AG$92,ETANCHEITE!AE$22:AE$92,""),    INDEX(ETANCHEITE!AE:AE,MAX(_xlfn._xlws.FILTER(ROW(ETANCHEITE!AE$22:INDIRECT("'PEINTURE'!O" &amp; V26-1)),ETANCHEITE!AE$22:INDIRECT("'PEINTURE'!O" &amp; V26-1)&lt;&gt;"")))),"")</f>
        <v/>
      </c>
      <c r="AA26" s="163" t="str" cm="1">
        <f t="array" aca="1" ref="AA26" ca="1">IFERROR(IF(_xlfn.XLOOKUP(S26,ETANCHEITE!AG$22:AG$92,ETANCHEITE!AF$22:AF$92,"")&lt;&gt;"",_xlfn.XLOOKUP(S26,ETANCHEITE!AG$22:AG$92,ETANCHEITE!AF$22:AF$92,""),    INDEX(ETANCHEITE!AF:AF,MAX(_xlfn._xlws.FILTER(ROW(ETANCHEITE!AF$22:INDIRECT("'PEINTURE'!P" &amp; V26-1)),ETANCHEITE!AF$22:INDIRECT("'PEINTURE'!P" &amp; V26-1)&lt;&gt;"")))),"")</f>
        <v/>
      </c>
      <c r="AB26" s="145">
        <v>24</v>
      </c>
      <c r="AC26" s="154" t="str">
        <f>IF(AG26&lt;&gt;" ",ETANCHEITE!$D$5,"")</f>
        <v/>
      </c>
      <c r="AD26" s="154" t="str">
        <f>IF(AG26&lt;&gt;" ",ETANCHEITE!$D$8,"")</f>
        <v/>
      </c>
      <c r="AE26" s="146" t="str">
        <f>IFERROR(MATCH(AB26,ETANCHEITE!AP$22:AP$167,0)+18,"")</f>
        <v/>
      </c>
      <c r="AF26" s="147" t="str" cm="1">
        <f t="array" aca="1" ref="AF26" ca="1">IFERROR(IF(_xlfn.XLOOKUP(AB26,ETANCHEITE!AP$22:AP$167,ETANCHEITE!$A$22:$A$167,"")&lt;&gt;"",_xlfn.XLOOKUP(AB26,ETANCHEITE!AP$22:AP$167,ETANCHEITE!$A$22:$A$167,""),    INDEX(ETANCHEITE!$A:$A,MAX(_xlfn._xlws.FILTER(ROW(ETANCHEITE!$A$22:INDIRECT("'MENUISERIES EXTERIEURES'!$A" &amp; AE26-1)),ETANCHEITE!$A$22:INDIRECT("'MENUISERIES EXTERIEURES'!$A" &amp; AE26-1)&lt;&gt;"")))),"")&amp;"   "&amp;IFERROR(_xlfn.XLOOKUP(AB26,ETANCHEITE!AP$22:AP$167,ETANCHEITE!$B$22:$B$167),"")&amp;IFERROR(_xlfn.XLOOKUP(AB26,ETANCHEITE!AP$22:AP$167,ETANCHEITE!$C$22:$C$167),"")&amp;IFERROR(_xlfn.XLOOKUP(AB26,ETANCHEITE!AP$22:AP$167,ETANCHEITE!$D$22:$D$167),"")&amp;IFERROR(_xlfn.XLOOKUP(AB26,ETANCHEITE!AP$22:AP$167,ETANCHEITE!#REF!),"")&amp;IFERROR(_xlfn.XLOOKUP(AB26,ETANCHEITE!AP$22:AP$167,ETANCHEITE!#REF!),"")</f>
        <v xml:space="preserve">   </v>
      </c>
      <c r="AG26" s="155" t="str">
        <f>IFERROR(VLOOKUP(AB26,ETANCHEITE!AP$22:AR$167,2,FALSE),"")&amp;" "&amp;IFERROR(VLOOKUP(AB26,ETANCHEITE!AP$22:AR$167,3,FALSE),"")</f>
        <v xml:space="preserve"> </v>
      </c>
      <c r="AH26" s="148" t="str">
        <f>IF(AG26&lt;&gt;" ",'Feuille de Donnée'!$C$3,"")</f>
        <v/>
      </c>
      <c r="AI26" s="162" t="str" cm="1">
        <f t="array" aca="1" ref="AI26" ca="1">IFERROR(IF(_xlfn.XLOOKUP(AB26,ETANCHEITE!AP$22:AP$92,ETANCHEITE!AN$22:AN$92,"")&lt;&gt;"",_xlfn.XLOOKUP(AB26,ETANCHEITE!AP$22:AP$92,ETANCHEITE!AN$22:AN$92,""),    INDEX(ETANCHEITE!AN:AN,MAX(_xlfn._xlws.FILTER(ROW(ETANCHEITE!AN$22:INDIRECT("'PEINTURE'!O" &amp; AE26-1)),ETANCHEITE!AN$22:INDIRECT("'PEINTURE'!O" &amp; AE26-1)&lt;&gt;"")))),"")</f>
        <v/>
      </c>
      <c r="AJ26" s="163" t="str" cm="1">
        <f t="array" aca="1" ref="AJ26" ca="1">IFERROR(IF(_xlfn.XLOOKUP(AB26,ETANCHEITE!AP$22:AP$92,ETANCHEITE!AO$22:AO$92,"")&lt;&gt;"",_xlfn.XLOOKUP(AB26,ETANCHEITE!AP$22:AP$92,ETANCHEITE!AO$22:AO$92,""),    INDEX(ETANCHEITE!AO:AO,MAX(_xlfn._xlws.FILTER(ROW(ETANCHEITE!AO$22:INDIRECT("'PEINTURE'!P" &amp; AE26-1)),ETANCHEITE!AO$22:INDIRECT("'PEINTURE'!P" &amp; AE26-1)&lt;&gt;"")))),"")</f>
        <v/>
      </c>
      <c r="AK26" s="145">
        <v>24</v>
      </c>
      <c r="AL26" s="154" t="str">
        <f>IF(AP26&lt;&gt;" ",ETANCHEITE!$D$5,"")</f>
        <v/>
      </c>
      <c r="AM26" s="154" t="str">
        <f>IF(AP26&lt;&gt;" ",ETANCHEITE!$D$8,"")</f>
        <v/>
      </c>
      <c r="AN26" s="146" t="str">
        <f>IFERROR(MATCH(AK26,ETANCHEITE!AY$22:AY$167,0)+18,"")</f>
        <v/>
      </c>
      <c r="AO26" s="147" t="str" cm="1">
        <f t="array" aca="1" ref="AO26" ca="1">IFERROR(IF(_xlfn.XLOOKUP(AK26,ETANCHEITE!AY$22:AY$167,ETANCHEITE!$A$22:$A$167,"")&lt;&gt;"",_xlfn.XLOOKUP(AK26,ETANCHEITE!AY$22:AY$167,ETANCHEITE!$A$22:$A$167,""),    INDEX(ETANCHEITE!$A:$A,MAX(_xlfn._xlws.FILTER(ROW(ETANCHEITE!$A$22:INDIRECT("'MENUISERIES EXTERIEURES'!$A" &amp; AN26-1)),ETANCHEITE!$A$22:INDIRECT("'MENUISERIES EXTERIEURES'!$A" &amp; AN26-1)&lt;&gt;"")))),"")&amp;"   "&amp;IFERROR(_xlfn.XLOOKUP(AK26,ETANCHEITE!AY$22:AY$167,ETANCHEITE!$B$22:$B$167),"")&amp;IFERROR(_xlfn.XLOOKUP(AK26,ETANCHEITE!AY$22:AY$167,ETANCHEITE!$C$22:$C$167),"")&amp;IFERROR(_xlfn.XLOOKUP(AK26,ETANCHEITE!AY$22:AY$167,ETANCHEITE!$D$22:$D$167),"")&amp;IFERROR(_xlfn.XLOOKUP(AK26,ETANCHEITE!AY$22:AY$167,ETANCHEITE!#REF!),"")&amp;IFERROR(_xlfn.XLOOKUP(AK26,ETANCHEITE!AY$22:AY$167,ETANCHEITE!#REF!),"")</f>
        <v xml:space="preserve">   </v>
      </c>
      <c r="AP26" s="155" t="str">
        <f>IFERROR(VLOOKUP(AK26,ETANCHEITE!AY$22:BA$167,2,FALSE),"")&amp;" "&amp;IFERROR(VLOOKUP(AK26,ETANCHEITE!AY$22:BA$167,3,FALSE),"")</f>
        <v xml:space="preserve"> </v>
      </c>
      <c r="AQ26" s="148" t="str">
        <f>IF(AP26&lt;&gt;" ",'Feuille de Donnée'!$C$3,"")</f>
        <v/>
      </c>
      <c r="AR26" s="162" t="str" cm="1">
        <f t="array" aca="1" ref="AR26" ca="1">IFERROR(IF(_xlfn.XLOOKUP(AK26,ETANCHEITE!AY$22:AY$92,ETANCHEITE!AW$22:AW$92,"")&lt;&gt;"",_xlfn.XLOOKUP(AK26,ETANCHEITE!AY$22:AY$92,ETANCHEITE!AW$22:AW$92,""),    INDEX(ETANCHEITE!AW:AW,MAX(_xlfn._xlws.FILTER(ROW(ETANCHEITE!AW$22:INDIRECT("'PEINTURE'!O" &amp; AN26-1)),ETANCHEITE!AW$22:INDIRECT("'PEINTURE'!O" &amp; AN26-1)&lt;&gt;"")))),"")</f>
        <v/>
      </c>
      <c r="AS26" s="163" t="str" cm="1">
        <f t="array" aca="1" ref="AS26" ca="1">IFERROR(IF(_xlfn.XLOOKUP(AK26,ETANCHEITE!AY$22:AY$92,ETANCHEITE!AX$22:AX$92,"")&lt;&gt;"",_xlfn.XLOOKUP(AK26,ETANCHEITE!AY$22:AY$92,ETANCHEITE!AX$22:AX$92,""),    INDEX(ETANCHEITE!AX:AX,MAX(_xlfn._xlws.FILTER(ROW(ETANCHEITE!AX$22:INDIRECT("'PEINTURE'!P" &amp; AN26-1)),ETANCHEITE!AX$22:INDIRECT("'PEINTURE'!P" &amp; AN26-1)&lt;&gt;"")))),"")</f>
        <v/>
      </c>
      <c r="AT26" s="145">
        <v>24</v>
      </c>
      <c r="AU26" s="154" t="str">
        <f>IF(AY26&lt;&gt;" ",ETANCHEITE!$D$5,"")</f>
        <v/>
      </c>
      <c r="AV26" s="154" t="str">
        <f>IF(AY26&lt;&gt;" ",ETANCHEITE!$D$8,"")</f>
        <v/>
      </c>
      <c r="AW26" s="146" t="str">
        <f>IFERROR(MATCH(AT26,ETANCHEITE!BH$22:BH$167,0)+18,"")</f>
        <v/>
      </c>
      <c r="AX26" s="147" t="str" cm="1">
        <f t="array" aca="1" ref="AX26" ca="1">IFERROR(IF(_xlfn.XLOOKUP(AT26,ETANCHEITE!BH$22:BH$167,ETANCHEITE!$A$22:$A$167,"")&lt;&gt;"",_xlfn.XLOOKUP(AT26,ETANCHEITE!BH$22:BH$167,ETANCHEITE!$A$22:$A$167,""),    INDEX(ETANCHEITE!$A:$A,MAX(_xlfn._xlws.FILTER(ROW(ETANCHEITE!$A$22:INDIRECT("'MENUISERIES EXTERIEURES'!$A" &amp; AW26-1)),ETANCHEITE!$A$22:INDIRECT("'MENUISERIES EXTERIEURES'!$A" &amp; AW26-1)&lt;&gt;"")))),"")&amp;"   "&amp;IFERROR(_xlfn.XLOOKUP(AT26,ETANCHEITE!BH$22:BH$167,ETANCHEITE!$B$22:$B$167),"")&amp;IFERROR(_xlfn.XLOOKUP(AT26,ETANCHEITE!BH$22:BH$167,ETANCHEITE!$C$22:$C$167),"")&amp;IFERROR(_xlfn.XLOOKUP(AT26,ETANCHEITE!BH$22:BH$167,ETANCHEITE!$D$22:$D$167),"")&amp;IFERROR(_xlfn.XLOOKUP(AT26,ETANCHEITE!BH$22:BH$167,ETANCHEITE!#REF!),"")&amp;IFERROR(_xlfn.XLOOKUP(AT26,ETANCHEITE!BH$22:BH$167,ETANCHEITE!#REF!),"")</f>
        <v xml:space="preserve">   </v>
      </c>
      <c r="AY26" s="155" t="str">
        <f>IFERROR(VLOOKUP(AT26,ETANCHEITE!BH$22:BJ$167,2,FALSE),"")&amp;" "&amp;IFERROR(VLOOKUP(AT26,ETANCHEITE!BH$22:BJ$167,3,FALSE),"")</f>
        <v xml:space="preserve"> </v>
      </c>
      <c r="AZ26" s="148" t="str">
        <f>IF(AY26&lt;&gt;" ",'Feuille de Donnée'!$C$3,"")</f>
        <v/>
      </c>
      <c r="BA26" s="162" t="str" cm="1">
        <f t="array" aca="1" ref="BA26" ca="1">IFERROR(IF(_xlfn.XLOOKUP(AT26,ETANCHEITE!BH$22:BH$92,ETANCHEITE!BF$22:BF$92,"")&lt;&gt;"",_xlfn.XLOOKUP(AT26,ETANCHEITE!BH$22:BH$92,ETANCHEITE!BF$22:BF$92,""),    INDEX(ETANCHEITE!BF:BF,MAX(_xlfn._xlws.FILTER(ROW(ETANCHEITE!BF$22:INDIRECT("'PEINTURE'!O" &amp; AW26-1)),ETANCHEITE!BF$22:INDIRECT("'PEINTURE'!O" &amp; AW26-1)&lt;&gt;"")))),"")</f>
        <v/>
      </c>
      <c r="BB26" s="163" t="str" cm="1">
        <f t="array" aca="1" ref="BB26" ca="1">IFERROR(IF(_xlfn.XLOOKUP(AT26,ETANCHEITE!BH$22:BH$92,ETANCHEITE!BG$22:BG$92,"")&lt;&gt;"",_xlfn.XLOOKUP(AT26,ETANCHEITE!BH$22:BH$92,ETANCHEITE!BG$22:BG$92,""),    INDEX(ETANCHEITE!BG:BG,MAX(_xlfn._xlws.FILTER(ROW(ETANCHEITE!BG$22:INDIRECT("'PEINTURE'!P" &amp; AW26-1)),ETANCHEITE!BG$22:INDIRECT("'PEINTURE'!P" &amp; AW26-1)&lt;&gt;"")))),"")</f>
        <v/>
      </c>
    </row>
    <row r="27" spans="1:54" ht="15" customHeight="1" x14ac:dyDescent="0.3">
      <c r="A27" s="145">
        <v>25</v>
      </c>
      <c r="B27" s="154" t="str">
        <f>IF(F27&lt;&gt;" ",ETANCHEITE!$D$5,"")</f>
        <v/>
      </c>
      <c r="C27" s="154" t="str">
        <f>IF(F27&lt;&gt;" ",ETANCHEITE!$D$8,"")</f>
        <v/>
      </c>
      <c r="D27" s="146" t="str">
        <f>IFERROR(MATCH(A27,ETANCHEITE!O$22:O$167,0)+18,"")</f>
        <v/>
      </c>
      <c r="E27" s="147" t="str" cm="1">
        <f t="array" aca="1" ref="E27" ca="1">IFERROR(IF(_xlfn.XLOOKUP(A27,ETANCHEITE!O$22:O$167,ETANCHEITE!$A$22:$A$167,"")&lt;&gt;"",_xlfn.XLOOKUP(A27,ETANCHEITE!O$22:O$167,ETANCHEITE!$A$22:$A$167,""),    INDEX(ETANCHEITE!$A:$A,MAX(_xlfn._xlws.FILTER(ROW(ETANCHEITE!$A$22:INDIRECT("'MENUISERIES EXTERIEURES'!$A" &amp; D27-1)),ETANCHEITE!$A$22:INDIRECT("'MENUISERIES EXTERIEURES'!$A" &amp; D27-1)&lt;&gt;"")))),"")&amp;"   "&amp;IFERROR(_xlfn.XLOOKUP(A27,ETANCHEITE!O$22:O$167,ETANCHEITE!$B$22:$B$167),"")&amp;IFERROR(_xlfn.XLOOKUP(A27,ETANCHEITE!O$22:O$167,ETANCHEITE!$C$22:$C$167),"")&amp;IFERROR(_xlfn.XLOOKUP(A27,ETANCHEITE!O$22:O$167,ETANCHEITE!$D$22:$D$167),"")&amp;IFERROR(_xlfn.XLOOKUP(A27,ETANCHEITE!O$22:O$167,ETANCHEITE!#REF!),"")&amp;IFERROR(_xlfn.XLOOKUP(A27,ETANCHEITE!O$22:O$167,ETANCHEITE!#REF!),"")</f>
        <v xml:space="preserve">   </v>
      </c>
      <c r="F27" s="155" t="str">
        <f>IFERROR(VLOOKUP(A27,ETANCHEITE!O$22:Q$167,2,FALSE),"")&amp;" "&amp;IFERROR(VLOOKUP(A27,ETANCHEITE!O$22:Q$167,3,FALSE),"")</f>
        <v xml:space="preserve"> </v>
      </c>
      <c r="G27" s="148" t="str">
        <f>IF(F27&lt;&gt;" ",'Feuille de Donnée'!$C$3,"")</f>
        <v/>
      </c>
      <c r="H27" s="162" t="str" cm="1">
        <f t="array" aca="1" ref="H27" ca="1">IFERROR(IF(_xlfn.XLOOKUP(A27,ETANCHEITE!O$22:O$92,ETANCHEITE!M$22:M$92,"")&lt;&gt;"",_xlfn.XLOOKUP(A27,ETANCHEITE!O$22:O$92,ETANCHEITE!M$22:M$92,""),    INDEX(ETANCHEITE!M:M,MAX(_xlfn._xlws.FILTER(ROW(ETANCHEITE!M$22:INDIRECT("'PEINTURE'!O" &amp; D27-1)),ETANCHEITE!M$22:INDIRECT("'PEINTURE'!O" &amp; D27-1)&lt;&gt;"")))),"")</f>
        <v/>
      </c>
      <c r="I27" s="163" t="str" cm="1">
        <f t="array" aca="1" ref="I27" ca="1">IFERROR(IF(_xlfn.XLOOKUP(A27,ETANCHEITE!O$22:O$92,ETANCHEITE!N$22:N$92,"")&lt;&gt;"",_xlfn.XLOOKUP(A27,ETANCHEITE!O$22:O$92,ETANCHEITE!N$22:N$92,""),    INDEX(ETANCHEITE!N:N,MAX(_xlfn._xlws.FILTER(ROW(ETANCHEITE!N$22:INDIRECT("'PEINTURE'!P" &amp; D27-1)),ETANCHEITE!N$22:INDIRECT("'PEINTURE'!P" &amp; D27-1)&lt;&gt;"")))),"")</f>
        <v/>
      </c>
      <c r="J27" s="145">
        <v>25</v>
      </c>
      <c r="K27" s="154" t="str">
        <f>IF(O27&lt;&gt;" ",ETANCHEITE!$D$5,"")</f>
        <v/>
      </c>
      <c r="L27" s="154" t="str">
        <f>IF(O27&lt;&gt;" ",ETANCHEITE!$D$8,"")</f>
        <v/>
      </c>
      <c r="M27" s="146" t="str">
        <f>IFERROR(MATCH(J27,ETANCHEITE!X$22:X$167,0)+18,"")</f>
        <v/>
      </c>
      <c r="N27" s="147" t="str" cm="1">
        <f t="array" aca="1" ref="N27" ca="1">IFERROR(IF(_xlfn.XLOOKUP(J27,ETANCHEITE!X$22:X$167,ETANCHEITE!$A$22:$A$167,"")&lt;&gt;"",_xlfn.XLOOKUP(J27,ETANCHEITE!X$22:X$167,ETANCHEITE!$A$22:$A$167,""),    INDEX(ETANCHEITE!$A:$A,MAX(_xlfn._xlws.FILTER(ROW(ETANCHEITE!$A$22:INDIRECT("'MENUISERIES EXTERIEURES'!$A" &amp; M27-1)),ETANCHEITE!$A$22:INDIRECT("'MENUISERIES EXTERIEURES'!$A" &amp; M27-1)&lt;&gt;"")))),"")&amp;"   "&amp;IFERROR(_xlfn.XLOOKUP(J27,ETANCHEITE!X$22:X$167,ETANCHEITE!$B$22:$B$167),"")&amp;IFERROR(_xlfn.XLOOKUP(J27,ETANCHEITE!X$22:X$167,ETANCHEITE!$C$22:$C$167),"")&amp;IFERROR(_xlfn.XLOOKUP(J27,ETANCHEITE!X$22:X$167,ETANCHEITE!$D$22:$D$167),"")&amp;IFERROR(_xlfn.XLOOKUP(J27,ETANCHEITE!X$22:X$167,ETANCHEITE!#REF!),"")&amp;IFERROR(_xlfn.XLOOKUP(J27,ETANCHEITE!X$22:X$167,ETANCHEITE!#REF!),"")</f>
        <v xml:space="preserve">   </v>
      </c>
      <c r="O27" s="155" t="str">
        <f>IFERROR(VLOOKUP(J27,ETANCHEITE!X$22:Z$167,2,FALSE),"")&amp;" "&amp;IFERROR(VLOOKUP(J27,ETANCHEITE!X$22:Z$167,3,FALSE),"")</f>
        <v xml:space="preserve"> </v>
      </c>
      <c r="P27" s="148" t="str">
        <f>IF(O27&lt;&gt;" ",'Feuille de Donnée'!$C$3,"")</f>
        <v/>
      </c>
      <c r="Q27" s="162" t="str" cm="1">
        <f t="array" aca="1" ref="Q27" ca="1">IFERROR(IF(_xlfn.XLOOKUP(J27,ETANCHEITE!X$22:X$92,ETANCHEITE!V$22:V$92,"")&lt;&gt;"",_xlfn.XLOOKUP(J27,ETANCHEITE!X$22:X$92,ETANCHEITE!V$22:V$92,""),    INDEX(ETANCHEITE!V:V,MAX(_xlfn._xlws.FILTER(ROW(ETANCHEITE!V$22:INDIRECT("'PEINTURE'!O" &amp; M27-1)),ETANCHEITE!V$22:INDIRECT("'PEINTURE'!O" &amp; M27-1)&lt;&gt;"")))),"")</f>
        <v/>
      </c>
      <c r="R27" s="163" t="str" cm="1">
        <f t="array" aca="1" ref="R27" ca="1">IFERROR(IF(_xlfn.XLOOKUP(J27,ETANCHEITE!X$22:X$92,ETANCHEITE!W$22:W$92,"")&lt;&gt;"",_xlfn.XLOOKUP(J27,ETANCHEITE!X$22:X$92,ETANCHEITE!W$22:W$92,""),    INDEX(ETANCHEITE!W:W,MAX(_xlfn._xlws.FILTER(ROW(ETANCHEITE!W$22:INDIRECT("'PEINTURE'!P" &amp; M27-1)),ETANCHEITE!W$22:INDIRECT("'PEINTURE'!P" &amp; M27-1)&lt;&gt;"")))),"")</f>
        <v/>
      </c>
      <c r="S27" s="145">
        <v>25</v>
      </c>
      <c r="T27" s="154" t="str">
        <f>IF(X27&lt;&gt;" ",ETANCHEITE!$D$5,"")</f>
        <v/>
      </c>
      <c r="U27" s="154" t="str">
        <f>IF(X27&lt;&gt;" ",ETANCHEITE!$D$8,"")</f>
        <v/>
      </c>
      <c r="V27" s="146" t="str">
        <f>IFERROR(MATCH(S27,ETANCHEITE!AG$22:AG$167,0)+18,"")</f>
        <v/>
      </c>
      <c r="W27" s="147" t="str" cm="1">
        <f t="array" aca="1" ref="W27" ca="1">IFERROR(IF(_xlfn.XLOOKUP(S27,ETANCHEITE!AG$22:AG$167,ETANCHEITE!$A$22:$A$167,"")&lt;&gt;"",_xlfn.XLOOKUP(S27,ETANCHEITE!AG$22:AG$167,ETANCHEITE!$A$22:$A$167,""),    INDEX(ETANCHEITE!$A:$A,MAX(_xlfn._xlws.FILTER(ROW(ETANCHEITE!$A$22:INDIRECT("'MENUISERIES EXTERIEURES'!$A" &amp; V27-1)),ETANCHEITE!$A$22:INDIRECT("'MENUISERIES EXTERIEURES'!$A" &amp; V27-1)&lt;&gt;"")))),"")&amp;"   "&amp;IFERROR(_xlfn.XLOOKUP(S27,ETANCHEITE!AG$22:AG$167,ETANCHEITE!$B$22:$B$167),"")&amp;IFERROR(_xlfn.XLOOKUP(S27,ETANCHEITE!AG$22:AG$167,ETANCHEITE!$C$22:$C$167),"")&amp;IFERROR(_xlfn.XLOOKUP(S27,ETANCHEITE!AG$22:AG$167,ETANCHEITE!$D$22:$D$167),"")&amp;IFERROR(_xlfn.XLOOKUP(S27,ETANCHEITE!AG$22:AG$167,ETANCHEITE!#REF!),"")&amp;IFERROR(_xlfn.XLOOKUP(S27,ETANCHEITE!AG$22:AG$167,ETANCHEITE!#REF!),"")</f>
        <v xml:space="preserve">   </v>
      </c>
      <c r="X27" s="155" t="str">
        <f>IFERROR(VLOOKUP(S27,ETANCHEITE!AG$22:AI$167,2,FALSE),"")&amp;" "&amp;IFERROR(VLOOKUP(S27,ETANCHEITE!AG$22:AI$167,3,FALSE),"")</f>
        <v xml:space="preserve"> </v>
      </c>
      <c r="Y27" s="148" t="str">
        <f>IF(X27&lt;&gt;" ",'Feuille de Donnée'!$C$3,"")</f>
        <v/>
      </c>
      <c r="Z27" s="162" t="str" cm="1">
        <f t="array" aca="1" ref="Z27" ca="1">IFERROR(IF(_xlfn.XLOOKUP(S27,ETANCHEITE!AG$22:AG$92,ETANCHEITE!AE$22:AE$92,"")&lt;&gt;"",_xlfn.XLOOKUP(S27,ETANCHEITE!AG$22:AG$92,ETANCHEITE!AE$22:AE$92,""),    INDEX(ETANCHEITE!AE:AE,MAX(_xlfn._xlws.FILTER(ROW(ETANCHEITE!AE$22:INDIRECT("'PEINTURE'!O" &amp; V27-1)),ETANCHEITE!AE$22:INDIRECT("'PEINTURE'!O" &amp; V27-1)&lt;&gt;"")))),"")</f>
        <v/>
      </c>
      <c r="AA27" s="163" t="str" cm="1">
        <f t="array" aca="1" ref="AA27" ca="1">IFERROR(IF(_xlfn.XLOOKUP(S27,ETANCHEITE!AG$22:AG$92,ETANCHEITE!AF$22:AF$92,"")&lt;&gt;"",_xlfn.XLOOKUP(S27,ETANCHEITE!AG$22:AG$92,ETANCHEITE!AF$22:AF$92,""),    INDEX(ETANCHEITE!AF:AF,MAX(_xlfn._xlws.FILTER(ROW(ETANCHEITE!AF$22:INDIRECT("'PEINTURE'!P" &amp; V27-1)),ETANCHEITE!AF$22:INDIRECT("'PEINTURE'!P" &amp; V27-1)&lt;&gt;"")))),"")</f>
        <v/>
      </c>
      <c r="AB27" s="145">
        <v>25</v>
      </c>
      <c r="AC27" s="154" t="str">
        <f>IF(AG27&lt;&gt;" ",ETANCHEITE!$D$5,"")</f>
        <v/>
      </c>
      <c r="AD27" s="154" t="str">
        <f>IF(AG27&lt;&gt;" ",ETANCHEITE!$D$8,"")</f>
        <v/>
      </c>
      <c r="AE27" s="146" t="str">
        <f>IFERROR(MATCH(AB27,ETANCHEITE!AP$22:AP$167,0)+18,"")</f>
        <v/>
      </c>
      <c r="AF27" s="147" t="str" cm="1">
        <f t="array" aca="1" ref="AF27" ca="1">IFERROR(IF(_xlfn.XLOOKUP(AB27,ETANCHEITE!AP$22:AP$167,ETANCHEITE!$A$22:$A$167,"")&lt;&gt;"",_xlfn.XLOOKUP(AB27,ETANCHEITE!AP$22:AP$167,ETANCHEITE!$A$22:$A$167,""),    INDEX(ETANCHEITE!$A:$A,MAX(_xlfn._xlws.FILTER(ROW(ETANCHEITE!$A$22:INDIRECT("'MENUISERIES EXTERIEURES'!$A" &amp; AE27-1)),ETANCHEITE!$A$22:INDIRECT("'MENUISERIES EXTERIEURES'!$A" &amp; AE27-1)&lt;&gt;"")))),"")&amp;"   "&amp;IFERROR(_xlfn.XLOOKUP(AB27,ETANCHEITE!AP$22:AP$167,ETANCHEITE!$B$22:$B$167),"")&amp;IFERROR(_xlfn.XLOOKUP(AB27,ETANCHEITE!AP$22:AP$167,ETANCHEITE!$C$22:$C$167),"")&amp;IFERROR(_xlfn.XLOOKUP(AB27,ETANCHEITE!AP$22:AP$167,ETANCHEITE!$D$22:$D$167),"")&amp;IFERROR(_xlfn.XLOOKUP(AB27,ETANCHEITE!AP$22:AP$167,ETANCHEITE!#REF!),"")&amp;IFERROR(_xlfn.XLOOKUP(AB27,ETANCHEITE!AP$22:AP$167,ETANCHEITE!#REF!),"")</f>
        <v xml:space="preserve">   </v>
      </c>
      <c r="AG27" s="155" t="str">
        <f>IFERROR(VLOOKUP(AB27,ETANCHEITE!AP$22:AR$167,2,FALSE),"")&amp;" "&amp;IFERROR(VLOOKUP(AB27,ETANCHEITE!AP$22:AR$167,3,FALSE),"")</f>
        <v xml:space="preserve"> </v>
      </c>
      <c r="AH27" s="148" t="str">
        <f>IF(AG27&lt;&gt;" ",'Feuille de Donnée'!$C$3,"")</f>
        <v/>
      </c>
      <c r="AI27" s="162" t="str" cm="1">
        <f t="array" aca="1" ref="AI27" ca="1">IFERROR(IF(_xlfn.XLOOKUP(AB27,ETANCHEITE!AP$22:AP$92,ETANCHEITE!AN$22:AN$92,"")&lt;&gt;"",_xlfn.XLOOKUP(AB27,ETANCHEITE!AP$22:AP$92,ETANCHEITE!AN$22:AN$92,""),    INDEX(ETANCHEITE!AN:AN,MAX(_xlfn._xlws.FILTER(ROW(ETANCHEITE!AN$22:INDIRECT("'PEINTURE'!O" &amp; AE27-1)),ETANCHEITE!AN$22:INDIRECT("'PEINTURE'!O" &amp; AE27-1)&lt;&gt;"")))),"")</f>
        <v/>
      </c>
      <c r="AJ27" s="163" t="str" cm="1">
        <f t="array" aca="1" ref="AJ27" ca="1">IFERROR(IF(_xlfn.XLOOKUP(AB27,ETANCHEITE!AP$22:AP$92,ETANCHEITE!AO$22:AO$92,"")&lt;&gt;"",_xlfn.XLOOKUP(AB27,ETANCHEITE!AP$22:AP$92,ETANCHEITE!AO$22:AO$92,""),    INDEX(ETANCHEITE!AO:AO,MAX(_xlfn._xlws.FILTER(ROW(ETANCHEITE!AO$22:INDIRECT("'PEINTURE'!P" &amp; AE27-1)),ETANCHEITE!AO$22:INDIRECT("'PEINTURE'!P" &amp; AE27-1)&lt;&gt;"")))),"")</f>
        <v/>
      </c>
      <c r="AK27" s="145">
        <v>25</v>
      </c>
      <c r="AL27" s="154" t="str">
        <f>IF(AP27&lt;&gt;" ",ETANCHEITE!$D$5,"")</f>
        <v/>
      </c>
      <c r="AM27" s="154" t="str">
        <f>IF(AP27&lt;&gt;" ",ETANCHEITE!$D$8,"")</f>
        <v/>
      </c>
      <c r="AN27" s="146" t="str">
        <f>IFERROR(MATCH(AK27,ETANCHEITE!AY$22:AY$167,0)+18,"")</f>
        <v/>
      </c>
      <c r="AO27" s="147" t="str" cm="1">
        <f t="array" aca="1" ref="AO27" ca="1">IFERROR(IF(_xlfn.XLOOKUP(AK27,ETANCHEITE!AY$22:AY$167,ETANCHEITE!$A$22:$A$167,"")&lt;&gt;"",_xlfn.XLOOKUP(AK27,ETANCHEITE!AY$22:AY$167,ETANCHEITE!$A$22:$A$167,""),    INDEX(ETANCHEITE!$A:$A,MAX(_xlfn._xlws.FILTER(ROW(ETANCHEITE!$A$22:INDIRECT("'MENUISERIES EXTERIEURES'!$A" &amp; AN27-1)),ETANCHEITE!$A$22:INDIRECT("'MENUISERIES EXTERIEURES'!$A" &amp; AN27-1)&lt;&gt;"")))),"")&amp;"   "&amp;IFERROR(_xlfn.XLOOKUP(AK27,ETANCHEITE!AY$22:AY$167,ETANCHEITE!$B$22:$B$167),"")&amp;IFERROR(_xlfn.XLOOKUP(AK27,ETANCHEITE!AY$22:AY$167,ETANCHEITE!$C$22:$C$167),"")&amp;IFERROR(_xlfn.XLOOKUP(AK27,ETANCHEITE!AY$22:AY$167,ETANCHEITE!$D$22:$D$167),"")&amp;IFERROR(_xlfn.XLOOKUP(AK27,ETANCHEITE!AY$22:AY$167,ETANCHEITE!#REF!),"")&amp;IFERROR(_xlfn.XLOOKUP(AK27,ETANCHEITE!AY$22:AY$167,ETANCHEITE!#REF!),"")</f>
        <v xml:space="preserve">   </v>
      </c>
      <c r="AP27" s="155" t="str">
        <f>IFERROR(VLOOKUP(AK27,ETANCHEITE!AY$22:BA$167,2,FALSE),"")&amp;" "&amp;IFERROR(VLOOKUP(AK27,ETANCHEITE!AY$22:BA$167,3,FALSE),"")</f>
        <v xml:space="preserve"> </v>
      </c>
      <c r="AQ27" s="148" t="str">
        <f>IF(AP27&lt;&gt;" ",'Feuille de Donnée'!$C$3,"")</f>
        <v/>
      </c>
      <c r="AR27" s="162" t="str" cm="1">
        <f t="array" aca="1" ref="AR27" ca="1">IFERROR(IF(_xlfn.XLOOKUP(AK27,ETANCHEITE!AY$22:AY$92,ETANCHEITE!AW$22:AW$92,"")&lt;&gt;"",_xlfn.XLOOKUP(AK27,ETANCHEITE!AY$22:AY$92,ETANCHEITE!AW$22:AW$92,""),    INDEX(ETANCHEITE!AW:AW,MAX(_xlfn._xlws.FILTER(ROW(ETANCHEITE!AW$22:INDIRECT("'PEINTURE'!O" &amp; AN27-1)),ETANCHEITE!AW$22:INDIRECT("'PEINTURE'!O" &amp; AN27-1)&lt;&gt;"")))),"")</f>
        <v/>
      </c>
      <c r="AS27" s="163" t="str" cm="1">
        <f t="array" aca="1" ref="AS27" ca="1">IFERROR(IF(_xlfn.XLOOKUP(AK27,ETANCHEITE!AY$22:AY$92,ETANCHEITE!AX$22:AX$92,"")&lt;&gt;"",_xlfn.XLOOKUP(AK27,ETANCHEITE!AY$22:AY$92,ETANCHEITE!AX$22:AX$92,""),    INDEX(ETANCHEITE!AX:AX,MAX(_xlfn._xlws.FILTER(ROW(ETANCHEITE!AX$22:INDIRECT("'PEINTURE'!P" &amp; AN27-1)),ETANCHEITE!AX$22:INDIRECT("'PEINTURE'!P" &amp; AN27-1)&lt;&gt;"")))),"")</f>
        <v/>
      </c>
      <c r="AT27" s="145">
        <v>25</v>
      </c>
      <c r="AU27" s="154" t="str">
        <f>IF(AY27&lt;&gt;" ",ETANCHEITE!$D$5,"")</f>
        <v/>
      </c>
      <c r="AV27" s="154" t="str">
        <f>IF(AY27&lt;&gt;" ",ETANCHEITE!$D$8,"")</f>
        <v/>
      </c>
      <c r="AW27" s="146" t="str">
        <f>IFERROR(MATCH(AT27,ETANCHEITE!BH$22:BH$167,0)+18,"")</f>
        <v/>
      </c>
      <c r="AX27" s="147" t="str" cm="1">
        <f t="array" aca="1" ref="AX27" ca="1">IFERROR(IF(_xlfn.XLOOKUP(AT27,ETANCHEITE!BH$22:BH$167,ETANCHEITE!$A$22:$A$167,"")&lt;&gt;"",_xlfn.XLOOKUP(AT27,ETANCHEITE!BH$22:BH$167,ETANCHEITE!$A$22:$A$167,""),    INDEX(ETANCHEITE!$A:$A,MAX(_xlfn._xlws.FILTER(ROW(ETANCHEITE!$A$22:INDIRECT("'MENUISERIES EXTERIEURES'!$A" &amp; AW27-1)),ETANCHEITE!$A$22:INDIRECT("'MENUISERIES EXTERIEURES'!$A" &amp; AW27-1)&lt;&gt;"")))),"")&amp;"   "&amp;IFERROR(_xlfn.XLOOKUP(AT27,ETANCHEITE!BH$22:BH$167,ETANCHEITE!$B$22:$B$167),"")&amp;IFERROR(_xlfn.XLOOKUP(AT27,ETANCHEITE!BH$22:BH$167,ETANCHEITE!$C$22:$C$167),"")&amp;IFERROR(_xlfn.XLOOKUP(AT27,ETANCHEITE!BH$22:BH$167,ETANCHEITE!$D$22:$D$167),"")&amp;IFERROR(_xlfn.XLOOKUP(AT27,ETANCHEITE!BH$22:BH$167,ETANCHEITE!#REF!),"")&amp;IFERROR(_xlfn.XLOOKUP(AT27,ETANCHEITE!BH$22:BH$167,ETANCHEITE!#REF!),"")</f>
        <v xml:space="preserve">   </v>
      </c>
      <c r="AY27" s="155" t="str">
        <f>IFERROR(VLOOKUP(AT27,ETANCHEITE!BH$22:BJ$167,2,FALSE),"")&amp;" "&amp;IFERROR(VLOOKUP(AT27,ETANCHEITE!BH$22:BJ$167,3,FALSE),"")</f>
        <v xml:space="preserve"> </v>
      </c>
      <c r="AZ27" s="148" t="str">
        <f>IF(AY27&lt;&gt;" ",'Feuille de Donnée'!$C$3,"")</f>
        <v/>
      </c>
      <c r="BA27" s="162" t="str" cm="1">
        <f t="array" aca="1" ref="BA27" ca="1">IFERROR(IF(_xlfn.XLOOKUP(AT27,ETANCHEITE!BH$22:BH$92,ETANCHEITE!BF$22:BF$92,"")&lt;&gt;"",_xlfn.XLOOKUP(AT27,ETANCHEITE!BH$22:BH$92,ETANCHEITE!BF$22:BF$92,""),    INDEX(ETANCHEITE!BF:BF,MAX(_xlfn._xlws.FILTER(ROW(ETANCHEITE!BF$22:INDIRECT("'PEINTURE'!O" &amp; AW27-1)),ETANCHEITE!BF$22:INDIRECT("'PEINTURE'!O" &amp; AW27-1)&lt;&gt;"")))),"")</f>
        <v/>
      </c>
      <c r="BB27" s="163" t="str" cm="1">
        <f t="array" aca="1" ref="BB27" ca="1">IFERROR(IF(_xlfn.XLOOKUP(AT27,ETANCHEITE!BH$22:BH$92,ETANCHEITE!BG$22:BG$92,"")&lt;&gt;"",_xlfn.XLOOKUP(AT27,ETANCHEITE!BH$22:BH$92,ETANCHEITE!BG$22:BG$92,""),    INDEX(ETANCHEITE!BG:BG,MAX(_xlfn._xlws.FILTER(ROW(ETANCHEITE!BG$22:INDIRECT("'PEINTURE'!P" &amp; AW27-1)),ETANCHEITE!BG$22:INDIRECT("'PEINTURE'!P" &amp; AW27-1)&lt;&gt;"")))),"")</f>
        <v/>
      </c>
    </row>
    <row r="28" spans="1:54" ht="15" customHeight="1" x14ac:dyDescent="0.3">
      <c r="A28" s="145">
        <v>26</v>
      </c>
      <c r="B28" s="154" t="str">
        <f>IF(F28&lt;&gt;" ",ETANCHEITE!$D$5,"")</f>
        <v/>
      </c>
      <c r="C28" s="154" t="str">
        <f>IF(F28&lt;&gt;" ",ETANCHEITE!$D$8,"")</f>
        <v/>
      </c>
      <c r="D28" s="146" t="str">
        <f>IFERROR(MATCH(A28,ETANCHEITE!O$22:O$167,0)+18,"")</f>
        <v/>
      </c>
      <c r="E28" s="147" t="str" cm="1">
        <f t="array" aca="1" ref="E28" ca="1">IFERROR(IF(_xlfn.XLOOKUP(A28,ETANCHEITE!O$22:O$167,ETANCHEITE!$A$22:$A$167,"")&lt;&gt;"",_xlfn.XLOOKUP(A28,ETANCHEITE!O$22:O$167,ETANCHEITE!$A$22:$A$167,""),    INDEX(ETANCHEITE!$A:$A,MAX(_xlfn._xlws.FILTER(ROW(ETANCHEITE!$A$22:INDIRECT("'MENUISERIES EXTERIEURES'!$A" &amp; D28-1)),ETANCHEITE!$A$22:INDIRECT("'MENUISERIES EXTERIEURES'!$A" &amp; D28-1)&lt;&gt;"")))),"")&amp;"   "&amp;IFERROR(_xlfn.XLOOKUP(A28,ETANCHEITE!O$22:O$167,ETANCHEITE!$B$22:$B$167),"")&amp;IFERROR(_xlfn.XLOOKUP(A28,ETANCHEITE!O$22:O$167,ETANCHEITE!$C$22:$C$167),"")&amp;IFERROR(_xlfn.XLOOKUP(A28,ETANCHEITE!O$22:O$167,ETANCHEITE!$D$22:$D$167),"")&amp;IFERROR(_xlfn.XLOOKUP(A28,ETANCHEITE!O$22:O$167,ETANCHEITE!#REF!),"")&amp;IFERROR(_xlfn.XLOOKUP(A28,ETANCHEITE!O$22:O$167,ETANCHEITE!#REF!),"")</f>
        <v xml:space="preserve">   </v>
      </c>
      <c r="F28" s="155" t="str">
        <f>IFERROR(VLOOKUP(A28,ETANCHEITE!O$22:Q$167,2,FALSE),"")&amp;" "&amp;IFERROR(VLOOKUP(A28,ETANCHEITE!O$22:Q$167,3,FALSE),"")</f>
        <v xml:space="preserve"> </v>
      </c>
      <c r="G28" s="148" t="str">
        <f>IF(F28&lt;&gt;" ",'Feuille de Donnée'!$C$3,"")</f>
        <v/>
      </c>
      <c r="H28" s="162" t="str" cm="1">
        <f t="array" aca="1" ref="H28" ca="1">IFERROR(IF(_xlfn.XLOOKUP(A28,ETANCHEITE!O$22:O$92,ETANCHEITE!M$22:M$92,"")&lt;&gt;"",_xlfn.XLOOKUP(A28,ETANCHEITE!O$22:O$92,ETANCHEITE!M$22:M$92,""),    INDEX(ETANCHEITE!M:M,MAX(_xlfn._xlws.FILTER(ROW(ETANCHEITE!M$22:INDIRECT("'PEINTURE'!O" &amp; D28-1)),ETANCHEITE!M$22:INDIRECT("'PEINTURE'!O" &amp; D28-1)&lt;&gt;"")))),"")</f>
        <v/>
      </c>
      <c r="I28" s="163" t="str" cm="1">
        <f t="array" aca="1" ref="I28" ca="1">IFERROR(IF(_xlfn.XLOOKUP(A28,ETANCHEITE!O$22:O$92,ETANCHEITE!N$22:N$92,"")&lt;&gt;"",_xlfn.XLOOKUP(A28,ETANCHEITE!O$22:O$92,ETANCHEITE!N$22:N$92,""),    INDEX(ETANCHEITE!N:N,MAX(_xlfn._xlws.FILTER(ROW(ETANCHEITE!N$22:INDIRECT("'PEINTURE'!P" &amp; D28-1)),ETANCHEITE!N$22:INDIRECT("'PEINTURE'!P" &amp; D28-1)&lt;&gt;"")))),"")</f>
        <v/>
      </c>
      <c r="J28" s="145">
        <v>26</v>
      </c>
      <c r="K28" s="154" t="str">
        <f>IF(O28&lt;&gt;" ",ETANCHEITE!$D$5,"")</f>
        <v/>
      </c>
      <c r="L28" s="154" t="str">
        <f>IF(O28&lt;&gt;" ",ETANCHEITE!$D$8,"")</f>
        <v/>
      </c>
      <c r="M28" s="146" t="str">
        <f>IFERROR(MATCH(J28,ETANCHEITE!X$22:X$167,0)+18,"")</f>
        <v/>
      </c>
      <c r="N28" s="147" t="str" cm="1">
        <f t="array" aca="1" ref="N28" ca="1">IFERROR(IF(_xlfn.XLOOKUP(J28,ETANCHEITE!X$22:X$167,ETANCHEITE!$A$22:$A$167,"")&lt;&gt;"",_xlfn.XLOOKUP(J28,ETANCHEITE!X$22:X$167,ETANCHEITE!$A$22:$A$167,""),    INDEX(ETANCHEITE!$A:$A,MAX(_xlfn._xlws.FILTER(ROW(ETANCHEITE!$A$22:INDIRECT("'MENUISERIES EXTERIEURES'!$A" &amp; M28-1)),ETANCHEITE!$A$22:INDIRECT("'MENUISERIES EXTERIEURES'!$A" &amp; M28-1)&lt;&gt;"")))),"")&amp;"   "&amp;IFERROR(_xlfn.XLOOKUP(J28,ETANCHEITE!X$22:X$167,ETANCHEITE!$B$22:$B$167),"")&amp;IFERROR(_xlfn.XLOOKUP(J28,ETANCHEITE!X$22:X$167,ETANCHEITE!$C$22:$C$167),"")&amp;IFERROR(_xlfn.XLOOKUP(J28,ETANCHEITE!X$22:X$167,ETANCHEITE!$D$22:$D$167),"")&amp;IFERROR(_xlfn.XLOOKUP(J28,ETANCHEITE!X$22:X$167,ETANCHEITE!#REF!),"")&amp;IFERROR(_xlfn.XLOOKUP(J28,ETANCHEITE!X$22:X$167,ETANCHEITE!#REF!),"")</f>
        <v xml:space="preserve">   </v>
      </c>
      <c r="O28" s="155" t="str">
        <f>IFERROR(VLOOKUP(J28,ETANCHEITE!X$22:Z$167,2,FALSE),"")&amp;" "&amp;IFERROR(VLOOKUP(J28,ETANCHEITE!X$22:Z$167,3,FALSE),"")</f>
        <v xml:space="preserve"> </v>
      </c>
      <c r="P28" s="148" t="str">
        <f>IF(O28&lt;&gt;" ",'Feuille de Donnée'!$C$3,"")</f>
        <v/>
      </c>
      <c r="Q28" s="162" t="str" cm="1">
        <f t="array" aca="1" ref="Q28" ca="1">IFERROR(IF(_xlfn.XLOOKUP(J28,ETANCHEITE!X$22:X$92,ETANCHEITE!V$22:V$92,"")&lt;&gt;"",_xlfn.XLOOKUP(J28,ETANCHEITE!X$22:X$92,ETANCHEITE!V$22:V$92,""),    INDEX(ETANCHEITE!V:V,MAX(_xlfn._xlws.FILTER(ROW(ETANCHEITE!V$22:INDIRECT("'PEINTURE'!O" &amp; M28-1)),ETANCHEITE!V$22:INDIRECT("'PEINTURE'!O" &amp; M28-1)&lt;&gt;"")))),"")</f>
        <v/>
      </c>
      <c r="R28" s="163" t="str" cm="1">
        <f t="array" aca="1" ref="R28" ca="1">IFERROR(IF(_xlfn.XLOOKUP(J28,ETANCHEITE!X$22:X$92,ETANCHEITE!W$22:W$92,"")&lt;&gt;"",_xlfn.XLOOKUP(J28,ETANCHEITE!X$22:X$92,ETANCHEITE!W$22:W$92,""),    INDEX(ETANCHEITE!W:W,MAX(_xlfn._xlws.FILTER(ROW(ETANCHEITE!W$22:INDIRECT("'PEINTURE'!P" &amp; M28-1)),ETANCHEITE!W$22:INDIRECT("'PEINTURE'!P" &amp; M28-1)&lt;&gt;"")))),"")</f>
        <v/>
      </c>
      <c r="S28" s="145">
        <v>26</v>
      </c>
      <c r="T28" s="154" t="str">
        <f>IF(X28&lt;&gt;" ",ETANCHEITE!$D$5,"")</f>
        <v/>
      </c>
      <c r="U28" s="154" t="str">
        <f>IF(X28&lt;&gt;" ",ETANCHEITE!$D$8,"")</f>
        <v/>
      </c>
      <c r="V28" s="146" t="str">
        <f>IFERROR(MATCH(S28,ETANCHEITE!AG$22:AG$167,0)+18,"")</f>
        <v/>
      </c>
      <c r="W28" s="147" t="str" cm="1">
        <f t="array" aca="1" ref="W28" ca="1">IFERROR(IF(_xlfn.XLOOKUP(S28,ETANCHEITE!AG$22:AG$167,ETANCHEITE!$A$22:$A$167,"")&lt;&gt;"",_xlfn.XLOOKUP(S28,ETANCHEITE!AG$22:AG$167,ETANCHEITE!$A$22:$A$167,""),    INDEX(ETANCHEITE!$A:$A,MAX(_xlfn._xlws.FILTER(ROW(ETANCHEITE!$A$22:INDIRECT("'MENUISERIES EXTERIEURES'!$A" &amp; V28-1)),ETANCHEITE!$A$22:INDIRECT("'MENUISERIES EXTERIEURES'!$A" &amp; V28-1)&lt;&gt;"")))),"")&amp;"   "&amp;IFERROR(_xlfn.XLOOKUP(S28,ETANCHEITE!AG$22:AG$167,ETANCHEITE!$B$22:$B$167),"")&amp;IFERROR(_xlfn.XLOOKUP(S28,ETANCHEITE!AG$22:AG$167,ETANCHEITE!$C$22:$C$167),"")&amp;IFERROR(_xlfn.XLOOKUP(S28,ETANCHEITE!AG$22:AG$167,ETANCHEITE!$D$22:$D$167),"")&amp;IFERROR(_xlfn.XLOOKUP(S28,ETANCHEITE!AG$22:AG$167,ETANCHEITE!#REF!),"")&amp;IFERROR(_xlfn.XLOOKUP(S28,ETANCHEITE!AG$22:AG$167,ETANCHEITE!#REF!),"")</f>
        <v xml:space="preserve">   </v>
      </c>
      <c r="X28" s="155" t="str">
        <f>IFERROR(VLOOKUP(S28,ETANCHEITE!AG$22:AI$167,2,FALSE),"")&amp;" "&amp;IFERROR(VLOOKUP(S28,ETANCHEITE!AG$22:AI$167,3,FALSE),"")</f>
        <v xml:space="preserve"> </v>
      </c>
      <c r="Y28" s="148" t="str">
        <f>IF(X28&lt;&gt;" ",'Feuille de Donnée'!$C$3,"")</f>
        <v/>
      </c>
      <c r="Z28" s="162" t="str" cm="1">
        <f t="array" aca="1" ref="Z28" ca="1">IFERROR(IF(_xlfn.XLOOKUP(S28,ETANCHEITE!AG$22:AG$92,ETANCHEITE!AE$22:AE$92,"")&lt;&gt;"",_xlfn.XLOOKUP(S28,ETANCHEITE!AG$22:AG$92,ETANCHEITE!AE$22:AE$92,""),    INDEX(ETANCHEITE!AE:AE,MAX(_xlfn._xlws.FILTER(ROW(ETANCHEITE!AE$22:INDIRECT("'PEINTURE'!O" &amp; V28-1)),ETANCHEITE!AE$22:INDIRECT("'PEINTURE'!O" &amp; V28-1)&lt;&gt;"")))),"")</f>
        <v/>
      </c>
      <c r="AA28" s="163" t="str" cm="1">
        <f t="array" aca="1" ref="AA28" ca="1">IFERROR(IF(_xlfn.XLOOKUP(S28,ETANCHEITE!AG$22:AG$92,ETANCHEITE!AF$22:AF$92,"")&lt;&gt;"",_xlfn.XLOOKUP(S28,ETANCHEITE!AG$22:AG$92,ETANCHEITE!AF$22:AF$92,""),    INDEX(ETANCHEITE!AF:AF,MAX(_xlfn._xlws.FILTER(ROW(ETANCHEITE!AF$22:INDIRECT("'PEINTURE'!P" &amp; V28-1)),ETANCHEITE!AF$22:INDIRECT("'PEINTURE'!P" &amp; V28-1)&lt;&gt;"")))),"")</f>
        <v/>
      </c>
      <c r="AB28" s="145">
        <v>26</v>
      </c>
      <c r="AC28" s="154" t="str">
        <f>IF(AG28&lt;&gt;" ",ETANCHEITE!$D$5,"")</f>
        <v/>
      </c>
      <c r="AD28" s="154" t="str">
        <f>IF(AG28&lt;&gt;" ",ETANCHEITE!$D$8,"")</f>
        <v/>
      </c>
      <c r="AE28" s="146" t="str">
        <f>IFERROR(MATCH(AB28,ETANCHEITE!AP$22:AP$167,0)+18,"")</f>
        <v/>
      </c>
      <c r="AF28" s="147" t="str" cm="1">
        <f t="array" aca="1" ref="AF28" ca="1">IFERROR(IF(_xlfn.XLOOKUP(AB28,ETANCHEITE!AP$22:AP$167,ETANCHEITE!$A$22:$A$167,"")&lt;&gt;"",_xlfn.XLOOKUP(AB28,ETANCHEITE!AP$22:AP$167,ETANCHEITE!$A$22:$A$167,""),    INDEX(ETANCHEITE!$A:$A,MAX(_xlfn._xlws.FILTER(ROW(ETANCHEITE!$A$22:INDIRECT("'MENUISERIES EXTERIEURES'!$A" &amp; AE28-1)),ETANCHEITE!$A$22:INDIRECT("'MENUISERIES EXTERIEURES'!$A" &amp; AE28-1)&lt;&gt;"")))),"")&amp;"   "&amp;IFERROR(_xlfn.XLOOKUP(AB28,ETANCHEITE!AP$22:AP$167,ETANCHEITE!$B$22:$B$167),"")&amp;IFERROR(_xlfn.XLOOKUP(AB28,ETANCHEITE!AP$22:AP$167,ETANCHEITE!$C$22:$C$167),"")&amp;IFERROR(_xlfn.XLOOKUP(AB28,ETANCHEITE!AP$22:AP$167,ETANCHEITE!$D$22:$D$167),"")&amp;IFERROR(_xlfn.XLOOKUP(AB28,ETANCHEITE!AP$22:AP$167,ETANCHEITE!#REF!),"")&amp;IFERROR(_xlfn.XLOOKUP(AB28,ETANCHEITE!AP$22:AP$167,ETANCHEITE!#REF!),"")</f>
        <v xml:space="preserve">   </v>
      </c>
      <c r="AG28" s="155" t="str">
        <f>IFERROR(VLOOKUP(AB28,ETANCHEITE!AP$22:AR$167,2,FALSE),"")&amp;" "&amp;IFERROR(VLOOKUP(AB28,ETANCHEITE!AP$22:AR$167,3,FALSE),"")</f>
        <v xml:space="preserve"> </v>
      </c>
      <c r="AH28" s="148" t="str">
        <f>IF(AG28&lt;&gt;" ",'Feuille de Donnée'!$C$3,"")</f>
        <v/>
      </c>
      <c r="AI28" s="162" t="str" cm="1">
        <f t="array" aca="1" ref="AI28" ca="1">IFERROR(IF(_xlfn.XLOOKUP(AB28,ETANCHEITE!AP$22:AP$92,ETANCHEITE!AN$22:AN$92,"")&lt;&gt;"",_xlfn.XLOOKUP(AB28,ETANCHEITE!AP$22:AP$92,ETANCHEITE!AN$22:AN$92,""),    INDEX(ETANCHEITE!AN:AN,MAX(_xlfn._xlws.FILTER(ROW(ETANCHEITE!AN$22:INDIRECT("'PEINTURE'!O" &amp; AE28-1)),ETANCHEITE!AN$22:INDIRECT("'PEINTURE'!O" &amp; AE28-1)&lt;&gt;"")))),"")</f>
        <v/>
      </c>
      <c r="AJ28" s="163" t="str" cm="1">
        <f t="array" aca="1" ref="AJ28" ca="1">IFERROR(IF(_xlfn.XLOOKUP(AB28,ETANCHEITE!AP$22:AP$92,ETANCHEITE!AO$22:AO$92,"")&lt;&gt;"",_xlfn.XLOOKUP(AB28,ETANCHEITE!AP$22:AP$92,ETANCHEITE!AO$22:AO$92,""),    INDEX(ETANCHEITE!AO:AO,MAX(_xlfn._xlws.FILTER(ROW(ETANCHEITE!AO$22:INDIRECT("'PEINTURE'!P" &amp; AE28-1)),ETANCHEITE!AO$22:INDIRECT("'PEINTURE'!P" &amp; AE28-1)&lt;&gt;"")))),"")</f>
        <v/>
      </c>
      <c r="AK28" s="145">
        <v>26</v>
      </c>
      <c r="AL28" s="154" t="str">
        <f>IF(AP28&lt;&gt;" ",ETANCHEITE!$D$5,"")</f>
        <v/>
      </c>
      <c r="AM28" s="154" t="str">
        <f>IF(AP28&lt;&gt;" ",ETANCHEITE!$D$8,"")</f>
        <v/>
      </c>
      <c r="AN28" s="146" t="str">
        <f>IFERROR(MATCH(AK28,ETANCHEITE!AY$22:AY$167,0)+18,"")</f>
        <v/>
      </c>
      <c r="AO28" s="147" t="str" cm="1">
        <f t="array" aca="1" ref="AO28" ca="1">IFERROR(IF(_xlfn.XLOOKUP(AK28,ETANCHEITE!AY$22:AY$167,ETANCHEITE!$A$22:$A$167,"")&lt;&gt;"",_xlfn.XLOOKUP(AK28,ETANCHEITE!AY$22:AY$167,ETANCHEITE!$A$22:$A$167,""),    INDEX(ETANCHEITE!$A:$A,MAX(_xlfn._xlws.FILTER(ROW(ETANCHEITE!$A$22:INDIRECT("'MENUISERIES EXTERIEURES'!$A" &amp; AN28-1)),ETANCHEITE!$A$22:INDIRECT("'MENUISERIES EXTERIEURES'!$A" &amp; AN28-1)&lt;&gt;"")))),"")&amp;"   "&amp;IFERROR(_xlfn.XLOOKUP(AK28,ETANCHEITE!AY$22:AY$167,ETANCHEITE!$B$22:$B$167),"")&amp;IFERROR(_xlfn.XLOOKUP(AK28,ETANCHEITE!AY$22:AY$167,ETANCHEITE!$C$22:$C$167),"")&amp;IFERROR(_xlfn.XLOOKUP(AK28,ETANCHEITE!AY$22:AY$167,ETANCHEITE!$D$22:$D$167),"")&amp;IFERROR(_xlfn.XLOOKUP(AK28,ETANCHEITE!AY$22:AY$167,ETANCHEITE!#REF!),"")&amp;IFERROR(_xlfn.XLOOKUP(AK28,ETANCHEITE!AY$22:AY$167,ETANCHEITE!#REF!),"")</f>
        <v xml:space="preserve">   </v>
      </c>
      <c r="AP28" s="155" t="str">
        <f>IFERROR(VLOOKUP(AK28,ETANCHEITE!AY$22:BA$167,2,FALSE),"")&amp;" "&amp;IFERROR(VLOOKUP(AK28,ETANCHEITE!AY$22:BA$167,3,FALSE),"")</f>
        <v xml:space="preserve"> </v>
      </c>
      <c r="AQ28" s="148" t="str">
        <f>IF(AP28&lt;&gt;" ",'Feuille de Donnée'!$C$3,"")</f>
        <v/>
      </c>
      <c r="AR28" s="162" t="str" cm="1">
        <f t="array" aca="1" ref="AR28" ca="1">IFERROR(IF(_xlfn.XLOOKUP(AK28,ETANCHEITE!AY$22:AY$92,ETANCHEITE!AW$22:AW$92,"")&lt;&gt;"",_xlfn.XLOOKUP(AK28,ETANCHEITE!AY$22:AY$92,ETANCHEITE!AW$22:AW$92,""),    INDEX(ETANCHEITE!AW:AW,MAX(_xlfn._xlws.FILTER(ROW(ETANCHEITE!AW$22:INDIRECT("'PEINTURE'!O" &amp; AN28-1)),ETANCHEITE!AW$22:INDIRECT("'PEINTURE'!O" &amp; AN28-1)&lt;&gt;"")))),"")</f>
        <v/>
      </c>
      <c r="AS28" s="163" t="str" cm="1">
        <f t="array" aca="1" ref="AS28" ca="1">IFERROR(IF(_xlfn.XLOOKUP(AK28,ETANCHEITE!AY$22:AY$92,ETANCHEITE!AX$22:AX$92,"")&lt;&gt;"",_xlfn.XLOOKUP(AK28,ETANCHEITE!AY$22:AY$92,ETANCHEITE!AX$22:AX$92,""),    INDEX(ETANCHEITE!AX:AX,MAX(_xlfn._xlws.FILTER(ROW(ETANCHEITE!AX$22:INDIRECT("'PEINTURE'!P" &amp; AN28-1)),ETANCHEITE!AX$22:INDIRECT("'PEINTURE'!P" &amp; AN28-1)&lt;&gt;"")))),"")</f>
        <v/>
      </c>
      <c r="AT28" s="145">
        <v>26</v>
      </c>
      <c r="AU28" s="154" t="str">
        <f>IF(AY28&lt;&gt;" ",ETANCHEITE!$D$5,"")</f>
        <v/>
      </c>
      <c r="AV28" s="154" t="str">
        <f>IF(AY28&lt;&gt;" ",ETANCHEITE!$D$8,"")</f>
        <v/>
      </c>
      <c r="AW28" s="146" t="str">
        <f>IFERROR(MATCH(AT28,ETANCHEITE!BH$22:BH$167,0)+18,"")</f>
        <v/>
      </c>
      <c r="AX28" s="147" t="str" cm="1">
        <f t="array" aca="1" ref="AX28" ca="1">IFERROR(IF(_xlfn.XLOOKUP(AT28,ETANCHEITE!BH$22:BH$167,ETANCHEITE!$A$22:$A$167,"")&lt;&gt;"",_xlfn.XLOOKUP(AT28,ETANCHEITE!BH$22:BH$167,ETANCHEITE!$A$22:$A$167,""),    INDEX(ETANCHEITE!$A:$A,MAX(_xlfn._xlws.FILTER(ROW(ETANCHEITE!$A$22:INDIRECT("'MENUISERIES EXTERIEURES'!$A" &amp; AW28-1)),ETANCHEITE!$A$22:INDIRECT("'MENUISERIES EXTERIEURES'!$A" &amp; AW28-1)&lt;&gt;"")))),"")&amp;"   "&amp;IFERROR(_xlfn.XLOOKUP(AT28,ETANCHEITE!BH$22:BH$167,ETANCHEITE!$B$22:$B$167),"")&amp;IFERROR(_xlfn.XLOOKUP(AT28,ETANCHEITE!BH$22:BH$167,ETANCHEITE!$C$22:$C$167),"")&amp;IFERROR(_xlfn.XLOOKUP(AT28,ETANCHEITE!BH$22:BH$167,ETANCHEITE!$D$22:$D$167),"")&amp;IFERROR(_xlfn.XLOOKUP(AT28,ETANCHEITE!BH$22:BH$167,ETANCHEITE!#REF!),"")&amp;IFERROR(_xlfn.XLOOKUP(AT28,ETANCHEITE!BH$22:BH$167,ETANCHEITE!#REF!),"")</f>
        <v xml:space="preserve">   </v>
      </c>
      <c r="AY28" s="155" t="str">
        <f>IFERROR(VLOOKUP(AT28,ETANCHEITE!BH$22:BJ$167,2,FALSE),"")&amp;" "&amp;IFERROR(VLOOKUP(AT28,ETANCHEITE!BH$22:BJ$167,3,FALSE),"")</f>
        <v xml:space="preserve"> </v>
      </c>
      <c r="AZ28" s="148" t="str">
        <f>IF(AY28&lt;&gt;" ",'Feuille de Donnée'!$C$3,"")</f>
        <v/>
      </c>
      <c r="BA28" s="162" t="str" cm="1">
        <f t="array" aca="1" ref="BA28" ca="1">IFERROR(IF(_xlfn.XLOOKUP(AT28,ETANCHEITE!BH$22:BH$92,ETANCHEITE!BF$22:BF$92,"")&lt;&gt;"",_xlfn.XLOOKUP(AT28,ETANCHEITE!BH$22:BH$92,ETANCHEITE!BF$22:BF$92,""),    INDEX(ETANCHEITE!BF:BF,MAX(_xlfn._xlws.FILTER(ROW(ETANCHEITE!BF$22:INDIRECT("'PEINTURE'!O" &amp; AW28-1)),ETANCHEITE!BF$22:INDIRECT("'PEINTURE'!O" &amp; AW28-1)&lt;&gt;"")))),"")</f>
        <v/>
      </c>
      <c r="BB28" s="163" t="str" cm="1">
        <f t="array" aca="1" ref="BB28" ca="1">IFERROR(IF(_xlfn.XLOOKUP(AT28,ETANCHEITE!BH$22:BH$92,ETANCHEITE!BG$22:BG$92,"")&lt;&gt;"",_xlfn.XLOOKUP(AT28,ETANCHEITE!BH$22:BH$92,ETANCHEITE!BG$22:BG$92,""),    INDEX(ETANCHEITE!BG:BG,MAX(_xlfn._xlws.FILTER(ROW(ETANCHEITE!BG$22:INDIRECT("'PEINTURE'!P" &amp; AW28-1)),ETANCHEITE!BG$22:INDIRECT("'PEINTURE'!P" &amp; AW28-1)&lt;&gt;"")))),"")</f>
        <v/>
      </c>
    </row>
    <row r="29" spans="1:54" ht="15" customHeight="1" x14ac:dyDescent="0.3">
      <c r="A29" s="145">
        <v>27</v>
      </c>
      <c r="B29" s="154" t="str">
        <f>IF(F29&lt;&gt;" ",ETANCHEITE!$D$5,"")</f>
        <v/>
      </c>
      <c r="C29" s="154" t="str">
        <f>IF(F29&lt;&gt;" ",ETANCHEITE!$D$8,"")</f>
        <v/>
      </c>
      <c r="D29" s="146" t="str">
        <f>IFERROR(MATCH(A29,ETANCHEITE!O$22:O$167,0)+18,"")</f>
        <v/>
      </c>
      <c r="E29" s="147" t="str" cm="1">
        <f t="array" aca="1" ref="E29" ca="1">IFERROR(IF(_xlfn.XLOOKUP(A29,ETANCHEITE!O$22:O$167,ETANCHEITE!$A$22:$A$167,"")&lt;&gt;"",_xlfn.XLOOKUP(A29,ETANCHEITE!O$22:O$167,ETANCHEITE!$A$22:$A$167,""),    INDEX(ETANCHEITE!$A:$A,MAX(_xlfn._xlws.FILTER(ROW(ETANCHEITE!$A$22:INDIRECT("'MENUISERIES EXTERIEURES'!$A" &amp; D29-1)),ETANCHEITE!$A$22:INDIRECT("'MENUISERIES EXTERIEURES'!$A" &amp; D29-1)&lt;&gt;"")))),"")&amp;"   "&amp;IFERROR(_xlfn.XLOOKUP(A29,ETANCHEITE!O$22:O$167,ETANCHEITE!$B$22:$B$167),"")&amp;IFERROR(_xlfn.XLOOKUP(A29,ETANCHEITE!O$22:O$167,ETANCHEITE!$C$22:$C$167),"")&amp;IFERROR(_xlfn.XLOOKUP(A29,ETANCHEITE!O$22:O$167,ETANCHEITE!$D$22:$D$167),"")&amp;IFERROR(_xlfn.XLOOKUP(A29,ETANCHEITE!O$22:O$167,ETANCHEITE!#REF!),"")&amp;IFERROR(_xlfn.XLOOKUP(A29,ETANCHEITE!O$22:O$167,ETANCHEITE!#REF!),"")</f>
        <v xml:space="preserve">   </v>
      </c>
      <c r="F29" s="155" t="str">
        <f>IFERROR(VLOOKUP(A29,ETANCHEITE!O$22:Q$167,2,FALSE),"")&amp;" "&amp;IFERROR(VLOOKUP(A29,ETANCHEITE!O$22:Q$167,3,FALSE),"")</f>
        <v xml:space="preserve"> </v>
      </c>
      <c r="G29" s="148" t="str">
        <f>IF(F29&lt;&gt;" ",'Feuille de Donnée'!$C$3,"")</f>
        <v/>
      </c>
      <c r="H29" s="162" t="str" cm="1">
        <f t="array" aca="1" ref="H29" ca="1">IFERROR(IF(_xlfn.XLOOKUP(A29,ETANCHEITE!O$22:O$92,ETANCHEITE!M$22:M$92,"")&lt;&gt;"",_xlfn.XLOOKUP(A29,ETANCHEITE!O$22:O$92,ETANCHEITE!M$22:M$92,""),    INDEX(ETANCHEITE!M:M,MAX(_xlfn._xlws.FILTER(ROW(ETANCHEITE!M$22:INDIRECT("'PEINTURE'!O" &amp; D29-1)),ETANCHEITE!M$22:INDIRECT("'PEINTURE'!O" &amp; D29-1)&lt;&gt;"")))),"")</f>
        <v/>
      </c>
      <c r="I29" s="163" t="str" cm="1">
        <f t="array" aca="1" ref="I29" ca="1">IFERROR(IF(_xlfn.XLOOKUP(A29,ETANCHEITE!O$22:O$92,ETANCHEITE!N$22:N$92,"")&lt;&gt;"",_xlfn.XLOOKUP(A29,ETANCHEITE!O$22:O$92,ETANCHEITE!N$22:N$92,""),    INDEX(ETANCHEITE!N:N,MAX(_xlfn._xlws.FILTER(ROW(ETANCHEITE!N$22:INDIRECT("'PEINTURE'!P" &amp; D29-1)),ETANCHEITE!N$22:INDIRECT("'PEINTURE'!P" &amp; D29-1)&lt;&gt;"")))),"")</f>
        <v/>
      </c>
      <c r="J29" s="145">
        <v>27</v>
      </c>
      <c r="K29" s="154" t="str">
        <f>IF(O29&lt;&gt;" ",ETANCHEITE!$D$5,"")</f>
        <v/>
      </c>
      <c r="L29" s="154" t="str">
        <f>IF(O29&lt;&gt;" ",ETANCHEITE!$D$8,"")</f>
        <v/>
      </c>
      <c r="M29" s="146" t="str">
        <f>IFERROR(MATCH(J29,ETANCHEITE!X$22:X$167,0)+18,"")</f>
        <v/>
      </c>
      <c r="N29" s="147" t="str" cm="1">
        <f t="array" aca="1" ref="N29" ca="1">IFERROR(IF(_xlfn.XLOOKUP(J29,ETANCHEITE!X$22:X$167,ETANCHEITE!$A$22:$A$167,"")&lt;&gt;"",_xlfn.XLOOKUP(J29,ETANCHEITE!X$22:X$167,ETANCHEITE!$A$22:$A$167,""),    INDEX(ETANCHEITE!$A:$A,MAX(_xlfn._xlws.FILTER(ROW(ETANCHEITE!$A$22:INDIRECT("'MENUISERIES EXTERIEURES'!$A" &amp; M29-1)),ETANCHEITE!$A$22:INDIRECT("'MENUISERIES EXTERIEURES'!$A" &amp; M29-1)&lt;&gt;"")))),"")&amp;"   "&amp;IFERROR(_xlfn.XLOOKUP(J29,ETANCHEITE!X$22:X$167,ETANCHEITE!$B$22:$B$167),"")&amp;IFERROR(_xlfn.XLOOKUP(J29,ETANCHEITE!X$22:X$167,ETANCHEITE!$C$22:$C$167),"")&amp;IFERROR(_xlfn.XLOOKUP(J29,ETANCHEITE!X$22:X$167,ETANCHEITE!$D$22:$D$167),"")&amp;IFERROR(_xlfn.XLOOKUP(J29,ETANCHEITE!X$22:X$167,ETANCHEITE!#REF!),"")&amp;IFERROR(_xlfn.XLOOKUP(J29,ETANCHEITE!X$22:X$167,ETANCHEITE!#REF!),"")</f>
        <v xml:space="preserve">   </v>
      </c>
      <c r="O29" s="155" t="str">
        <f>IFERROR(VLOOKUP(J29,ETANCHEITE!X$22:Z$167,2,FALSE),"")&amp;" "&amp;IFERROR(VLOOKUP(J29,ETANCHEITE!X$22:Z$167,3,FALSE),"")</f>
        <v xml:space="preserve"> </v>
      </c>
      <c r="P29" s="148" t="str">
        <f>IF(O29&lt;&gt;" ",'Feuille de Donnée'!$C$3,"")</f>
        <v/>
      </c>
      <c r="Q29" s="162" t="str" cm="1">
        <f t="array" aca="1" ref="Q29" ca="1">IFERROR(IF(_xlfn.XLOOKUP(J29,ETANCHEITE!X$22:X$92,ETANCHEITE!V$22:V$92,"")&lt;&gt;"",_xlfn.XLOOKUP(J29,ETANCHEITE!X$22:X$92,ETANCHEITE!V$22:V$92,""),    INDEX(ETANCHEITE!V:V,MAX(_xlfn._xlws.FILTER(ROW(ETANCHEITE!V$22:INDIRECT("'PEINTURE'!O" &amp; M29-1)),ETANCHEITE!V$22:INDIRECT("'PEINTURE'!O" &amp; M29-1)&lt;&gt;"")))),"")</f>
        <v/>
      </c>
      <c r="R29" s="163" t="str" cm="1">
        <f t="array" aca="1" ref="R29" ca="1">IFERROR(IF(_xlfn.XLOOKUP(J29,ETANCHEITE!X$22:X$92,ETANCHEITE!W$22:W$92,"")&lt;&gt;"",_xlfn.XLOOKUP(J29,ETANCHEITE!X$22:X$92,ETANCHEITE!W$22:W$92,""),    INDEX(ETANCHEITE!W:W,MAX(_xlfn._xlws.FILTER(ROW(ETANCHEITE!W$22:INDIRECT("'PEINTURE'!P" &amp; M29-1)),ETANCHEITE!W$22:INDIRECT("'PEINTURE'!P" &amp; M29-1)&lt;&gt;"")))),"")</f>
        <v/>
      </c>
      <c r="S29" s="145">
        <v>27</v>
      </c>
      <c r="T29" s="154" t="str">
        <f>IF(X29&lt;&gt;" ",ETANCHEITE!$D$5,"")</f>
        <v/>
      </c>
      <c r="U29" s="154" t="str">
        <f>IF(X29&lt;&gt;" ",ETANCHEITE!$D$8,"")</f>
        <v/>
      </c>
      <c r="V29" s="146" t="str">
        <f>IFERROR(MATCH(S29,ETANCHEITE!AG$22:AG$167,0)+18,"")</f>
        <v/>
      </c>
      <c r="W29" s="147" t="str" cm="1">
        <f t="array" aca="1" ref="W29" ca="1">IFERROR(IF(_xlfn.XLOOKUP(S29,ETANCHEITE!AG$22:AG$167,ETANCHEITE!$A$22:$A$167,"")&lt;&gt;"",_xlfn.XLOOKUP(S29,ETANCHEITE!AG$22:AG$167,ETANCHEITE!$A$22:$A$167,""),    INDEX(ETANCHEITE!$A:$A,MAX(_xlfn._xlws.FILTER(ROW(ETANCHEITE!$A$22:INDIRECT("'MENUISERIES EXTERIEURES'!$A" &amp; V29-1)),ETANCHEITE!$A$22:INDIRECT("'MENUISERIES EXTERIEURES'!$A" &amp; V29-1)&lt;&gt;"")))),"")&amp;"   "&amp;IFERROR(_xlfn.XLOOKUP(S29,ETANCHEITE!AG$22:AG$167,ETANCHEITE!$B$22:$B$167),"")&amp;IFERROR(_xlfn.XLOOKUP(S29,ETANCHEITE!AG$22:AG$167,ETANCHEITE!$C$22:$C$167),"")&amp;IFERROR(_xlfn.XLOOKUP(S29,ETANCHEITE!AG$22:AG$167,ETANCHEITE!$D$22:$D$167),"")&amp;IFERROR(_xlfn.XLOOKUP(S29,ETANCHEITE!AG$22:AG$167,ETANCHEITE!#REF!),"")&amp;IFERROR(_xlfn.XLOOKUP(S29,ETANCHEITE!AG$22:AG$167,ETANCHEITE!#REF!),"")</f>
        <v xml:space="preserve">   </v>
      </c>
      <c r="X29" s="155" t="str">
        <f>IFERROR(VLOOKUP(S29,ETANCHEITE!AG$22:AI$167,2,FALSE),"")&amp;" "&amp;IFERROR(VLOOKUP(S29,ETANCHEITE!AG$22:AI$167,3,FALSE),"")</f>
        <v xml:space="preserve"> </v>
      </c>
      <c r="Y29" s="148" t="str">
        <f>IF(X29&lt;&gt;" ",'Feuille de Donnée'!$C$3,"")</f>
        <v/>
      </c>
      <c r="Z29" s="162" t="str" cm="1">
        <f t="array" aca="1" ref="Z29" ca="1">IFERROR(IF(_xlfn.XLOOKUP(S29,ETANCHEITE!AG$22:AG$92,ETANCHEITE!AE$22:AE$92,"")&lt;&gt;"",_xlfn.XLOOKUP(S29,ETANCHEITE!AG$22:AG$92,ETANCHEITE!AE$22:AE$92,""),    INDEX(ETANCHEITE!AE:AE,MAX(_xlfn._xlws.FILTER(ROW(ETANCHEITE!AE$22:INDIRECT("'PEINTURE'!O" &amp; V29-1)),ETANCHEITE!AE$22:INDIRECT("'PEINTURE'!O" &amp; V29-1)&lt;&gt;"")))),"")</f>
        <v/>
      </c>
      <c r="AA29" s="163" t="str" cm="1">
        <f t="array" aca="1" ref="AA29" ca="1">IFERROR(IF(_xlfn.XLOOKUP(S29,ETANCHEITE!AG$22:AG$92,ETANCHEITE!AF$22:AF$92,"")&lt;&gt;"",_xlfn.XLOOKUP(S29,ETANCHEITE!AG$22:AG$92,ETANCHEITE!AF$22:AF$92,""),    INDEX(ETANCHEITE!AF:AF,MAX(_xlfn._xlws.FILTER(ROW(ETANCHEITE!AF$22:INDIRECT("'PEINTURE'!P" &amp; V29-1)),ETANCHEITE!AF$22:INDIRECT("'PEINTURE'!P" &amp; V29-1)&lt;&gt;"")))),"")</f>
        <v/>
      </c>
      <c r="AB29" s="145">
        <v>27</v>
      </c>
      <c r="AC29" s="154" t="str">
        <f>IF(AG29&lt;&gt;" ",ETANCHEITE!$D$5,"")</f>
        <v/>
      </c>
      <c r="AD29" s="154" t="str">
        <f>IF(AG29&lt;&gt;" ",ETANCHEITE!$D$8,"")</f>
        <v/>
      </c>
      <c r="AE29" s="146" t="str">
        <f>IFERROR(MATCH(AB29,ETANCHEITE!AP$22:AP$167,0)+18,"")</f>
        <v/>
      </c>
      <c r="AF29" s="147" t="str" cm="1">
        <f t="array" aca="1" ref="AF29" ca="1">IFERROR(IF(_xlfn.XLOOKUP(AB29,ETANCHEITE!AP$22:AP$167,ETANCHEITE!$A$22:$A$167,"")&lt;&gt;"",_xlfn.XLOOKUP(AB29,ETANCHEITE!AP$22:AP$167,ETANCHEITE!$A$22:$A$167,""),    INDEX(ETANCHEITE!$A:$A,MAX(_xlfn._xlws.FILTER(ROW(ETANCHEITE!$A$22:INDIRECT("'MENUISERIES EXTERIEURES'!$A" &amp; AE29-1)),ETANCHEITE!$A$22:INDIRECT("'MENUISERIES EXTERIEURES'!$A" &amp; AE29-1)&lt;&gt;"")))),"")&amp;"   "&amp;IFERROR(_xlfn.XLOOKUP(AB29,ETANCHEITE!AP$22:AP$167,ETANCHEITE!$B$22:$B$167),"")&amp;IFERROR(_xlfn.XLOOKUP(AB29,ETANCHEITE!AP$22:AP$167,ETANCHEITE!$C$22:$C$167),"")&amp;IFERROR(_xlfn.XLOOKUP(AB29,ETANCHEITE!AP$22:AP$167,ETANCHEITE!$D$22:$D$167),"")&amp;IFERROR(_xlfn.XLOOKUP(AB29,ETANCHEITE!AP$22:AP$167,ETANCHEITE!#REF!),"")&amp;IFERROR(_xlfn.XLOOKUP(AB29,ETANCHEITE!AP$22:AP$167,ETANCHEITE!#REF!),"")</f>
        <v xml:space="preserve">   </v>
      </c>
      <c r="AG29" s="155" t="str">
        <f>IFERROR(VLOOKUP(AB29,ETANCHEITE!AP$22:AR$167,2,FALSE),"")&amp;" "&amp;IFERROR(VLOOKUP(AB29,ETANCHEITE!AP$22:AR$167,3,FALSE),"")</f>
        <v xml:space="preserve"> </v>
      </c>
      <c r="AH29" s="148" t="str">
        <f>IF(AG29&lt;&gt;" ",'Feuille de Donnée'!$C$3,"")</f>
        <v/>
      </c>
      <c r="AI29" s="162" t="str" cm="1">
        <f t="array" aca="1" ref="AI29" ca="1">IFERROR(IF(_xlfn.XLOOKUP(AB29,ETANCHEITE!AP$22:AP$92,ETANCHEITE!AN$22:AN$92,"")&lt;&gt;"",_xlfn.XLOOKUP(AB29,ETANCHEITE!AP$22:AP$92,ETANCHEITE!AN$22:AN$92,""),    INDEX(ETANCHEITE!AN:AN,MAX(_xlfn._xlws.FILTER(ROW(ETANCHEITE!AN$22:INDIRECT("'PEINTURE'!O" &amp; AE29-1)),ETANCHEITE!AN$22:INDIRECT("'PEINTURE'!O" &amp; AE29-1)&lt;&gt;"")))),"")</f>
        <v/>
      </c>
      <c r="AJ29" s="163" t="str" cm="1">
        <f t="array" aca="1" ref="AJ29" ca="1">IFERROR(IF(_xlfn.XLOOKUP(AB29,ETANCHEITE!AP$22:AP$92,ETANCHEITE!AO$22:AO$92,"")&lt;&gt;"",_xlfn.XLOOKUP(AB29,ETANCHEITE!AP$22:AP$92,ETANCHEITE!AO$22:AO$92,""),    INDEX(ETANCHEITE!AO:AO,MAX(_xlfn._xlws.FILTER(ROW(ETANCHEITE!AO$22:INDIRECT("'PEINTURE'!P" &amp; AE29-1)),ETANCHEITE!AO$22:INDIRECT("'PEINTURE'!P" &amp; AE29-1)&lt;&gt;"")))),"")</f>
        <v/>
      </c>
      <c r="AK29" s="145">
        <v>27</v>
      </c>
      <c r="AL29" s="154" t="str">
        <f>IF(AP29&lt;&gt;" ",ETANCHEITE!$D$5,"")</f>
        <v/>
      </c>
      <c r="AM29" s="154" t="str">
        <f>IF(AP29&lt;&gt;" ",ETANCHEITE!$D$8,"")</f>
        <v/>
      </c>
      <c r="AN29" s="146" t="str">
        <f>IFERROR(MATCH(AK29,ETANCHEITE!AY$22:AY$167,0)+18,"")</f>
        <v/>
      </c>
      <c r="AO29" s="147" t="str" cm="1">
        <f t="array" aca="1" ref="AO29" ca="1">IFERROR(IF(_xlfn.XLOOKUP(AK29,ETANCHEITE!AY$22:AY$167,ETANCHEITE!$A$22:$A$167,"")&lt;&gt;"",_xlfn.XLOOKUP(AK29,ETANCHEITE!AY$22:AY$167,ETANCHEITE!$A$22:$A$167,""),    INDEX(ETANCHEITE!$A:$A,MAX(_xlfn._xlws.FILTER(ROW(ETANCHEITE!$A$22:INDIRECT("'MENUISERIES EXTERIEURES'!$A" &amp; AN29-1)),ETANCHEITE!$A$22:INDIRECT("'MENUISERIES EXTERIEURES'!$A" &amp; AN29-1)&lt;&gt;"")))),"")&amp;"   "&amp;IFERROR(_xlfn.XLOOKUP(AK29,ETANCHEITE!AY$22:AY$167,ETANCHEITE!$B$22:$B$167),"")&amp;IFERROR(_xlfn.XLOOKUP(AK29,ETANCHEITE!AY$22:AY$167,ETANCHEITE!$C$22:$C$167),"")&amp;IFERROR(_xlfn.XLOOKUP(AK29,ETANCHEITE!AY$22:AY$167,ETANCHEITE!$D$22:$D$167),"")&amp;IFERROR(_xlfn.XLOOKUP(AK29,ETANCHEITE!AY$22:AY$167,ETANCHEITE!#REF!),"")&amp;IFERROR(_xlfn.XLOOKUP(AK29,ETANCHEITE!AY$22:AY$167,ETANCHEITE!#REF!),"")</f>
        <v xml:space="preserve">   </v>
      </c>
      <c r="AP29" s="155" t="str">
        <f>IFERROR(VLOOKUP(AK29,ETANCHEITE!AY$22:BA$167,2,FALSE),"")&amp;" "&amp;IFERROR(VLOOKUP(AK29,ETANCHEITE!AY$22:BA$167,3,FALSE),"")</f>
        <v xml:space="preserve"> </v>
      </c>
      <c r="AQ29" s="148" t="str">
        <f>IF(AP29&lt;&gt;" ",'Feuille de Donnée'!$C$3,"")</f>
        <v/>
      </c>
      <c r="AR29" s="162" t="str" cm="1">
        <f t="array" aca="1" ref="AR29" ca="1">IFERROR(IF(_xlfn.XLOOKUP(AK29,ETANCHEITE!AY$22:AY$92,ETANCHEITE!AW$22:AW$92,"")&lt;&gt;"",_xlfn.XLOOKUP(AK29,ETANCHEITE!AY$22:AY$92,ETANCHEITE!AW$22:AW$92,""),    INDEX(ETANCHEITE!AW:AW,MAX(_xlfn._xlws.FILTER(ROW(ETANCHEITE!AW$22:INDIRECT("'PEINTURE'!O" &amp; AN29-1)),ETANCHEITE!AW$22:INDIRECT("'PEINTURE'!O" &amp; AN29-1)&lt;&gt;"")))),"")</f>
        <v/>
      </c>
      <c r="AS29" s="163" t="str" cm="1">
        <f t="array" aca="1" ref="AS29" ca="1">IFERROR(IF(_xlfn.XLOOKUP(AK29,ETANCHEITE!AY$22:AY$92,ETANCHEITE!AX$22:AX$92,"")&lt;&gt;"",_xlfn.XLOOKUP(AK29,ETANCHEITE!AY$22:AY$92,ETANCHEITE!AX$22:AX$92,""),    INDEX(ETANCHEITE!AX:AX,MAX(_xlfn._xlws.FILTER(ROW(ETANCHEITE!AX$22:INDIRECT("'PEINTURE'!P" &amp; AN29-1)),ETANCHEITE!AX$22:INDIRECT("'PEINTURE'!P" &amp; AN29-1)&lt;&gt;"")))),"")</f>
        <v/>
      </c>
      <c r="AT29" s="145">
        <v>27</v>
      </c>
      <c r="AU29" s="154" t="str">
        <f>IF(AY29&lt;&gt;" ",ETANCHEITE!$D$5,"")</f>
        <v/>
      </c>
      <c r="AV29" s="154" t="str">
        <f>IF(AY29&lt;&gt;" ",ETANCHEITE!$D$8,"")</f>
        <v/>
      </c>
      <c r="AW29" s="146" t="str">
        <f>IFERROR(MATCH(AT29,ETANCHEITE!BH$22:BH$167,0)+18,"")</f>
        <v/>
      </c>
      <c r="AX29" s="147" t="str" cm="1">
        <f t="array" aca="1" ref="AX29" ca="1">IFERROR(IF(_xlfn.XLOOKUP(AT29,ETANCHEITE!BH$22:BH$167,ETANCHEITE!$A$22:$A$167,"")&lt;&gt;"",_xlfn.XLOOKUP(AT29,ETANCHEITE!BH$22:BH$167,ETANCHEITE!$A$22:$A$167,""),    INDEX(ETANCHEITE!$A:$A,MAX(_xlfn._xlws.FILTER(ROW(ETANCHEITE!$A$22:INDIRECT("'MENUISERIES EXTERIEURES'!$A" &amp; AW29-1)),ETANCHEITE!$A$22:INDIRECT("'MENUISERIES EXTERIEURES'!$A" &amp; AW29-1)&lt;&gt;"")))),"")&amp;"   "&amp;IFERROR(_xlfn.XLOOKUP(AT29,ETANCHEITE!BH$22:BH$167,ETANCHEITE!$B$22:$B$167),"")&amp;IFERROR(_xlfn.XLOOKUP(AT29,ETANCHEITE!BH$22:BH$167,ETANCHEITE!$C$22:$C$167),"")&amp;IFERROR(_xlfn.XLOOKUP(AT29,ETANCHEITE!BH$22:BH$167,ETANCHEITE!$D$22:$D$167),"")&amp;IFERROR(_xlfn.XLOOKUP(AT29,ETANCHEITE!BH$22:BH$167,ETANCHEITE!#REF!),"")&amp;IFERROR(_xlfn.XLOOKUP(AT29,ETANCHEITE!BH$22:BH$167,ETANCHEITE!#REF!),"")</f>
        <v xml:space="preserve">   </v>
      </c>
      <c r="AY29" s="155" t="str">
        <f>IFERROR(VLOOKUP(AT29,ETANCHEITE!BH$22:BJ$167,2,FALSE),"")&amp;" "&amp;IFERROR(VLOOKUP(AT29,ETANCHEITE!BH$22:BJ$167,3,FALSE),"")</f>
        <v xml:space="preserve"> </v>
      </c>
      <c r="AZ29" s="148" t="str">
        <f>IF(AY29&lt;&gt;" ",'Feuille de Donnée'!$C$3,"")</f>
        <v/>
      </c>
      <c r="BA29" s="162" t="str" cm="1">
        <f t="array" aca="1" ref="BA29" ca="1">IFERROR(IF(_xlfn.XLOOKUP(AT29,ETANCHEITE!BH$22:BH$92,ETANCHEITE!BF$22:BF$92,"")&lt;&gt;"",_xlfn.XLOOKUP(AT29,ETANCHEITE!BH$22:BH$92,ETANCHEITE!BF$22:BF$92,""),    INDEX(ETANCHEITE!BF:BF,MAX(_xlfn._xlws.FILTER(ROW(ETANCHEITE!BF$22:INDIRECT("'PEINTURE'!O" &amp; AW29-1)),ETANCHEITE!BF$22:INDIRECT("'PEINTURE'!O" &amp; AW29-1)&lt;&gt;"")))),"")</f>
        <v/>
      </c>
      <c r="BB29" s="163" t="str" cm="1">
        <f t="array" aca="1" ref="BB29" ca="1">IFERROR(IF(_xlfn.XLOOKUP(AT29,ETANCHEITE!BH$22:BH$92,ETANCHEITE!BG$22:BG$92,"")&lt;&gt;"",_xlfn.XLOOKUP(AT29,ETANCHEITE!BH$22:BH$92,ETANCHEITE!BG$22:BG$92,""),    INDEX(ETANCHEITE!BG:BG,MAX(_xlfn._xlws.FILTER(ROW(ETANCHEITE!BG$22:INDIRECT("'PEINTURE'!P" &amp; AW29-1)),ETANCHEITE!BG$22:INDIRECT("'PEINTURE'!P" &amp; AW29-1)&lt;&gt;"")))),"")</f>
        <v/>
      </c>
    </row>
    <row r="30" spans="1:54" ht="15" customHeight="1" x14ac:dyDescent="0.3">
      <c r="A30" s="145">
        <v>28</v>
      </c>
      <c r="B30" s="154" t="str">
        <f>IF(F30&lt;&gt;" ",ETANCHEITE!$D$5,"")</f>
        <v/>
      </c>
      <c r="C30" s="154" t="str">
        <f>IF(F30&lt;&gt;" ",ETANCHEITE!$D$8,"")</f>
        <v/>
      </c>
      <c r="D30" s="146" t="str">
        <f>IFERROR(MATCH(A30,ETANCHEITE!O$22:O$167,0)+18,"")</f>
        <v/>
      </c>
      <c r="E30" s="147" t="str" cm="1">
        <f t="array" aca="1" ref="E30" ca="1">IFERROR(IF(_xlfn.XLOOKUP(A30,ETANCHEITE!O$22:O$167,ETANCHEITE!$A$22:$A$167,"")&lt;&gt;"",_xlfn.XLOOKUP(A30,ETANCHEITE!O$22:O$167,ETANCHEITE!$A$22:$A$167,""),    INDEX(ETANCHEITE!$A:$A,MAX(_xlfn._xlws.FILTER(ROW(ETANCHEITE!$A$22:INDIRECT("'MENUISERIES EXTERIEURES'!$A" &amp; D30-1)),ETANCHEITE!$A$22:INDIRECT("'MENUISERIES EXTERIEURES'!$A" &amp; D30-1)&lt;&gt;"")))),"")&amp;"   "&amp;IFERROR(_xlfn.XLOOKUP(A30,ETANCHEITE!O$22:O$167,ETANCHEITE!$B$22:$B$167),"")&amp;IFERROR(_xlfn.XLOOKUP(A30,ETANCHEITE!O$22:O$167,ETANCHEITE!$C$22:$C$167),"")&amp;IFERROR(_xlfn.XLOOKUP(A30,ETANCHEITE!O$22:O$167,ETANCHEITE!$D$22:$D$167),"")&amp;IFERROR(_xlfn.XLOOKUP(A30,ETANCHEITE!O$22:O$167,ETANCHEITE!#REF!),"")&amp;IFERROR(_xlfn.XLOOKUP(A30,ETANCHEITE!O$22:O$167,ETANCHEITE!#REF!),"")</f>
        <v xml:space="preserve">   </v>
      </c>
      <c r="F30" s="155" t="str">
        <f>IFERROR(VLOOKUP(A30,ETANCHEITE!O$22:Q$167,2,FALSE),"")&amp;" "&amp;IFERROR(VLOOKUP(A30,ETANCHEITE!O$22:Q$167,3,FALSE),"")</f>
        <v xml:space="preserve"> </v>
      </c>
      <c r="G30" s="148" t="str">
        <f>IF(F30&lt;&gt;" ",'Feuille de Donnée'!$C$3,"")</f>
        <v/>
      </c>
      <c r="H30" s="162" t="str" cm="1">
        <f t="array" aca="1" ref="H30" ca="1">IFERROR(IF(_xlfn.XLOOKUP(A30,ETANCHEITE!O$22:O$92,ETANCHEITE!M$22:M$92,"")&lt;&gt;"",_xlfn.XLOOKUP(A30,ETANCHEITE!O$22:O$92,ETANCHEITE!M$22:M$92,""),    INDEX(ETANCHEITE!M:M,MAX(_xlfn._xlws.FILTER(ROW(ETANCHEITE!M$22:INDIRECT("'PEINTURE'!O" &amp; D30-1)),ETANCHEITE!M$22:INDIRECT("'PEINTURE'!O" &amp; D30-1)&lt;&gt;"")))),"")</f>
        <v/>
      </c>
      <c r="I30" s="163" t="str" cm="1">
        <f t="array" aca="1" ref="I30" ca="1">IFERROR(IF(_xlfn.XLOOKUP(A30,ETANCHEITE!O$22:O$92,ETANCHEITE!N$22:N$92,"")&lt;&gt;"",_xlfn.XLOOKUP(A30,ETANCHEITE!O$22:O$92,ETANCHEITE!N$22:N$92,""),    INDEX(ETANCHEITE!N:N,MAX(_xlfn._xlws.FILTER(ROW(ETANCHEITE!N$22:INDIRECT("'PEINTURE'!P" &amp; D30-1)),ETANCHEITE!N$22:INDIRECT("'PEINTURE'!P" &amp; D30-1)&lt;&gt;"")))),"")</f>
        <v/>
      </c>
      <c r="J30" s="145">
        <v>28</v>
      </c>
      <c r="K30" s="154" t="str">
        <f>IF(O30&lt;&gt;" ",ETANCHEITE!$D$5,"")</f>
        <v/>
      </c>
      <c r="L30" s="154" t="str">
        <f>IF(O30&lt;&gt;" ",ETANCHEITE!$D$8,"")</f>
        <v/>
      </c>
      <c r="M30" s="146" t="str">
        <f>IFERROR(MATCH(J30,ETANCHEITE!X$22:X$167,0)+18,"")</f>
        <v/>
      </c>
      <c r="N30" s="147" t="str" cm="1">
        <f t="array" aca="1" ref="N30" ca="1">IFERROR(IF(_xlfn.XLOOKUP(J30,ETANCHEITE!X$22:X$167,ETANCHEITE!$A$22:$A$167,"")&lt;&gt;"",_xlfn.XLOOKUP(J30,ETANCHEITE!X$22:X$167,ETANCHEITE!$A$22:$A$167,""),    INDEX(ETANCHEITE!$A:$A,MAX(_xlfn._xlws.FILTER(ROW(ETANCHEITE!$A$22:INDIRECT("'MENUISERIES EXTERIEURES'!$A" &amp; M30-1)),ETANCHEITE!$A$22:INDIRECT("'MENUISERIES EXTERIEURES'!$A" &amp; M30-1)&lt;&gt;"")))),"")&amp;"   "&amp;IFERROR(_xlfn.XLOOKUP(J30,ETANCHEITE!X$22:X$167,ETANCHEITE!$B$22:$B$167),"")&amp;IFERROR(_xlfn.XLOOKUP(J30,ETANCHEITE!X$22:X$167,ETANCHEITE!$C$22:$C$167),"")&amp;IFERROR(_xlfn.XLOOKUP(J30,ETANCHEITE!X$22:X$167,ETANCHEITE!$D$22:$D$167),"")&amp;IFERROR(_xlfn.XLOOKUP(J30,ETANCHEITE!X$22:X$167,ETANCHEITE!#REF!),"")&amp;IFERROR(_xlfn.XLOOKUP(J30,ETANCHEITE!X$22:X$167,ETANCHEITE!#REF!),"")</f>
        <v xml:space="preserve">   </v>
      </c>
      <c r="O30" s="155" t="str">
        <f>IFERROR(VLOOKUP(J30,ETANCHEITE!X$22:Z$167,2,FALSE),"")&amp;" "&amp;IFERROR(VLOOKUP(J30,ETANCHEITE!X$22:Z$167,3,FALSE),"")</f>
        <v xml:space="preserve"> </v>
      </c>
      <c r="P30" s="148" t="str">
        <f>IF(O30&lt;&gt;" ",'Feuille de Donnée'!$C$3,"")</f>
        <v/>
      </c>
      <c r="Q30" s="162" t="str" cm="1">
        <f t="array" aca="1" ref="Q30" ca="1">IFERROR(IF(_xlfn.XLOOKUP(J30,ETANCHEITE!X$22:X$92,ETANCHEITE!V$22:V$92,"")&lt;&gt;"",_xlfn.XLOOKUP(J30,ETANCHEITE!X$22:X$92,ETANCHEITE!V$22:V$92,""),    INDEX(ETANCHEITE!V:V,MAX(_xlfn._xlws.FILTER(ROW(ETANCHEITE!V$22:INDIRECT("'PEINTURE'!O" &amp; M30-1)),ETANCHEITE!V$22:INDIRECT("'PEINTURE'!O" &amp; M30-1)&lt;&gt;"")))),"")</f>
        <v/>
      </c>
      <c r="R30" s="163" t="str" cm="1">
        <f t="array" aca="1" ref="R30" ca="1">IFERROR(IF(_xlfn.XLOOKUP(J30,ETANCHEITE!X$22:X$92,ETANCHEITE!W$22:W$92,"")&lt;&gt;"",_xlfn.XLOOKUP(J30,ETANCHEITE!X$22:X$92,ETANCHEITE!W$22:W$92,""),    INDEX(ETANCHEITE!W:W,MAX(_xlfn._xlws.FILTER(ROW(ETANCHEITE!W$22:INDIRECT("'PEINTURE'!P" &amp; M30-1)),ETANCHEITE!W$22:INDIRECT("'PEINTURE'!P" &amp; M30-1)&lt;&gt;"")))),"")</f>
        <v/>
      </c>
      <c r="S30" s="145">
        <v>28</v>
      </c>
      <c r="T30" s="154" t="str">
        <f>IF(X30&lt;&gt;" ",ETANCHEITE!$D$5,"")</f>
        <v/>
      </c>
      <c r="U30" s="154" t="str">
        <f>IF(X30&lt;&gt;" ",ETANCHEITE!$D$8,"")</f>
        <v/>
      </c>
      <c r="V30" s="146" t="str">
        <f>IFERROR(MATCH(S30,ETANCHEITE!AG$22:AG$167,0)+18,"")</f>
        <v/>
      </c>
      <c r="W30" s="147" t="str" cm="1">
        <f t="array" aca="1" ref="W30" ca="1">IFERROR(IF(_xlfn.XLOOKUP(S30,ETANCHEITE!AG$22:AG$167,ETANCHEITE!$A$22:$A$167,"")&lt;&gt;"",_xlfn.XLOOKUP(S30,ETANCHEITE!AG$22:AG$167,ETANCHEITE!$A$22:$A$167,""),    INDEX(ETANCHEITE!$A:$A,MAX(_xlfn._xlws.FILTER(ROW(ETANCHEITE!$A$22:INDIRECT("'MENUISERIES EXTERIEURES'!$A" &amp; V30-1)),ETANCHEITE!$A$22:INDIRECT("'MENUISERIES EXTERIEURES'!$A" &amp; V30-1)&lt;&gt;"")))),"")&amp;"   "&amp;IFERROR(_xlfn.XLOOKUP(S30,ETANCHEITE!AG$22:AG$167,ETANCHEITE!$B$22:$B$167),"")&amp;IFERROR(_xlfn.XLOOKUP(S30,ETANCHEITE!AG$22:AG$167,ETANCHEITE!$C$22:$C$167),"")&amp;IFERROR(_xlfn.XLOOKUP(S30,ETANCHEITE!AG$22:AG$167,ETANCHEITE!$D$22:$D$167),"")&amp;IFERROR(_xlfn.XLOOKUP(S30,ETANCHEITE!AG$22:AG$167,ETANCHEITE!#REF!),"")&amp;IFERROR(_xlfn.XLOOKUP(S30,ETANCHEITE!AG$22:AG$167,ETANCHEITE!#REF!),"")</f>
        <v xml:space="preserve">   </v>
      </c>
      <c r="X30" s="155" t="str">
        <f>IFERROR(VLOOKUP(S30,ETANCHEITE!AG$22:AI$167,2,FALSE),"")&amp;" "&amp;IFERROR(VLOOKUP(S30,ETANCHEITE!AG$22:AI$167,3,FALSE),"")</f>
        <v xml:space="preserve"> </v>
      </c>
      <c r="Y30" s="148" t="str">
        <f>IF(X30&lt;&gt;" ",'Feuille de Donnée'!$C$3,"")</f>
        <v/>
      </c>
      <c r="Z30" s="162" t="str" cm="1">
        <f t="array" aca="1" ref="Z30" ca="1">IFERROR(IF(_xlfn.XLOOKUP(S30,ETANCHEITE!AG$22:AG$92,ETANCHEITE!AE$22:AE$92,"")&lt;&gt;"",_xlfn.XLOOKUP(S30,ETANCHEITE!AG$22:AG$92,ETANCHEITE!AE$22:AE$92,""),    INDEX(ETANCHEITE!AE:AE,MAX(_xlfn._xlws.FILTER(ROW(ETANCHEITE!AE$22:INDIRECT("'PEINTURE'!O" &amp; V30-1)),ETANCHEITE!AE$22:INDIRECT("'PEINTURE'!O" &amp; V30-1)&lt;&gt;"")))),"")</f>
        <v/>
      </c>
      <c r="AA30" s="163" t="str" cm="1">
        <f t="array" aca="1" ref="AA30" ca="1">IFERROR(IF(_xlfn.XLOOKUP(S30,ETANCHEITE!AG$22:AG$92,ETANCHEITE!AF$22:AF$92,"")&lt;&gt;"",_xlfn.XLOOKUP(S30,ETANCHEITE!AG$22:AG$92,ETANCHEITE!AF$22:AF$92,""),    INDEX(ETANCHEITE!AF:AF,MAX(_xlfn._xlws.FILTER(ROW(ETANCHEITE!AF$22:INDIRECT("'PEINTURE'!P" &amp; V30-1)),ETANCHEITE!AF$22:INDIRECT("'PEINTURE'!P" &amp; V30-1)&lt;&gt;"")))),"")</f>
        <v/>
      </c>
      <c r="AB30" s="145">
        <v>28</v>
      </c>
      <c r="AC30" s="154" t="str">
        <f>IF(AG30&lt;&gt;" ",ETANCHEITE!$D$5,"")</f>
        <v/>
      </c>
      <c r="AD30" s="154" t="str">
        <f>IF(AG30&lt;&gt;" ",ETANCHEITE!$D$8,"")</f>
        <v/>
      </c>
      <c r="AE30" s="146" t="str">
        <f>IFERROR(MATCH(AB30,ETANCHEITE!AP$22:AP$167,0)+18,"")</f>
        <v/>
      </c>
      <c r="AF30" s="147" t="str" cm="1">
        <f t="array" aca="1" ref="AF30" ca="1">IFERROR(IF(_xlfn.XLOOKUP(AB30,ETANCHEITE!AP$22:AP$167,ETANCHEITE!$A$22:$A$167,"")&lt;&gt;"",_xlfn.XLOOKUP(AB30,ETANCHEITE!AP$22:AP$167,ETANCHEITE!$A$22:$A$167,""),    INDEX(ETANCHEITE!$A:$A,MAX(_xlfn._xlws.FILTER(ROW(ETANCHEITE!$A$22:INDIRECT("'MENUISERIES EXTERIEURES'!$A" &amp; AE30-1)),ETANCHEITE!$A$22:INDIRECT("'MENUISERIES EXTERIEURES'!$A" &amp; AE30-1)&lt;&gt;"")))),"")&amp;"   "&amp;IFERROR(_xlfn.XLOOKUP(AB30,ETANCHEITE!AP$22:AP$167,ETANCHEITE!$B$22:$B$167),"")&amp;IFERROR(_xlfn.XLOOKUP(AB30,ETANCHEITE!AP$22:AP$167,ETANCHEITE!$C$22:$C$167),"")&amp;IFERROR(_xlfn.XLOOKUP(AB30,ETANCHEITE!AP$22:AP$167,ETANCHEITE!$D$22:$D$167),"")&amp;IFERROR(_xlfn.XLOOKUP(AB30,ETANCHEITE!AP$22:AP$167,ETANCHEITE!#REF!),"")&amp;IFERROR(_xlfn.XLOOKUP(AB30,ETANCHEITE!AP$22:AP$167,ETANCHEITE!#REF!),"")</f>
        <v xml:space="preserve">   </v>
      </c>
      <c r="AG30" s="155" t="str">
        <f>IFERROR(VLOOKUP(AB30,ETANCHEITE!AP$22:AR$167,2,FALSE),"")&amp;" "&amp;IFERROR(VLOOKUP(AB30,ETANCHEITE!AP$22:AR$167,3,FALSE),"")</f>
        <v xml:space="preserve"> </v>
      </c>
      <c r="AH30" s="148" t="str">
        <f>IF(AG30&lt;&gt;" ",'Feuille de Donnée'!$C$3,"")</f>
        <v/>
      </c>
      <c r="AI30" s="162" t="str" cm="1">
        <f t="array" aca="1" ref="AI30" ca="1">IFERROR(IF(_xlfn.XLOOKUP(AB30,ETANCHEITE!AP$22:AP$92,ETANCHEITE!AN$22:AN$92,"")&lt;&gt;"",_xlfn.XLOOKUP(AB30,ETANCHEITE!AP$22:AP$92,ETANCHEITE!AN$22:AN$92,""),    INDEX(ETANCHEITE!AN:AN,MAX(_xlfn._xlws.FILTER(ROW(ETANCHEITE!AN$22:INDIRECT("'PEINTURE'!O" &amp; AE30-1)),ETANCHEITE!AN$22:INDIRECT("'PEINTURE'!O" &amp; AE30-1)&lt;&gt;"")))),"")</f>
        <v/>
      </c>
      <c r="AJ30" s="163" t="str" cm="1">
        <f t="array" aca="1" ref="AJ30" ca="1">IFERROR(IF(_xlfn.XLOOKUP(AB30,ETANCHEITE!AP$22:AP$92,ETANCHEITE!AO$22:AO$92,"")&lt;&gt;"",_xlfn.XLOOKUP(AB30,ETANCHEITE!AP$22:AP$92,ETANCHEITE!AO$22:AO$92,""),    INDEX(ETANCHEITE!AO:AO,MAX(_xlfn._xlws.FILTER(ROW(ETANCHEITE!AO$22:INDIRECT("'PEINTURE'!P" &amp; AE30-1)),ETANCHEITE!AO$22:INDIRECT("'PEINTURE'!P" &amp; AE30-1)&lt;&gt;"")))),"")</f>
        <v/>
      </c>
      <c r="AK30" s="145">
        <v>28</v>
      </c>
      <c r="AL30" s="154" t="str">
        <f>IF(AP30&lt;&gt;" ",ETANCHEITE!$D$5,"")</f>
        <v/>
      </c>
      <c r="AM30" s="154" t="str">
        <f>IF(AP30&lt;&gt;" ",ETANCHEITE!$D$8,"")</f>
        <v/>
      </c>
      <c r="AN30" s="146" t="str">
        <f>IFERROR(MATCH(AK30,ETANCHEITE!AY$22:AY$167,0)+18,"")</f>
        <v/>
      </c>
      <c r="AO30" s="147" t="str" cm="1">
        <f t="array" aca="1" ref="AO30" ca="1">IFERROR(IF(_xlfn.XLOOKUP(AK30,ETANCHEITE!AY$22:AY$167,ETANCHEITE!$A$22:$A$167,"")&lt;&gt;"",_xlfn.XLOOKUP(AK30,ETANCHEITE!AY$22:AY$167,ETANCHEITE!$A$22:$A$167,""),    INDEX(ETANCHEITE!$A:$A,MAX(_xlfn._xlws.FILTER(ROW(ETANCHEITE!$A$22:INDIRECT("'MENUISERIES EXTERIEURES'!$A" &amp; AN30-1)),ETANCHEITE!$A$22:INDIRECT("'MENUISERIES EXTERIEURES'!$A" &amp; AN30-1)&lt;&gt;"")))),"")&amp;"   "&amp;IFERROR(_xlfn.XLOOKUP(AK30,ETANCHEITE!AY$22:AY$167,ETANCHEITE!$B$22:$B$167),"")&amp;IFERROR(_xlfn.XLOOKUP(AK30,ETANCHEITE!AY$22:AY$167,ETANCHEITE!$C$22:$C$167),"")&amp;IFERROR(_xlfn.XLOOKUP(AK30,ETANCHEITE!AY$22:AY$167,ETANCHEITE!$D$22:$D$167),"")&amp;IFERROR(_xlfn.XLOOKUP(AK30,ETANCHEITE!AY$22:AY$167,ETANCHEITE!#REF!),"")&amp;IFERROR(_xlfn.XLOOKUP(AK30,ETANCHEITE!AY$22:AY$167,ETANCHEITE!#REF!),"")</f>
        <v xml:space="preserve">   </v>
      </c>
      <c r="AP30" s="155" t="str">
        <f>IFERROR(VLOOKUP(AK30,ETANCHEITE!AY$22:BA$167,2,FALSE),"")&amp;" "&amp;IFERROR(VLOOKUP(AK30,ETANCHEITE!AY$22:BA$167,3,FALSE),"")</f>
        <v xml:space="preserve"> </v>
      </c>
      <c r="AQ30" s="148" t="str">
        <f>IF(AP30&lt;&gt;" ",'Feuille de Donnée'!$C$3,"")</f>
        <v/>
      </c>
      <c r="AR30" s="162" t="str" cm="1">
        <f t="array" aca="1" ref="AR30" ca="1">IFERROR(IF(_xlfn.XLOOKUP(AK30,ETANCHEITE!AY$22:AY$92,ETANCHEITE!AW$22:AW$92,"")&lt;&gt;"",_xlfn.XLOOKUP(AK30,ETANCHEITE!AY$22:AY$92,ETANCHEITE!AW$22:AW$92,""),    INDEX(ETANCHEITE!AW:AW,MAX(_xlfn._xlws.FILTER(ROW(ETANCHEITE!AW$22:INDIRECT("'PEINTURE'!O" &amp; AN30-1)),ETANCHEITE!AW$22:INDIRECT("'PEINTURE'!O" &amp; AN30-1)&lt;&gt;"")))),"")</f>
        <v/>
      </c>
      <c r="AS30" s="163" t="str" cm="1">
        <f t="array" aca="1" ref="AS30" ca="1">IFERROR(IF(_xlfn.XLOOKUP(AK30,ETANCHEITE!AY$22:AY$92,ETANCHEITE!AX$22:AX$92,"")&lt;&gt;"",_xlfn.XLOOKUP(AK30,ETANCHEITE!AY$22:AY$92,ETANCHEITE!AX$22:AX$92,""),    INDEX(ETANCHEITE!AX:AX,MAX(_xlfn._xlws.FILTER(ROW(ETANCHEITE!AX$22:INDIRECT("'PEINTURE'!P" &amp; AN30-1)),ETANCHEITE!AX$22:INDIRECT("'PEINTURE'!P" &amp; AN30-1)&lt;&gt;"")))),"")</f>
        <v/>
      </c>
      <c r="AT30" s="145">
        <v>28</v>
      </c>
      <c r="AU30" s="154" t="str">
        <f>IF(AY30&lt;&gt;" ",ETANCHEITE!$D$5,"")</f>
        <v/>
      </c>
      <c r="AV30" s="154" t="str">
        <f>IF(AY30&lt;&gt;" ",ETANCHEITE!$D$8,"")</f>
        <v/>
      </c>
      <c r="AW30" s="146" t="str">
        <f>IFERROR(MATCH(AT30,ETANCHEITE!BH$22:BH$167,0)+18,"")</f>
        <v/>
      </c>
      <c r="AX30" s="147" t="str" cm="1">
        <f t="array" aca="1" ref="AX30" ca="1">IFERROR(IF(_xlfn.XLOOKUP(AT30,ETANCHEITE!BH$22:BH$167,ETANCHEITE!$A$22:$A$167,"")&lt;&gt;"",_xlfn.XLOOKUP(AT30,ETANCHEITE!BH$22:BH$167,ETANCHEITE!$A$22:$A$167,""),    INDEX(ETANCHEITE!$A:$A,MAX(_xlfn._xlws.FILTER(ROW(ETANCHEITE!$A$22:INDIRECT("'MENUISERIES EXTERIEURES'!$A" &amp; AW30-1)),ETANCHEITE!$A$22:INDIRECT("'MENUISERIES EXTERIEURES'!$A" &amp; AW30-1)&lt;&gt;"")))),"")&amp;"   "&amp;IFERROR(_xlfn.XLOOKUP(AT30,ETANCHEITE!BH$22:BH$167,ETANCHEITE!$B$22:$B$167),"")&amp;IFERROR(_xlfn.XLOOKUP(AT30,ETANCHEITE!BH$22:BH$167,ETANCHEITE!$C$22:$C$167),"")&amp;IFERROR(_xlfn.XLOOKUP(AT30,ETANCHEITE!BH$22:BH$167,ETANCHEITE!$D$22:$D$167),"")&amp;IFERROR(_xlfn.XLOOKUP(AT30,ETANCHEITE!BH$22:BH$167,ETANCHEITE!#REF!),"")&amp;IFERROR(_xlfn.XLOOKUP(AT30,ETANCHEITE!BH$22:BH$167,ETANCHEITE!#REF!),"")</f>
        <v xml:space="preserve">   </v>
      </c>
      <c r="AY30" s="155" t="str">
        <f>IFERROR(VLOOKUP(AT30,ETANCHEITE!BH$22:BJ$167,2,FALSE),"")&amp;" "&amp;IFERROR(VLOOKUP(AT30,ETANCHEITE!BH$22:BJ$167,3,FALSE),"")</f>
        <v xml:space="preserve"> </v>
      </c>
      <c r="AZ30" s="148" t="str">
        <f>IF(AY30&lt;&gt;" ",'Feuille de Donnée'!$C$3,"")</f>
        <v/>
      </c>
      <c r="BA30" s="162" t="str" cm="1">
        <f t="array" aca="1" ref="BA30" ca="1">IFERROR(IF(_xlfn.XLOOKUP(AT30,ETANCHEITE!BH$22:BH$92,ETANCHEITE!BF$22:BF$92,"")&lt;&gt;"",_xlfn.XLOOKUP(AT30,ETANCHEITE!BH$22:BH$92,ETANCHEITE!BF$22:BF$92,""),    INDEX(ETANCHEITE!BF:BF,MAX(_xlfn._xlws.FILTER(ROW(ETANCHEITE!BF$22:INDIRECT("'PEINTURE'!O" &amp; AW30-1)),ETANCHEITE!BF$22:INDIRECT("'PEINTURE'!O" &amp; AW30-1)&lt;&gt;"")))),"")</f>
        <v/>
      </c>
      <c r="BB30" s="163" t="str" cm="1">
        <f t="array" aca="1" ref="BB30" ca="1">IFERROR(IF(_xlfn.XLOOKUP(AT30,ETANCHEITE!BH$22:BH$92,ETANCHEITE!BG$22:BG$92,"")&lt;&gt;"",_xlfn.XLOOKUP(AT30,ETANCHEITE!BH$22:BH$92,ETANCHEITE!BG$22:BG$92,""),    INDEX(ETANCHEITE!BG:BG,MAX(_xlfn._xlws.FILTER(ROW(ETANCHEITE!BG$22:INDIRECT("'PEINTURE'!P" &amp; AW30-1)),ETANCHEITE!BG$22:INDIRECT("'PEINTURE'!P" &amp; AW30-1)&lt;&gt;"")))),"")</f>
        <v/>
      </c>
    </row>
    <row r="31" spans="1:54" ht="15" customHeight="1" x14ac:dyDescent="0.3">
      <c r="A31" s="145">
        <v>29</v>
      </c>
      <c r="B31" s="154" t="str">
        <f>IF(F31&lt;&gt;" ",ETANCHEITE!$D$5,"")</f>
        <v/>
      </c>
      <c r="C31" s="154" t="str">
        <f>IF(F31&lt;&gt;" ",ETANCHEITE!$D$8,"")</f>
        <v/>
      </c>
      <c r="D31" s="146" t="str">
        <f>IFERROR(MATCH(A31,ETANCHEITE!O$22:O$167,0)+18,"")</f>
        <v/>
      </c>
      <c r="E31" s="147" t="str" cm="1">
        <f t="array" aca="1" ref="E31" ca="1">IFERROR(IF(_xlfn.XLOOKUP(A31,ETANCHEITE!O$22:O$167,ETANCHEITE!$A$22:$A$167,"")&lt;&gt;"",_xlfn.XLOOKUP(A31,ETANCHEITE!O$22:O$167,ETANCHEITE!$A$22:$A$167,""),    INDEX(ETANCHEITE!$A:$A,MAX(_xlfn._xlws.FILTER(ROW(ETANCHEITE!$A$22:INDIRECT("'MENUISERIES EXTERIEURES'!$A" &amp; D31-1)),ETANCHEITE!$A$22:INDIRECT("'MENUISERIES EXTERIEURES'!$A" &amp; D31-1)&lt;&gt;"")))),"")&amp;"   "&amp;IFERROR(_xlfn.XLOOKUP(A31,ETANCHEITE!O$22:O$167,ETANCHEITE!$B$22:$B$167),"")&amp;IFERROR(_xlfn.XLOOKUP(A31,ETANCHEITE!O$22:O$167,ETANCHEITE!$C$22:$C$167),"")&amp;IFERROR(_xlfn.XLOOKUP(A31,ETANCHEITE!O$22:O$167,ETANCHEITE!$D$22:$D$167),"")&amp;IFERROR(_xlfn.XLOOKUP(A31,ETANCHEITE!O$22:O$167,ETANCHEITE!#REF!),"")&amp;IFERROR(_xlfn.XLOOKUP(A31,ETANCHEITE!O$22:O$167,ETANCHEITE!#REF!),"")</f>
        <v xml:space="preserve">   </v>
      </c>
      <c r="F31" s="155" t="str">
        <f>IFERROR(VLOOKUP(A31,ETANCHEITE!O$22:Q$167,2,FALSE),"")&amp;" "&amp;IFERROR(VLOOKUP(A31,ETANCHEITE!O$22:Q$167,3,FALSE),"")</f>
        <v xml:space="preserve"> </v>
      </c>
      <c r="G31" s="148" t="str">
        <f>IF(F31&lt;&gt;" ",'Feuille de Donnée'!$C$3,"")</f>
        <v/>
      </c>
      <c r="H31" s="162" t="str" cm="1">
        <f t="array" aca="1" ref="H31" ca="1">IFERROR(IF(_xlfn.XLOOKUP(A31,ETANCHEITE!O$22:O$92,ETANCHEITE!M$22:M$92,"")&lt;&gt;"",_xlfn.XLOOKUP(A31,ETANCHEITE!O$22:O$92,ETANCHEITE!M$22:M$92,""),    INDEX(ETANCHEITE!M:M,MAX(_xlfn._xlws.FILTER(ROW(ETANCHEITE!M$22:INDIRECT("'PEINTURE'!O" &amp; D31-1)),ETANCHEITE!M$22:INDIRECT("'PEINTURE'!O" &amp; D31-1)&lt;&gt;"")))),"")</f>
        <v/>
      </c>
      <c r="I31" s="163" t="str" cm="1">
        <f t="array" aca="1" ref="I31" ca="1">IFERROR(IF(_xlfn.XLOOKUP(A31,ETANCHEITE!O$22:O$92,ETANCHEITE!N$22:N$92,"")&lt;&gt;"",_xlfn.XLOOKUP(A31,ETANCHEITE!O$22:O$92,ETANCHEITE!N$22:N$92,""),    INDEX(ETANCHEITE!N:N,MAX(_xlfn._xlws.FILTER(ROW(ETANCHEITE!N$22:INDIRECT("'PEINTURE'!P" &amp; D31-1)),ETANCHEITE!N$22:INDIRECT("'PEINTURE'!P" &amp; D31-1)&lt;&gt;"")))),"")</f>
        <v/>
      </c>
      <c r="J31" s="145">
        <v>29</v>
      </c>
      <c r="K31" s="154" t="str">
        <f>IF(O31&lt;&gt;" ",ETANCHEITE!$D$5,"")</f>
        <v/>
      </c>
      <c r="L31" s="154" t="str">
        <f>IF(O31&lt;&gt;" ",ETANCHEITE!$D$8,"")</f>
        <v/>
      </c>
      <c r="M31" s="146" t="str">
        <f>IFERROR(MATCH(J31,ETANCHEITE!X$22:X$167,0)+18,"")</f>
        <v/>
      </c>
      <c r="N31" s="147" t="str" cm="1">
        <f t="array" aca="1" ref="N31" ca="1">IFERROR(IF(_xlfn.XLOOKUP(J31,ETANCHEITE!X$22:X$167,ETANCHEITE!$A$22:$A$167,"")&lt;&gt;"",_xlfn.XLOOKUP(J31,ETANCHEITE!X$22:X$167,ETANCHEITE!$A$22:$A$167,""),    INDEX(ETANCHEITE!$A:$A,MAX(_xlfn._xlws.FILTER(ROW(ETANCHEITE!$A$22:INDIRECT("'MENUISERIES EXTERIEURES'!$A" &amp; M31-1)),ETANCHEITE!$A$22:INDIRECT("'MENUISERIES EXTERIEURES'!$A" &amp; M31-1)&lt;&gt;"")))),"")&amp;"   "&amp;IFERROR(_xlfn.XLOOKUP(J31,ETANCHEITE!X$22:X$167,ETANCHEITE!$B$22:$B$167),"")&amp;IFERROR(_xlfn.XLOOKUP(J31,ETANCHEITE!X$22:X$167,ETANCHEITE!$C$22:$C$167),"")&amp;IFERROR(_xlfn.XLOOKUP(J31,ETANCHEITE!X$22:X$167,ETANCHEITE!$D$22:$D$167),"")&amp;IFERROR(_xlfn.XLOOKUP(J31,ETANCHEITE!X$22:X$167,ETANCHEITE!#REF!),"")&amp;IFERROR(_xlfn.XLOOKUP(J31,ETANCHEITE!X$22:X$167,ETANCHEITE!#REF!),"")</f>
        <v xml:space="preserve">   </v>
      </c>
      <c r="O31" s="155" t="str">
        <f>IFERROR(VLOOKUP(J31,ETANCHEITE!X$22:Z$167,2,FALSE),"")&amp;" "&amp;IFERROR(VLOOKUP(J31,ETANCHEITE!X$22:Z$167,3,FALSE),"")</f>
        <v xml:space="preserve"> </v>
      </c>
      <c r="P31" s="148" t="str">
        <f>IF(O31&lt;&gt;" ",'Feuille de Donnée'!$C$3,"")</f>
        <v/>
      </c>
      <c r="Q31" s="162" t="str" cm="1">
        <f t="array" aca="1" ref="Q31" ca="1">IFERROR(IF(_xlfn.XLOOKUP(J31,ETANCHEITE!X$22:X$92,ETANCHEITE!V$22:V$92,"")&lt;&gt;"",_xlfn.XLOOKUP(J31,ETANCHEITE!X$22:X$92,ETANCHEITE!V$22:V$92,""),    INDEX(ETANCHEITE!V:V,MAX(_xlfn._xlws.FILTER(ROW(ETANCHEITE!V$22:INDIRECT("'PEINTURE'!O" &amp; M31-1)),ETANCHEITE!V$22:INDIRECT("'PEINTURE'!O" &amp; M31-1)&lt;&gt;"")))),"")</f>
        <v/>
      </c>
      <c r="R31" s="163" t="str" cm="1">
        <f t="array" aca="1" ref="R31" ca="1">IFERROR(IF(_xlfn.XLOOKUP(J31,ETANCHEITE!X$22:X$92,ETANCHEITE!W$22:W$92,"")&lt;&gt;"",_xlfn.XLOOKUP(J31,ETANCHEITE!X$22:X$92,ETANCHEITE!W$22:W$92,""),    INDEX(ETANCHEITE!W:W,MAX(_xlfn._xlws.FILTER(ROW(ETANCHEITE!W$22:INDIRECT("'PEINTURE'!P" &amp; M31-1)),ETANCHEITE!W$22:INDIRECT("'PEINTURE'!P" &amp; M31-1)&lt;&gt;"")))),"")</f>
        <v/>
      </c>
      <c r="S31" s="145">
        <v>29</v>
      </c>
      <c r="T31" s="154" t="str">
        <f>IF(X31&lt;&gt;" ",ETANCHEITE!$D$5,"")</f>
        <v/>
      </c>
      <c r="U31" s="154" t="str">
        <f>IF(X31&lt;&gt;" ",ETANCHEITE!$D$8,"")</f>
        <v/>
      </c>
      <c r="V31" s="146" t="str">
        <f>IFERROR(MATCH(S31,ETANCHEITE!AG$22:AG$167,0)+18,"")</f>
        <v/>
      </c>
      <c r="W31" s="147" t="str" cm="1">
        <f t="array" aca="1" ref="W31" ca="1">IFERROR(IF(_xlfn.XLOOKUP(S31,ETANCHEITE!AG$22:AG$167,ETANCHEITE!$A$22:$A$167,"")&lt;&gt;"",_xlfn.XLOOKUP(S31,ETANCHEITE!AG$22:AG$167,ETANCHEITE!$A$22:$A$167,""),    INDEX(ETANCHEITE!$A:$A,MAX(_xlfn._xlws.FILTER(ROW(ETANCHEITE!$A$22:INDIRECT("'MENUISERIES EXTERIEURES'!$A" &amp; V31-1)),ETANCHEITE!$A$22:INDIRECT("'MENUISERIES EXTERIEURES'!$A" &amp; V31-1)&lt;&gt;"")))),"")&amp;"   "&amp;IFERROR(_xlfn.XLOOKUP(S31,ETANCHEITE!AG$22:AG$167,ETANCHEITE!$B$22:$B$167),"")&amp;IFERROR(_xlfn.XLOOKUP(S31,ETANCHEITE!AG$22:AG$167,ETANCHEITE!$C$22:$C$167),"")&amp;IFERROR(_xlfn.XLOOKUP(S31,ETANCHEITE!AG$22:AG$167,ETANCHEITE!$D$22:$D$167),"")&amp;IFERROR(_xlfn.XLOOKUP(S31,ETANCHEITE!AG$22:AG$167,ETANCHEITE!#REF!),"")&amp;IFERROR(_xlfn.XLOOKUP(S31,ETANCHEITE!AG$22:AG$167,ETANCHEITE!#REF!),"")</f>
        <v xml:space="preserve">   </v>
      </c>
      <c r="X31" s="155" t="str">
        <f>IFERROR(VLOOKUP(S31,ETANCHEITE!AG$22:AI$167,2,FALSE),"")&amp;" "&amp;IFERROR(VLOOKUP(S31,ETANCHEITE!AG$22:AI$167,3,FALSE),"")</f>
        <v xml:space="preserve"> </v>
      </c>
      <c r="Y31" s="148" t="str">
        <f>IF(X31&lt;&gt;" ",'Feuille de Donnée'!$C$3,"")</f>
        <v/>
      </c>
      <c r="Z31" s="162" t="str" cm="1">
        <f t="array" aca="1" ref="Z31" ca="1">IFERROR(IF(_xlfn.XLOOKUP(S31,ETANCHEITE!AG$22:AG$92,ETANCHEITE!AE$22:AE$92,"")&lt;&gt;"",_xlfn.XLOOKUP(S31,ETANCHEITE!AG$22:AG$92,ETANCHEITE!AE$22:AE$92,""),    INDEX(ETANCHEITE!AE:AE,MAX(_xlfn._xlws.FILTER(ROW(ETANCHEITE!AE$22:INDIRECT("'PEINTURE'!O" &amp; V31-1)),ETANCHEITE!AE$22:INDIRECT("'PEINTURE'!O" &amp; V31-1)&lt;&gt;"")))),"")</f>
        <v/>
      </c>
      <c r="AA31" s="163" t="str" cm="1">
        <f t="array" aca="1" ref="AA31" ca="1">IFERROR(IF(_xlfn.XLOOKUP(S31,ETANCHEITE!AG$22:AG$92,ETANCHEITE!AF$22:AF$92,"")&lt;&gt;"",_xlfn.XLOOKUP(S31,ETANCHEITE!AG$22:AG$92,ETANCHEITE!AF$22:AF$92,""),    INDEX(ETANCHEITE!AF:AF,MAX(_xlfn._xlws.FILTER(ROW(ETANCHEITE!AF$22:INDIRECT("'PEINTURE'!P" &amp; V31-1)),ETANCHEITE!AF$22:INDIRECT("'PEINTURE'!P" &amp; V31-1)&lt;&gt;"")))),"")</f>
        <v/>
      </c>
      <c r="AB31" s="145">
        <v>29</v>
      </c>
      <c r="AC31" s="154" t="str">
        <f>IF(AG31&lt;&gt;" ",ETANCHEITE!$D$5,"")</f>
        <v/>
      </c>
      <c r="AD31" s="154" t="str">
        <f>IF(AG31&lt;&gt;" ",ETANCHEITE!$D$8,"")</f>
        <v/>
      </c>
      <c r="AE31" s="146" t="str">
        <f>IFERROR(MATCH(AB31,ETANCHEITE!AP$22:AP$167,0)+18,"")</f>
        <v/>
      </c>
      <c r="AF31" s="147" t="str" cm="1">
        <f t="array" aca="1" ref="AF31" ca="1">IFERROR(IF(_xlfn.XLOOKUP(AB31,ETANCHEITE!AP$22:AP$167,ETANCHEITE!$A$22:$A$167,"")&lt;&gt;"",_xlfn.XLOOKUP(AB31,ETANCHEITE!AP$22:AP$167,ETANCHEITE!$A$22:$A$167,""),    INDEX(ETANCHEITE!$A:$A,MAX(_xlfn._xlws.FILTER(ROW(ETANCHEITE!$A$22:INDIRECT("'MENUISERIES EXTERIEURES'!$A" &amp; AE31-1)),ETANCHEITE!$A$22:INDIRECT("'MENUISERIES EXTERIEURES'!$A" &amp; AE31-1)&lt;&gt;"")))),"")&amp;"   "&amp;IFERROR(_xlfn.XLOOKUP(AB31,ETANCHEITE!AP$22:AP$167,ETANCHEITE!$B$22:$B$167),"")&amp;IFERROR(_xlfn.XLOOKUP(AB31,ETANCHEITE!AP$22:AP$167,ETANCHEITE!$C$22:$C$167),"")&amp;IFERROR(_xlfn.XLOOKUP(AB31,ETANCHEITE!AP$22:AP$167,ETANCHEITE!$D$22:$D$167),"")&amp;IFERROR(_xlfn.XLOOKUP(AB31,ETANCHEITE!AP$22:AP$167,ETANCHEITE!#REF!),"")&amp;IFERROR(_xlfn.XLOOKUP(AB31,ETANCHEITE!AP$22:AP$167,ETANCHEITE!#REF!),"")</f>
        <v xml:space="preserve">   </v>
      </c>
      <c r="AG31" s="155" t="str">
        <f>IFERROR(VLOOKUP(AB31,ETANCHEITE!AP$22:AR$167,2,FALSE),"")&amp;" "&amp;IFERROR(VLOOKUP(AB31,ETANCHEITE!AP$22:AR$167,3,FALSE),"")</f>
        <v xml:space="preserve"> </v>
      </c>
      <c r="AH31" s="148" t="str">
        <f>IF(AG31&lt;&gt;" ",'Feuille de Donnée'!$C$3,"")</f>
        <v/>
      </c>
      <c r="AI31" s="162" t="str" cm="1">
        <f t="array" aca="1" ref="AI31" ca="1">IFERROR(IF(_xlfn.XLOOKUP(AB31,ETANCHEITE!AP$22:AP$92,ETANCHEITE!AN$22:AN$92,"")&lt;&gt;"",_xlfn.XLOOKUP(AB31,ETANCHEITE!AP$22:AP$92,ETANCHEITE!AN$22:AN$92,""),    INDEX(ETANCHEITE!AN:AN,MAX(_xlfn._xlws.FILTER(ROW(ETANCHEITE!AN$22:INDIRECT("'PEINTURE'!O" &amp; AE31-1)),ETANCHEITE!AN$22:INDIRECT("'PEINTURE'!O" &amp; AE31-1)&lt;&gt;"")))),"")</f>
        <v/>
      </c>
      <c r="AJ31" s="163" t="str" cm="1">
        <f t="array" aca="1" ref="AJ31" ca="1">IFERROR(IF(_xlfn.XLOOKUP(AB31,ETANCHEITE!AP$22:AP$92,ETANCHEITE!AO$22:AO$92,"")&lt;&gt;"",_xlfn.XLOOKUP(AB31,ETANCHEITE!AP$22:AP$92,ETANCHEITE!AO$22:AO$92,""),    INDEX(ETANCHEITE!AO:AO,MAX(_xlfn._xlws.FILTER(ROW(ETANCHEITE!AO$22:INDIRECT("'PEINTURE'!P" &amp; AE31-1)),ETANCHEITE!AO$22:INDIRECT("'PEINTURE'!P" &amp; AE31-1)&lt;&gt;"")))),"")</f>
        <v/>
      </c>
      <c r="AK31" s="145">
        <v>29</v>
      </c>
      <c r="AL31" s="154" t="str">
        <f>IF(AP31&lt;&gt;" ",ETANCHEITE!$D$5,"")</f>
        <v/>
      </c>
      <c r="AM31" s="154" t="str">
        <f>IF(AP31&lt;&gt;" ",ETANCHEITE!$D$8,"")</f>
        <v/>
      </c>
      <c r="AN31" s="146" t="str">
        <f>IFERROR(MATCH(AK31,ETANCHEITE!AY$22:AY$167,0)+18,"")</f>
        <v/>
      </c>
      <c r="AO31" s="147" t="str" cm="1">
        <f t="array" aca="1" ref="AO31" ca="1">IFERROR(IF(_xlfn.XLOOKUP(AK31,ETANCHEITE!AY$22:AY$167,ETANCHEITE!$A$22:$A$167,"")&lt;&gt;"",_xlfn.XLOOKUP(AK31,ETANCHEITE!AY$22:AY$167,ETANCHEITE!$A$22:$A$167,""),    INDEX(ETANCHEITE!$A:$A,MAX(_xlfn._xlws.FILTER(ROW(ETANCHEITE!$A$22:INDIRECT("'MENUISERIES EXTERIEURES'!$A" &amp; AN31-1)),ETANCHEITE!$A$22:INDIRECT("'MENUISERIES EXTERIEURES'!$A" &amp; AN31-1)&lt;&gt;"")))),"")&amp;"   "&amp;IFERROR(_xlfn.XLOOKUP(AK31,ETANCHEITE!AY$22:AY$167,ETANCHEITE!$B$22:$B$167),"")&amp;IFERROR(_xlfn.XLOOKUP(AK31,ETANCHEITE!AY$22:AY$167,ETANCHEITE!$C$22:$C$167),"")&amp;IFERROR(_xlfn.XLOOKUP(AK31,ETANCHEITE!AY$22:AY$167,ETANCHEITE!$D$22:$D$167),"")&amp;IFERROR(_xlfn.XLOOKUP(AK31,ETANCHEITE!AY$22:AY$167,ETANCHEITE!#REF!),"")&amp;IFERROR(_xlfn.XLOOKUP(AK31,ETANCHEITE!AY$22:AY$167,ETANCHEITE!#REF!),"")</f>
        <v xml:space="preserve">   </v>
      </c>
      <c r="AP31" s="155" t="str">
        <f>IFERROR(VLOOKUP(AK31,ETANCHEITE!AY$22:BA$167,2,FALSE),"")&amp;" "&amp;IFERROR(VLOOKUP(AK31,ETANCHEITE!AY$22:BA$167,3,FALSE),"")</f>
        <v xml:space="preserve"> </v>
      </c>
      <c r="AQ31" s="148" t="str">
        <f>IF(AP31&lt;&gt;" ",'Feuille de Donnée'!$C$3,"")</f>
        <v/>
      </c>
      <c r="AR31" s="162" t="str" cm="1">
        <f t="array" aca="1" ref="AR31" ca="1">IFERROR(IF(_xlfn.XLOOKUP(AK31,ETANCHEITE!AY$22:AY$92,ETANCHEITE!AW$22:AW$92,"")&lt;&gt;"",_xlfn.XLOOKUP(AK31,ETANCHEITE!AY$22:AY$92,ETANCHEITE!AW$22:AW$92,""),    INDEX(ETANCHEITE!AW:AW,MAX(_xlfn._xlws.FILTER(ROW(ETANCHEITE!AW$22:INDIRECT("'PEINTURE'!O" &amp; AN31-1)),ETANCHEITE!AW$22:INDIRECT("'PEINTURE'!O" &amp; AN31-1)&lt;&gt;"")))),"")</f>
        <v/>
      </c>
      <c r="AS31" s="163" t="str" cm="1">
        <f t="array" aca="1" ref="AS31" ca="1">IFERROR(IF(_xlfn.XLOOKUP(AK31,ETANCHEITE!AY$22:AY$92,ETANCHEITE!AX$22:AX$92,"")&lt;&gt;"",_xlfn.XLOOKUP(AK31,ETANCHEITE!AY$22:AY$92,ETANCHEITE!AX$22:AX$92,""),    INDEX(ETANCHEITE!AX:AX,MAX(_xlfn._xlws.FILTER(ROW(ETANCHEITE!AX$22:INDIRECT("'PEINTURE'!P" &amp; AN31-1)),ETANCHEITE!AX$22:INDIRECT("'PEINTURE'!P" &amp; AN31-1)&lt;&gt;"")))),"")</f>
        <v/>
      </c>
      <c r="AT31" s="145">
        <v>29</v>
      </c>
      <c r="AU31" s="154" t="str">
        <f>IF(AY31&lt;&gt;" ",ETANCHEITE!$D$5,"")</f>
        <v/>
      </c>
      <c r="AV31" s="154" t="str">
        <f>IF(AY31&lt;&gt;" ",ETANCHEITE!$D$8,"")</f>
        <v/>
      </c>
      <c r="AW31" s="146" t="str">
        <f>IFERROR(MATCH(AT31,ETANCHEITE!BH$22:BH$167,0)+18,"")</f>
        <v/>
      </c>
      <c r="AX31" s="147" t="str" cm="1">
        <f t="array" aca="1" ref="AX31" ca="1">IFERROR(IF(_xlfn.XLOOKUP(AT31,ETANCHEITE!BH$22:BH$167,ETANCHEITE!$A$22:$A$167,"")&lt;&gt;"",_xlfn.XLOOKUP(AT31,ETANCHEITE!BH$22:BH$167,ETANCHEITE!$A$22:$A$167,""),    INDEX(ETANCHEITE!$A:$A,MAX(_xlfn._xlws.FILTER(ROW(ETANCHEITE!$A$22:INDIRECT("'MENUISERIES EXTERIEURES'!$A" &amp; AW31-1)),ETANCHEITE!$A$22:INDIRECT("'MENUISERIES EXTERIEURES'!$A" &amp; AW31-1)&lt;&gt;"")))),"")&amp;"   "&amp;IFERROR(_xlfn.XLOOKUP(AT31,ETANCHEITE!BH$22:BH$167,ETANCHEITE!$B$22:$B$167),"")&amp;IFERROR(_xlfn.XLOOKUP(AT31,ETANCHEITE!BH$22:BH$167,ETANCHEITE!$C$22:$C$167),"")&amp;IFERROR(_xlfn.XLOOKUP(AT31,ETANCHEITE!BH$22:BH$167,ETANCHEITE!$D$22:$D$167),"")&amp;IFERROR(_xlfn.XLOOKUP(AT31,ETANCHEITE!BH$22:BH$167,ETANCHEITE!#REF!),"")&amp;IFERROR(_xlfn.XLOOKUP(AT31,ETANCHEITE!BH$22:BH$167,ETANCHEITE!#REF!),"")</f>
        <v xml:space="preserve">   </v>
      </c>
      <c r="AY31" s="155" t="str">
        <f>IFERROR(VLOOKUP(AT31,ETANCHEITE!BH$22:BJ$167,2,FALSE),"")&amp;" "&amp;IFERROR(VLOOKUP(AT31,ETANCHEITE!BH$22:BJ$167,3,FALSE),"")</f>
        <v xml:space="preserve"> </v>
      </c>
      <c r="AZ31" s="148" t="str">
        <f>IF(AY31&lt;&gt;" ",'Feuille de Donnée'!$C$3,"")</f>
        <v/>
      </c>
      <c r="BA31" s="162" t="str" cm="1">
        <f t="array" aca="1" ref="BA31" ca="1">IFERROR(IF(_xlfn.XLOOKUP(AT31,ETANCHEITE!BH$22:BH$92,ETANCHEITE!BF$22:BF$92,"")&lt;&gt;"",_xlfn.XLOOKUP(AT31,ETANCHEITE!BH$22:BH$92,ETANCHEITE!BF$22:BF$92,""),    INDEX(ETANCHEITE!BF:BF,MAX(_xlfn._xlws.FILTER(ROW(ETANCHEITE!BF$22:INDIRECT("'PEINTURE'!O" &amp; AW31-1)),ETANCHEITE!BF$22:INDIRECT("'PEINTURE'!O" &amp; AW31-1)&lt;&gt;"")))),"")</f>
        <v/>
      </c>
      <c r="BB31" s="163" t="str" cm="1">
        <f t="array" aca="1" ref="BB31" ca="1">IFERROR(IF(_xlfn.XLOOKUP(AT31,ETANCHEITE!BH$22:BH$92,ETANCHEITE!BG$22:BG$92,"")&lt;&gt;"",_xlfn.XLOOKUP(AT31,ETANCHEITE!BH$22:BH$92,ETANCHEITE!BG$22:BG$92,""),    INDEX(ETANCHEITE!BG:BG,MAX(_xlfn._xlws.FILTER(ROW(ETANCHEITE!BG$22:INDIRECT("'PEINTURE'!P" &amp; AW31-1)),ETANCHEITE!BG$22:INDIRECT("'PEINTURE'!P" &amp; AW31-1)&lt;&gt;"")))),"")</f>
        <v/>
      </c>
    </row>
    <row r="32" spans="1:54" ht="15" customHeight="1" x14ac:dyDescent="0.3">
      <c r="A32" s="145">
        <v>30</v>
      </c>
      <c r="B32" s="154" t="str">
        <f>IF(F32&lt;&gt;" ",ETANCHEITE!$D$5,"")</f>
        <v/>
      </c>
      <c r="C32" s="154" t="str">
        <f>IF(F32&lt;&gt;" ",ETANCHEITE!$D$8,"")</f>
        <v/>
      </c>
      <c r="D32" s="146" t="str">
        <f>IFERROR(MATCH(A32,ETANCHEITE!O$22:O$167,0)+18,"")</f>
        <v/>
      </c>
      <c r="E32" s="147" t="str" cm="1">
        <f t="array" aca="1" ref="E32" ca="1">IFERROR(IF(_xlfn.XLOOKUP(A32,ETANCHEITE!O$22:O$167,ETANCHEITE!$A$22:$A$167,"")&lt;&gt;"",_xlfn.XLOOKUP(A32,ETANCHEITE!O$22:O$167,ETANCHEITE!$A$22:$A$167,""),    INDEX(ETANCHEITE!$A:$A,MAX(_xlfn._xlws.FILTER(ROW(ETANCHEITE!$A$22:INDIRECT("'MENUISERIES EXTERIEURES'!$A" &amp; D32-1)),ETANCHEITE!$A$22:INDIRECT("'MENUISERIES EXTERIEURES'!$A" &amp; D32-1)&lt;&gt;"")))),"")&amp;"   "&amp;IFERROR(_xlfn.XLOOKUP(A32,ETANCHEITE!O$22:O$167,ETANCHEITE!$B$22:$B$167),"")&amp;IFERROR(_xlfn.XLOOKUP(A32,ETANCHEITE!O$22:O$167,ETANCHEITE!$C$22:$C$167),"")&amp;IFERROR(_xlfn.XLOOKUP(A32,ETANCHEITE!O$22:O$167,ETANCHEITE!$D$22:$D$167),"")&amp;IFERROR(_xlfn.XLOOKUP(A32,ETANCHEITE!O$22:O$167,ETANCHEITE!#REF!),"")&amp;IFERROR(_xlfn.XLOOKUP(A32,ETANCHEITE!O$22:O$167,ETANCHEITE!#REF!),"")</f>
        <v xml:space="preserve">   </v>
      </c>
      <c r="F32" s="155" t="str">
        <f>IFERROR(VLOOKUP(A32,ETANCHEITE!O$22:Q$167,2,FALSE),"")&amp;" "&amp;IFERROR(VLOOKUP(A32,ETANCHEITE!O$22:Q$167,3,FALSE),"")</f>
        <v xml:space="preserve"> </v>
      </c>
      <c r="G32" s="148" t="str">
        <f>IF(F32&lt;&gt;" ",'Feuille de Donnée'!$C$3,"")</f>
        <v/>
      </c>
      <c r="H32" s="162" t="str" cm="1">
        <f t="array" aca="1" ref="H32" ca="1">IFERROR(IF(_xlfn.XLOOKUP(A32,ETANCHEITE!O$22:O$92,ETANCHEITE!M$22:M$92,"")&lt;&gt;"",_xlfn.XLOOKUP(A32,ETANCHEITE!O$22:O$92,ETANCHEITE!M$22:M$92,""),    INDEX(ETANCHEITE!M:M,MAX(_xlfn._xlws.FILTER(ROW(ETANCHEITE!M$22:INDIRECT("'PEINTURE'!O" &amp; D32-1)),ETANCHEITE!M$22:INDIRECT("'PEINTURE'!O" &amp; D32-1)&lt;&gt;"")))),"")</f>
        <v/>
      </c>
      <c r="I32" s="163" t="str" cm="1">
        <f t="array" aca="1" ref="I32" ca="1">IFERROR(IF(_xlfn.XLOOKUP(A32,ETANCHEITE!O$22:O$92,ETANCHEITE!N$22:N$92,"")&lt;&gt;"",_xlfn.XLOOKUP(A32,ETANCHEITE!O$22:O$92,ETANCHEITE!N$22:N$92,""),    INDEX(ETANCHEITE!N:N,MAX(_xlfn._xlws.FILTER(ROW(ETANCHEITE!N$22:INDIRECT("'PEINTURE'!P" &amp; D32-1)),ETANCHEITE!N$22:INDIRECT("'PEINTURE'!P" &amp; D32-1)&lt;&gt;"")))),"")</f>
        <v/>
      </c>
      <c r="J32" s="145">
        <v>30</v>
      </c>
      <c r="K32" s="154" t="str">
        <f>IF(O32&lt;&gt;" ",ETANCHEITE!$D$5,"")</f>
        <v/>
      </c>
      <c r="L32" s="154" t="str">
        <f>IF(O32&lt;&gt;" ",ETANCHEITE!$D$8,"")</f>
        <v/>
      </c>
      <c r="M32" s="146" t="str">
        <f>IFERROR(MATCH(J32,ETANCHEITE!X$22:X$167,0)+18,"")</f>
        <v/>
      </c>
      <c r="N32" s="147" t="str" cm="1">
        <f t="array" aca="1" ref="N32" ca="1">IFERROR(IF(_xlfn.XLOOKUP(J32,ETANCHEITE!X$22:X$167,ETANCHEITE!$A$22:$A$167,"")&lt;&gt;"",_xlfn.XLOOKUP(J32,ETANCHEITE!X$22:X$167,ETANCHEITE!$A$22:$A$167,""),    INDEX(ETANCHEITE!$A:$A,MAX(_xlfn._xlws.FILTER(ROW(ETANCHEITE!$A$22:INDIRECT("'MENUISERIES EXTERIEURES'!$A" &amp; M32-1)),ETANCHEITE!$A$22:INDIRECT("'MENUISERIES EXTERIEURES'!$A" &amp; M32-1)&lt;&gt;"")))),"")&amp;"   "&amp;IFERROR(_xlfn.XLOOKUP(J32,ETANCHEITE!X$22:X$167,ETANCHEITE!$B$22:$B$167),"")&amp;IFERROR(_xlfn.XLOOKUP(J32,ETANCHEITE!X$22:X$167,ETANCHEITE!$C$22:$C$167),"")&amp;IFERROR(_xlfn.XLOOKUP(J32,ETANCHEITE!X$22:X$167,ETANCHEITE!$D$22:$D$167),"")&amp;IFERROR(_xlfn.XLOOKUP(J32,ETANCHEITE!X$22:X$167,ETANCHEITE!#REF!),"")&amp;IFERROR(_xlfn.XLOOKUP(J32,ETANCHEITE!X$22:X$167,ETANCHEITE!#REF!),"")</f>
        <v xml:space="preserve">   </v>
      </c>
      <c r="O32" s="155" t="str">
        <f>IFERROR(VLOOKUP(J32,ETANCHEITE!X$22:Z$167,2,FALSE),"")&amp;" "&amp;IFERROR(VLOOKUP(J32,ETANCHEITE!X$22:Z$167,3,FALSE),"")</f>
        <v xml:space="preserve"> </v>
      </c>
      <c r="P32" s="148" t="str">
        <f>IF(O32&lt;&gt;" ",'Feuille de Donnée'!$C$3,"")</f>
        <v/>
      </c>
      <c r="Q32" s="162" t="str" cm="1">
        <f t="array" aca="1" ref="Q32" ca="1">IFERROR(IF(_xlfn.XLOOKUP(J32,ETANCHEITE!X$22:X$92,ETANCHEITE!V$22:V$92,"")&lt;&gt;"",_xlfn.XLOOKUP(J32,ETANCHEITE!X$22:X$92,ETANCHEITE!V$22:V$92,""),    INDEX(ETANCHEITE!V:V,MAX(_xlfn._xlws.FILTER(ROW(ETANCHEITE!V$22:INDIRECT("'PEINTURE'!O" &amp; M32-1)),ETANCHEITE!V$22:INDIRECT("'PEINTURE'!O" &amp; M32-1)&lt;&gt;"")))),"")</f>
        <v/>
      </c>
      <c r="R32" s="163" t="str" cm="1">
        <f t="array" aca="1" ref="R32" ca="1">IFERROR(IF(_xlfn.XLOOKUP(J32,ETANCHEITE!X$22:X$92,ETANCHEITE!W$22:W$92,"")&lt;&gt;"",_xlfn.XLOOKUP(J32,ETANCHEITE!X$22:X$92,ETANCHEITE!W$22:W$92,""),    INDEX(ETANCHEITE!W:W,MAX(_xlfn._xlws.FILTER(ROW(ETANCHEITE!W$22:INDIRECT("'PEINTURE'!P" &amp; M32-1)),ETANCHEITE!W$22:INDIRECT("'PEINTURE'!P" &amp; M32-1)&lt;&gt;"")))),"")</f>
        <v/>
      </c>
      <c r="S32" s="145">
        <v>30</v>
      </c>
      <c r="T32" s="154" t="str">
        <f>IF(X32&lt;&gt;" ",ETANCHEITE!$D$5,"")</f>
        <v/>
      </c>
      <c r="U32" s="154" t="str">
        <f>IF(X32&lt;&gt;" ",ETANCHEITE!$D$8,"")</f>
        <v/>
      </c>
      <c r="V32" s="146" t="str">
        <f>IFERROR(MATCH(S32,ETANCHEITE!AG$22:AG$167,0)+18,"")</f>
        <v/>
      </c>
      <c r="W32" s="147" t="str" cm="1">
        <f t="array" aca="1" ref="W32" ca="1">IFERROR(IF(_xlfn.XLOOKUP(S32,ETANCHEITE!AG$22:AG$167,ETANCHEITE!$A$22:$A$167,"")&lt;&gt;"",_xlfn.XLOOKUP(S32,ETANCHEITE!AG$22:AG$167,ETANCHEITE!$A$22:$A$167,""),    INDEX(ETANCHEITE!$A:$A,MAX(_xlfn._xlws.FILTER(ROW(ETANCHEITE!$A$22:INDIRECT("'MENUISERIES EXTERIEURES'!$A" &amp; V32-1)),ETANCHEITE!$A$22:INDIRECT("'MENUISERIES EXTERIEURES'!$A" &amp; V32-1)&lt;&gt;"")))),"")&amp;"   "&amp;IFERROR(_xlfn.XLOOKUP(S32,ETANCHEITE!AG$22:AG$167,ETANCHEITE!$B$22:$B$167),"")&amp;IFERROR(_xlfn.XLOOKUP(S32,ETANCHEITE!AG$22:AG$167,ETANCHEITE!$C$22:$C$167),"")&amp;IFERROR(_xlfn.XLOOKUP(S32,ETANCHEITE!AG$22:AG$167,ETANCHEITE!$D$22:$D$167),"")&amp;IFERROR(_xlfn.XLOOKUP(S32,ETANCHEITE!AG$22:AG$167,ETANCHEITE!#REF!),"")&amp;IFERROR(_xlfn.XLOOKUP(S32,ETANCHEITE!AG$22:AG$167,ETANCHEITE!#REF!),"")</f>
        <v xml:space="preserve">   </v>
      </c>
      <c r="X32" s="155" t="str">
        <f>IFERROR(VLOOKUP(S32,ETANCHEITE!AG$22:AI$167,2,FALSE),"")&amp;" "&amp;IFERROR(VLOOKUP(S32,ETANCHEITE!AG$22:AI$167,3,FALSE),"")</f>
        <v xml:space="preserve"> </v>
      </c>
      <c r="Y32" s="148" t="str">
        <f>IF(X32&lt;&gt;" ",'Feuille de Donnée'!$C$3,"")</f>
        <v/>
      </c>
      <c r="Z32" s="162" t="str" cm="1">
        <f t="array" aca="1" ref="Z32" ca="1">IFERROR(IF(_xlfn.XLOOKUP(S32,ETANCHEITE!AG$22:AG$92,ETANCHEITE!AE$22:AE$92,"")&lt;&gt;"",_xlfn.XLOOKUP(S32,ETANCHEITE!AG$22:AG$92,ETANCHEITE!AE$22:AE$92,""),    INDEX(ETANCHEITE!AE:AE,MAX(_xlfn._xlws.FILTER(ROW(ETANCHEITE!AE$22:INDIRECT("'PEINTURE'!O" &amp; V32-1)),ETANCHEITE!AE$22:INDIRECT("'PEINTURE'!O" &amp; V32-1)&lt;&gt;"")))),"")</f>
        <v/>
      </c>
      <c r="AA32" s="163" t="str" cm="1">
        <f t="array" aca="1" ref="AA32" ca="1">IFERROR(IF(_xlfn.XLOOKUP(S32,ETANCHEITE!AG$22:AG$92,ETANCHEITE!AF$22:AF$92,"")&lt;&gt;"",_xlfn.XLOOKUP(S32,ETANCHEITE!AG$22:AG$92,ETANCHEITE!AF$22:AF$92,""),    INDEX(ETANCHEITE!AF:AF,MAX(_xlfn._xlws.FILTER(ROW(ETANCHEITE!AF$22:INDIRECT("'PEINTURE'!P" &amp; V32-1)),ETANCHEITE!AF$22:INDIRECT("'PEINTURE'!P" &amp; V32-1)&lt;&gt;"")))),"")</f>
        <v/>
      </c>
      <c r="AB32" s="145">
        <v>30</v>
      </c>
      <c r="AC32" s="154" t="str">
        <f>IF(AG32&lt;&gt;" ",ETANCHEITE!$D$5,"")</f>
        <v/>
      </c>
      <c r="AD32" s="154" t="str">
        <f>IF(AG32&lt;&gt;" ",ETANCHEITE!$D$8,"")</f>
        <v/>
      </c>
      <c r="AE32" s="146" t="str">
        <f>IFERROR(MATCH(AB32,ETANCHEITE!AP$22:AP$167,0)+18,"")</f>
        <v/>
      </c>
      <c r="AF32" s="147" t="str" cm="1">
        <f t="array" aca="1" ref="AF32" ca="1">IFERROR(IF(_xlfn.XLOOKUP(AB32,ETANCHEITE!AP$22:AP$167,ETANCHEITE!$A$22:$A$167,"")&lt;&gt;"",_xlfn.XLOOKUP(AB32,ETANCHEITE!AP$22:AP$167,ETANCHEITE!$A$22:$A$167,""),    INDEX(ETANCHEITE!$A:$A,MAX(_xlfn._xlws.FILTER(ROW(ETANCHEITE!$A$22:INDIRECT("'MENUISERIES EXTERIEURES'!$A" &amp; AE32-1)),ETANCHEITE!$A$22:INDIRECT("'MENUISERIES EXTERIEURES'!$A" &amp; AE32-1)&lt;&gt;"")))),"")&amp;"   "&amp;IFERROR(_xlfn.XLOOKUP(AB32,ETANCHEITE!AP$22:AP$167,ETANCHEITE!$B$22:$B$167),"")&amp;IFERROR(_xlfn.XLOOKUP(AB32,ETANCHEITE!AP$22:AP$167,ETANCHEITE!$C$22:$C$167),"")&amp;IFERROR(_xlfn.XLOOKUP(AB32,ETANCHEITE!AP$22:AP$167,ETANCHEITE!$D$22:$D$167),"")&amp;IFERROR(_xlfn.XLOOKUP(AB32,ETANCHEITE!AP$22:AP$167,ETANCHEITE!#REF!),"")&amp;IFERROR(_xlfn.XLOOKUP(AB32,ETANCHEITE!AP$22:AP$167,ETANCHEITE!#REF!),"")</f>
        <v xml:space="preserve">   </v>
      </c>
      <c r="AG32" s="155" t="str">
        <f>IFERROR(VLOOKUP(AB32,ETANCHEITE!AP$22:AR$167,2,FALSE),"")&amp;" "&amp;IFERROR(VLOOKUP(AB32,ETANCHEITE!AP$22:AR$167,3,FALSE),"")</f>
        <v xml:space="preserve"> </v>
      </c>
      <c r="AH32" s="148" t="str">
        <f>IF(AG32&lt;&gt;" ",'Feuille de Donnée'!$C$3,"")</f>
        <v/>
      </c>
      <c r="AI32" s="162" t="str" cm="1">
        <f t="array" aca="1" ref="AI32" ca="1">IFERROR(IF(_xlfn.XLOOKUP(AB32,ETANCHEITE!AP$22:AP$92,ETANCHEITE!AN$22:AN$92,"")&lt;&gt;"",_xlfn.XLOOKUP(AB32,ETANCHEITE!AP$22:AP$92,ETANCHEITE!AN$22:AN$92,""),    INDEX(ETANCHEITE!AN:AN,MAX(_xlfn._xlws.FILTER(ROW(ETANCHEITE!AN$22:INDIRECT("'PEINTURE'!O" &amp; AE32-1)),ETANCHEITE!AN$22:INDIRECT("'PEINTURE'!O" &amp; AE32-1)&lt;&gt;"")))),"")</f>
        <v/>
      </c>
      <c r="AJ32" s="163" t="str" cm="1">
        <f t="array" aca="1" ref="AJ32" ca="1">IFERROR(IF(_xlfn.XLOOKUP(AB32,ETANCHEITE!AP$22:AP$92,ETANCHEITE!AO$22:AO$92,"")&lt;&gt;"",_xlfn.XLOOKUP(AB32,ETANCHEITE!AP$22:AP$92,ETANCHEITE!AO$22:AO$92,""),    INDEX(ETANCHEITE!AO:AO,MAX(_xlfn._xlws.FILTER(ROW(ETANCHEITE!AO$22:INDIRECT("'PEINTURE'!P" &amp; AE32-1)),ETANCHEITE!AO$22:INDIRECT("'PEINTURE'!P" &amp; AE32-1)&lt;&gt;"")))),"")</f>
        <v/>
      </c>
      <c r="AK32" s="145">
        <v>30</v>
      </c>
      <c r="AL32" s="154" t="str">
        <f>IF(AP32&lt;&gt;" ",ETANCHEITE!$D$5,"")</f>
        <v/>
      </c>
      <c r="AM32" s="154" t="str">
        <f>IF(AP32&lt;&gt;" ",ETANCHEITE!$D$8,"")</f>
        <v/>
      </c>
      <c r="AN32" s="146" t="str">
        <f>IFERROR(MATCH(AK32,ETANCHEITE!AY$22:AY$167,0)+18,"")</f>
        <v/>
      </c>
      <c r="AO32" s="147" t="str" cm="1">
        <f t="array" aca="1" ref="AO32" ca="1">IFERROR(IF(_xlfn.XLOOKUP(AK32,ETANCHEITE!AY$22:AY$167,ETANCHEITE!$A$22:$A$167,"")&lt;&gt;"",_xlfn.XLOOKUP(AK32,ETANCHEITE!AY$22:AY$167,ETANCHEITE!$A$22:$A$167,""),    INDEX(ETANCHEITE!$A:$A,MAX(_xlfn._xlws.FILTER(ROW(ETANCHEITE!$A$22:INDIRECT("'MENUISERIES EXTERIEURES'!$A" &amp; AN32-1)),ETANCHEITE!$A$22:INDIRECT("'MENUISERIES EXTERIEURES'!$A" &amp; AN32-1)&lt;&gt;"")))),"")&amp;"   "&amp;IFERROR(_xlfn.XLOOKUP(AK32,ETANCHEITE!AY$22:AY$167,ETANCHEITE!$B$22:$B$167),"")&amp;IFERROR(_xlfn.XLOOKUP(AK32,ETANCHEITE!AY$22:AY$167,ETANCHEITE!$C$22:$C$167),"")&amp;IFERROR(_xlfn.XLOOKUP(AK32,ETANCHEITE!AY$22:AY$167,ETANCHEITE!$D$22:$D$167),"")&amp;IFERROR(_xlfn.XLOOKUP(AK32,ETANCHEITE!AY$22:AY$167,ETANCHEITE!#REF!),"")&amp;IFERROR(_xlfn.XLOOKUP(AK32,ETANCHEITE!AY$22:AY$167,ETANCHEITE!#REF!),"")</f>
        <v xml:space="preserve">   </v>
      </c>
      <c r="AP32" s="155" t="str">
        <f>IFERROR(VLOOKUP(AK32,ETANCHEITE!AY$22:BA$167,2,FALSE),"")&amp;" "&amp;IFERROR(VLOOKUP(AK32,ETANCHEITE!AY$22:BA$167,3,FALSE),"")</f>
        <v xml:space="preserve"> </v>
      </c>
      <c r="AQ32" s="148" t="str">
        <f>IF(AP32&lt;&gt;" ",'Feuille de Donnée'!$C$3,"")</f>
        <v/>
      </c>
      <c r="AR32" s="162" t="str" cm="1">
        <f t="array" aca="1" ref="AR32" ca="1">IFERROR(IF(_xlfn.XLOOKUP(AK32,ETANCHEITE!AY$22:AY$92,ETANCHEITE!AW$22:AW$92,"")&lt;&gt;"",_xlfn.XLOOKUP(AK32,ETANCHEITE!AY$22:AY$92,ETANCHEITE!AW$22:AW$92,""),    INDEX(ETANCHEITE!AW:AW,MAX(_xlfn._xlws.FILTER(ROW(ETANCHEITE!AW$22:INDIRECT("'PEINTURE'!O" &amp; AN32-1)),ETANCHEITE!AW$22:INDIRECT("'PEINTURE'!O" &amp; AN32-1)&lt;&gt;"")))),"")</f>
        <v/>
      </c>
      <c r="AS32" s="163" t="str" cm="1">
        <f t="array" aca="1" ref="AS32" ca="1">IFERROR(IF(_xlfn.XLOOKUP(AK32,ETANCHEITE!AY$22:AY$92,ETANCHEITE!AX$22:AX$92,"")&lt;&gt;"",_xlfn.XLOOKUP(AK32,ETANCHEITE!AY$22:AY$92,ETANCHEITE!AX$22:AX$92,""),    INDEX(ETANCHEITE!AX:AX,MAX(_xlfn._xlws.FILTER(ROW(ETANCHEITE!AX$22:INDIRECT("'PEINTURE'!P" &amp; AN32-1)),ETANCHEITE!AX$22:INDIRECT("'PEINTURE'!P" &amp; AN32-1)&lt;&gt;"")))),"")</f>
        <v/>
      </c>
      <c r="AT32" s="145">
        <v>30</v>
      </c>
      <c r="AU32" s="154" t="str">
        <f>IF(AY32&lt;&gt;" ",ETANCHEITE!$D$5,"")</f>
        <v/>
      </c>
      <c r="AV32" s="154" t="str">
        <f>IF(AY32&lt;&gt;" ",ETANCHEITE!$D$8,"")</f>
        <v/>
      </c>
      <c r="AW32" s="146" t="str">
        <f>IFERROR(MATCH(AT32,ETANCHEITE!BH$22:BH$167,0)+18,"")</f>
        <v/>
      </c>
      <c r="AX32" s="147" t="str" cm="1">
        <f t="array" aca="1" ref="AX32" ca="1">IFERROR(IF(_xlfn.XLOOKUP(AT32,ETANCHEITE!BH$22:BH$167,ETANCHEITE!$A$22:$A$167,"")&lt;&gt;"",_xlfn.XLOOKUP(AT32,ETANCHEITE!BH$22:BH$167,ETANCHEITE!$A$22:$A$167,""),    INDEX(ETANCHEITE!$A:$A,MAX(_xlfn._xlws.FILTER(ROW(ETANCHEITE!$A$22:INDIRECT("'MENUISERIES EXTERIEURES'!$A" &amp; AW32-1)),ETANCHEITE!$A$22:INDIRECT("'MENUISERIES EXTERIEURES'!$A" &amp; AW32-1)&lt;&gt;"")))),"")&amp;"   "&amp;IFERROR(_xlfn.XLOOKUP(AT32,ETANCHEITE!BH$22:BH$167,ETANCHEITE!$B$22:$B$167),"")&amp;IFERROR(_xlfn.XLOOKUP(AT32,ETANCHEITE!BH$22:BH$167,ETANCHEITE!$C$22:$C$167),"")&amp;IFERROR(_xlfn.XLOOKUP(AT32,ETANCHEITE!BH$22:BH$167,ETANCHEITE!$D$22:$D$167),"")&amp;IFERROR(_xlfn.XLOOKUP(AT32,ETANCHEITE!BH$22:BH$167,ETANCHEITE!#REF!),"")&amp;IFERROR(_xlfn.XLOOKUP(AT32,ETANCHEITE!BH$22:BH$167,ETANCHEITE!#REF!),"")</f>
        <v xml:space="preserve">   </v>
      </c>
      <c r="AY32" s="155" t="str">
        <f>IFERROR(VLOOKUP(AT32,ETANCHEITE!BH$22:BJ$167,2,FALSE),"")&amp;" "&amp;IFERROR(VLOOKUP(AT32,ETANCHEITE!BH$22:BJ$167,3,FALSE),"")</f>
        <v xml:space="preserve"> </v>
      </c>
      <c r="AZ32" s="148" t="str">
        <f>IF(AY32&lt;&gt;" ",'Feuille de Donnée'!$C$3,"")</f>
        <v/>
      </c>
      <c r="BA32" s="162" t="str" cm="1">
        <f t="array" aca="1" ref="BA32" ca="1">IFERROR(IF(_xlfn.XLOOKUP(AT32,ETANCHEITE!BH$22:BH$92,ETANCHEITE!BF$22:BF$92,"")&lt;&gt;"",_xlfn.XLOOKUP(AT32,ETANCHEITE!BH$22:BH$92,ETANCHEITE!BF$22:BF$92,""),    INDEX(ETANCHEITE!BF:BF,MAX(_xlfn._xlws.FILTER(ROW(ETANCHEITE!BF$22:INDIRECT("'PEINTURE'!O" &amp; AW32-1)),ETANCHEITE!BF$22:INDIRECT("'PEINTURE'!O" &amp; AW32-1)&lt;&gt;"")))),"")</f>
        <v/>
      </c>
      <c r="BB32" s="163" t="str" cm="1">
        <f t="array" aca="1" ref="BB32" ca="1">IFERROR(IF(_xlfn.XLOOKUP(AT32,ETANCHEITE!BH$22:BH$92,ETANCHEITE!BG$22:BG$92,"")&lt;&gt;"",_xlfn.XLOOKUP(AT32,ETANCHEITE!BH$22:BH$92,ETANCHEITE!BG$22:BG$92,""),    INDEX(ETANCHEITE!BG:BG,MAX(_xlfn._xlws.FILTER(ROW(ETANCHEITE!BG$22:INDIRECT("'PEINTURE'!P" &amp; AW32-1)),ETANCHEITE!BG$22:INDIRECT("'PEINTURE'!P" &amp; AW32-1)&lt;&gt;"")))),"")</f>
        <v/>
      </c>
    </row>
    <row r="33" spans="1:54" ht="15" customHeight="1" x14ac:dyDescent="0.3">
      <c r="A33" s="145">
        <v>31</v>
      </c>
      <c r="B33" s="154" t="str">
        <f>IF(F33&lt;&gt;" ",ETANCHEITE!$D$5,"")</f>
        <v/>
      </c>
      <c r="C33" s="154" t="str">
        <f>IF(F33&lt;&gt;" ",ETANCHEITE!$D$8,"")</f>
        <v/>
      </c>
      <c r="D33" s="146" t="str">
        <f>IFERROR(MATCH(A33,ETANCHEITE!O$22:O$167,0)+18,"")</f>
        <v/>
      </c>
      <c r="E33" s="147" t="str" cm="1">
        <f t="array" aca="1" ref="E33" ca="1">IFERROR(IF(_xlfn.XLOOKUP(A33,ETANCHEITE!O$22:O$167,ETANCHEITE!$A$22:$A$167,"")&lt;&gt;"",_xlfn.XLOOKUP(A33,ETANCHEITE!O$22:O$167,ETANCHEITE!$A$22:$A$167,""),    INDEX(ETANCHEITE!$A:$A,MAX(_xlfn._xlws.FILTER(ROW(ETANCHEITE!$A$22:INDIRECT("'MENUISERIES EXTERIEURES'!$A" &amp; D33-1)),ETANCHEITE!$A$22:INDIRECT("'MENUISERIES EXTERIEURES'!$A" &amp; D33-1)&lt;&gt;"")))),"")&amp;"   "&amp;IFERROR(_xlfn.XLOOKUP(A33,ETANCHEITE!O$22:O$167,ETANCHEITE!$B$22:$B$167),"")&amp;IFERROR(_xlfn.XLOOKUP(A33,ETANCHEITE!O$22:O$167,ETANCHEITE!$C$22:$C$167),"")&amp;IFERROR(_xlfn.XLOOKUP(A33,ETANCHEITE!O$22:O$167,ETANCHEITE!$D$22:$D$167),"")&amp;IFERROR(_xlfn.XLOOKUP(A33,ETANCHEITE!O$22:O$167,ETANCHEITE!#REF!),"")&amp;IFERROR(_xlfn.XLOOKUP(A33,ETANCHEITE!O$22:O$167,ETANCHEITE!#REF!),"")</f>
        <v xml:space="preserve">   </v>
      </c>
      <c r="F33" s="155" t="str">
        <f>IFERROR(VLOOKUP(A33,ETANCHEITE!O$22:Q$167,2,FALSE),"")&amp;" "&amp;IFERROR(VLOOKUP(A33,ETANCHEITE!O$22:Q$167,3,FALSE),"")</f>
        <v xml:space="preserve"> </v>
      </c>
      <c r="G33" s="148" t="str">
        <f>IF(F33&lt;&gt;" ",'Feuille de Donnée'!$C$3,"")</f>
        <v/>
      </c>
      <c r="H33" s="162" t="str" cm="1">
        <f t="array" aca="1" ref="H33" ca="1">IFERROR(IF(_xlfn.XLOOKUP(A33,ETANCHEITE!O$22:O$92,ETANCHEITE!M$22:M$92,"")&lt;&gt;"",_xlfn.XLOOKUP(A33,ETANCHEITE!O$22:O$92,ETANCHEITE!M$22:M$92,""),    INDEX(ETANCHEITE!M:M,MAX(_xlfn._xlws.FILTER(ROW(ETANCHEITE!M$22:INDIRECT("'PEINTURE'!O" &amp; D33-1)),ETANCHEITE!M$22:INDIRECT("'PEINTURE'!O" &amp; D33-1)&lt;&gt;"")))),"")</f>
        <v/>
      </c>
      <c r="I33" s="163" t="str" cm="1">
        <f t="array" aca="1" ref="I33" ca="1">IFERROR(IF(_xlfn.XLOOKUP(A33,ETANCHEITE!O$22:O$92,ETANCHEITE!N$22:N$92,"")&lt;&gt;"",_xlfn.XLOOKUP(A33,ETANCHEITE!O$22:O$92,ETANCHEITE!N$22:N$92,""),    INDEX(ETANCHEITE!N:N,MAX(_xlfn._xlws.FILTER(ROW(ETANCHEITE!N$22:INDIRECT("'PEINTURE'!P" &amp; D33-1)),ETANCHEITE!N$22:INDIRECT("'PEINTURE'!P" &amp; D33-1)&lt;&gt;"")))),"")</f>
        <v/>
      </c>
      <c r="J33" s="145">
        <v>31</v>
      </c>
      <c r="K33" s="154" t="str">
        <f>IF(O33&lt;&gt;" ",ETANCHEITE!$D$5,"")</f>
        <v/>
      </c>
      <c r="L33" s="154" t="str">
        <f>IF(O33&lt;&gt;" ",ETANCHEITE!$D$8,"")</f>
        <v/>
      </c>
      <c r="M33" s="146" t="str">
        <f>IFERROR(MATCH(J33,ETANCHEITE!X$22:X$167,0)+18,"")</f>
        <v/>
      </c>
      <c r="N33" s="147" t="str" cm="1">
        <f t="array" aca="1" ref="N33" ca="1">IFERROR(IF(_xlfn.XLOOKUP(J33,ETANCHEITE!X$22:X$167,ETANCHEITE!$A$22:$A$167,"")&lt;&gt;"",_xlfn.XLOOKUP(J33,ETANCHEITE!X$22:X$167,ETANCHEITE!$A$22:$A$167,""),    INDEX(ETANCHEITE!$A:$A,MAX(_xlfn._xlws.FILTER(ROW(ETANCHEITE!$A$22:INDIRECT("'MENUISERIES EXTERIEURES'!$A" &amp; M33-1)),ETANCHEITE!$A$22:INDIRECT("'MENUISERIES EXTERIEURES'!$A" &amp; M33-1)&lt;&gt;"")))),"")&amp;"   "&amp;IFERROR(_xlfn.XLOOKUP(J33,ETANCHEITE!X$22:X$167,ETANCHEITE!$B$22:$B$167),"")&amp;IFERROR(_xlfn.XLOOKUP(J33,ETANCHEITE!X$22:X$167,ETANCHEITE!$C$22:$C$167),"")&amp;IFERROR(_xlfn.XLOOKUP(J33,ETANCHEITE!X$22:X$167,ETANCHEITE!$D$22:$D$167),"")&amp;IFERROR(_xlfn.XLOOKUP(J33,ETANCHEITE!X$22:X$167,ETANCHEITE!#REF!),"")&amp;IFERROR(_xlfn.XLOOKUP(J33,ETANCHEITE!X$22:X$167,ETANCHEITE!#REF!),"")</f>
        <v xml:space="preserve">   </v>
      </c>
      <c r="O33" s="155" t="str">
        <f>IFERROR(VLOOKUP(J33,ETANCHEITE!X$22:Z$167,2,FALSE),"")&amp;" "&amp;IFERROR(VLOOKUP(J33,ETANCHEITE!X$22:Z$167,3,FALSE),"")</f>
        <v xml:space="preserve"> </v>
      </c>
      <c r="P33" s="148" t="str">
        <f>IF(O33&lt;&gt;" ",'Feuille de Donnée'!$C$3,"")</f>
        <v/>
      </c>
      <c r="Q33" s="162" t="str" cm="1">
        <f t="array" aca="1" ref="Q33" ca="1">IFERROR(IF(_xlfn.XLOOKUP(J33,ETANCHEITE!X$22:X$92,ETANCHEITE!V$22:V$92,"")&lt;&gt;"",_xlfn.XLOOKUP(J33,ETANCHEITE!X$22:X$92,ETANCHEITE!V$22:V$92,""),    INDEX(ETANCHEITE!V:V,MAX(_xlfn._xlws.FILTER(ROW(ETANCHEITE!V$22:INDIRECT("'PEINTURE'!O" &amp; M33-1)),ETANCHEITE!V$22:INDIRECT("'PEINTURE'!O" &amp; M33-1)&lt;&gt;"")))),"")</f>
        <v/>
      </c>
      <c r="R33" s="163" t="str" cm="1">
        <f t="array" aca="1" ref="R33" ca="1">IFERROR(IF(_xlfn.XLOOKUP(J33,ETANCHEITE!X$22:X$92,ETANCHEITE!W$22:W$92,"")&lt;&gt;"",_xlfn.XLOOKUP(J33,ETANCHEITE!X$22:X$92,ETANCHEITE!W$22:W$92,""),    INDEX(ETANCHEITE!W:W,MAX(_xlfn._xlws.FILTER(ROW(ETANCHEITE!W$22:INDIRECT("'PEINTURE'!P" &amp; M33-1)),ETANCHEITE!W$22:INDIRECT("'PEINTURE'!P" &amp; M33-1)&lt;&gt;"")))),"")</f>
        <v/>
      </c>
      <c r="S33" s="145">
        <v>31</v>
      </c>
      <c r="T33" s="154" t="str">
        <f>IF(X33&lt;&gt;" ",ETANCHEITE!$D$5,"")</f>
        <v/>
      </c>
      <c r="U33" s="154" t="str">
        <f>IF(X33&lt;&gt;" ",ETANCHEITE!$D$8,"")</f>
        <v/>
      </c>
      <c r="V33" s="146" t="str">
        <f>IFERROR(MATCH(S33,ETANCHEITE!AG$22:AG$167,0)+18,"")</f>
        <v/>
      </c>
      <c r="W33" s="147" t="str" cm="1">
        <f t="array" aca="1" ref="W33" ca="1">IFERROR(IF(_xlfn.XLOOKUP(S33,ETANCHEITE!AG$22:AG$167,ETANCHEITE!$A$22:$A$167,"")&lt;&gt;"",_xlfn.XLOOKUP(S33,ETANCHEITE!AG$22:AG$167,ETANCHEITE!$A$22:$A$167,""),    INDEX(ETANCHEITE!$A:$A,MAX(_xlfn._xlws.FILTER(ROW(ETANCHEITE!$A$22:INDIRECT("'MENUISERIES EXTERIEURES'!$A" &amp; V33-1)),ETANCHEITE!$A$22:INDIRECT("'MENUISERIES EXTERIEURES'!$A" &amp; V33-1)&lt;&gt;"")))),"")&amp;"   "&amp;IFERROR(_xlfn.XLOOKUP(S33,ETANCHEITE!AG$22:AG$167,ETANCHEITE!$B$22:$B$167),"")&amp;IFERROR(_xlfn.XLOOKUP(S33,ETANCHEITE!AG$22:AG$167,ETANCHEITE!$C$22:$C$167),"")&amp;IFERROR(_xlfn.XLOOKUP(S33,ETANCHEITE!AG$22:AG$167,ETANCHEITE!$D$22:$D$167),"")&amp;IFERROR(_xlfn.XLOOKUP(S33,ETANCHEITE!AG$22:AG$167,ETANCHEITE!#REF!),"")&amp;IFERROR(_xlfn.XLOOKUP(S33,ETANCHEITE!AG$22:AG$167,ETANCHEITE!#REF!),"")</f>
        <v xml:space="preserve">   </v>
      </c>
      <c r="X33" s="155" t="str">
        <f>IFERROR(VLOOKUP(S33,ETANCHEITE!AG$22:AI$167,2,FALSE),"")&amp;" "&amp;IFERROR(VLOOKUP(S33,ETANCHEITE!AG$22:AI$167,3,FALSE),"")</f>
        <v xml:space="preserve"> </v>
      </c>
      <c r="Y33" s="148" t="str">
        <f>IF(X33&lt;&gt;" ",'Feuille de Donnée'!$C$3,"")</f>
        <v/>
      </c>
      <c r="Z33" s="162" t="str" cm="1">
        <f t="array" aca="1" ref="Z33" ca="1">IFERROR(IF(_xlfn.XLOOKUP(S33,ETANCHEITE!AG$22:AG$92,ETANCHEITE!AE$22:AE$92,"")&lt;&gt;"",_xlfn.XLOOKUP(S33,ETANCHEITE!AG$22:AG$92,ETANCHEITE!AE$22:AE$92,""),    INDEX(ETANCHEITE!AE:AE,MAX(_xlfn._xlws.FILTER(ROW(ETANCHEITE!AE$22:INDIRECT("'PEINTURE'!O" &amp; V33-1)),ETANCHEITE!AE$22:INDIRECT("'PEINTURE'!O" &amp; V33-1)&lt;&gt;"")))),"")</f>
        <v/>
      </c>
      <c r="AA33" s="163" t="str" cm="1">
        <f t="array" aca="1" ref="AA33" ca="1">IFERROR(IF(_xlfn.XLOOKUP(S33,ETANCHEITE!AG$22:AG$92,ETANCHEITE!AF$22:AF$92,"")&lt;&gt;"",_xlfn.XLOOKUP(S33,ETANCHEITE!AG$22:AG$92,ETANCHEITE!AF$22:AF$92,""),    INDEX(ETANCHEITE!AF:AF,MAX(_xlfn._xlws.FILTER(ROW(ETANCHEITE!AF$22:INDIRECT("'PEINTURE'!P" &amp; V33-1)),ETANCHEITE!AF$22:INDIRECT("'PEINTURE'!P" &amp; V33-1)&lt;&gt;"")))),"")</f>
        <v/>
      </c>
      <c r="AB33" s="145">
        <v>31</v>
      </c>
      <c r="AC33" s="154" t="str">
        <f>IF(AG33&lt;&gt;" ",ETANCHEITE!$D$5,"")</f>
        <v/>
      </c>
      <c r="AD33" s="154" t="str">
        <f>IF(AG33&lt;&gt;" ",ETANCHEITE!$D$8,"")</f>
        <v/>
      </c>
      <c r="AE33" s="146" t="str">
        <f>IFERROR(MATCH(AB33,ETANCHEITE!AP$22:AP$167,0)+18,"")</f>
        <v/>
      </c>
      <c r="AF33" s="147" t="str" cm="1">
        <f t="array" aca="1" ref="AF33" ca="1">IFERROR(IF(_xlfn.XLOOKUP(AB33,ETANCHEITE!AP$22:AP$167,ETANCHEITE!$A$22:$A$167,"")&lt;&gt;"",_xlfn.XLOOKUP(AB33,ETANCHEITE!AP$22:AP$167,ETANCHEITE!$A$22:$A$167,""),    INDEX(ETANCHEITE!$A:$A,MAX(_xlfn._xlws.FILTER(ROW(ETANCHEITE!$A$22:INDIRECT("'MENUISERIES EXTERIEURES'!$A" &amp; AE33-1)),ETANCHEITE!$A$22:INDIRECT("'MENUISERIES EXTERIEURES'!$A" &amp; AE33-1)&lt;&gt;"")))),"")&amp;"   "&amp;IFERROR(_xlfn.XLOOKUP(AB33,ETANCHEITE!AP$22:AP$167,ETANCHEITE!$B$22:$B$167),"")&amp;IFERROR(_xlfn.XLOOKUP(AB33,ETANCHEITE!AP$22:AP$167,ETANCHEITE!$C$22:$C$167),"")&amp;IFERROR(_xlfn.XLOOKUP(AB33,ETANCHEITE!AP$22:AP$167,ETANCHEITE!$D$22:$D$167),"")&amp;IFERROR(_xlfn.XLOOKUP(AB33,ETANCHEITE!AP$22:AP$167,ETANCHEITE!#REF!),"")&amp;IFERROR(_xlfn.XLOOKUP(AB33,ETANCHEITE!AP$22:AP$167,ETANCHEITE!#REF!),"")</f>
        <v xml:space="preserve">   </v>
      </c>
      <c r="AG33" s="155" t="str">
        <f>IFERROR(VLOOKUP(AB33,ETANCHEITE!AP$22:AR$167,2,FALSE),"")&amp;" "&amp;IFERROR(VLOOKUP(AB33,ETANCHEITE!AP$22:AR$167,3,FALSE),"")</f>
        <v xml:space="preserve"> </v>
      </c>
      <c r="AH33" s="148" t="str">
        <f>IF(AG33&lt;&gt;" ",'Feuille de Donnée'!$C$3,"")</f>
        <v/>
      </c>
      <c r="AI33" s="162" t="str" cm="1">
        <f t="array" aca="1" ref="AI33" ca="1">IFERROR(IF(_xlfn.XLOOKUP(AB33,ETANCHEITE!AP$22:AP$92,ETANCHEITE!AN$22:AN$92,"")&lt;&gt;"",_xlfn.XLOOKUP(AB33,ETANCHEITE!AP$22:AP$92,ETANCHEITE!AN$22:AN$92,""),    INDEX(ETANCHEITE!AN:AN,MAX(_xlfn._xlws.FILTER(ROW(ETANCHEITE!AN$22:INDIRECT("'PEINTURE'!O" &amp; AE33-1)),ETANCHEITE!AN$22:INDIRECT("'PEINTURE'!O" &amp; AE33-1)&lt;&gt;"")))),"")</f>
        <v/>
      </c>
      <c r="AJ33" s="163" t="str" cm="1">
        <f t="array" aca="1" ref="AJ33" ca="1">IFERROR(IF(_xlfn.XLOOKUP(AB33,ETANCHEITE!AP$22:AP$92,ETANCHEITE!AO$22:AO$92,"")&lt;&gt;"",_xlfn.XLOOKUP(AB33,ETANCHEITE!AP$22:AP$92,ETANCHEITE!AO$22:AO$92,""),    INDEX(ETANCHEITE!AO:AO,MAX(_xlfn._xlws.FILTER(ROW(ETANCHEITE!AO$22:INDIRECT("'PEINTURE'!P" &amp; AE33-1)),ETANCHEITE!AO$22:INDIRECT("'PEINTURE'!P" &amp; AE33-1)&lt;&gt;"")))),"")</f>
        <v/>
      </c>
      <c r="AK33" s="145">
        <v>31</v>
      </c>
      <c r="AL33" s="154" t="str">
        <f>IF(AP33&lt;&gt;" ",ETANCHEITE!$D$5,"")</f>
        <v/>
      </c>
      <c r="AM33" s="154" t="str">
        <f>IF(AP33&lt;&gt;" ",ETANCHEITE!$D$8,"")</f>
        <v/>
      </c>
      <c r="AN33" s="146" t="str">
        <f>IFERROR(MATCH(AK33,ETANCHEITE!AY$22:AY$167,0)+18,"")</f>
        <v/>
      </c>
      <c r="AO33" s="147" t="str" cm="1">
        <f t="array" aca="1" ref="AO33" ca="1">IFERROR(IF(_xlfn.XLOOKUP(AK33,ETANCHEITE!AY$22:AY$167,ETANCHEITE!$A$22:$A$167,"")&lt;&gt;"",_xlfn.XLOOKUP(AK33,ETANCHEITE!AY$22:AY$167,ETANCHEITE!$A$22:$A$167,""),    INDEX(ETANCHEITE!$A:$A,MAX(_xlfn._xlws.FILTER(ROW(ETANCHEITE!$A$22:INDIRECT("'MENUISERIES EXTERIEURES'!$A" &amp; AN33-1)),ETANCHEITE!$A$22:INDIRECT("'MENUISERIES EXTERIEURES'!$A" &amp; AN33-1)&lt;&gt;"")))),"")&amp;"   "&amp;IFERROR(_xlfn.XLOOKUP(AK33,ETANCHEITE!AY$22:AY$167,ETANCHEITE!$B$22:$B$167),"")&amp;IFERROR(_xlfn.XLOOKUP(AK33,ETANCHEITE!AY$22:AY$167,ETANCHEITE!$C$22:$C$167),"")&amp;IFERROR(_xlfn.XLOOKUP(AK33,ETANCHEITE!AY$22:AY$167,ETANCHEITE!$D$22:$D$167),"")&amp;IFERROR(_xlfn.XLOOKUP(AK33,ETANCHEITE!AY$22:AY$167,ETANCHEITE!#REF!),"")&amp;IFERROR(_xlfn.XLOOKUP(AK33,ETANCHEITE!AY$22:AY$167,ETANCHEITE!#REF!),"")</f>
        <v xml:space="preserve">   </v>
      </c>
      <c r="AP33" s="155" t="str">
        <f>IFERROR(VLOOKUP(AK33,ETANCHEITE!AY$22:BA$167,2,FALSE),"")&amp;" "&amp;IFERROR(VLOOKUP(AK33,ETANCHEITE!AY$22:BA$167,3,FALSE),"")</f>
        <v xml:space="preserve"> </v>
      </c>
      <c r="AQ33" s="148" t="str">
        <f>IF(AP33&lt;&gt;" ",'Feuille de Donnée'!$C$3,"")</f>
        <v/>
      </c>
      <c r="AR33" s="162" t="str" cm="1">
        <f t="array" aca="1" ref="AR33" ca="1">IFERROR(IF(_xlfn.XLOOKUP(AK33,ETANCHEITE!AY$22:AY$92,ETANCHEITE!AW$22:AW$92,"")&lt;&gt;"",_xlfn.XLOOKUP(AK33,ETANCHEITE!AY$22:AY$92,ETANCHEITE!AW$22:AW$92,""),    INDEX(ETANCHEITE!AW:AW,MAX(_xlfn._xlws.FILTER(ROW(ETANCHEITE!AW$22:INDIRECT("'PEINTURE'!O" &amp; AN33-1)),ETANCHEITE!AW$22:INDIRECT("'PEINTURE'!O" &amp; AN33-1)&lt;&gt;"")))),"")</f>
        <v/>
      </c>
      <c r="AS33" s="163" t="str" cm="1">
        <f t="array" aca="1" ref="AS33" ca="1">IFERROR(IF(_xlfn.XLOOKUP(AK33,ETANCHEITE!AY$22:AY$92,ETANCHEITE!AX$22:AX$92,"")&lt;&gt;"",_xlfn.XLOOKUP(AK33,ETANCHEITE!AY$22:AY$92,ETANCHEITE!AX$22:AX$92,""),    INDEX(ETANCHEITE!AX:AX,MAX(_xlfn._xlws.FILTER(ROW(ETANCHEITE!AX$22:INDIRECT("'PEINTURE'!P" &amp; AN33-1)),ETANCHEITE!AX$22:INDIRECT("'PEINTURE'!P" &amp; AN33-1)&lt;&gt;"")))),"")</f>
        <v/>
      </c>
      <c r="AT33" s="145">
        <v>31</v>
      </c>
      <c r="AU33" s="154" t="str">
        <f>IF(AY33&lt;&gt;" ",ETANCHEITE!$D$5,"")</f>
        <v/>
      </c>
      <c r="AV33" s="154" t="str">
        <f>IF(AY33&lt;&gt;" ",ETANCHEITE!$D$8,"")</f>
        <v/>
      </c>
      <c r="AW33" s="146" t="str">
        <f>IFERROR(MATCH(AT33,ETANCHEITE!BH$22:BH$167,0)+18,"")</f>
        <v/>
      </c>
      <c r="AX33" s="147" t="str" cm="1">
        <f t="array" aca="1" ref="AX33" ca="1">IFERROR(IF(_xlfn.XLOOKUP(AT33,ETANCHEITE!BH$22:BH$167,ETANCHEITE!$A$22:$A$167,"")&lt;&gt;"",_xlfn.XLOOKUP(AT33,ETANCHEITE!BH$22:BH$167,ETANCHEITE!$A$22:$A$167,""),    INDEX(ETANCHEITE!$A:$A,MAX(_xlfn._xlws.FILTER(ROW(ETANCHEITE!$A$22:INDIRECT("'MENUISERIES EXTERIEURES'!$A" &amp; AW33-1)),ETANCHEITE!$A$22:INDIRECT("'MENUISERIES EXTERIEURES'!$A" &amp; AW33-1)&lt;&gt;"")))),"")&amp;"   "&amp;IFERROR(_xlfn.XLOOKUP(AT33,ETANCHEITE!BH$22:BH$167,ETANCHEITE!$B$22:$B$167),"")&amp;IFERROR(_xlfn.XLOOKUP(AT33,ETANCHEITE!BH$22:BH$167,ETANCHEITE!$C$22:$C$167),"")&amp;IFERROR(_xlfn.XLOOKUP(AT33,ETANCHEITE!BH$22:BH$167,ETANCHEITE!$D$22:$D$167),"")&amp;IFERROR(_xlfn.XLOOKUP(AT33,ETANCHEITE!BH$22:BH$167,ETANCHEITE!#REF!),"")&amp;IFERROR(_xlfn.XLOOKUP(AT33,ETANCHEITE!BH$22:BH$167,ETANCHEITE!#REF!),"")</f>
        <v xml:space="preserve">   </v>
      </c>
      <c r="AY33" s="155" t="str">
        <f>IFERROR(VLOOKUP(AT33,ETANCHEITE!BH$22:BJ$167,2,FALSE),"")&amp;" "&amp;IFERROR(VLOOKUP(AT33,ETANCHEITE!BH$22:BJ$167,3,FALSE),"")</f>
        <v xml:space="preserve"> </v>
      </c>
      <c r="AZ33" s="148" t="str">
        <f>IF(AY33&lt;&gt;" ",'Feuille de Donnée'!$C$3,"")</f>
        <v/>
      </c>
      <c r="BA33" s="162" t="str" cm="1">
        <f t="array" aca="1" ref="BA33" ca="1">IFERROR(IF(_xlfn.XLOOKUP(AT33,ETANCHEITE!BH$22:BH$92,ETANCHEITE!BF$22:BF$92,"")&lt;&gt;"",_xlfn.XLOOKUP(AT33,ETANCHEITE!BH$22:BH$92,ETANCHEITE!BF$22:BF$92,""),    INDEX(ETANCHEITE!BF:BF,MAX(_xlfn._xlws.FILTER(ROW(ETANCHEITE!BF$22:INDIRECT("'PEINTURE'!O" &amp; AW33-1)),ETANCHEITE!BF$22:INDIRECT("'PEINTURE'!O" &amp; AW33-1)&lt;&gt;"")))),"")</f>
        <v/>
      </c>
      <c r="BB33" s="163" t="str" cm="1">
        <f t="array" aca="1" ref="BB33" ca="1">IFERROR(IF(_xlfn.XLOOKUP(AT33,ETANCHEITE!BH$22:BH$92,ETANCHEITE!BG$22:BG$92,"")&lt;&gt;"",_xlfn.XLOOKUP(AT33,ETANCHEITE!BH$22:BH$92,ETANCHEITE!BG$22:BG$92,""),    INDEX(ETANCHEITE!BG:BG,MAX(_xlfn._xlws.FILTER(ROW(ETANCHEITE!BG$22:INDIRECT("'PEINTURE'!P" &amp; AW33-1)),ETANCHEITE!BG$22:INDIRECT("'PEINTURE'!P" &amp; AW33-1)&lt;&gt;"")))),"")</f>
        <v/>
      </c>
    </row>
    <row r="34" spans="1:54" ht="15" customHeight="1" x14ac:dyDescent="0.3">
      <c r="A34" s="145">
        <v>32</v>
      </c>
      <c r="B34" s="154" t="str">
        <f>IF(F34&lt;&gt;" ",ETANCHEITE!$D$5,"")</f>
        <v/>
      </c>
      <c r="C34" s="154" t="str">
        <f>IF(F34&lt;&gt;" ",ETANCHEITE!$D$8,"")</f>
        <v/>
      </c>
      <c r="D34" s="146" t="str">
        <f>IFERROR(MATCH(A34,ETANCHEITE!O$22:O$167,0)+18,"")</f>
        <v/>
      </c>
      <c r="E34" s="147" t="str" cm="1">
        <f t="array" aca="1" ref="E34" ca="1">IFERROR(IF(_xlfn.XLOOKUP(A34,ETANCHEITE!O$22:O$167,ETANCHEITE!$A$22:$A$167,"")&lt;&gt;"",_xlfn.XLOOKUP(A34,ETANCHEITE!O$22:O$167,ETANCHEITE!$A$22:$A$167,""),    INDEX(ETANCHEITE!$A:$A,MAX(_xlfn._xlws.FILTER(ROW(ETANCHEITE!$A$22:INDIRECT("'MENUISERIES EXTERIEURES'!$A" &amp; D34-1)),ETANCHEITE!$A$22:INDIRECT("'MENUISERIES EXTERIEURES'!$A" &amp; D34-1)&lt;&gt;"")))),"")&amp;"   "&amp;IFERROR(_xlfn.XLOOKUP(A34,ETANCHEITE!O$22:O$167,ETANCHEITE!$B$22:$B$167),"")&amp;IFERROR(_xlfn.XLOOKUP(A34,ETANCHEITE!O$22:O$167,ETANCHEITE!$C$22:$C$167),"")&amp;IFERROR(_xlfn.XLOOKUP(A34,ETANCHEITE!O$22:O$167,ETANCHEITE!$D$22:$D$167),"")&amp;IFERROR(_xlfn.XLOOKUP(A34,ETANCHEITE!O$22:O$167,ETANCHEITE!#REF!),"")&amp;IFERROR(_xlfn.XLOOKUP(A34,ETANCHEITE!O$22:O$167,ETANCHEITE!#REF!),"")</f>
        <v xml:space="preserve">   </v>
      </c>
      <c r="F34" s="155" t="str">
        <f>IFERROR(VLOOKUP(A34,ETANCHEITE!O$22:Q$167,2,FALSE),"")&amp;" "&amp;IFERROR(VLOOKUP(A34,ETANCHEITE!O$22:Q$167,3,FALSE),"")</f>
        <v xml:space="preserve"> </v>
      </c>
      <c r="G34" s="148" t="str">
        <f>IF(F34&lt;&gt;" ",'Feuille de Donnée'!$C$3,"")</f>
        <v/>
      </c>
      <c r="H34" s="162" t="str" cm="1">
        <f t="array" aca="1" ref="H34" ca="1">IFERROR(IF(_xlfn.XLOOKUP(A34,ETANCHEITE!O$22:O$92,ETANCHEITE!M$22:M$92,"")&lt;&gt;"",_xlfn.XLOOKUP(A34,ETANCHEITE!O$22:O$92,ETANCHEITE!M$22:M$92,""),    INDEX(ETANCHEITE!M:M,MAX(_xlfn._xlws.FILTER(ROW(ETANCHEITE!M$22:INDIRECT("'PEINTURE'!O" &amp; D34-1)),ETANCHEITE!M$22:INDIRECT("'PEINTURE'!O" &amp; D34-1)&lt;&gt;"")))),"")</f>
        <v/>
      </c>
      <c r="I34" s="163" t="str" cm="1">
        <f t="array" aca="1" ref="I34" ca="1">IFERROR(IF(_xlfn.XLOOKUP(A34,ETANCHEITE!O$22:O$92,ETANCHEITE!N$22:N$92,"")&lt;&gt;"",_xlfn.XLOOKUP(A34,ETANCHEITE!O$22:O$92,ETANCHEITE!N$22:N$92,""),    INDEX(ETANCHEITE!N:N,MAX(_xlfn._xlws.FILTER(ROW(ETANCHEITE!N$22:INDIRECT("'PEINTURE'!P" &amp; D34-1)),ETANCHEITE!N$22:INDIRECT("'PEINTURE'!P" &amp; D34-1)&lt;&gt;"")))),"")</f>
        <v/>
      </c>
      <c r="J34" s="145">
        <v>32</v>
      </c>
      <c r="K34" s="154" t="str">
        <f>IF(O34&lt;&gt;" ",ETANCHEITE!$D$5,"")</f>
        <v/>
      </c>
      <c r="L34" s="154" t="str">
        <f>IF(O34&lt;&gt;" ",ETANCHEITE!$D$8,"")</f>
        <v/>
      </c>
      <c r="M34" s="146" t="str">
        <f>IFERROR(MATCH(J34,ETANCHEITE!X$22:X$167,0)+18,"")</f>
        <v/>
      </c>
      <c r="N34" s="147" t="str" cm="1">
        <f t="array" aca="1" ref="N34" ca="1">IFERROR(IF(_xlfn.XLOOKUP(J34,ETANCHEITE!X$22:X$167,ETANCHEITE!$A$22:$A$167,"")&lt;&gt;"",_xlfn.XLOOKUP(J34,ETANCHEITE!X$22:X$167,ETANCHEITE!$A$22:$A$167,""),    INDEX(ETANCHEITE!$A:$A,MAX(_xlfn._xlws.FILTER(ROW(ETANCHEITE!$A$22:INDIRECT("'MENUISERIES EXTERIEURES'!$A" &amp; M34-1)),ETANCHEITE!$A$22:INDIRECT("'MENUISERIES EXTERIEURES'!$A" &amp; M34-1)&lt;&gt;"")))),"")&amp;"   "&amp;IFERROR(_xlfn.XLOOKUP(J34,ETANCHEITE!X$22:X$167,ETANCHEITE!$B$22:$B$167),"")&amp;IFERROR(_xlfn.XLOOKUP(J34,ETANCHEITE!X$22:X$167,ETANCHEITE!$C$22:$C$167),"")&amp;IFERROR(_xlfn.XLOOKUP(J34,ETANCHEITE!X$22:X$167,ETANCHEITE!$D$22:$D$167),"")&amp;IFERROR(_xlfn.XLOOKUP(J34,ETANCHEITE!X$22:X$167,ETANCHEITE!#REF!),"")&amp;IFERROR(_xlfn.XLOOKUP(J34,ETANCHEITE!X$22:X$167,ETANCHEITE!#REF!),"")</f>
        <v xml:space="preserve">   </v>
      </c>
      <c r="O34" s="155" t="str">
        <f>IFERROR(VLOOKUP(J34,ETANCHEITE!X$22:Z$167,2,FALSE),"")&amp;" "&amp;IFERROR(VLOOKUP(J34,ETANCHEITE!X$22:Z$167,3,FALSE),"")</f>
        <v xml:space="preserve"> </v>
      </c>
      <c r="P34" s="148" t="str">
        <f>IF(O34&lt;&gt;" ",'Feuille de Donnée'!$C$3,"")</f>
        <v/>
      </c>
      <c r="Q34" s="162" t="str" cm="1">
        <f t="array" aca="1" ref="Q34" ca="1">IFERROR(IF(_xlfn.XLOOKUP(J34,ETANCHEITE!X$22:X$92,ETANCHEITE!V$22:V$92,"")&lt;&gt;"",_xlfn.XLOOKUP(J34,ETANCHEITE!X$22:X$92,ETANCHEITE!V$22:V$92,""),    INDEX(ETANCHEITE!V:V,MAX(_xlfn._xlws.FILTER(ROW(ETANCHEITE!V$22:INDIRECT("'PEINTURE'!O" &amp; M34-1)),ETANCHEITE!V$22:INDIRECT("'PEINTURE'!O" &amp; M34-1)&lt;&gt;"")))),"")</f>
        <v/>
      </c>
      <c r="R34" s="163" t="str" cm="1">
        <f t="array" aca="1" ref="R34" ca="1">IFERROR(IF(_xlfn.XLOOKUP(J34,ETANCHEITE!X$22:X$92,ETANCHEITE!W$22:W$92,"")&lt;&gt;"",_xlfn.XLOOKUP(J34,ETANCHEITE!X$22:X$92,ETANCHEITE!W$22:W$92,""),    INDEX(ETANCHEITE!W:W,MAX(_xlfn._xlws.FILTER(ROW(ETANCHEITE!W$22:INDIRECT("'PEINTURE'!P" &amp; M34-1)),ETANCHEITE!W$22:INDIRECT("'PEINTURE'!P" &amp; M34-1)&lt;&gt;"")))),"")</f>
        <v/>
      </c>
      <c r="S34" s="145">
        <v>32</v>
      </c>
      <c r="T34" s="154" t="str">
        <f>IF(X34&lt;&gt;" ",ETANCHEITE!$D$5,"")</f>
        <v/>
      </c>
      <c r="U34" s="154" t="str">
        <f>IF(X34&lt;&gt;" ",ETANCHEITE!$D$8,"")</f>
        <v/>
      </c>
      <c r="V34" s="146" t="str">
        <f>IFERROR(MATCH(S34,ETANCHEITE!AG$22:AG$167,0)+18,"")</f>
        <v/>
      </c>
      <c r="W34" s="147" t="str" cm="1">
        <f t="array" aca="1" ref="W34" ca="1">IFERROR(IF(_xlfn.XLOOKUP(S34,ETANCHEITE!AG$22:AG$167,ETANCHEITE!$A$22:$A$167,"")&lt;&gt;"",_xlfn.XLOOKUP(S34,ETANCHEITE!AG$22:AG$167,ETANCHEITE!$A$22:$A$167,""),    INDEX(ETANCHEITE!$A:$A,MAX(_xlfn._xlws.FILTER(ROW(ETANCHEITE!$A$22:INDIRECT("'MENUISERIES EXTERIEURES'!$A" &amp; V34-1)),ETANCHEITE!$A$22:INDIRECT("'MENUISERIES EXTERIEURES'!$A" &amp; V34-1)&lt;&gt;"")))),"")&amp;"   "&amp;IFERROR(_xlfn.XLOOKUP(S34,ETANCHEITE!AG$22:AG$167,ETANCHEITE!$B$22:$B$167),"")&amp;IFERROR(_xlfn.XLOOKUP(S34,ETANCHEITE!AG$22:AG$167,ETANCHEITE!$C$22:$C$167),"")&amp;IFERROR(_xlfn.XLOOKUP(S34,ETANCHEITE!AG$22:AG$167,ETANCHEITE!$D$22:$D$167),"")&amp;IFERROR(_xlfn.XLOOKUP(S34,ETANCHEITE!AG$22:AG$167,ETANCHEITE!#REF!),"")&amp;IFERROR(_xlfn.XLOOKUP(S34,ETANCHEITE!AG$22:AG$167,ETANCHEITE!#REF!),"")</f>
        <v xml:space="preserve">   </v>
      </c>
      <c r="X34" s="155" t="str">
        <f>IFERROR(VLOOKUP(S34,ETANCHEITE!AG$22:AI$167,2,FALSE),"")&amp;" "&amp;IFERROR(VLOOKUP(S34,ETANCHEITE!AG$22:AI$167,3,FALSE),"")</f>
        <v xml:space="preserve"> </v>
      </c>
      <c r="Y34" s="148" t="str">
        <f>IF(X34&lt;&gt;" ",'Feuille de Donnée'!$C$3,"")</f>
        <v/>
      </c>
      <c r="Z34" s="162" t="str" cm="1">
        <f t="array" aca="1" ref="Z34" ca="1">IFERROR(IF(_xlfn.XLOOKUP(S34,ETANCHEITE!AG$22:AG$92,ETANCHEITE!AE$22:AE$92,"")&lt;&gt;"",_xlfn.XLOOKUP(S34,ETANCHEITE!AG$22:AG$92,ETANCHEITE!AE$22:AE$92,""),    INDEX(ETANCHEITE!AE:AE,MAX(_xlfn._xlws.FILTER(ROW(ETANCHEITE!AE$22:INDIRECT("'PEINTURE'!O" &amp; V34-1)),ETANCHEITE!AE$22:INDIRECT("'PEINTURE'!O" &amp; V34-1)&lt;&gt;"")))),"")</f>
        <v/>
      </c>
      <c r="AA34" s="163" t="str" cm="1">
        <f t="array" aca="1" ref="AA34" ca="1">IFERROR(IF(_xlfn.XLOOKUP(S34,ETANCHEITE!AG$22:AG$92,ETANCHEITE!AF$22:AF$92,"")&lt;&gt;"",_xlfn.XLOOKUP(S34,ETANCHEITE!AG$22:AG$92,ETANCHEITE!AF$22:AF$92,""),    INDEX(ETANCHEITE!AF:AF,MAX(_xlfn._xlws.FILTER(ROW(ETANCHEITE!AF$22:INDIRECT("'PEINTURE'!P" &amp; V34-1)),ETANCHEITE!AF$22:INDIRECT("'PEINTURE'!P" &amp; V34-1)&lt;&gt;"")))),"")</f>
        <v/>
      </c>
      <c r="AB34" s="145">
        <v>32</v>
      </c>
      <c r="AC34" s="154" t="str">
        <f>IF(AG34&lt;&gt;" ",ETANCHEITE!$D$5,"")</f>
        <v/>
      </c>
      <c r="AD34" s="154" t="str">
        <f>IF(AG34&lt;&gt;" ",ETANCHEITE!$D$8,"")</f>
        <v/>
      </c>
      <c r="AE34" s="146" t="str">
        <f>IFERROR(MATCH(AB34,ETANCHEITE!AP$22:AP$167,0)+18,"")</f>
        <v/>
      </c>
      <c r="AF34" s="147" t="str" cm="1">
        <f t="array" aca="1" ref="AF34" ca="1">IFERROR(IF(_xlfn.XLOOKUP(AB34,ETANCHEITE!AP$22:AP$167,ETANCHEITE!$A$22:$A$167,"")&lt;&gt;"",_xlfn.XLOOKUP(AB34,ETANCHEITE!AP$22:AP$167,ETANCHEITE!$A$22:$A$167,""),    INDEX(ETANCHEITE!$A:$A,MAX(_xlfn._xlws.FILTER(ROW(ETANCHEITE!$A$22:INDIRECT("'MENUISERIES EXTERIEURES'!$A" &amp; AE34-1)),ETANCHEITE!$A$22:INDIRECT("'MENUISERIES EXTERIEURES'!$A" &amp; AE34-1)&lt;&gt;"")))),"")&amp;"   "&amp;IFERROR(_xlfn.XLOOKUP(AB34,ETANCHEITE!AP$22:AP$167,ETANCHEITE!$B$22:$B$167),"")&amp;IFERROR(_xlfn.XLOOKUP(AB34,ETANCHEITE!AP$22:AP$167,ETANCHEITE!$C$22:$C$167),"")&amp;IFERROR(_xlfn.XLOOKUP(AB34,ETANCHEITE!AP$22:AP$167,ETANCHEITE!$D$22:$D$167),"")&amp;IFERROR(_xlfn.XLOOKUP(AB34,ETANCHEITE!AP$22:AP$167,ETANCHEITE!#REF!),"")&amp;IFERROR(_xlfn.XLOOKUP(AB34,ETANCHEITE!AP$22:AP$167,ETANCHEITE!#REF!),"")</f>
        <v xml:space="preserve">   </v>
      </c>
      <c r="AG34" s="155" t="str">
        <f>IFERROR(VLOOKUP(AB34,ETANCHEITE!AP$22:AR$167,2,FALSE),"")&amp;" "&amp;IFERROR(VLOOKUP(AB34,ETANCHEITE!AP$22:AR$167,3,FALSE),"")</f>
        <v xml:space="preserve"> </v>
      </c>
      <c r="AH34" s="148" t="str">
        <f>IF(AG34&lt;&gt;" ",'Feuille de Donnée'!$C$3,"")</f>
        <v/>
      </c>
      <c r="AI34" s="162" t="str" cm="1">
        <f t="array" aca="1" ref="AI34" ca="1">IFERROR(IF(_xlfn.XLOOKUP(AB34,ETANCHEITE!AP$22:AP$92,ETANCHEITE!AN$22:AN$92,"")&lt;&gt;"",_xlfn.XLOOKUP(AB34,ETANCHEITE!AP$22:AP$92,ETANCHEITE!AN$22:AN$92,""),    INDEX(ETANCHEITE!AN:AN,MAX(_xlfn._xlws.FILTER(ROW(ETANCHEITE!AN$22:INDIRECT("'PEINTURE'!O" &amp; AE34-1)),ETANCHEITE!AN$22:INDIRECT("'PEINTURE'!O" &amp; AE34-1)&lt;&gt;"")))),"")</f>
        <v/>
      </c>
      <c r="AJ34" s="163" t="str" cm="1">
        <f t="array" aca="1" ref="AJ34" ca="1">IFERROR(IF(_xlfn.XLOOKUP(AB34,ETANCHEITE!AP$22:AP$92,ETANCHEITE!AO$22:AO$92,"")&lt;&gt;"",_xlfn.XLOOKUP(AB34,ETANCHEITE!AP$22:AP$92,ETANCHEITE!AO$22:AO$92,""),    INDEX(ETANCHEITE!AO:AO,MAX(_xlfn._xlws.FILTER(ROW(ETANCHEITE!AO$22:INDIRECT("'PEINTURE'!P" &amp; AE34-1)),ETANCHEITE!AO$22:INDIRECT("'PEINTURE'!P" &amp; AE34-1)&lt;&gt;"")))),"")</f>
        <v/>
      </c>
      <c r="AK34" s="145">
        <v>32</v>
      </c>
      <c r="AL34" s="154" t="str">
        <f>IF(AP34&lt;&gt;" ",ETANCHEITE!$D$5,"")</f>
        <v/>
      </c>
      <c r="AM34" s="154" t="str">
        <f>IF(AP34&lt;&gt;" ",ETANCHEITE!$D$8,"")</f>
        <v/>
      </c>
      <c r="AN34" s="146" t="str">
        <f>IFERROR(MATCH(AK34,ETANCHEITE!AY$22:AY$167,0)+18,"")</f>
        <v/>
      </c>
      <c r="AO34" s="147" t="str" cm="1">
        <f t="array" aca="1" ref="AO34" ca="1">IFERROR(IF(_xlfn.XLOOKUP(AK34,ETANCHEITE!AY$22:AY$167,ETANCHEITE!$A$22:$A$167,"")&lt;&gt;"",_xlfn.XLOOKUP(AK34,ETANCHEITE!AY$22:AY$167,ETANCHEITE!$A$22:$A$167,""),    INDEX(ETANCHEITE!$A:$A,MAX(_xlfn._xlws.FILTER(ROW(ETANCHEITE!$A$22:INDIRECT("'MENUISERIES EXTERIEURES'!$A" &amp; AN34-1)),ETANCHEITE!$A$22:INDIRECT("'MENUISERIES EXTERIEURES'!$A" &amp; AN34-1)&lt;&gt;"")))),"")&amp;"   "&amp;IFERROR(_xlfn.XLOOKUP(AK34,ETANCHEITE!AY$22:AY$167,ETANCHEITE!$B$22:$B$167),"")&amp;IFERROR(_xlfn.XLOOKUP(AK34,ETANCHEITE!AY$22:AY$167,ETANCHEITE!$C$22:$C$167),"")&amp;IFERROR(_xlfn.XLOOKUP(AK34,ETANCHEITE!AY$22:AY$167,ETANCHEITE!$D$22:$D$167),"")&amp;IFERROR(_xlfn.XLOOKUP(AK34,ETANCHEITE!AY$22:AY$167,ETANCHEITE!#REF!),"")&amp;IFERROR(_xlfn.XLOOKUP(AK34,ETANCHEITE!AY$22:AY$167,ETANCHEITE!#REF!),"")</f>
        <v xml:space="preserve">   </v>
      </c>
      <c r="AP34" s="155" t="str">
        <f>IFERROR(VLOOKUP(AK34,ETANCHEITE!AY$22:BA$167,2,FALSE),"")&amp;" "&amp;IFERROR(VLOOKUP(AK34,ETANCHEITE!AY$22:BA$167,3,FALSE),"")</f>
        <v xml:space="preserve"> </v>
      </c>
      <c r="AQ34" s="148" t="str">
        <f>IF(AP34&lt;&gt;" ",'Feuille de Donnée'!$C$3,"")</f>
        <v/>
      </c>
      <c r="AR34" s="162" t="str" cm="1">
        <f t="array" aca="1" ref="AR34" ca="1">IFERROR(IF(_xlfn.XLOOKUP(AK34,ETANCHEITE!AY$22:AY$92,ETANCHEITE!AW$22:AW$92,"")&lt;&gt;"",_xlfn.XLOOKUP(AK34,ETANCHEITE!AY$22:AY$92,ETANCHEITE!AW$22:AW$92,""),    INDEX(ETANCHEITE!AW:AW,MAX(_xlfn._xlws.FILTER(ROW(ETANCHEITE!AW$22:INDIRECT("'PEINTURE'!O" &amp; AN34-1)),ETANCHEITE!AW$22:INDIRECT("'PEINTURE'!O" &amp; AN34-1)&lt;&gt;"")))),"")</f>
        <v/>
      </c>
      <c r="AS34" s="163" t="str" cm="1">
        <f t="array" aca="1" ref="AS34" ca="1">IFERROR(IF(_xlfn.XLOOKUP(AK34,ETANCHEITE!AY$22:AY$92,ETANCHEITE!AX$22:AX$92,"")&lt;&gt;"",_xlfn.XLOOKUP(AK34,ETANCHEITE!AY$22:AY$92,ETANCHEITE!AX$22:AX$92,""),    INDEX(ETANCHEITE!AX:AX,MAX(_xlfn._xlws.FILTER(ROW(ETANCHEITE!AX$22:INDIRECT("'PEINTURE'!P" &amp; AN34-1)),ETANCHEITE!AX$22:INDIRECT("'PEINTURE'!P" &amp; AN34-1)&lt;&gt;"")))),"")</f>
        <v/>
      </c>
      <c r="AT34" s="145">
        <v>32</v>
      </c>
      <c r="AU34" s="154" t="str">
        <f>IF(AY34&lt;&gt;" ",ETANCHEITE!$D$5,"")</f>
        <v/>
      </c>
      <c r="AV34" s="154" t="str">
        <f>IF(AY34&lt;&gt;" ",ETANCHEITE!$D$8,"")</f>
        <v/>
      </c>
      <c r="AW34" s="146" t="str">
        <f>IFERROR(MATCH(AT34,ETANCHEITE!BH$22:BH$167,0)+18,"")</f>
        <v/>
      </c>
      <c r="AX34" s="147" t="str" cm="1">
        <f t="array" aca="1" ref="AX34" ca="1">IFERROR(IF(_xlfn.XLOOKUP(AT34,ETANCHEITE!BH$22:BH$167,ETANCHEITE!$A$22:$A$167,"")&lt;&gt;"",_xlfn.XLOOKUP(AT34,ETANCHEITE!BH$22:BH$167,ETANCHEITE!$A$22:$A$167,""),    INDEX(ETANCHEITE!$A:$A,MAX(_xlfn._xlws.FILTER(ROW(ETANCHEITE!$A$22:INDIRECT("'MENUISERIES EXTERIEURES'!$A" &amp; AW34-1)),ETANCHEITE!$A$22:INDIRECT("'MENUISERIES EXTERIEURES'!$A" &amp; AW34-1)&lt;&gt;"")))),"")&amp;"   "&amp;IFERROR(_xlfn.XLOOKUP(AT34,ETANCHEITE!BH$22:BH$167,ETANCHEITE!$B$22:$B$167),"")&amp;IFERROR(_xlfn.XLOOKUP(AT34,ETANCHEITE!BH$22:BH$167,ETANCHEITE!$C$22:$C$167),"")&amp;IFERROR(_xlfn.XLOOKUP(AT34,ETANCHEITE!BH$22:BH$167,ETANCHEITE!$D$22:$D$167),"")&amp;IFERROR(_xlfn.XLOOKUP(AT34,ETANCHEITE!BH$22:BH$167,ETANCHEITE!#REF!),"")&amp;IFERROR(_xlfn.XLOOKUP(AT34,ETANCHEITE!BH$22:BH$167,ETANCHEITE!#REF!),"")</f>
        <v xml:space="preserve">   </v>
      </c>
      <c r="AY34" s="155" t="str">
        <f>IFERROR(VLOOKUP(AT34,ETANCHEITE!BH$22:BJ$167,2,FALSE),"")&amp;" "&amp;IFERROR(VLOOKUP(AT34,ETANCHEITE!BH$22:BJ$167,3,FALSE),"")</f>
        <v xml:space="preserve"> </v>
      </c>
      <c r="AZ34" s="148" t="str">
        <f>IF(AY34&lt;&gt;" ",'Feuille de Donnée'!$C$3,"")</f>
        <v/>
      </c>
      <c r="BA34" s="162" t="str" cm="1">
        <f t="array" aca="1" ref="BA34" ca="1">IFERROR(IF(_xlfn.XLOOKUP(AT34,ETANCHEITE!BH$22:BH$92,ETANCHEITE!BF$22:BF$92,"")&lt;&gt;"",_xlfn.XLOOKUP(AT34,ETANCHEITE!BH$22:BH$92,ETANCHEITE!BF$22:BF$92,""),    INDEX(ETANCHEITE!BF:BF,MAX(_xlfn._xlws.FILTER(ROW(ETANCHEITE!BF$22:INDIRECT("'PEINTURE'!O" &amp; AW34-1)),ETANCHEITE!BF$22:INDIRECT("'PEINTURE'!O" &amp; AW34-1)&lt;&gt;"")))),"")</f>
        <v/>
      </c>
      <c r="BB34" s="163" t="str" cm="1">
        <f t="array" aca="1" ref="BB34" ca="1">IFERROR(IF(_xlfn.XLOOKUP(AT34,ETANCHEITE!BH$22:BH$92,ETANCHEITE!BG$22:BG$92,"")&lt;&gt;"",_xlfn.XLOOKUP(AT34,ETANCHEITE!BH$22:BH$92,ETANCHEITE!BG$22:BG$92,""),    INDEX(ETANCHEITE!BG:BG,MAX(_xlfn._xlws.FILTER(ROW(ETANCHEITE!BG$22:INDIRECT("'PEINTURE'!P" &amp; AW34-1)),ETANCHEITE!BG$22:INDIRECT("'PEINTURE'!P" &amp; AW34-1)&lt;&gt;"")))),"")</f>
        <v/>
      </c>
    </row>
    <row r="35" spans="1:54" ht="15" customHeight="1" x14ac:dyDescent="0.3">
      <c r="A35" s="145">
        <v>33</v>
      </c>
      <c r="B35" s="154" t="str">
        <f>IF(F35&lt;&gt;" ",ETANCHEITE!$D$5,"")</f>
        <v/>
      </c>
      <c r="C35" s="154" t="str">
        <f>IF(F35&lt;&gt;" ",ETANCHEITE!$D$8,"")</f>
        <v/>
      </c>
      <c r="D35" s="146" t="str">
        <f>IFERROR(MATCH(A35,ETANCHEITE!O$22:O$167,0)+18,"")</f>
        <v/>
      </c>
      <c r="E35" s="147" t="str" cm="1">
        <f t="array" aca="1" ref="E35" ca="1">IFERROR(IF(_xlfn.XLOOKUP(A35,ETANCHEITE!O$22:O$167,ETANCHEITE!$A$22:$A$167,"")&lt;&gt;"",_xlfn.XLOOKUP(A35,ETANCHEITE!O$22:O$167,ETANCHEITE!$A$22:$A$167,""),    INDEX(ETANCHEITE!$A:$A,MAX(_xlfn._xlws.FILTER(ROW(ETANCHEITE!$A$22:INDIRECT("'MENUISERIES EXTERIEURES'!$A" &amp; D35-1)),ETANCHEITE!$A$22:INDIRECT("'MENUISERIES EXTERIEURES'!$A" &amp; D35-1)&lt;&gt;"")))),"")&amp;"   "&amp;IFERROR(_xlfn.XLOOKUP(A35,ETANCHEITE!O$22:O$167,ETANCHEITE!$B$22:$B$167),"")&amp;IFERROR(_xlfn.XLOOKUP(A35,ETANCHEITE!O$22:O$167,ETANCHEITE!$C$22:$C$167),"")&amp;IFERROR(_xlfn.XLOOKUP(A35,ETANCHEITE!O$22:O$167,ETANCHEITE!$D$22:$D$167),"")&amp;IFERROR(_xlfn.XLOOKUP(A35,ETANCHEITE!O$22:O$167,ETANCHEITE!#REF!),"")&amp;IFERROR(_xlfn.XLOOKUP(A35,ETANCHEITE!O$22:O$167,ETANCHEITE!#REF!),"")</f>
        <v xml:space="preserve">   </v>
      </c>
      <c r="F35" s="155" t="str">
        <f>IFERROR(VLOOKUP(A35,ETANCHEITE!O$22:Q$167,2,FALSE),"")&amp;" "&amp;IFERROR(VLOOKUP(A35,ETANCHEITE!O$22:Q$167,3,FALSE),"")</f>
        <v xml:space="preserve"> </v>
      </c>
      <c r="G35" s="148" t="str">
        <f>IF(F35&lt;&gt;" ",'Feuille de Donnée'!$C$3,"")</f>
        <v/>
      </c>
      <c r="H35" s="162" t="str" cm="1">
        <f t="array" aca="1" ref="H35" ca="1">IFERROR(IF(_xlfn.XLOOKUP(A35,ETANCHEITE!O$22:O$92,ETANCHEITE!M$22:M$92,"")&lt;&gt;"",_xlfn.XLOOKUP(A35,ETANCHEITE!O$22:O$92,ETANCHEITE!M$22:M$92,""),    INDEX(ETANCHEITE!M:M,MAX(_xlfn._xlws.FILTER(ROW(ETANCHEITE!M$22:INDIRECT("'PEINTURE'!O" &amp; D35-1)),ETANCHEITE!M$22:INDIRECT("'PEINTURE'!O" &amp; D35-1)&lt;&gt;"")))),"")</f>
        <v/>
      </c>
      <c r="I35" s="163" t="str" cm="1">
        <f t="array" aca="1" ref="I35" ca="1">IFERROR(IF(_xlfn.XLOOKUP(A35,ETANCHEITE!O$22:O$92,ETANCHEITE!N$22:N$92,"")&lt;&gt;"",_xlfn.XLOOKUP(A35,ETANCHEITE!O$22:O$92,ETANCHEITE!N$22:N$92,""),    INDEX(ETANCHEITE!N:N,MAX(_xlfn._xlws.FILTER(ROW(ETANCHEITE!N$22:INDIRECT("'PEINTURE'!P" &amp; D35-1)),ETANCHEITE!N$22:INDIRECT("'PEINTURE'!P" &amp; D35-1)&lt;&gt;"")))),"")</f>
        <v/>
      </c>
      <c r="J35" s="145">
        <v>33</v>
      </c>
      <c r="K35" s="154" t="str">
        <f>IF(O35&lt;&gt;" ",ETANCHEITE!$D$5,"")</f>
        <v/>
      </c>
      <c r="L35" s="154" t="str">
        <f>IF(O35&lt;&gt;" ",ETANCHEITE!$D$8,"")</f>
        <v/>
      </c>
      <c r="M35" s="146" t="str">
        <f>IFERROR(MATCH(J35,ETANCHEITE!X$22:X$167,0)+18,"")</f>
        <v/>
      </c>
      <c r="N35" s="147" t="str" cm="1">
        <f t="array" aca="1" ref="N35" ca="1">IFERROR(IF(_xlfn.XLOOKUP(J35,ETANCHEITE!X$22:X$167,ETANCHEITE!$A$22:$A$167,"")&lt;&gt;"",_xlfn.XLOOKUP(J35,ETANCHEITE!X$22:X$167,ETANCHEITE!$A$22:$A$167,""),    INDEX(ETANCHEITE!$A:$A,MAX(_xlfn._xlws.FILTER(ROW(ETANCHEITE!$A$22:INDIRECT("'MENUISERIES EXTERIEURES'!$A" &amp; M35-1)),ETANCHEITE!$A$22:INDIRECT("'MENUISERIES EXTERIEURES'!$A" &amp; M35-1)&lt;&gt;"")))),"")&amp;"   "&amp;IFERROR(_xlfn.XLOOKUP(J35,ETANCHEITE!X$22:X$167,ETANCHEITE!$B$22:$B$167),"")&amp;IFERROR(_xlfn.XLOOKUP(J35,ETANCHEITE!X$22:X$167,ETANCHEITE!$C$22:$C$167),"")&amp;IFERROR(_xlfn.XLOOKUP(J35,ETANCHEITE!X$22:X$167,ETANCHEITE!$D$22:$D$167),"")&amp;IFERROR(_xlfn.XLOOKUP(J35,ETANCHEITE!X$22:X$167,ETANCHEITE!#REF!),"")&amp;IFERROR(_xlfn.XLOOKUP(J35,ETANCHEITE!X$22:X$167,ETANCHEITE!#REF!),"")</f>
        <v xml:space="preserve">   </v>
      </c>
      <c r="O35" s="155" t="str">
        <f>IFERROR(VLOOKUP(J35,ETANCHEITE!X$22:Z$167,2,FALSE),"")&amp;" "&amp;IFERROR(VLOOKUP(J35,ETANCHEITE!X$22:Z$167,3,FALSE),"")</f>
        <v xml:space="preserve"> </v>
      </c>
      <c r="P35" s="148" t="str">
        <f>IF(O35&lt;&gt;" ",'Feuille de Donnée'!$C$3,"")</f>
        <v/>
      </c>
      <c r="Q35" s="162" t="str" cm="1">
        <f t="array" aca="1" ref="Q35" ca="1">IFERROR(IF(_xlfn.XLOOKUP(J35,ETANCHEITE!X$22:X$92,ETANCHEITE!V$22:V$92,"")&lt;&gt;"",_xlfn.XLOOKUP(J35,ETANCHEITE!X$22:X$92,ETANCHEITE!V$22:V$92,""),    INDEX(ETANCHEITE!V:V,MAX(_xlfn._xlws.FILTER(ROW(ETANCHEITE!V$22:INDIRECT("'PEINTURE'!O" &amp; M35-1)),ETANCHEITE!V$22:INDIRECT("'PEINTURE'!O" &amp; M35-1)&lt;&gt;"")))),"")</f>
        <v/>
      </c>
      <c r="R35" s="163" t="str" cm="1">
        <f t="array" aca="1" ref="R35" ca="1">IFERROR(IF(_xlfn.XLOOKUP(J35,ETANCHEITE!X$22:X$92,ETANCHEITE!W$22:W$92,"")&lt;&gt;"",_xlfn.XLOOKUP(J35,ETANCHEITE!X$22:X$92,ETANCHEITE!W$22:W$92,""),    INDEX(ETANCHEITE!W:W,MAX(_xlfn._xlws.FILTER(ROW(ETANCHEITE!W$22:INDIRECT("'PEINTURE'!P" &amp; M35-1)),ETANCHEITE!W$22:INDIRECT("'PEINTURE'!P" &amp; M35-1)&lt;&gt;"")))),"")</f>
        <v/>
      </c>
      <c r="S35" s="145">
        <v>33</v>
      </c>
      <c r="T35" s="154" t="str">
        <f>IF(X35&lt;&gt;" ",ETANCHEITE!$D$5,"")</f>
        <v/>
      </c>
      <c r="U35" s="154" t="str">
        <f>IF(X35&lt;&gt;" ",ETANCHEITE!$D$8,"")</f>
        <v/>
      </c>
      <c r="V35" s="146" t="str">
        <f>IFERROR(MATCH(S35,ETANCHEITE!AG$22:AG$167,0)+18,"")</f>
        <v/>
      </c>
      <c r="W35" s="147" t="str" cm="1">
        <f t="array" aca="1" ref="W35" ca="1">IFERROR(IF(_xlfn.XLOOKUP(S35,ETANCHEITE!AG$22:AG$167,ETANCHEITE!$A$22:$A$167,"")&lt;&gt;"",_xlfn.XLOOKUP(S35,ETANCHEITE!AG$22:AG$167,ETANCHEITE!$A$22:$A$167,""),    INDEX(ETANCHEITE!$A:$A,MAX(_xlfn._xlws.FILTER(ROW(ETANCHEITE!$A$22:INDIRECT("'MENUISERIES EXTERIEURES'!$A" &amp; V35-1)),ETANCHEITE!$A$22:INDIRECT("'MENUISERIES EXTERIEURES'!$A" &amp; V35-1)&lt;&gt;"")))),"")&amp;"   "&amp;IFERROR(_xlfn.XLOOKUP(S35,ETANCHEITE!AG$22:AG$167,ETANCHEITE!$B$22:$B$167),"")&amp;IFERROR(_xlfn.XLOOKUP(S35,ETANCHEITE!AG$22:AG$167,ETANCHEITE!$C$22:$C$167),"")&amp;IFERROR(_xlfn.XLOOKUP(S35,ETANCHEITE!AG$22:AG$167,ETANCHEITE!$D$22:$D$167),"")&amp;IFERROR(_xlfn.XLOOKUP(S35,ETANCHEITE!AG$22:AG$167,ETANCHEITE!#REF!),"")&amp;IFERROR(_xlfn.XLOOKUP(S35,ETANCHEITE!AG$22:AG$167,ETANCHEITE!#REF!),"")</f>
        <v xml:space="preserve">   </v>
      </c>
      <c r="X35" s="155" t="str">
        <f>IFERROR(VLOOKUP(S35,ETANCHEITE!AG$22:AI$167,2,FALSE),"")&amp;" "&amp;IFERROR(VLOOKUP(S35,ETANCHEITE!AG$22:AI$167,3,FALSE),"")</f>
        <v xml:space="preserve"> </v>
      </c>
      <c r="Y35" s="148" t="str">
        <f>IF(X35&lt;&gt;" ",'Feuille de Donnée'!$C$3,"")</f>
        <v/>
      </c>
      <c r="Z35" s="162" t="str" cm="1">
        <f t="array" aca="1" ref="Z35" ca="1">IFERROR(IF(_xlfn.XLOOKUP(S35,ETANCHEITE!AG$22:AG$92,ETANCHEITE!AE$22:AE$92,"")&lt;&gt;"",_xlfn.XLOOKUP(S35,ETANCHEITE!AG$22:AG$92,ETANCHEITE!AE$22:AE$92,""),    INDEX(ETANCHEITE!AE:AE,MAX(_xlfn._xlws.FILTER(ROW(ETANCHEITE!AE$22:INDIRECT("'PEINTURE'!O" &amp; V35-1)),ETANCHEITE!AE$22:INDIRECT("'PEINTURE'!O" &amp; V35-1)&lt;&gt;"")))),"")</f>
        <v/>
      </c>
      <c r="AA35" s="163" t="str" cm="1">
        <f t="array" aca="1" ref="AA35" ca="1">IFERROR(IF(_xlfn.XLOOKUP(S35,ETANCHEITE!AG$22:AG$92,ETANCHEITE!AF$22:AF$92,"")&lt;&gt;"",_xlfn.XLOOKUP(S35,ETANCHEITE!AG$22:AG$92,ETANCHEITE!AF$22:AF$92,""),    INDEX(ETANCHEITE!AF:AF,MAX(_xlfn._xlws.FILTER(ROW(ETANCHEITE!AF$22:INDIRECT("'PEINTURE'!P" &amp; V35-1)),ETANCHEITE!AF$22:INDIRECT("'PEINTURE'!P" &amp; V35-1)&lt;&gt;"")))),"")</f>
        <v/>
      </c>
      <c r="AB35" s="145">
        <v>33</v>
      </c>
      <c r="AC35" s="154" t="str">
        <f>IF(AG35&lt;&gt;" ",ETANCHEITE!$D$5,"")</f>
        <v/>
      </c>
      <c r="AD35" s="154" t="str">
        <f>IF(AG35&lt;&gt;" ",ETANCHEITE!$D$8,"")</f>
        <v/>
      </c>
      <c r="AE35" s="146" t="str">
        <f>IFERROR(MATCH(AB35,ETANCHEITE!AP$22:AP$167,0)+18,"")</f>
        <v/>
      </c>
      <c r="AF35" s="147" t="str" cm="1">
        <f t="array" aca="1" ref="AF35" ca="1">IFERROR(IF(_xlfn.XLOOKUP(AB35,ETANCHEITE!AP$22:AP$167,ETANCHEITE!$A$22:$A$167,"")&lt;&gt;"",_xlfn.XLOOKUP(AB35,ETANCHEITE!AP$22:AP$167,ETANCHEITE!$A$22:$A$167,""),    INDEX(ETANCHEITE!$A:$A,MAX(_xlfn._xlws.FILTER(ROW(ETANCHEITE!$A$22:INDIRECT("'MENUISERIES EXTERIEURES'!$A" &amp; AE35-1)),ETANCHEITE!$A$22:INDIRECT("'MENUISERIES EXTERIEURES'!$A" &amp; AE35-1)&lt;&gt;"")))),"")&amp;"   "&amp;IFERROR(_xlfn.XLOOKUP(AB35,ETANCHEITE!AP$22:AP$167,ETANCHEITE!$B$22:$B$167),"")&amp;IFERROR(_xlfn.XLOOKUP(AB35,ETANCHEITE!AP$22:AP$167,ETANCHEITE!$C$22:$C$167),"")&amp;IFERROR(_xlfn.XLOOKUP(AB35,ETANCHEITE!AP$22:AP$167,ETANCHEITE!$D$22:$D$167),"")&amp;IFERROR(_xlfn.XLOOKUP(AB35,ETANCHEITE!AP$22:AP$167,ETANCHEITE!#REF!),"")&amp;IFERROR(_xlfn.XLOOKUP(AB35,ETANCHEITE!AP$22:AP$167,ETANCHEITE!#REF!),"")</f>
        <v xml:space="preserve">   </v>
      </c>
      <c r="AG35" s="155" t="str">
        <f>IFERROR(VLOOKUP(AB35,ETANCHEITE!AP$22:AR$167,2,FALSE),"")&amp;" "&amp;IFERROR(VLOOKUP(AB35,ETANCHEITE!AP$22:AR$167,3,FALSE),"")</f>
        <v xml:space="preserve"> </v>
      </c>
      <c r="AH35" s="148" t="str">
        <f>IF(AG35&lt;&gt;" ",'Feuille de Donnée'!$C$3,"")</f>
        <v/>
      </c>
      <c r="AI35" s="162" t="str" cm="1">
        <f t="array" aca="1" ref="AI35" ca="1">IFERROR(IF(_xlfn.XLOOKUP(AB35,ETANCHEITE!AP$22:AP$92,ETANCHEITE!AN$22:AN$92,"")&lt;&gt;"",_xlfn.XLOOKUP(AB35,ETANCHEITE!AP$22:AP$92,ETANCHEITE!AN$22:AN$92,""),    INDEX(ETANCHEITE!AN:AN,MAX(_xlfn._xlws.FILTER(ROW(ETANCHEITE!AN$22:INDIRECT("'PEINTURE'!O" &amp; AE35-1)),ETANCHEITE!AN$22:INDIRECT("'PEINTURE'!O" &amp; AE35-1)&lt;&gt;"")))),"")</f>
        <v/>
      </c>
      <c r="AJ35" s="163" t="str" cm="1">
        <f t="array" aca="1" ref="AJ35" ca="1">IFERROR(IF(_xlfn.XLOOKUP(AB35,ETANCHEITE!AP$22:AP$92,ETANCHEITE!AO$22:AO$92,"")&lt;&gt;"",_xlfn.XLOOKUP(AB35,ETANCHEITE!AP$22:AP$92,ETANCHEITE!AO$22:AO$92,""),    INDEX(ETANCHEITE!AO:AO,MAX(_xlfn._xlws.FILTER(ROW(ETANCHEITE!AO$22:INDIRECT("'PEINTURE'!P" &amp; AE35-1)),ETANCHEITE!AO$22:INDIRECT("'PEINTURE'!P" &amp; AE35-1)&lt;&gt;"")))),"")</f>
        <v/>
      </c>
      <c r="AK35" s="145">
        <v>33</v>
      </c>
      <c r="AL35" s="154" t="str">
        <f>IF(AP35&lt;&gt;" ",ETANCHEITE!$D$5,"")</f>
        <v/>
      </c>
      <c r="AM35" s="154" t="str">
        <f>IF(AP35&lt;&gt;" ",ETANCHEITE!$D$8,"")</f>
        <v/>
      </c>
      <c r="AN35" s="146" t="str">
        <f>IFERROR(MATCH(AK35,ETANCHEITE!AY$22:AY$167,0)+18,"")</f>
        <v/>
      </c>
      <c r="AO35" s="147" t="str" cm="1">
        <f t="array" aca="1" ref="AO35" ca="1">IFERROR(IF(_xlfn.XLOOKUP(AK35,ETANCHEITE!AY$22:AY$167,ETANCHEITE!$A$22:$A$167,"")&lt;&gt;"",_xlfn.XLOOKUP(AK35,ETANCHEITE!AY$22:AY$167,ETANCHEITE!$A$22:$A$167,""),    INDEX(ETANCHEITE!$A:$A,MAX(_xlfn._xlws.FILTER(ROW(ETANCHEITE!$A$22:INDIRECT("'MENUISERIES EXTERIEURES'!$A" &amp; AN35-1)),ETANCHEITE!$A$22:INDIRECT("'MENUISERIES EXTERIEURES'!$A" &amp; AN35-1)&lt;&gt;"")))),"")&amp;"   "&amp;IFERROR(_xlfn.XLOOKUP(AK35,ETANCHEITE!AY$22:AY$167,ETANCHEITE!$B$22:$B$167),"")&amp;IFERROR(_xlfn.XLOOKUP(AK35,ETANCHEITE!AY$22:AY$167,ETANCHEITE!$C$22:$C$167),"")&amp;IFERROR(_xlfn.XLOOKUP(AK35,ETANCHEITE!AY$22:AY$167,ETANCHEITE!$D$22:$D$167),"")&amp;IFERROR(_xlfn.XLOOKUP(AK35,ETANCHEITE!AY$22:AY$167,ETANCHEITE!#REF!),"")&amp;IFERROR(_xlfn.XLOOKUP(AK35,ETANCHEITE!AY$22:AY$167,ETANCHEITE!#REF!),"")</f>
        <v xml:space="preserve">   </v>
      </c>
      <c r="AP35" s="155" t="str">
        <f>IFERROR(VLOOKUP(AK35,ETANCHEITE!AY$22:BA$167,2,FALSE),"")&amp;" "&amp;IFERROR(VLOOKUP(AK35,ETANCHEITE!AY$22:BA$167,3,FALSE),"")</f>
        <v xml:space="preserve"> </v>
      </c>
      <c r="AQ35" s="148" t="str">
        <f>IF(AP35&lt;&gt;" ",'Feuille de Donnée'!$C$3,"")</f>
        <v/>
      </c>
      <c r="AR35" s="162" t="str" cm="1">
        <f t="array" aca="1" ref="AR35" ca="1">IFERROR(IF(_xlfn.XLOOKUP(AK35,ETANCHEITE!AY$22:AY$92,ETANCHEITE!AW$22:AW$92,"")&lt;&gt;"",_xlfn.XLOOKUP(AK35,ETANCHEITE!AY$22:AY$92,ETANCHEITE!AW$22:AW$92,""),    INDEX(ETANCHEITE!AW:AW,MAX(_xlfn._xlws.FILTER(ROW(ETANCHEITE!AW$22:INDIRECT("'PEINTURE'!O" &amp; AN35-1)),ETANCHEITE!AW$22:INDIRECT("'PEINTURE'!O" &amp; AN35-1)&lt;&gt;"")))),"")</f>
        <v/>
      </c>
      <c r="AS35" s="163" t="str" cm="1">
        <f t="array" aca="1" ref="AS35" ca="1">IFERROR(IF(_xlfn.XLOOKUP(AK35,ETANCHEITE!AY$22:AY$92,ETANCHEITE!AX$22:AX$92,"")&lt;&gt;"",_xlfn.XLOOKUP(AK35,ETANCHEITE!AY$22:AY$92,ETANCHEITE!AX$22:AX$92,""),    INDEX(ETANCHEITE!AX:AX,MAX(_xlfn._xlws.FILTER(ROW(ETANCHEITE!AX$22:INDIRECT("'PEINTURE'!P" &amp; AN35-1)),ETANCHEITE!AX$22:INDIRECT("'PEINTURE'!P" &amp; AN35-1)&lt;&gt;"")))),"")</f>
        <v/>
      </c>
      <c r="AT35" s="145">
        <v>33</v>
      </c>
      <c r="AU35" s="154" t="str">
        <f>IF(AY35&lt;&gt;" ",ETANCHEITE!$D$5,"")</f>
        <v/>
      </c>
      <c r="AV35" s="154" t="str">
        <f>IF(AY35&lt;&gt;" ",ETANCHEITE!$D$8,"")</f>
        <v/>
      </c>
      <c r="AW35" s="146" t="str">
        <f>IFERROR(MATCH(AT35,ETANCHEITE!BH$22:BH$167,0)+18,"")</f>
        <v/>
      </c>
      <c r="AX35" s="147" t="str" cm="1">
        <f t="array" aca="1" ref="AX35" ca="1">IFERROR(IF(_xlfn.XLOOKUP(AT35,ETANCHEITE!BH$22:BH$167,ETANCHEITE!$A$22:$A$167,"")&lt;&gt;"",_xlfn.XLOOKUP(AT35,ETANCHEITE!BH$22:BH$167,ETANCHEITE!$A$22:$A$167,""),    INDEX(ETANCHEITE!$A:$A,MAX(_xlfn._xlws.FILTER(ROW(ETANCHEITE!$A$22:INDIRECT("'MENUISERIES EXTERIEURES'!$A" &amp; AW35-1)),ETANCHEITE!$A$22:INDIRECT("'MENUISERIES EXTERIEURES'!$A" &amp; AW35-1)&lt;&gt;"")))),"")&amp;"   "&amp;IFERROR(_xlfn.XLOOKUP(AT35,ETANCHEITE!BH$22:BH$167,ETANCHEITE!$B$22:$B$167),"")&amp;IFERROR(_xlfn.XLOOKUP(AT35,ETANCHEITE!BH$22:BH$167,ETANCHEITE!$C$22:$C$167),"")&amp;IFERROR(_xlfn.XLOOKUP(AT35,ETANCHEITE!BH$22:BH$167,ETANCHEITE!$D$22:$D$167),"")&amp;IFERROR(_xlfn.XLOOKUP(AT35,ETANCHEITE!BH$22:BH$167,ETANCHEITE!#REF!),"")&amp;IFERROR(_xlfn.XLOOKUP(AT35,ETANCHEITE!BH$22:BH$167,ETANCHEITE!#REF!),"")</f>
        <v xml:space="preserve">   </v>
      </c>
      <c r="AY35" s="155" t="str">
        <f>IFERROR(VLOOKUP(AT35,ETANCHEITE!BH$22:BJ$167,2,FALSE),"")&amp;" "&amp;IFERROR(VLOOKUP(AT35,ETANCHEITE!BH$22:BJ$167,3,FALSE),"")</f>
        <v xml:space="preserve"> </v>
      </c>
      <c r="AZ35" s="148" t="str">
        <f>IF(AY35&lt;&gt;" ",'Feuille de Donnée'!$C$3,"")</f>
        <v/>
      </c>
      <c r="BA35" s="162" t="str" cm="1">
        <f t="array" aca="1" ref="BA35" ca="1">IFERROR(IF(_xlfn.XLOOKUP(AT35,ETANCHEITE!BH$22:BH$92,ETANCHEITE!BF$22:BF$92,"")&lt;&gt;"",_xlfn.XLOOKUP(AT35,ETANCHEITE!BH$22:BH$92,ETANCHEITE!BF$22:BF$92,""),    INDEX(ETANCHEITE!BF:BF,MAX(_xlfn._xlws.FILTER(ROW(ETANCHEITE!BF$22:INDIRECT("'PEINTURE'!O" &amp; AW35-1)),ETANCHEITE!BF$22:INDIRECT("'PEINTURE'!O" &amp; AW35-1)&lt;&gt;"")))),"")</f>
        <v/>
      </c>
      <c r="BB35" s="163" t="str" cm="1">
        <f t="array" aca="1" ref="BB35" ca="1">IFERROR(IF(_xlfn.XLOOKUP(AT35,ETANCHEITE!BH$22:BH$92,ETANCHEITE!BG$22:BG$92,"")&lt;&gt;"",_xlfn.XLOOKUP(AT35,ETANCHEITE!BH$22:BH$92,ETANCHEITE!BG$22:BG$92,""),    INDEX(ETANCHEITE!BG:BG,MAX(_xlfn._xlws.FILTER(ROW(ETANCHEITE!BG$22:INDIRECT("'PEINTURE'!P" &amp; AW35-1)),ETANCHEITE!BG$22:INDIRECT("'PEINTURE'!P" &amp; AW35-1)&lt;&gt;"")))),"")</f>
        <v/>
      </c>
    </row>
    <row r="36" spans="1:54" ht="15" customHeight="1" x14ac:dyDescent="0.3">
      <c r="A36" s="145">
        <v>34</v>
      </c>
      <c r="B36" s="154" t="str">
        <f>IF(F36&lt;&gt;" ",ETANCHEITE!$D$5,"")</f>
        <v/>
      </c>
      <c r="C36" s="154" t="str">
        <f>IF(F36&lt;&gt;" ",ETANCHEITE!$D$8,"")</f>
        <v/>
      </c>
      <c r="D36" s="146" t="str">
        <f>IFERROR(MATCH(A36,ETANCHEITE!O$22:O$167,0)+18,"")</f>
        <v/>
      </c>
      <c r="E36" s="147" t="str" cm="1">
        <f t="array" aca="1" ref="E36" ca="1">IFERROR(IF(_xlfn.XLOOKUP(A36,ETANCHEITE!O$22:O$167,ETANCHEITE!$A$22:$A$167,"")&lt;&gt;"",_xlfn.XLOOKUP(A36,ETANCHEITE!O$22:O$167,ETANCHEITE!$A$22:$A$167,""),    INDEX(ETANCHEITE!$A:$A,MAX(_xlfn._xlws.FILTER(ROW(ETANCHEITE!$A$22:INDIRECT("'MENUISERIES EXTERIEURES'!$A" &amp; D36-1)),ETANCHEITE!$A$22:INDIRECT("'MENUISERIES EXTERIEURES'!$A" &amp; D36-1)&lt;&gt;"")))),"")&amp;"   "&amp;IFERROR(_xlfn.XLOOKUP(A36,ETANCHEITE!O$22:O$167,ETANCHEITE!$B$22:$B$167),"")&amp;IFERROR(_xlfn.XLOOKUP(A36,ETANCHEITE!O$22:O$167,ETANCHEITE!$C$22:$C$167),"")&amp;IFERROR(_xlfn.XLOOKUP(A36,ETANCHEITE!O$22:O$167,ETANCHEITE!$D$22:$D$167),"")&amp;IFERROR(_xlfn.XLOOKUP(A36,ETANCHEITE!O$22:O$167,ETANCHEITE!#REF!),"")&amp;IFERROR(_xlfn.XLOOKUP(A36,ETANCHEITE!O$22:O$167,ETANCHEITE!#REF!),"")</f>
        <v xml:space="preserve">   </v>
      </c>
      <c r="F36" s="155" t="str">
        <f>IFERROR(VLOOKUP(A36,ETANCHEITE!O$22:Q$167,2,FALSE),"")&amp;" "&amp;IFERROR(VLOOKUP(A36,ETANCHEITE!O$22:Q$167,3,FALSE),"")</f>
        <v xml:space="preserve"> </v>
      </c>
      <c r="G36" s="148" t="str">
        <f>IF(F36&lt;&gt;" ",'Feuille de Donnée'!$C$3,"")</f>
        <v/>
      </c>
      <c r="H36" s="162" t="str" cm="1">
        <f t="array" aca="1" ref="H36" ca="1">IFERROR(IF(_xlfn.XLOOKUP(A36,ETANCHEITE!O$22:O$92,ETANCHEITE!M$22:M$92,"")&lt;&gt;"",_xlfn.XLOOKUP(A36,ETANCHEITE!O$22:O$92,ETANCHEITE!M$22:M$92,""),    INDEX(ETANCHEITE!M:M,MAX(_xlfn._xlws.FILTER(ROW(ETANCHEITE!M$22:INDIRECT("'PEINTURE'!O" &amp; D36-1)),ETANCHEITE!M$22:INDIRECT("'PEINTURE'!O" &amp; D36-1)&lt;&gt;"")))),"")</f>
        <v/>
      </c>
      <c r="I36" s="163" t="str" cm="1">
        <f t="array" aca="1" ref="I36" ca="1">IFERROR(IF(_xlfn.XLOOKUP(A36,ETANCHEITE!O$22:O$92,ETANCHEITE!N$22:N$92,"")&lt;&gt;"",_xlfn.XLOOKUP(A36,ETANCHEITE!O$22:O$92,ETANCHEITE!N$22:N$92,""),    INDEX(ETANCHEITE!N:N,MAX(_xlfn._xlws.FILTER(ROW(ETANCHEITE!N$22:INDIRECT("'PEINTURE'!P" &amp; D36-1)),ETANCHEITE!N$22:INDIRECT("'PEINTURE'!P" &amp; D36-1)&lt;&gt;"")))),"")</f>
        <v/>
      </c>
      <c r="J36" s="145">
        <v>34</v>
      </c>
      <c r="K36" s="154" t="str">
        <f>IF(O36&lt;&gt;" ",ETANCHEITE!$D$5,"")</f>
        <v/>
      </c>
      <c r="L36" s="154" t="str">
        <f>IF(O36&lt;&gt;" ",ETANCHEITE!$D$8,"")</f>
        <v/>
      </c>
      <c r="M36" s="146" t="str">
        <f>IFERROR(MATCH(J36,ETANCHEITE!X$22:X$167,0)+18,"")</f>
        <v/>
      </c>
      <c r="N36" s="147" t="str" cm="1">
        <f t="array" aca="1" ref="N36" ca="1">IFERROR(IF(_xlfn.XLOOKUP(J36,ETANCHEITE!X$22:X$167,ETANCHEITE!$A$22:$A$167,"")&lt;&gt;"",_xlfn.XLOOKUP(J36,ETANCHEITE!X$22:X$167,ETANCHEITE!$A$22:$A$167,""),    INDEX(ETANCHEITE!$A:$A,MAX(_xlfn._xlws.FILTER(ROW(ETANCHEITE!$A$22:INDIRECT("'MENUISERIES EXTERIEURES'!$A" &amp; M36-1)),ETANCHEITE!$A$22:INDIRECT("'MENUISERIES EXTERIEURES'!$A" &amp; M36-1)&lt;&gt;"")))),"")&amp;"   "&amp;IFERROR(_xlfn.XLOOKUP(J36,ETANCHEITE!X$22:X$167,ETANCHEITE!$B$22:$B$167),"")&amp;IFERROR(_xlfn.XLOOKUP(J36,ETANCHEITE!X$22:X$167,ETANCHEITE!$C$22:$C$167),"")&amp;IFERROR(_xlfn.XLOOKUP(J36,ETANCHEITE!X$22:X$167,ETANCHEITE!$D$22:$D$167),"")&amp;IFERROR(_xlfn.XLOOKUP(J36,ETANCHEITE!X$22:X$167,ETANCHEITE!#REF!),"")&amp;IFERROR(_xlfn.XLOOKUP(J36,ETANCHEITE!X$22:X$167,ETANCHEITE!#REF!),"")</f>
        <v xml:space="preserve">   </v>
      </c>
      <c r="O36" s="155" t="str">
        <f>IFERROR(VLOOKUP(J36,ETANCHEITE!X$22:Z$167,2,FALSE),"")&amp;" "&amp;IFERROR(VLOOKUP(J36,ETANCHEITE!X$22:Z$167,3,FALSE),"")</f>
        <v xml:space="preserve"> </v>
      </c>
      <c r="P36" s="148" t="str">
        <f>IF(O36&lt;&gt;" ",'Feuille de Donnée'!$C$3,"")</f>
        <v/>
      </c>
      <c r="Q36" s="162" t="str" cm="1">
        <f t="array" aca="1" ref="Q36" ca="1">IFERROR(IF(_xlfn.XLOOKUP(J36,ETANCHEITE!X$22:X$92,ETANCHEITE!V$22:V$92,"")&lt;&gt;"",_xlfn.XLOOKUP(J36,ETANCHEITE!X$22:X$92,ETANCHEITE!V$22:V$92,""),    INDEX(ETANCHEITE!V:V,MAX(_xlfn._xlws.FILTER(ROW(ETANCHEITE!V$22:INDIRECT("'PEINTURE'!O" &amp; M36-1)),ETANCHEITE!V$22:INDIRECT("'PEINTURE'!O" &amp; M36-1)&lt;&gt;"")))),"")</f>
        <v/>
      </c>
      <c r="R36" s="163" t="str" cm="1">
        <f t="array" aca="1" ref="R36" ca="1">IFERROR(IF(_xlfn.XLOOKUP(J36,ETANCHEITE!X$22:X$92,ETANCHEITE!W$22:W$92,"")&lt;&gt;"",_xlfn.XLOOKUP(J36,ETANCHEITE!X$22:X$92,ETANCHEITE!W$22:W$92,""),    INDEX(ETANCHEITE!W:W,MAX(_xlfn._xlws.FILTER(ROW(ETANCHEITE!W$22:INDIRECT("'PEINTURE'!P" &amp; M36-1)),ETANCHEITE!W$22:INDIRECT("'PEINTURE'!P" &amp; M36-1)&lt;&gt;"")))),"")</f>
        <v/>
      </c>
      <c r="S36" s="145">
        <v>34</v>
      </c>
      <c r="T36" s="154" t="str">
        <f>IF(X36&lt;&gt;" ",ETANCHEITE!$D$5,"")</f>
        <v/>
      </c>
      <c r="U36" s="154" t="str">
        <f>IF(X36&lt;&gt;" ",ETANCHEITE!$D$8,"")</f>
        <v/>
      </c>
      <c r="V36" s="146" t="str">
        <f>IFERROR(MATCH(S36,ETANCHEITE!AG$22:AG$167,0)+18,"")</f>
        <v/>
      </c>
      <c r="W36" s="147" t="str" cm="1">
        <f t="array" aca="1" ref="W36" ca="1">IFERROR(IF(_xlfn.XLOOKUP(S36,ETANCHEITE!AG$22:AG$167,ETANCHEITE!$A$22:$A$167,"")&lt;&gt;"",_xlfn.XLOOKUP(S36,ETANCHEITE!AG$22:AG$167,ETANCHEITE!$A$22:$A$167,""),    INDEX(ETANCHEITE!$A:$A,MAX(_xlfn._xlws.FILTER(ROW(ETANCHEITE!$A$22:INDIRECT("'MENUISERIES EXTERIEURES'!$A" &amp; V36-1)),ETANCHEITE!$A$22:INDIRECT("'MENUISERIES EXTERIEURES'!$A" &amp; V36-1)&lt;&gt;"")))),"")&amp;"   "&amp;IFERROR(_xlfn.XLOOKUP(S36,ETANCHEITE!AG$22:AG$167,ETANCHEITE!$B$22:$B$167),"")&amp;IFERROR(_xlfn.XLOOKUP(S36,ETANCHEITE!AG$22:AG$167,ETANCHEITE!$C$22:$C$167),"")&amp;IFERROR(_xlfn.XLOOKUP(S36,ETANCHEITE!AG$22:AG$167,ETANCHEITE!$D$22:$D$167),"")&amp;IFERROR(_xlfn.XLOOKUP(S36,ETANCHEITE!AG$22:AG$167,ETANCHEITE!#REF!),"")&amp;IFERROR(_xlfn.XLOOKUP(S36,ETANCHEITE!AG$22:AG$167,ETANCHEITE!#REF!),"")</f>
        <v xml:space="preserve">   </v>
      </c>
      <c r="X36" s="155" t="str">
        <f>IFERROR(VLOOKUP(S36,ETANCHEITE!AG$22:AI$167,2,FALSE),"")&amp;" "&amp;IFERROR(VLOOKUP(S36,ETANCHEITE!AG$22:AI$167,3,FALSE),"")</f>
        <v xml:space="preserve"> </v>
      </c>
      <c r="Y36" s="148" t="str">
        <f>IF(X36&lt;&gt;" ",'Feuille de Donnée'!$C$3,"")</f>
        <v/>
      </c>
      <c r="Z36" s="162" t="str" cm="1">
        <f t="array" aca="1" ref="Z36" ca="1">IFERROR(IF(_xlfn.XLOOKUP(S36,ETANCHEITE!AG$22:AG$92,ETANCHEITE!AE$22:AE$92,"")&lt;&gt;"",_xlfn.XLOOKUP(S36,ETANCHEITE!AG$22:AG$92,ETANCHEITE!AE$22:AE$92,""),    INDEX(ETANCHEITE!AE:AE,MAX(_xlfn._xlws.FILTER(ROW(ETANCHEITE!AE$22:INDIRECT("'PEINTURE'!O" &amp; V36-1)),ETANCHEITE!AE$22:INDIRECT("'PEINTURE'!O" &amp; V36-1)&lt;&gt;"")))),"")</f>
        <v/>
      </c>
      <c r="AA36" s="163" t="str" cm="1">
        <f t="array" aca="1" ref="AA36" ca="1">IFERROR(IF(_xlfn.XLOOKUP(S36,ETANCHEITE!AG$22:AG$92,ETANCHEITE!AF$22:AF$92,"")&lt;&gt;"",_xlfn.XLOOKUP(S36,ETANCHEITE!AG$22:AG$92,ETANCHEITE!AF$22:AF$92,""),    INDEX(ETANCHEITE!AF:AF,MAX(_xlfn._xlws.FILTER(ROW(ETANCHEITE!AF$22:INDIRECT("'PEINTURE'!P" &amp; V36-1)),ETANCHEITE!AF$22:INDIRECT("'PEINTURE'!P" &amp; V36-1)&lt;&gt;"")))),"")</f>
        <v/>
      </c>
      <c r="AB36" s="145">
        <v>34</v>
      </c>
      <c r="AC36" s="154" t="str">
        <f>IF(AG36&lt;&gt;" ",ETANCHEITE!$D$5,"")</f>
        <v/>
      </c>
      <c r="AD36" s="154" t="str">
        <f>IF(AG36&lt;&gt;" ",ETANCHEITE!$D$8,"")</f>
        <v/>
      </c>
      <c r="AE36" s="146" t="str">
        <f>IFERROR(MATCH(AB36,ETANCHEITE!AP$22:AP$167,0)+18,"")</f>
        <v/>
      </c>
      <c r="AF36" s="147" t="str" cm="1">
        <f t="array" aca="1" ref="AF36" ca="1">IFERROR(IF(_xlfn.XLOOKUP(AB36,ETANCHEITE!AP$22:AP$167,ETANCHEITE!$A$22:$A$167,"")&lt;&gt;"",_xlfn.XLOOKUP(AB36,ETANCHEITE!AP$22:AP$167,ETANCHEITE!$A$22:$A$167,""),    INDEX(ETANCHEITE!$A:$A,MAX(_xlfn._xlws.FILTER(ROW(ETANCHEITE!$A$22:INDIRECT("'MENUISERIES EXTERIEURES'!$A" &amp; AE36-1)),ETANCHEITE!$A$22:INDIRECT("'MENUISERIES EXTERIEURES'!$A" &amp; AE36-1)&lt;&gt;"")))),"")&amp;"   "&amp;IFERROR(_xlfn.XLOOKUP(AB36,ETANCHEITE!AP$22:AP$167,ETANCHEITE!$B$22:$B$167),"")&amp;IFERROR(_xlfn.XLOOKUP(AB36,ETANCHEITE!AP$22:AP$167,ETANCHEITE!$C$22:$C$167),"")&amp;IFERROR(_xlfn.XLOOKUP(AB36,ETANCHEITE!AP$22:AP$167,ETANCHEITE!$D$22:$D$167),"")&amp;IFERROR(_xlfn.XLOOKUP(AB36,ETANCHEITE!AP$22:AP$167,ETANCHEITE!#REF!),"")&amp;IFERROR(_xlfn.XLOOKUP(AB36,ETANCHEITE!AP$22:AP$167,ETANCHEITE!#REF!),"")</f>
        <v xml:space="preserve">   </v>
      </c>
      <c r="AG36" s="155" t="str">
        <f>IFERROR(VLOOKUP(AB36,ETANCHEITE!AP$22:AR$167,2,FALSE),"")&amp;" "&amp;IFERROR(VLOOKUP(AB36,ETANCHEITE!AP$22:AR$167,3,FALSE),"")</f>
        <v xml:space="preserve"> </v>
      </c>
      <c r="AH36" s="148" t="str">
        <f>IF(AG36&lt;&gt;" ",'Feuille de Donnée'!$C$3,"")</f>
        <v/>
      </c>
      <c r="AI36" s="162" t="str" cm="1">
        <f t="array" aca="1" ref="AI36" ca="1">IFERROR(IF(_xlfn.XLOOKUP(AB36,ETANCHEITE!AP$22:AP$92,ETANCHEITE!AN$22:AN$92,"")&lt;&gt;"",_xlfn.XLOOKUP(AB36,ETANCHEITE!AP$22:AP$92,ETANCHEITE!AN$22:AN$92,""),    INDEX(ETANCHEITE!AN:AN,MAX(_xlfn._xlws.FILTER(ROW(ETANCHEITE!AN$22:INDIRECT("'PEINTURE'!O" &amp; AE36-1)),ETANCHEITE!AN$22:INDIRECT("'PEINTURE'!O" &amp; AE36-1)&lt;&gt;"")))),"")</f>
        <v/>
      </c>
      <c r="AJ36" s="163" t="str" cm="1">
        <f t="array" aca="1" ref="AJ36" ca="1">IFERROR(IF(_xlfn.XLOOKUP(AB36,ETANCHEITE!AP$22:AP$92,ETANCHEITE!AO$22:AO$92,"")&lt;&gt;"",_xlfn.XLOOKUP(AB36,ETANCHEITE!AP$22:AP$92,ETANCHEITE!AO$22:AO$92,""),    INDEX(ETANCHEITE!AO:AO,MAX(_xlfn._xlws.FILTER(ROW(ETANCHEITE!AO$22:INDIRECT("'PEINTURE'!P" &amp; AE36-1)),ETANCHEITE!AO$22:INDIRECT("'PEINTURE'!P" &amp; AE36-1)&lt;&gt;"")))),"")</f>
        <v/>
      </c>
      <c r="AK36" s="145">
        <v>34</v>
      </c>
      <c r="AL36" s="154" t="str">
        <f>IF(AP36&lt;&gt;" ",ETANCHEITE!$D$5,"")</f>
        <v/>
      </c>
      <c r="AM36" s="154" t="str">
        <f>IF(AP36&lt;&gt;" ",ETANCHEITE!$D$8,"")</f>
        <v/>
      </c>
      <c r="AN36" s="146" t="str">
        <f>IFERROR(MATCH(AK36,ETANCHEITE!AY$22:AY$167,0)+18,"")</f>
        <v/>
      </c>
      <c r="AO36" s="147" t="str" cm="1">
        <f t="array" aca="1" ref="AO36" ca="1">IFERROR(IF(_xlfn.XLOOKUP(AK36,ETANCHEITE!AY$22:AY$167,ETANCHEITE!$A$22:$A$167,"")&lt;&gt;"",_xlfn.XLOOKUP(AK36,ETANCHEITE!AY$22:AY$167,ETANCHEITE!$A$22:$A$167,""),    INDEX(ETANCHEITE!$A:$A,MAX(_xlfn._xlws.FILTER(ROW(ETANCHEITE!$A$22:INDIRECT("'MENUISERIES EXTERIEURES'!$A" &amp; AN36-1)),ETANCHEITE!$A$22:INDIRECT("'MENUISERIES EXTERIEURES'!$A" &amp; AN36-1)&lt;&gt;"")))),"")&amp;"   "&amp;IFERROR(_xlfn.XLOOKUP(AK36,ETANCHEITE!AY$22:AY$167,ETANCHEITE!$B$22:$B$167),"")&amp;IFERROR(_xlfn.XLOOKUP(AK36,ETANCHEITE!AY$22:AY$167,ETANCHEITE!$C$22:$C$167),"")&amp;IFERROR(_xlfn.XLOOKUP(AK36,ETANCHEITE!AY$22:AY$167,ETANCHEITE!$D$22:$D$167),"")&amp;IFERROR(_xlfn.XLOOKUP(AK36,ETANCHEITE!AY$22:AY$167,ETANCHEITE!#REF!),"")&amp;IFERROR(_xlfn.XLOOKUP(AK36,ETANCHEITE!AY$22:AY$167,ETANCHEITE!#REF!),"")</f>
        <v xml:space="preserve">   </v>
      </c>
      <c r="AP36" s="155" t="str">
        <f>IFERROR(VLOOKUP(AK36,ETANCHEITE!AY$22:BA$167,2,FALSE),"")&amp;" "&amp;IFERROR(VLOOKUP(AK36,ETANCHEITE!AY$22:BA$167,3,FALSE),"")</f>
        <v xml:space="preserve"> </v>
      </c>
      <c r="AQ36" s="148" t="str">
        <f>IF(AP36&lt;&gt;" ",'Feuille de Donnée'!$C$3,"")</f>
        <v/>
      </c>
      <c r="AR36" s="162" t="str" cm="1">
        <f t="array" aca="1" ref="AR36" ca="1">IFERROR(IF(_xlfn.XLOOKUP(AK36,ETANCHEITE!AY$22:AY$92,ETANCHEITE!AW$22:AW$92,"")&lt;&gt;"",_xlfn.XLOOKUP(AK36,ETANCHEITE!AY$22:AY$92,ETANCHEITE!AW$22:AW$92,""),    INDEX(ETANCHEITE!AW:AW,MAX(_xlfn._xlws.FILTER(ROW(ETANCHEITE!AW$22:INDIRECT("'PEINTURE'!O" &amp; AN36-1)),ETANCHEITE!AW$22:INDIRECT("'PEINTURE'!O" &amp; AN36-1)&lt;&gt;"")))),"")</f>
        <v/>
      </c>
      <c r="AS36" s="163" t="str" cm="1">
        <f t="array" aca="1" ref="AS36" ca="1">IFERROR(IF(_xlfn.XLOOKUP(AK36,ETANCHEITE!AY$22:AY$92,ETANCHEITE!AX$22:AX$92,"")&lt;&gt;"",_xlfn.XLOOKUP(AK36,ETANCHEITE!AY$22:AY$92,ETANCHEITE!AX$22:AX$92,""),    INDEX(ETANCHEITE!AX:AX,MAX(_xlfn._xlws.FILTER(ROW(ETANCHEITE!AX$22:INDIRECT("'PEINTURE'!P" &amp; AN36-1)),ETANCHEITE!AX$22:INDIRECT("'PEINTURE'!P" &amp; AN36-1)&lt;&gt;"")))),"")</f>
        <v/>
      </c>
      <c r="AT36" s="145">
        <v>34</v>
      </c>
      <c r="AU36" s="154" t="str">
        <f>IF(AY36&lt;&gt;" ",ETANCHEITE!$D$5,"")</f>
        <v/>
      </c>
      <c r="AV36" s="154" t="str">
        <f>IF(AY36&lt;&gt;" ",ETANCHEITE!$D$8,"")</f>
        <v/>
      </c>
      <c r="AW36" s="146" t="str">
        <f>IFERROR(MATCH(AT36,ETANCHEITE!BH$22:BH$167,0)+18,"")</f>
        <v/>
      </c>
      <c r="AX36" s="147" t="str" cm="1">
        <f t="array" aca="1" ref="AX36" ca="1">IFERROR(IF(_xlfn.XLOOKUP(AT36,ETANCHEITE!BH$22:BH$167,ETANCHEITE!$A$22:$A$167,"")&lt;&gt;"",_xlfn.XLOOKUP(AT36,ETANCHEITE!BH$22:BH$167,ETANCHEITE!$A$22:$A$167,""),    INDEX(ETANCHEITE!$A:$A,MAX(_xlfn._xlws.FILTER(ROW(ETANCHEITE!$A$22:INDIRECT("'MENUISERIES EXTERIEURES'!$A" &amp; AW36-1)),ETANCHEITE!$A$22:INDIRECT("'MENUISERIES EXTERIEURES'!$A" &amp; AW36-1)&lt;&gt;"")))),"")&amp;"   "&amp;IFERROR(_xlfn.XLOOKUP(AT36,ETANCHEITE!BH$22:BH$167,ETANCHEITE!$B$22:$B$167),"")&amp;IFERROR(_xlfn.XLOOKUP(AT36,ETANCHEITE!BH$22:BH$167,ETANCHEITE!$C$22:$C$167),"")&amp;IFERROR(_xlfn.XLOOKUP(AT36,ETANCHEITE!BH$22:BH$167,ETANCHEITE!$D$22:$D$167),"")&amp;IFERROR(_xlfn.XLOOKUP(AT36,ETANCHEITE!BH$22:BH$167,ETANCHEITE!#REF!),"")&amp;IFERROR(_xlfn.XLOOKUP(AT36,ETANCHEITE!BH$22:BH$167,ETANCHEITE!#REF!),"")</f>
        <v xml:space="preserve">   </v>
      </c>
      <c r="AY36" s="155" t="str">
        <f>IFERROR(VLOOKUP(AT36,ETANCHEITE!BH$22:BJ$167,2,FALSE),"")&amp;" "&amp;IFERROR(VLOOKUP(AT36,ETANCHEITE!BH$22:BJ$167,3,FALSE),"")</f>
        <v xml:space="preserve"> </v>
      </c>
      <c r="AZ36" s="148" t="str">
        <f>IF(AY36&lt;&gt;" ",'Feuille de Donnée'!$C$3,"")</f>
        <v/>
      </c>
      <c r="BA36" s="162" t="str" cm="1">
        <f t="array" aca="1" ref="BA36" ca="1">IFERROR(IF(_xlfn.XLOOKUP(AT36,ETANCHEITE!BH$22:BH$92,ETANCHEITE!BF$22:BF$92,"")&lt;&gt;"",_xlfn.XLOOKUP(AT36,ETANCHEITE!BH$22:BH$92,ETANCHEITE!BF$22:BF$92,""),    INDEX(ETANCHEITE!BF:BF,MAX(_xlfn._xlws.FILTER(ROW(ETANCHEITE!BF$22:INDIRECT("'PEINTURE'!O" &amp; AW36-1)),ETANCHEITE!BF$22:INDIRECT("'PEINTURE'!O" &amp; AW36-1)&lt;&gt;"")))),"")</f>
        <v/>
      </c>
      <c r="BB36" s="163" t="str" cm="1">
        <f t="array" aca="1" ref="BB36" ca="1">IFERROR(IF(_xlfn.XLOOKUP(AT36,ETANCHEITE!BH$22:BH$92,ETANCHEITE!BG$22:BG$92,"")&lt;&gt;"",_xlfn.XLOOKUP(AT36,ETANCHEITE!BH$22:BH$92,ETANCHEITE!BG$22:BG$92,""),    INDEX(ETANCHEITE!BG:BG,MAX(_xlfn._xlws.FILTER(ROW(ETANCHEITE!BG$22:INDIRECT("'PEINTURE'!P" &amp; AW36-1)),ETANCHEITE!BG$22:INDIRECT("'PEINTURE'!P" &amp; AW36-1)&lt;&gt;"")))),"")</f>
        <v/>
      </c>
    </row>
    <row r="37" spans="1:54" ht="16.5" customHeight="1" x14ac:dyDescent="0.3">
      <c r="A37" s="145">
        <v>35</v>
      </c>
      <c r="B37" s="154" t="str">
        <f>IF(F37&lt;&gt;" ",ETANCHEITE!$D$5,"")</f>
        <v/>
      </c>
      <c r="C37" s="154" t="str">
        <f>IF(F37&lt;&gt;" ",ETANCHEITE!$D$8,"")</f>
        <v/>
      </c>
      <c r="D37" s="146" t="str">
        <f>IFERROR(MATCH(A37,ETANCHEITE!O$22:O$167,0)+18,"")</f>
        <v/>
      </c>
      <c r="E37" s="147" t="str" cm="1">
        <f t="array" aca="1" ref="E37" ca="1">IFERROR(IF(_xlfn.XLOOKUP(A37,ETANCHEITE!O$22:O$167,ETANCHEITE!$A$22:$A$167,"")&lt;&gt;"",_xlfn.XLOOKUP(A37,ETANCHEITE!O$22:O$167,ETANCHEITE!$A$22:$A$167,""),    INDEX(ETANCHEITE!$A:$A,MAX(_xlfn._xlws.FILTER(ROW(ETANCHEITE!$A$22:INDIRECT("'MENUISERIES EXTERIEURES'!$A" &amp; D37-1)),ETANCHEITE!$A$22:INDIRECT("'MENUISERIES EXTERIEURES'!$A" &amp; D37-1)&lt;&gt;"")))),"")&amp;"   "&amp;IFERROR(_xlfn.XLOOKUP(A37,ETANCHEITE!O$22:O$167,ETANCHEITE!$B$22:$B$167),"")&amp;IFERROR(_xlfn.XLOOKUP(A37,ETANCHEITE!O$22:O$167,ETANCHEITE!$C$22:$C$167),"")&amp;IFERROR(_xlfn.XLOOKUP(A37,ETANCHEITE!O$22:O$167,ETANCHEITE!$D$22:$D$167),"")&amp;IFERROR(_xlfn.XLOOKUP(A37,ETANCHEITE!O$22:O$167,ETANCHEITE!#REF!),"")&amp;IFERROR(_xlfn.XLOOKUP(A37,ETANCHEITE!O$22:O$167,ETANCHEITE!#REF!),"")</f>
        <v xml:space="preserve">   </v>
      </c>
      <c r="F37" s="155" t="str">
        <f>IFERROR(VLOOKUP(A37,ETANCHEITE!O$22:Q$167,2,FALSE),"")&amp;" "&amp;IFERROR(VLOOKUP(A37,ETANCHEITE!O$22:Q$167,3,FALSE),"")</f>
        <v xml:space="preserve"> </v>
      </c>
      <c r="G37" s="148" t="str">
        <f>IF(F37&lt;&gt;" ",'Feuille de Donnée'!$C$3,"")</f>
        <v/>
      </c>
      <c r="H37" s="162" t="str" cm="1">
        <f t="array" aca="1" ref="H37" ca="1">IFERROR(IF(_xlfn.XLOOKUP(A37,ETANCHEITE!O$22:O$92,ETANCHEITE!M$22:M$92,"")&lt;&gt;"",_xlfn.XLOOKUP(A37,ETANCHEITE!O$22:O$92,ETANCHEITE!M$22:M$92,""),    INDEX(ETANCHEITE!M:M,MAX(_xlfn._xlws.FILTER(ROW(ETANCHEITE!M$22:INDIRECT("'PEINTURE'!O" &amp; D37-1)),ETANCHEITE!M$22:INDIRECT("'PEINTURE'!O" &amp; D37-1)&lt;&gt;"")))),"")</f>
        <v/>
      </c>
      <c r="I37" s="163" t="str" cm="1">
        <f t="array" aca="1" ref="I37" ca="1">IFERROR(IF(_xlfn.XLOOKUP(A37,ETANCHEITE!O$22:O$92,ETANCHEITE!N$22:N$92,"")&lt;&gt;"",_xlfn.XLOOKUP(A37,ETANCHEITE!O$22:O$92,ETANCHEITE!N$22:N$92,""),    INDEX(ETANCHEITE!N:N,MAX(_xlfn._xlws.FILTER(ROW(ETANCHEITE!N$22:INDIRECT("'PEINTURE'!P" &amp; D37-1)),ETANCHEITE!N$22:INDIRECT("'PEINTURE'!P" &amp; D37-1)&lt;&gt;"")))),"")</f>
        <v/>
      </c>
      <c r="J37" s="145">
        <v>35</v>
      </c>
      <c r="K37" s="154" t="str">
        <f>IF(O37&lt;&gt;" ",ETANCHEITE!$D$5,"")</f>
        <v/>
      </c>
      <c r="L37" s="154" t="str">
        <f>IF(O37&lt;&gt;" ",ETANCHEITE!$D$8,"")</f>
        <v/>
      </c>
      <c r="M37" s="146" t="str">
        <f>IFERROR(MATCH(J37,ETANCHEITE!X$22:X$167,0)+18,"")</f>
        <v/>
      </c>
      <c r="N37" s="147" t="str" cm="1">
        <f t="array" aca="1" ref="N37" ca="1">IFERROR(IF(_xlfn.XLOOKUP(J37,ETANCHEITE!X$22:X$167,ETANCHEITE!$A$22:$A$167,"")&lt;&gt;"",_xlfn.XLOOKUP(J37,ETANCHEITE!X$22:X$167,ETANCHEITE!$A$22:$A$167,""),    INDEX(ETANCHEITE!$A:$A,MAX(_xlfn._xlws.FILTER(ROW(ETANCHEITE!$A$22:INDIRECT("'MENUISERIES EXTERIEURES'!$A" &amp; M37-1)),ETANCHEITE!$A$22:INDIRECT("'MENUISERIES EXTERIEURES'!$A" &amp; M37-1)&lt;&gt;"")))),"")&amp;"   "&amp;IFERROR(_xlfn.XLOOKUP(J37,ETANCHEITE!X$22:X$167,ETANCHEITE!$B$22:$B$167),"")&amp;IFERROR(_xlfn.XLOOKUP(J37,ETANCHEITE!X$22:X$167,ETANCHEITE!$C$22:$C$167),"")&amp;IFERROR(_xlfn.XLOOKUP(J37,ETANCHEITE!X$22:X$167,ETANCHEITE!$D$22:$D$167),"")&amp;IFERROR(_xlfn.XLOOKUP(J37,ETANCHEITE!X$22:X$167,ETANCHEITE!#REF!),"")&amp;IFERROR(_xlfn.XLOOKUP(J37,ETANCHEITE!X$22:X$167,ETANCHEITE!#REF!),"")</f>
        <v xml:space="preserve">   </v>
      </c>
      <c r="O37" s="155" t="str">
        <f>IFERROR(VLOOKUP(J37,ETANCHEITE!X$22:Z$167,2,FALSE),"")&amp;" "&amp;IFERROR(VLOOKUP(J37,ETANCHEITE!X$22:Z$167,3,FALSE),"")</f>
        <v xml:space="preserve"> </v>
      </c>
      <c r="P37" s="148" t="str">
        <f>IF(O37&lt;&gt;" ",'Feuille de Donnée'!$C$3,"")</f>
        <v/>
      </c>
      <c r="Q37" s="162" t="str" cm="1">
        <f t="array" aca="1" ref="Q37" ca="1">IFERROR(IF(_xlfn.XLOOKUP(J37,ETANCHEITE!X$22:X$92,ETANCHEITE!V$22:V$92,"")&lt;&gt;"",_xlfn.XLOOKUP(J37,ETANCHEITE!X$22:X$92,ETANCHEITE!V$22:V$92,""),    INDEX(ETANCHEITE!V:V,MAX(_xlfn._xlws.FILTER(ROW(ETANCHEITE!V$22:INDIRECT("'PEINTURE'!O" &amp; M37-1)),ETANCHEITE!V$22:INDIRECT("'PEINTURE'!O" &amp; M37-1)&lt;&gt;"")))),"")</f>
        <v/>
      </c>
      <c r="R37" s="163" t="str" cm="1">
        <f t="array" aca="1" ref="R37" ca="1">IFERROR(IF(_xlfn.XLOOKUP(J37,ETANCHEITE!X$22:X$92,ETANCHEITE!W$22:W$92,"")&lt;&gt;"",_xlfn.XLOOKUP(J37,ETANCHEITE!X$22:X$92,ETANCHEITE!W$22:W$92,""),    INDEX(ETANCHEITE!W:W,MAX(_xlfn._xlws.FILTER(ROW(ETANCHEITE!W$22:INDIRECT("'PEINTURE'!P" &amp; M37-1)),ETANCHEITE!W$22:INDIRECT("'PEINTURE'!P" &amp; M37-1)&lt;&gt;"")))),"")</f>
        <v/>
      </c>
      <c r="S37" s="145">
        <v>35</v>
      </c>
      <c r="T37" s="154" t="str">
        <f>IF(X37&lt;&gt;" ",ETANCHEITE!$D$5,"")</f>
        <v/>
      </c>
      <c r="U37" s="154" t="str">
        <f>IF(X37&lt;&gt;" ",ETANCHEITE!$D$8,"")</f>
        <v/>
      </c>
      <c r="V37" s="146" t="str">
        <f>IFERROR(MATCH(S37,ETANCHEITE!AG$22:AG$167,0)+18,"")</f>
        <v/>
      </c>
      <c r="W37" s="147" t="str" cm="1">
        <f t="array" aca="1" ref="W37" ca="1">IFERROR(IF(_xlfn.XLOOKUP(S37,ETANCHEITE!AG$22:AG$167,ETANCHEITE!$A$22:$A$167,"")&lt;&gt;"",_xlfn.XLOOKUP(S37,ETANCHEITE!AG$22:AG$167,ETANCHEITE!$A$22:$A$167,""),    INDEX(ETANCHEITE!$A:$A,MAX(_xlfn._xlws.FILTER(ROW(ETANCHEITE!$A$22:INDIRECT("'MENUISERIES EXTERIEURES'!$A" &amp; V37-1)),ETANCHEITE!$A$22:INDIRECT("'MENUISERIES EXTERIEURES'!$A" &amp; V37-1)&lt;&gt;"")))),"")&amp;"   "&amp;IFERROR(_xlfn.XLOOKUP(S37,ETANCHEITE!AG$22:AG$167,ETANCHEITE!$B$22:$B$167),"")&amp;IFERROR(_xlfn.XLOOKUP(S37,ETANCHEITE!AG$22:AG$167,ETANCHEITE!$C$22:$C$167),"")&amp;IFERROR(_xlfn.XLOOKUP(S37,ETANCHEITE!AG$22:AG$167,ETANCHEITE!$D$22:$D$167),"")&amp;IFERROR(_xlfn.XLOOKUP(S37,ETANCHEITE!AG$22:AG$167,ETANCHEITE!#REF!),"")&amp;IFERROR(_xlfn.XLOOKUP(S37,ETANCHEITE!AG$22:AG$167,ETANCHEITE!#REF!),"")</f>
        <v xml:space="preserve">   </v>
      </c>
      <c r="X37" s="155" t="str">
        <f>IFERROR(VLOOKUP(S37,ETANCHEITE!AG$22:AI$167,2,FALSE),"")&amp;" "&amp;IFERROR(VLOOKUP(S37,ETANCHEITE!AG$22:AI$167,3,FALSE),"")</f>
        <v xml:space="preserve"> </v>
      </c>
      <c r="Y37" s="148" t="str">
        <f>IF(X37&lt;&gt;" ",'Feuille de Donnée'!$C$3,"")</f>
        <v/>
      </c>
      <c r="Z37" s="162" t="str" cm="1">
        <f t="array" aca="1" ref="Z37" ca="1">IFERROR(IF(_xlfn.XLOOKUP(S37,ETANCHEITE!AG$22:AG$92,ETANCHEITE!AE$22:AE$92,"")&lt;&gt;"",_xlfn.XLOOKUP(S37,ETANCHEITE!AG$22:AG$92,ETANCHEITE!AE$22:AE$92,""),    INDEX(ETANCHEITE!AE:AE,MAX(_xlfn._xlws.FILTER(ROW(ETANCHEITE!AE$22:INDIRECT("'PEINTURE'!O" &amp; V37-1)),ETANCHEITE!AE$22:INDIRECT("'PEINTURE'!O" &amp; V37-1)&lt;&gt;"")))),"")</f>
        <v/>
      </c>
      <c r="AA37" s="163" t="str" cm="1">
        <f t="array" aca="1" ref="AA37" ca="1">IFERROR(IF(_xlfn.XLOOKUP(S37,ETANCHEITE!AG$22:AG$92,ETANCHEITE!AF$22:AF$92,"")&lt;&gt;"",_xlfn.XLOOKUP(S37,ETANCHEITE!AG$22:AG$92,ETANCHEITE!AF$22:AF$92,""),    INDEX(ETANCHEITE!AF:AF,MAX(_xlfn._xlws.FILTER(ROW(ETANCHEITE!AF$22:INDIRECT("'PEINTURE'!P" &amp; V37-1)),ETANCHEITE!AF$22:INDIRECT("'PEINTURE'!P" &amp; V37-1)&lt;&gt;"")))),"")</f>
        <v/>
      </c>
      <c r="AB37" s="145">
        <v>35</v>
      </c>
      <c r="AC37" s="154" t="str">
        <f>IF(AG37&lt;&gt;" ",ETANCHEITE!$D$5,"")</f>
        <v/>
      </c>
      <c r="AD37" s="154" t="str">
        <f>IF(AG37&lt;&gt;" ",ETANCHEITE!$D$8,"")</f>
        <v/>
      </c>
      <c r="AE37" s="146" t="str">
        <f>IFERROR(MATCH(AB37,ETANCHEITE!AP$22:AP$167,0)+18,"")</f>
        <v/>
      </c>
      <c r="AF37" s="147" t="str" cm="1">
        <f t="array" aca="1" ref="AF37" ca="1">IFERROR(IF(_xlfn.XLOOKUP(AB37,ETANCHEITE!AP$22:AP$167,ETANCHEITE!$A$22:$A$167,"")&lt;&gt;"",_xlfn.XLOOKUP(AB37,ETANCHEITE!AP$22:AP$167,ETANCHEITE!$A$22:$A$167,""),    INDEX(ETANCHEITE!$A:$A,MAX(_xlfn._xlws.FILTER(ROW(ETANCHEITE!$A$22:INDIRECT("'MENUISERIES EXTERIEURES'!$A" &amp; AE37-1)),ETANCHEITE!$A$22:INDIRECT("'MENUISERIES EXTERIEURES'!$A" &amp; AE37-1)&lt;&gt;"")))),"")&amp;"   "&amp;IFERROR(_xlfn.XLOOKUP(AB37,ETANCHEITE!AP$22:AP$167,ETANCHEITE!$B$22:$B$167),"")&amp;IFERROR(_xlfn.XLOOKUP(AB37,ETANCHEITE!AP$22:AP$167,ETANCHEITE!$C$22:$C$167),"")&amp;IFERROR(_xlfn.XLOOKUP(AB37,ETANCHEITE!AP$22:AP$167,ETANCHEITE!$D$22:$D$167),"")&amp;IFERROR(_xlfn.XLOOKUP(AB37,ETANCHEITE!AP$22:AP$167,ETANCHEITE!#REF!),"")&amp;IFERROR(_xlfn.XLOOKUP(AB37,ETANCHEITE!AP$22:AP$167,ETANCHEITE!#REF!),"")</f>
        <v xml:space="preserve">   </v>
      </c>
      <c r="AG37" s="155" t="str">
        <f>IFERROR(VLOOKUP(AB37,ETANCHEITE!AP$22:AR$167,2,FALSE),"")&amp;" "&amp;IFERROR(VLOOKUP(AB37,ETANCHEITE!AP$22:AR$167,3,FALSE),"")</f>
        <v xml:space="preserve"> </v>
      </c>
      <c r="AH37" s="148" t="str">
        <f>IF(AG37&lt;&gt;" ",'Feuille de Donnée'!$C$3,"")</f>
        <v/>
      </c>
      <c r="AI37" s="162" t="str" cm="1">
        <f t="array" aca="1" ref="AI37" ca="1">IFERROR(IF(_xlfn.XLOOKUP(AB37,ETANCHEITE!AP$22:AP$92,ETANCHEITE!AN$22:AN$92,"")&lt;&gt;"",_xlfn.XLOOKUP(AB37,ETANCHEITE!AP$22:AP$92,ETANCHEITE!AN$22:AN$92,""),    INDEX(ETANCHEITE!AN:AN,MAX(_xlfn._xlws.FILTER(ROW(ETANCHEITE!AN$22:INDIRECT("'PEINTURE'!O" &amp; AE37-1)),ETANCHEITE!AN$22:INDIRECT("'PEINTURE'!O" &amp; AE37-1)&lt;&gt;"")))),"")</f>
        <v/>
      </c>
      <c r="AJ37" s="163" t="str" cm="1">
        <f t="array" aca="1" ref="AJ37" ca="1">IFERROR(IF(_xlfn.XLOOKUP(AB37,ETANCHEITE!AP$22:AP$92,ETANCHEITE!AO$22:AO$92,"")&lt;&gt;"",_xlfn.XLOOKUP(AB37,ETANCHEITE!AP$22:AP$92,ETANCHEITE!AO$22:AO$92,""),    INDEX(ETANCHEITE!AO:AO,MAX(_xlfn._xlws.FILTER(ROW(ETANCHEITE!AO$22:INDIRECT("'PEINTURE'!P" &amp; AE37-1)),ETANCHEITE!AO$22:INDIRECT("'PEINTURE'!P" &amp; AE37-1)&lt;&gt;"")))),"")</f>
        <v/>
      </c>
      <c r="AK37" s="145">
        <v>35</v>
      </c>
      <c r="AL37" s="154" t="str">
        <f>IF(AP37&lt;&gt;" ",ETANCHEITE!$D$5,"")</f>
        <v/>
      </c>
      <c r="AM37" s="154" t="str">
        <f>IF(AP37&lt;&gt;" ",ETANCHEITE!$D$8,"")</f>
        <v/>
      </c>
      <c r="AN37" s="146" t="str">
        <f>IFERROR(MATCH(AK37,ETANCHEITE!AY$22:AY$167,0)+18,"")</f>
        <v/>
      </c>
      <c r="AO37" s="147" t="str" cm="1">
        <f t="array" aca="1" ref="AO37" ca="1">IFERROR(IF(_xlfn.XLOOKUP(AK37,ETANCHEITE!AY$22:AY$167,ETANCHEITE!$A$22:$A$167,"")&lt;&gt;"",_xlfn.XLOOKUP(AK37,ETANCHEITE!AY$22:AY$167,ETANCHEITE!$A$22:$A$167,""),    INDEX(ETANCHEITE!$A:$A,MAX(_xlfn._xlws.FILTER(ROW(ETANCHEITE!$A$22:INDIRECT("'MENUISERIES EXTERIEURES'!$A" &amp; AN37-1)),ETANCHEITE!$A$22:INDIRECT("'MENUISERIES EXTERIEURES'!$A" &amp; AN37-1)&lt;&gt;"")))),"")&amp;"   "&amp;IFERROR(_xlfn.XLOOKUP(AK37,ETANCHEITE!AY$22:AY$167,ETANCHEITE!$B$22:$B$167),"")&amp;IFERROR(_xlfn.XLOOKUP(AK37,ETANCHEITE!AY$22:AY$167,ETANCHEITE!$C$22:$C$167),"")&amp;IFERROR(_xlfn.XLOOKUP(AK37,ETANCHEITE!AY$22:AY$167,ETANCHEITE!$D$22:$D$167),"")&amp;IFERROR(_xlfn.XLOOKUP(AK37,ETANCHEITE!AY$22:AY$167,ETANCHEITE!#REF!),"")&amp;IFERROR(_xlfn.XLOOKUP(AK37,ETANCHEITE!AY$22:AY$167,ETANCHEITE!#REF!),"")</f>
        <v xml:space="preserve">   </v>
      </c>
      <c r="AP37" s="155" t="str">
        <f>IFERROR(VLOOKUP(AK37,ETANCHEITE!AY$22:BA$167,2,FALSE),"")&amp;" "&amp;IFERROR(VLOOKUP(AK37,ETANCHEITE!AY$22:BA$167,3,FALSE),"")</f>
        <v xml:space="preserve"> </v>
      </c>
      <c r="AQ37" s="148" t="str">
        <f>IF(AP37&lt;&gt;" ",'Feuille de Donnée'!$C$3,"")</f>
        <v/>
      </c>
      <c r="AR37" s="162" t="str" cm="1">
        <f t="array" aca="1" ref="AR37" ca="1">IFERROR(IF(_xlfn.XLOOKUP(AK37,ETANCHEITE!AY$22:AY$92,ETANCHEITE!AW$22:AW$92,"")&lt;&gt;"",_xlfn.XLOOKUP(AK37,ETANCHEITE!AY$22:AY$92,ETANCHEITE!AW$22:AW$92,""),    INDEX(ETANCHEITE!AW:AW,MAX(_xlfn._xlws.FILTER(ROW(ETANCHEITE!AW$22:INDIRECT("'PEINTURE'!O" &amp; AN37-1)),ETANCHEITE!AW$22:INDIRECT("'PEINTURE'!O" &amp; AN37-1)&lt;&gt;"")))),"")</f>
        <v/>
      </c>
      <c r="AS37" s="163" t="str" cm="1">
        <f t="array" aca="1" ref="AS37" ca="1">IFERROR(IF(_xlfn.XLOOKUP(AK37,ETANCHEITE!AY$22:AY$92,ETANCHEITE!AX$22:AX$92,"")&lt;&gt;"",_xlfn.XLOOKUP(AK37,ETANCHEITE!AY$22:AY$92,ETANCHEITE!AX$22:AX$92,""),    INDEX(ETANCHEITE!AX:AX,MAX(_xlfn._xlws.FILTER(ROW(ETANCHEITE!AX$22:INDIRECT("'PEINTURE'!P" &amp; AN37-1)),ETANCHEITE!AX$22:INDIRECT("'PEINTURE'!P" &amp; AN37-1)&lt;&gt;"")))),"")</f>
        <v/>
      </c>
      <c r="AT37" s="145">
        <v>35</v>
      </c>
      <c r="AU37" s="154" t="str">
        <f>IF(AY37&lt;&gt;" ",ETANCHEITE!$D$5,"")</f>
        <v/>
      </c>
      <c r="AV37" s="154" t="str">
        <f>IF(AY37&lt;&gt;" ",ETANCHEITE!$D$8,"")</f>
        <v/>
      </c>
      <c r="AW37" s="146" t="str">
        <f>IFERROR(MATCH(AT37,ETANCHEITE!BH$22:BH$167,0)+18,"")</f>
        <v/>
      </c>
      <c r="AX37" s="147" t="str" cm="1">
        <f t="array" aca="1" ref="AX37" ca="1">IFERROR(IF(_xlfn.XLOOKUP(AT37,ETANCHEITE!BH$22:BH$167,ETANCHEITE!$A$22:$A$167,"")&lt;&gt;"",_xlfn.XLOOKUP(AT37,ETANCHEITE!BH$22:BH$167,ETANCHEITE!$A$22:$A$167,""),    INDEX(ETANCHEITE!$A:$A,MAX(_xlfn._xlws.FILTER(ROW(ETANCHEITE!$A$22:INDIRECT("'MENUISERIES EXTERIEURES'!$A" &amp; AW37-1)),ETANCHEITE!$A$22:INDIRECT("'MENUISERIES EXTERIEURES'!$A" &amp; AW37-1)&lt;&gt;"")))),"")&amp;"   "&amp;IFERROR(_xlfn.XLOOKUP(AT37,ETANCHEITE!BH$22:BH$167,ETANCHEITE!$B$22:$B$167),"")&amp;IFERROR(_xlfn.XLOOKUP(AT37,ETANCHEITE!BH$22:BH$167,ETANCHEITE!$C$22:$C$167),"")&amp;IFERROR(_xlfn.XLOOKUP(AT37,ETANCHEITE!BH$22:BH$167,ETANCHEITE!$D$22:$D$167),"")&amp;IFERROR(_xlfn.XLOOKUP(AT37,ETANCHEITE!BH$22:BH$167,ETANCHEITE!#REF!),"")&amp;IFERROR(_xlfn.XLOOKUP(AT37,ETANCHEITE!BH$22:BH$167,ETANCHEITE!#REF!),"")</f>
        <v xml:space="preserve">   </v>
      </c>
      <c r="AY37" s="155" t="str">
        <f>IFERROR(VLOOKUP(AT37,ETANCHEITE!BH$22:BJ$167,2,FALSE),"")&amp;" "&amp;IFERROR(VLOOKUP(AT37,ETANCHEITE!BH$22:BJ$167,3,FALSE),"")</f>
        <v xml:space="preserve"> </v>
      </c>
      <c r="AZ37" s="148" t="str">
        <f>IF(AY37&lt;&gt;" ",'Feuille de Donnée'!$C$3,"")</f>
        <v/>
      </c>
      <c r="BA37" s="162" t="str" cm="1">
        <f t="array" aca="1" ref="BA37" ca="1">IFERROR(IF(_xlfn.XLOOKUP(AT37,ETANCHEITE!BH$22:BH$92,ETANCHEITE!BF$22:BF$92,"")&lt;&gt;"",_xlfn.XLOOKUP(AT37,ETANCHEITE!BH$22:BH$92,ETANCHEITE!BF$22:BF$92,""),    INDEX(ETANCHEITE!BF:BF,MAX(_xlfn._xlws.FILTER(ROW(ETANCHEITE!BF$22:INDIRECT("'PEINTURE'!O" &amp; AW37-1)),ETANCHEITE!BF$22:INDIRECT("'PEINTURE'!O" &amp; AW37-1)&lt;&gt;"")))),"")</f>
        <v/>
      </c>
      <c r="BB37" s="163" t="str" cm="1">
        <f t="array" aca="1" ref="BB37" ca="1">IFERROR(IF(_xlfn.XLOOKUP(AT37,ETANCHEITE!BH$22:BH$92,ETANCHEITE!BG$22:BG$92,"")&lt;&gt;"",_xlfn.XLOOKUP(AT37,ETANCHEITE!BH$22:BH$92,ETANCHEITE!BG$22:BG$92,""),    INDEX(ETANCHEITE!BG:BG,MAX(_xlfn._xlws.FILTER(ROW(ETANCHEITE!BG$22:INDIRECT("'PEINTURE'!P" &amp; AW37-1)),ETANCHEITE!BG$22:INDIRECT("'PEINTURE'!P" &amp; AW37-1)&lt;&gt;"")))),"")</f>
        <v/>
      </c>
    </row>
    <row r="38" spans="1:54" ht="16.5" customHeight="1" x14ac:dyDescent="0.3">
      <c r="A38" s="145">
        <v>36</v>
      </c>
      <c r="B38" s="154" t="str">
        <f>IF(F38&lt;&gt;" ",ETANCHEITE!$D$5,"")</f>
        <v/>
      </c>
      <c r="C38" s="154" t="str">
        <f>IF(F38&lt;&gt;" ",ETANCHEITE!$D$8,"")</f>
        <v/>
      </c>
      <c r="D38" s="146" t="str">
        <f>IFERROR(MATCH(A38,ETANCHEITE!O$22:O$167,0)+18,"")</f>
        <v/>
      </c>
      <c r="E38" s="147" t="str" cm="1">
        <f t="array" aca="1" ref="E38" ca="1">IFERROR(IF(_xlfn.XLOOKUP(A38,ETANCHEITE!O$22:O$167,ETANCHEITE!$A$22:$A$167,"")&lt;&gt;"",_xlfn.XLOOKUP(A38,ETANCHEITE!O$22:O$167,ETANCHEITE!$A$22:$A$167,""),    INDEX(ETANCHEITE!$A:$A,MAX(_xlfn._xlws.FILTER(ROW(ETANCHEITE!$A$22:INDIRECT("'MENUISERIES EXTERIEURES'!$A" &amp; D38-1)),ETANCHEITE!$A$22:INDIRECT("'MENUISERIES EXTERIEURES'!$A" &amp; D38-1)&lt;&gt;"")))),"")&amp;"   "&amp;IFERROR(_xlfn.XLOOKUP(A38,ETANCHEITE!O$22:O$167,ETANCHEITE!$B$22:$B$167),"")&amp;IFERROR(_xlfn.XLOOKUP(A38,ETANCHEITE!O$22:O$167,ETANCHEITE!$C$22:$C$167),"")&amp;IFERROR(_xlfn.XLOOKUP(A38,ETANCHEITE!O$22:O$167,ETANCHEITE!$D$22:$D$167),"")&amp;IFERROR(_xlfn.XLOOKUP(A38,ETANCHEITE!O$22:O$167,ETANCHEITE!#REF!),"")&amp;IFERROR(_xlfn.XLOOKUP(A38,ETANCHEITE!O$22:O$167,ETANCHEITE!#REF!),"")</f>
        <v xml:space="preserve">   </v>
      </c>
      <c r="F38" s="155" t="str">
        <f>IFERROR(VLOOKUP(A38,ETANCHEITE!O$22:Q$167,2,FALSE),"")&amp;" "&amp;IFERROR(VLOOKUP(A38,ETANCHEITE!O$22:Q$167,3,FALSE),"")</f>
        <v xml:space="preserve"> </v>
      </c>
      <c r="G38" s="148" t="str">
        <f>IF(F38&lt;&gt;" ",'Feuille de Donnée'!$C$3,"")</f>
        <v/>
      </c>
      <c r="H38" s="162" t="str" cm="1">
        <f t="array" aca="1" ref="H38" ca="1">IFERROR(IF(_xlfn.XLOOKUP(A38,ETANCHEITE!O$22:O$92,ETANCHEITE!M$22:M$92,"")&lt;&gt;"",_xlfn.XLOOKUP(A38,ETANCHEITE!O$22:O$92,ETANCHEITE!M$22:M$92,""),    INDEX(ETANCHEITE!M:M,MAX(_xlfn._xlws.FILTER(ROW(ETANCHEITE!M$22:INDIRECT("'PEINTURE'!O" &amp; D38-1)),ETANCHEITE!M$22:INDIRECT("'PEINTURE'!O" &amp; D38-1)&lt;&gt;"")))),"")</f>
        <v/>
      </c>
      <c r="I38" s="163" t="str" cm="1">
        <f t="array" aca="1" ref="I38" ca="1">IFERROR(IF(_xlfn.XLOOKUP(A38,ETANCHEITE!O$22:O$92,ETANCHEITE!N$22:N$92,"")&lt;&gt;"",_xlfn.XLOOKUP(A38,ETANCHEITE!O$22:O$92,ETANCHEITE!N$22:N$92,""),    INDEX(ETANCHEITE!N:N,MAX(_xlfn._xlws.FILTER(ROW(ETANCHEITE!N$22:INDIRECT("'PEINTURE'!P" &amp; D38-1)),ETANCHEITE!N$22:INDIRECT("'PEINTURE'!P" &amp; D38-1)&lt;&gt;"")))),"")</f>
        <v/>
      </c>
      <c r="J38" s="145">
        <v>36</v>
      </c>
      <c r="K38" s="154" t="str">
        <f>IF(O38&lt;&gt;" ",ETANCHEITE!$D$5,"")</f>
        <v/>
      </c>
      <c r="L38" s="154" t="str">
        <f>IF(O38&lt;&gt;" ",ETANCHEITE!$D$8,"")</f>
        <v/>
      </c>
      <c r="M38" s="146" t="str">
        <f>IFERROR(MATCH(J38,ETANCHEITE!X$22:X$167,0)+18,"")</f>
        <v/>
      </c>
      <c r="N38" s="147" t="str" cm="1">
        <f t="array" aca="1" ref="N38" ca="1">IFERROR(IF(_xlfn.XLOOKUP(J38,ETANCHEITE!X$22:X$167,ETANCHEITE!$A$22:$A$167,"")&lt;&gt;"",_xlfn.XLOOKUP(J38,ETANCHEITE!X$22:X$167,ETANCHEITE!$A$22:$A$167,""),    INDEX(ETANCHEITE!$A:$A,MAX(_xlfn._xlws.FILTER(ROW(ETANCHEITE!$A$22:INDIRECT("'MENUISERIES EXTERIEURES'!$A" &amp; M38-1)),ETANCHEITE!$A$22:INDIRECT("'MENUISERIES EXTERIEURES'!$A" &amp; M38-1)&lt;&gt;"")))),"")&amp;"   "&amp;IFERROR(_xlfn.XLOOKUP(J38,ETANCHEITE!X$22:X$167,ETANCHEITE!$B$22:$B$167),"")&amp;IFERROR(_xlfn.XLOOKUP(J38,ETANCHEITE!X$22:X$167,ETANCHEITE!$C$22:$C$167),"")&amp;IFERROR(_xlfn.XLOOKUP(J38,ETANCHEITE!X$22:X$167,ETANCHEITE!$D$22:$D$167),"")&amp;IFERROR(_xlfn.XLOOKUP(J38,ETANCHEITE!X$22:X$167,ETANCHEITE!#REF!),"")&amp;IFERROR(_xlfn.XLOOKUP(J38,ETANCHEITE!X$22:X$167,ETANCHEITE!#REF!),"")</f>
        <v xml:space="preserve">   </v>
      </c>
      <c r="O38" s="155" t="str">
        <f>IFERROR(VLOOKUP(J38,ETANCHEITE!X$22:Z$167,2,FALSE),"")&amp;" "&amp;IFERROR(VLOOKUP(J38,ETANCHEITE!X$22:Z$167,3,FALSE),"")</f>
        <v xml:space="preserve"> </v>
      </c>
      <c r="P38" s="148" t="str">
        <f>IF(O38&lt;&gt;" ",'Feuille de Donnée'!$C$3,"")</f>
        <v/>
      </c>
      <c r="Q38" s="162" t="str" cm="1">
        <f t="array" aca="1" ref="Q38" ca="1">IFERROR(IF(_xlfn.XLOOKUP(J38,ETANCHEITE!X$22:X$92,ETANCHEITE!V$22:V$92,"")&lt;&gt;"",_xlfn.XLOOKUP(J38,ETANCHEITE!X$22:X$92,ETANCHEITE!V$22:V$92,""),    INDEX(ETANCHEITE!V:V,MAX(_xlfn._xlws.FILTER(ROW(ETANCHEITE!V$22:INDIRECT("'PEINTURE'!O" &amp; M38-1)),ETANCHEITE!V$22:INDIRECT("'PEINTURE'!O" &amp; M38-1)&lt;&gt;"")))),"")</f>
        <v/>
      </c>
      <c r="R38" s="163" t="str" cm="1">
        <f t="array" aca="1" ref="R38" ca="1">IFERROR(IF(_xlfn.XLOOKUP(J38,ETANCHEITE!X$22:X$92,ETANCHEITE!W$22:W$92,"")&lt;&gt;"",_xlfn.XLOOKUP(J38,ETANCHEITE!X$22:X$92,ETANCHEITE!W$22:W$92,""),    INDEX(ETANCHEITE!W:W,MAX(_xlfn._xlws.FILTER(ROW(ETANCHEITE!W$22:INDIRECT("'PEINTURE'!P" &amp; M38-1)),ETANCHEITE!W$22:INDIRECT("'PEINTURE'!P" &amp; M38-1)&lt;&gt;"")))),"")</f>
        <v/>
      </c>
      <c r="S38" s="145">
        <v>36</v>
      </c>
      <c r="T38" s="154" t="str">
        <f>IF(X38&lt;&gt;" ",ETANCHEITE!$D$5,"")</f>
        <v/>
      </c>
      <c r="U38" s="154" t="str">
        <f>IF(X38&lt;&gt;" ",ETANCHEITE!$D$8,"")</f>
        <v/>
      </c>
      <c r="V38" s="146" t="str">
        <f>IFERROR(MATCH(S38,ETANCHEITE!AG$22:AG$167,0)+18,"")</f>
        <v/>
      </c>
      <c r="W38" s="147" t="str" cm="1">
        <f t="array" aca="1" ref="W38" ca="1">IFERROR(IF(_xlfn.XLOOKUP(S38,ETANCHEITE!AG$22:AG$167,ETANCHEITE!$A$22:$A$167,"")&lt;&gt;"",_xlfn.XLOOKUP(S38,ETANCHEITE!AG$22:AG$167,ETANCHEITE!$A$22:$A$167,""),    INDEX(ETANCHEITE!$A:$A,MAX(_xlfn._xlws.FILTER(ROW(ETANCHEITE!$A$22:INDIRECT("'MENUISERIES EXTERIEURES'!$A" &amp; V38-1)),ETANCHEITE!$A$22:INDIRECT("'MENUISERIES EXTERIEURES'!$A" &amp; V38-1)&lt;&gt;"")))),"")&amp;"   "&amp;IFERROR(_xlfn.XLOOKUP(S38,ETANCHEITE!AG$22:AG$167,ETANCHEITE!$B$22:$B$167),"")&amp;IFERROR(_xlfn.XLOOKUP(S38,ETANCHEITE!AG$22:AG$167,ETANCHEITE!$C$22:$C$167),"")&amp;IFERROR(_xlfn.XLOOKUP(S38,ETANCHEITE!AG$22:AG$167,ETANCHEITE!$D$22:$D$167),"")&amp;IFERROR(_xlfn.XLOOKUP(S38,ETANCHEITE!AG$22:AG$167,ETANCHEITE!#REF!),"")&amp;IFERROR(_xlfn.XLOOKUP(S38,ETANCHEITE!AG$22:AG$167,ETANCHEITE!#REF!),"")</f>
        <v xml:space="preserve">   </v>
      </c>
      <c r="X38" s="155" t="str">
        <f>IFERROR(VLOOKUP(S38,ETANCHEITE!AG$22:AI$167,2,FALSE),"")&amp;" "&amp;IFERROR(VLOOKUP(S38,ETANCHEITE!AG$22:AI$167,3,FALSE),"")</f>
        <v xml:space="preserve"> </v>
      </c>
      <c r="Y38" s="148" t="str">
        <f>IF(X38&lt;&gt;" ",'Feuille de Donnée'!$C$3,"")</f>
        <v/>
      </c>
      <c r="Z38" s="162" t="str" cm="1">
        <f t="array" aca="1" ref="Z38" ca="1">IFERROR(IF(_xlfn.XLOOKUP(S38,ETANCHEITE!AG$22:AG$92,ETANCHEITE!AE$22:AE$92,"")&lt;&gt;"",_xlfn.XLOOKUP(S38,ETANCHEITE!AG$22:AG$92,ETANCHEITE!AE$22:AE$92,""),    INDEX(ETANCHEITE!AE:AE,MAX(_xlfn._xlws.FILTER(ROW(ETANCHEITE!AE$22:INDIRECT("'PEINTURE'!O" &amp; V38-1)),ETANCHEITE!AE$22:INDIRECT("'PEINTURE'!O" &amp; V38-1)&lt;&gt;"")))),"")</f>
        <v/>
      </c>
      <c r="AA38" s="163" t="str" cm="1">
        <f t="array" aca="1" ref="AA38" ca="1">IFERROR(IF(_xlfn.XLOOKUP(S38,ETANCHEITE!AG$22:AG$92,ETANCHEITE!AF$22:AF$92,"")&lt;&gt;"",_xlfn.XLOOKUP(S38,ETANCHEITE!AG$22:AG$92,ETANCHEITE!AF$22:AF$92,""),    INDEX(ETANCHEITE!AF:AF,MAX(_xlfn._xlws.FILTER(ROW(ETANCHEITE!AF$22:INDIRECT("'PEINTURE'!P" &amp; V38-1)),ETANCHEITE!AF$22:INDIRECT("'PEINTURE'!P" &amp; V38-1)&lt;&gt;"")))),"")</f>
        <v/>
      </c>
      <c r="AB38" s="145">
        <v>36</v>
      </c>
      <c r="AC38" s="154" t="str">
        <f>IF(AG38&lt;&gt;" ",ETANCHEITE!$D$5,"")</f>
        <v/>
      </c>
      <c r="AD38" s="154" t="str">
        <f>IF(AG38&lt;&gt;" ",ETANCHEITE!$D$8,"")</f>
        <v/>
      </c>
      <c r="AE38" s="146" t="str">
        <f>IFERROR(MATCH(AB38,ETANCHEITE!AP$22:AP$167,0)+18,"")</f>
        <v/>
      </c>
      <c r="AF38" s="147" t="str" cm="1">
        <f t="array" aca="1" ref="AF38" ca="1">IFERROR(IF(_xlfn.XLOOKUP(AB38,ETANCHEITE!AP$22:AP$167,ETANCHEITE!$A$22:$A$167,"")&lt;&gt;"",_xlfn.XLOOKUP(AB38,ETANCHEITE!AP$22:AP$167,ETANCHEITE!$A$22:$A$167,""),    INDEX(ETANCHEITE!$A:$A,MAX(_xlfn._xlws.FILTER(ROW(ETANCHEITE!$A$22:INDIRECT("'MENUISERIES EXTERIEURES'!$A" &amp; AE38-1)),ETANCHEITE!$A$22:INDIRECT("'MENUISERIES EXTERIEURES'!$A" &amp; AE38-1)&lt;&gt;"")))),"")&amp;"   "&amp;IFERROR(_xlfn.XLOOKUP(AB38,ETANCHEITE!AP$22:AP$167,ETANCHEITE!$B$22:$B$167),"")&amp;IFERROR(_xlfn.XLOOKUP(AB38,ETANCHEITE!AP$22:AP$167,ETANCHEITE!$C$22:$C$167),"")&amp;IFERROR(_xlfn.XLOOKUP(AB38,ETANCHEITE!AP$22:AP$167,ETANCHEITE!$D$22:$D$167),"")&amp;IFERROR(_xlfn.XLOOKUP(AB38,ETANCHEITE!AP$22:AP$167,ETANCHEITE!#REF!),"")&amp;IFERROR(_xlfn.XLOOKUP(AB38,ETANCHEITE!AP$22:AP$167,ETANCHEITE!#REF!),"")</f>
        <v xml:space="preserve">   </v>
      </c>
      <c r="AG38" s="155" t="str">
        <f>IFERROR(VLOOKUP(AB38,ETANCHEITE!AP$22:AR$167,2,FALSE),"")&amp;" "&amp;IFERROR(VLOOKUP(AB38,ETANCHEITE!AP$22:AR$167,3,FALSE),"")</f>
        <v xml:space="preserve"> </v>
      </c>
      <c r="AH38" s="148" t="str">
        <f>IF(AG38&lt;&gt;" ",'Feuille de Donnée'!$C$3,"")</f>
        <v/>
      </c>
      <c r="AI38" s="162" t="str" cm="1">
        <f t="array" aca="1" ref="AI38" ca="1">IFERROR(IF(_xlfn.XLOOKUP(AB38,ETANCHEITE!AP$22:AP$92,ETANCHEITE!AN$22:AN$92,"")&lt;&gt;"",_xlfn.XLOOKUP(AB38,ETANCHEITE!AP$22:AP$92,ETANCHEITE!AN$22:AN$92,""),    INDEX(ETANCHEITE!AN:AN,MAX(_xlfn._xlws.FILTER(ROW(ETANCHEITE!AN$22:INDIRECT("'PEINTURE'!O" &amp; AE38-1)),ETANCHEITE!AN$22:INDIRECT("'PEINTURE'!O" &amp; AE38-1)&lt;&gt;"")))),"")</f>
        <v/>
      </c>
      <c r="AJ38" s="163" t="str" cm="1">
        <f t="array" aca="1" ref="AJ38" ca="1">IFERROR(IF(_xlfn.XLOOKUP(AB38,ETANCHEITE!AP$22:AP$92,ETANCHEITE!AO$22:AO$92,"")&lt;&gt;"",_xlfn.XLOOKUP(AB38,ETANCHEITE!AP$22:AP$92,ETANCHEITE!AO$22:AO$92,""),    INDEX(ETANCHEITE!AO:AO,MAX(_xlfn._xlws.FILTER(ROW(ETANCHEITE!AO$22:INDIRECT("'PEINTURE'!P" &amp; AE38-1)),ETANCHEITE!AO$22:INDIRECT("'PEINTURE'!P" &amp; AE38-1)&lt;&gt;"")))),"")</f>
        <v/>
      </c>
      <c r="AK38" s="145">
        <v>36</v>
      </c>
      <c r="AL38" s="154" t="str">
        <f>IF(AP38&lt;&gt;" ",ETANCHEITE!$D$5,"")</f>
        <v/>
      </c>
      <c r="AM38" s="154" t="str">
        <f>IF(AP38&lt;&gt;" ",ETANCHEITE!$D$8,"")</f>
        <v/>
      </c>
      <c r="AN38" s="146" t="str">
        <f>IFERROR(MATCH(AK38,ETANCHEITE!AY$22:AY$167,0)+18,"")</f>
        <v/>
      </c>
      <c r="AO38" s="147" t="str" cm="1">
        <f t="array" aca="1" ref="AO38" ca="1">IFERROR(IF(_xlfn.XLOOKUP(AK38,ETANCHEITE!AY$22:AY$167,ETANCHEITE!$A$22:$A$167,"")&lt;&gt;"",_xlfn.XLOOKUP(AK38,ETANCHEITE!AY$22:AY$167,ETANCHEITE!$A$22:$A$167,""),    INDEX(ETANCHEITE!$A:$A,MAX(_xlfn._xlws.FILTER(ROW(ETANCHEITE!$A$22:INDIRECT("'MENUISERIES EXTERIEURES'!$A" &amp; AN38-1)),ETANCHEITE!$A$22:INDIRECT("'MENUISERIES EXTERIEURES'!$A" &amp; AN38-1)&lt;&gt;"")))),"")&amp;"   "&amp;IFERROR(_xlfn.XLOOKUP(AK38,ETANCHEITE!AY$22:AY$167,ETANCHEITE!$B$22:$B$167),"")&amp;IFERROR(_xlfn.XLOOKUP(AK38,ETANCHEITE!AY$22:AY$167,ETANCHEITE!$C$22:$C$167),"")&amp;IFERROR(_xlfn.XLOOKUP(AK38,ETANCHEITE!AY$22:AY$167,ETANCHEITE!$D$22:$D$167),"")&amp;IFERROR(_xlfn.XLOOKUP(AK38,ETANCHEITE!AY$22:AY$167,ETANCHEITE!#REF!),"")&amp;IFERROR(_xlfn.XLOOKUP(AK38,ETANCHEITE!AY$22:AY$167,ETANCHEITE!#REF!),"")</f>
        <v xml:space="preserve">   </v>
      </c>
      <c r="AP38" s="155" t="str">
        <f>IFERROR(VLOOKUP(AK38,ETANCHEITE!AY$22:BA$167,2,FALSE),"")&amp;" "&amp;IFERROR(VLOOKUP(AK38,ETANCHEITE!AY$22:BA$167,3,FALSE),"")</f>
        <v xml:space="preserve"> </v>
      </c>
      <c r="AQ38" s="148" t="str">
        <f>IF(AP38&lt;&gt;" ",'Feuille de Donnée'!$C$3,"")</f>
        <v/>
      </c>
      <c r="AR38" s="162" t="str" cm="1">
        <f t="array" aca="1" ref="AR38" ca="1">IFERROR(IF(_xlfn.XLOOKUP(AK38,ETANCHEITE!AY$22:AY$92,ETANCHEITE!AW$22:AW$92,"")&lt;&gt;"",_xlfn.XLOOKUP(AK38,ETANCHEITE!AY$22:AY$92,ETANCHEITE!AW$22:AW$92,""),    INDEX(ETANCHEITE!AW:AW,MAX(_xlfn._xlws.FILTER(ROW(ETANCHEITE!AW$22:INDIRECT("'PEINTURE'!O" &amp; AN38-1)),ETANCHEITE!AW$22:INDIRECT("'PEINTURE'!O" &amp; AN38-1)&lt;&gt;"")))),"")</f>
        <v/>
      </c>
      <c r="AS38" s="163" t="str" cm="1">
        <f t="array" aca="1" ref="AS38" ca="1">IFERROR(IF(_xlfn.XLOOKUP(AK38,ETANCHEITE!AY$22:AY$92,ETANCHEITE!AX$22:AX$92,"")&lt;&gt;"",_xlfn.XLOOKUP(AK38,ETANCHEITE!AY$22:AY$92,ETANCHEITE!AX$22:AX$92,""),    INDEX(ETANCHEITE!AX:AX,MAX(_xlfn._xlws.FILTER(ROW(ETANCHEITE!AX$22:INDIRECT("'PEINTURE'!P" &amp; AN38-1)),ETANCHEITE!AX$22:INDIRECT("'PEINTURE'!P" &amp; AN38-1)&lt;&gt;"")))),"")</f>
        <v/>
      </c>
      <c r="AT38" s="145">
        <v>36</v>
      </c>
      <c r="AU38" s="154" t="str">
        <f>IF(AY38&lt;&gt;" ",ETANCHEITE!$D$5,"")</f>
        <v/>
      </c>
      <c r="AV38" s="154" t="str">
        <f>IF(AY38&lt;&gt;" ",ETANCHEITE!$D$8,"")</f>
        <v/>
      </c>
      <c r="AW38" s="146" t="str">
        <f>IFERROR(MATCH(AT38,ETANCHEITE!BH$22:BH$167,0)+18,"")</f>
        <v/>
      </c>
      <c r="AX38" s="147" t="str" cm="1">
        <f t="array" aca="1" ref="AX38" ca="1">IFERROR(IF(_xlfn.XLOOKUP(AT38,ETANCHEITE!BH$22:BH$167,ETANCHEITE!$A$22:$A$167,"")&lt;&gt;"",_xlfn.XLOOKUP(AT38,ETANCHEITE!BH$22:BH$167,ETANCHEITE!$A$22:$A$167,""),    INDEX(ETANCHEITE!$A:$A,MAX(_xlfn._xlws.FILTER(ROW(ETANCHEITE!$A$22:INDIRECT("'MENUISERIES EXTERIEURES'!$A" &amp; AW38-1)),ETANCHEITE!$A$22:INDIRECT("'MENUISERIES EXTERIEURES'!$A" &amp; AW38-1)&lt;&gt;"")))),"")&amp;"   "&amp;IFERROR(_xlfn.XLOOKUP(AT38,ETANCHEITE!BH$22:BH$167,ETANCHEITE!$B$22:$B$167),"")&amp;IFERROR(_xlfn.XLOOKUP(AT38,ETANCHEITE!BH$22:BH$167,ETANCHEITE!$C$22:$C$167),"")&amp;IFERROR(_xlfn.XLOOKUP(AT38,ETANCHEITE!BH$22:BH$167,ETANCHEITE!$D$22:$D$167),"")&amp;IFERROR(_xlfn.XLOOKUP(AT38,ETANCHEITE!BH$22:BH$167,ETANCHEITE!#REF!),"")&amp;IFERROR(_xlfn.XLOOKUP(AT38,ETANCHEITE!BH$22:BH$167,ETANCHEITE!#REF!),"")</f>
        <v xml:space="preserve">   </v>
      </c>
      <c r="AY38" s="155" t="str">
        <f>IFERROR(VLOOKUP(AT38,ETANCHEITE!BH$22:BJ$167,2,FALSE),"")&amp;" "&amp;IFERROR(VLOOKUP(AT38,ETANCHEITE!BH$22:BJ$167,3,FALSE),"")</f>
        <v xml:space="preserve"> </v>
      </c>
      <c r="AZ38" s="148" t="str">
        <f>IF(AY38&lt;&gt;" ",'Feuille de Donnée'!$C$3,"")</f>
        <v/>
      </c>
      <c r="BA38" s="162" t="str" cm="1">
        <f t="array" aca="1" ref="BA38" ca="1">IFERROR(IF(_xlfn.XLOOKUP(AT38,ETANCHEITE!BH$22:BH$92,ETANCHEITE!BF$22:BF$92,"")&lt;&gt;"",_xlfn.XLOOKUP(AT38,ETANCHEITE!BH$22:BH$92,ETANCHEITE!BF$22:BF$92,""),    INDEX(ETANCHEITE!BF:BF,MAX(_xlfn._xlws.FILTER(ROW(ETANCHEITE!BF$22:INDIRECT("'PEINTURE'!O" &amp; AW38-1)),ETANCHEITE!BF$22:INDIRECT("'PEINTURE'!O" &amp; AW38-1)&lt;&gt;"")))),"")</f>
        <v/>
      </c>
      <c r="BB38" s="163" t="str" cm="1">
        <f t="array" aca="1" ref="BB38" ca="1">IFERROR(IF(_xlfn.XLOOKUP(AT38,ETANCHEITE!BH$22:BH$92,ETANCHEITE!BG$22:BG$92,"")&lt;&gt;"",_xlfn.XLOOKUP(AT38,ETANCHEITE!BH$22:BH$92,ETANCHEITE!BG$22:BG$92,""),    INDEX(ETANCHEITE!BG:BG,MAX(_xlfn._xlws.FILTER(ROW(ETANCHEITE!BG$22:INDIRECT("'PEINTURE'!P" &amp; AW38-1)),ETANCHEITE!BG$22:INDIRECT("'PEINTURE'!P" &amp; AW38-1)&lt;&gt;"")))),"")</f>
        <v/>
      </c>
    </row>
    <row r="39" spans="1:54" ht="16.5" customHeight="1" x14ac:dyDescent="0.3">
      <c r="A39" s="145">
        <v>37</v>
      </c>
      <c r="B39" s="154" t="str">
        <f>IF(F39&lt;&gt;" ",ETANCHEITE!$D$5,"")</f>
        <v/>
      </c>
      <c r="C39" s="154" t="str">
        <f>IF(F39&lt;&gt;" ",ETANCHEITE!$D$8,"")</f>
        <v/>
      </c>
      <c r="D39" s="146" t="str">
        <f>IFERROR(MATCH(A39,ETANCHEITE!O$22:O$167,0)+18,"")</f>
        <v/>
      </c>
      <c r="E39" s="147" t="str" cm="1">
        <f t="array" aca="1" ref="E39" ca="1">IFERROR(IF(_xlfn.XLOOKUP(A39,ETANCHEITE!O$22:O$167,ETANCHEITE!$A$22:$A$167,"")&lt;&gt;"",_xlfn.XLOOKUP(A39,ETANCHEITE!O$22:O$167,ETANCHEITE!$A$22:$A$167,""),    INDEX(ETANCHEITE!$A:$A,MAX(_xlfn._xlws.FILTER(ROW(ETANCHEITE!$A$22:INDIRECT("'MENUISERIES EXTERIEURES'!$A" &amp; D39-1)),ETANCHEITE!$A$22:INDIRECT("'MENUISERIES EXTERIEURES'!$A" &amp; D39-1)&lt;&gt;"")))),"")&amp;"   "&amp;IFERROR(_xlfn.XLOOKUP(A39,ETANCHEITE!O$22:O$167,ETANCHEITE!$B$22:$B$167),"")&amp;IFERROR(_xlfn.XLOOKUP(A39,ETANCHEITE!O$22:O$167,ETANCHEITE!$C$22:$C$167),"")&amp;IFERROR(_xlfn.XLOOKUP(A39,ETANCHEITE!O$22:O$167,ETANCHEITE!$D$22:$D$167),"")&amp;IFERROR(_xlfn.XLOOKUP(A39,ETANCHEITE!O$22:O$167,ETANCHEITE!#REF!),"")&amp;IFERROR(_xlfn.XLOOKUP(A39,ETANCHEITE!O$22:O$167,ETANCHEITE!#REF!),"")</f>
        <v xml:space="preserve">   </v>
      </c>
      <c r="F39" s="155" t="str">
        <f>IFERROR(VLOOKUP(A39,ETANCHEITE!O$22:Q$167,2,FALSE),"")&amp;" "&amp;IFERROR(VLOOKUP(A39,ETANCHEITE!O$22:Q$167,3,FALSE),"")</f>
        <v xml:space="preserve"> </v>
      </c>
      <c r="G39" s="148" t="str">
        <f>IF(F39&lt;&gt;" ",'Feuille de Donnée'!$C$3,"")</f>
        <v/>
      </c>
      <c r="H39" s="162" t="str" cm="1">
        <f t="array" aca="1" ref="H39" ca="1">IFERROR(IF(_xlfn.XLOOKUP(A39,ETANCHEITE!O$22:O$92,ETANCHEITE!M$22:M$92,"")&lt;&gt;"",_xlfn.XLOOKUP(A39,ETANCHEITE!O$22:O$92,ETANCHEITE!M$22:M$92,""),    INDEX(ETANCHEITE!M:M,MAX(_xlfn._xlws.FILTER(ROW(ETANCHEITE!M$22:INDIRECT("'PEINTURE'!O" &amp; D39-1)),ETANCHEITE!M$22:INDIRECT("'PEINTURE'!O" &amp; D39-1)&lt;&gt;"")))),"")</f>
        <v/>
      </c>
      <c r="I39" s="163" t="str" cm="1">
        <f t="array" aca="1" ref="I39" ca="1">IFERROR(IF(_xlfn.XLOOKUP(A39,ETANCHEITE!O$22:O$92,ETANCHEITE!N$22:N$92,"")&lt;&gt;"",_xlfn.XLOOKUP(A39,ETANCHEITE!O$22:O$92,ETANCHEITE!N$22:N$92,""),    INDEX(ETANCHEITE!N:N,MAX(_xlfn._xlws.FILTER(ROW(ETANCHEITE!N$22:INDIRECT("'PEINTURE'!P" &amp; D39-1)),ETANCHEITE!N$22:INDIRECT("'PEINTURE'!P" &amp; D39-1)&lt;&gt;"")))),"")</f>
        <v/>
      </c>
      <c r="J39" s="145">
        <v>37</v>
      </c>
      <c r="K39" s="154" t="str">
        <f>IF(O39&lt;&gt;" ",ETANCHEITE!$D$5,"")</f>
        <v/>
      </c>
      <c r="L39" s="154" t="str">
        <f>IF(O39&lt;&gt;" ",ETANCHEITE!$D$8,"")</f>
        <v/>
      </c>
      <c r="M39" s="146" t="str">
        <f>IFERROR(MATCH(J39,ETANCHEITE!X$22:X$167,0)+18,"")</f>
        <v/>
      </c>
      <c r="N39" s="147" t="str" cm="1">
        <f t="array" aca="1" ref="N39" ca="1">IFERROR(IF(_xlfn.XLOOKUP(J39,ETANCHEITE!X$22:X$167,ETANCHEITE!$A$22:$A$167,"")&lt;&gt;"",_xlfn.XLOOKUP(J39,ETANCHEITE!X$22:X$167,ETANCHEITE!$A$22:$A$167,""),    INDEX(ETANCHEITE!$A:$A,MAX(_xlfn._xlws.FILTER(ROW(ETANCHEITE!$A$22:INDIRECT("'MENUISERIES EXTERIEURES'!$A" &amp; M39-1)),ETANCHEITE!$A$22:INDIRECT("'MENUISERIES EXTERIEURES'!$A" &amp; M39-1)&lt;&gt;"")))),"")&amp;"   "&amp;IFERROR(_xlfn.XLOOKUP(J39,ETANCHEITE!X$22:X$167,ETANCHEITE!$B$22:$B$167),"")&amp;IFERROR(_xlfn.XLOOKUP(J39,ETANCHEITE!X$22:X$167,ETANCHEITE!$C$22:$C$167),"")&amp;IFERROR(_xlfn.XLOOKUP(J39,ETANCHEITE!X$22:X$167,ETANCHEITE!$D$22:$D$167),"")&amp;IFERROR(_xlfn.XLOOKUP(J39,ETANCHEITE!X$22:X$167,ETANCHEITE!#REF!),"")&amp;IFERROR(_xlfn.XLOOKUP(J39,ETANCHEITE!X$22:X$167,ETANCHEITE!#REF!),"")</f>
        <v xml:space="preserve">   </v>
      </c>
      <c r="O39" s="155" t="str">
        <f>IFERROR(VLOOKUP(J39,ETANCHEITE!X$22:Z$167,2,FALSE),"")&amp;" "&amp;IFERROR(VLOOKUP(J39,ETANCHEITE!X$22:Z$167,3,FALSE),"")</f>
        <v xml:space="preserve"> </v>
      </c>
      <c r="P39" s="148" t="str">
        <f>IF(O39&lt;&gt;" ",'Feuille de Donnée'!$C$3,"")</f>
        <v/>
      </c>
      <c r="Q39" s="162" t="str" cm="1">
        <f t="array" aca="1" ref="Q39" ca="1">IFERROR(IF(_xlfn.XLOOKUP(J39,ETANCHEITE!X$22:X$92,ETANCHEITE!V$22:V$92,"")&lt;&gt;"",_xlfn.XLOOKUP(J39,ETANCHEITE!X$22:X$92,ETANCHEITE!V$22:V$92,""),    INDEX(ETANCHEITE!V:V,MAX(_xlfn._xlws.FILTER(ROW(ETANCHEITE!V$22:INDIRECT("'PEINTURE'!O" &amp; M39-1)),ETANCHEITE!V$22:INDIRECT("'PEINTURE'!O" &amp; M39-1)&lt;&gt;"")))),"")</f>
        <v/>
      </c>
      <c r="R39" s="163" t="str" cm="1">
        <f t="array" aca="1" ref="R39" ca="1">IFERROR(IF(_xlfn.XLOOKUP(J39,ETANCHEITE!X$22:X$92,ETANCHEITE!W$22:W$92,"")&lt;&gt;"",_xlfn.XLOOKUP(J39,ETANCHEITE!X$22:X$92,ETANCHEITE!W$22:W$92,""),    INDEX(ETANCHEITE!W:W,MAX(_xlfn._xlws.FILTER(ROW(ETANCHEITE!W$22:INDIRECT("'PEINTURE'!P" &amp; M39-1)),ETANCHEITE!W$22:INDIRECT("'PEINTURE'!P" &amp; M39-1)&lt;&gt;"")))),"")</f>
        <v/>
      </c>
      <c r="S39" s="145">
        <v>37</v>
      </c>
      <c r="T39" s="154" t="str">
        <f>IF(X39&lt;&gt;" ",ETANCHEITE!$D$5,"")</f>
        <v/>
      </c>
      <c r="U39" s="154" t="str">
        <f>IF(X39&lt;&gt;" ",ETANCHEITE!$D$8,"")</f>
        <v/>
      </c>
      <c r="V39" s="146" t="str">
        <f>IFERROR(MATCH(S39,ETANCHEITE!AG$22:AG$167,0)+18,"")</f>
        <v/>
      </c>
      <c r="W39" s="147" t="str" cm="1">
        <f t="array" aca="1" ref="W39" ca="1">IFERROR(IF(_xlfn.XLOOKUP(S39,ETANCHEITE!AG$22:AG$167,ETANCHEITE!$A$22:$A$167,"")&lt;&gt;"",_xlfn.XLOOKUP(S39,ETANCHEITE!AG$22:AG$167,ETANCHEITE!$A$22:$A$167,""),    INDEX(ETANCHEITE!$A:$A,MAX(_xlfn._xlws.FILTER(ROW(ETANCHEITE!$A$22:INDIRECT("'MENUISERIES EXTERIEURES'!$A" &amp; V39-1)),ETANCHEITE!$A$22:INDIRECT("'MENUISERIES EXTERIEURES'!$A" &amp; V39-1)&lt;&gt;"")))),"")&amp;"   "&amp;IFERROR(_xlfn.XLOOKUP(S39,ETANCHEITE!AG$22:AG$167,ETANCHEITE!$B$22:$B$167),"")&amp;IFERROR(_xlfn.XLOOKUP(S39,ETANCHEITE!AG$22:AG$167,ETANCHEITE!$C$22:$C$167),"")&amp;IFERROR(_xlfn.XLOOKUP(S39,ETANCHEITE!AG$22:AG$167,ETANCHEITE!$D$22:$D$167),"")&amp;IFERROR(_xlfn.XLOOKUP(S39,ETANCHEITE!AG$22:AG$167,ETANCHEITE!#REF!),"")&amp;IFERROR(_xlfn.XLOOKUP(S39,ETANCHEITE!AG$22:AG$167,ETANCHEITE!#REF!),"")</f>
        <v xml:space="preserve">   </v>
      </c>
      <c r="X39" s="155" t="str">
        <f>IFERROR(VLOOKUP(S39,ETANCHEITE!AG$22:AI$167,2,FALSE),"")&amp;" "&amp;IFERROR(VLOOKUP(S39,ETANCHEITE!AG$22:AI$167,3,FALSE),"")</f>
        <v xml:space="preserve"> </v>
      </c>
      <c r="Y39" s="148" t="str">
        <f>IF(X39&lt;&gt;" ",'Feuille de Donnée'!$C$3,"")</f>
        <v/>
      </c>
      <c r="Z39" s="162" t="str" cm="1">
        <f t="array" aca="1" ref="Z39" ca="1">IFERROR(IF(_xlfn.XLOOKUP(S39,ETANCHEITE!AG$22:AG$92,ETANCHEITE!AE$22:AE$92,"")&lt;&gt;"",_xlfn.XLOOKUP(S39,ETANCHEITE!AG$22:AG$92,ETANCHEITE!AE$22:AE$92,""),    INDEX(ETANCHEITE!AE:AE,MAX(_xlfn._xlws.FILTER(ROW(ETANCHEITE!AE$22:INDIRECT("'PEINTURE'!O" &amp; V39-1)),ETANCHEITE!AE$22:INDIRECT("'PEINTURE'!O" &amp; V39-1)&lt;&gt;"")))),"")</f>
        <v/>
      </c>
      <c r="AA39" s="163" t="str" cm="1">
        <f t="array" aca="1" ref="AA39" ca="1">IFERROR(IF(_xlfn.XLOOKUP(S39,ETANCHEITE!AG$22:AG$92,ETANCHEITE!AF$22:AF$92,"")&lt;&gt;"",_xlfn.XLOOKUP(S39,ETANCHEITE!AG$22:AG$92,ETANCHEITE!AF$22:AF$92,""),    INDEX(ETANCHEITE!AF:AF,MAX(_xlfn._xlws.FILTER(ROW(ETANCHEITE!AF$22:INDIRECT("'PEINTURE'!P" &amp; V39-1)),ETANCHEITE!AF$22:INDIRECT("'PEINTURE'!P" &amp; V39-1)&lt;&gt;"")))),"")</f>
        <v/>
      </c>
      <c r="AB39" s="145">
        <v>37</v>
      </c>
      <c r="AC39" s="154" t="str">
        <f>IF(AG39&lt;&gt;" ",ETANCHEITE!$D$5,"")</f>
        <v/>
      </c>
      <c r="AD39" s="154" t="str">
        <f>IF(AG39&lt;&gt;" ",ETANCHEITE!$D$8,"")</f>
        <v/>
      </c>
      <c r="AE39" s="146" t="str">
        <f>IFERROR(MATCH(AB39,ETANCHEITE!AP$22:AP$167,0)+18,"")</f>
        <v/>
      </c>
      <c r="AF39" s="147" t="str" cm="1">
        <f t="array" aca="1" ref="AF39" ca="1">IFERROR(IF(_xlfn.XLOOKUP(AB39,ETANCHEITE!AP$22:AP$167,ETANCHEITE!$A$22:$A$167,"")&lt;&gt;"",_xlfn.XLOOKUP(AB39,ETANCHEITE!AP$22:AP$167,ETANCHEITE!$A$22:$A$167,""),    INDEX(ETANCHEITE!$A:$A,MAX(_xlfn._xlws.FILTER(ROW(ETANCHEITE!$A$22:INDIRECT("'MENUISERIES EXTERIEURES'!$A" &amp; AE39-1)),ETANCHEITE!$A$22:INDIRECT("'MENUISERIES EXTERIEURES'!$A" &amp; AE39-1)&lt;&gt;"")))),"")&amp;"   "&amp;IFERROR(_xlfn.XLOOKUP(AB39,ETANCHEITE!AP$22:AP$167,ETANCHEITE!$B$22:$B$167),"")&amp;IFERROR(_xlfn.XLOOKUP(AB39,ETANCHEITE!AP$22:AP$167,ETANCHEITE!$C$22:$C$167),"")&amp;IFERROR(_xlfn.XLOOKUP(AB39,ETANCHEITE!AP$22:AP$167,ETANCHEITE!$D$22:$D$167),"")&amp;IFERROR(_xlfn.XLOOKUP(AB39,ETANCHEITE!AP$22:AP$167,ETANCHEITE!#REF!),"")&amp;IFERROR(_xlfn.XLOOKUP(AB39,ETANCHEITE!AP$22:AP$167,ETANCHEITE!#REF!),"")</f>
        <v xml:space="preserve">   </v>
      </c>
      <c r="AG39" s="155" t="str">
        <f>IFERROR(VLOOKUP(AB39,ETANCHEITE!AP$22:AR$167,2,FALSE),"")&amp;" "&amp;IFERROR(VLOOKUP(AB39,ETANCHEITE!AP$22:AR$167,3,FALSE),"")</f>
        <v xml:space="preserve"> </v>
      </c>
      <c r="AH39" s="148" t="str">
        <f>IF(AG39&lt;&gt;" ",'Feuille de Donnée'!$C$3,"")</f>
        <v/>
      </c>
      <c r="AI39" s="162" t="str" cm="1">
        <f t="array" aca="1" ref="AI39" ca="1">IFERROR(IF(_xlfn.XLOOKUP(AB39,ETANCHEITE!AP$22:AP$92,ETANCHEITE!AN$22:AN$92,"")&lt;&gt;"",_xlfn.XLOOKUP(AB39,ETANCHEITE!AP$22:AP$92,ETANCHEITE!AN$22:AN$92,""),    INDEX(ETANCHEITE!AN:AN,MAX(_xlfn._xlws.FILTER(ROW(ETANCHEITE!AN$22:INDIRECT("'PEINTURE'!O" &amp; AE39-1)),ETANCHEITE!AN$22:INDIRECT("'PEINTURE'!O" &amp; AE39-1)&lt;&gt;"")))),"")</f>
        <v/>
      </c>
      <c r="AJ39" s="163" t="str" cm="1">
        <f t="array" aca="1" ref="AJ39" ca="1">IFERROR(IF(_xlfn.XLOOKUP(AB39,ETANCHEITE!AP$22:AP$92,ETANCHEITE!AO$22:AO$92,"")&lt;&gt;"",_xlfn.XLOOKUP(AB39,ETANCHEITE!AP$22:AP$92,ETANCHEITE!AO$22:AO$92,""),    INDEX(ETANCHEITE!AO:AO,MAX(_xlfn._xlws.FILTER(ROW(ETANCHEITE!AO$22:INDIRECT("'PEINTURE'!P" &amp; AE39-1)),ETANCHEITE!AO$22:INDIRECT("'PEINTURE'!P" &amp; AE39-1)&lt;&gt;"")))),"")</f>
        <v/>
      </c>
      <c r="AK39" s="145">
        <v>37</v>
      </c>
      <c r="AL39" s="154" t="str">
        <f>IF(AP39&lt;&gt;" ",ETANCHEITE!$D$5,"")</f>
        <v/>
      </c>
      <c r="AM39" s="154" t="str">
        <f>IF(AP39&lt;&gt;" ",ETANCHEITE!$D$8,"")</f>
        <v/>
      </c>
      <c r="AN39" s="146" t="str">
        <f>IFERROR(MATCH(AK39,ETANCHEITE!AY$22:AY$167,0)+18,"")</f>
        <v/>
      </c>
      <c r="AO39" s="147" t="str" cm="1">
        <f t="array" aca="1" ref="AO39" ca="1">IFERROR(IF(_xlfn.XLOOKUP(AK39,ETANCHEITE!AY$22:AY$167,ETANCHEITE!$A$22:$A$167,"")&lt;&gt;"",_xlfn.XLOOKUP(AK39,ETANCHEITE!AY$22:AY$167,ETANCHEITE!$A$22:$A$167,""),    INDEX(ETANCHEITE!$A:$A,MAX(_xlfn._xlws.FILTER(ROW(ETANCHEITE!$A$22:INDIRECT("'MENUISERIES EXTERIEURES'!$A" &amp; AN39-1)),ETANCHEITE!$A$22:INDIRECT("'MENUISERIES EXTERIEURES'!$A" &amp; AN39-1)&lt;&gt;"")))),"")&amp;"   "&amp;IFERROR(_xlfn.XLOOKUP(AK39,ETANCHEITE!AY$22:AY$167,ETANCHEITE!$B$22:$B$167),"")&amp;IFERROR(_xlfn.XLOOKUP(AK39,ETANCHEITE!AY$22:AY$167,ETANCHEITE!$C$22:$C$167),"")&amp;IFERROR(_xlfn.XLOOKUP(AK39,ETANCHEITE!AY$22:AY$167,ETANCHEITE!$D$22:$D$167),"")&amp;IFERROR(_xlfn.XLOOKUP(AK39,ETANCHEITE!AY$22:AY$167,ETANCHEITE!#REF!),"")&amp;IFERROR(_xlfn.XLOOKUP(AK39,ETANCHEITE!AY$22:AY$167,ETANCHEITE!#REF!),"")</f>
        <v xml:space="preserve">   </v>
      </c>
      <c r="AP39" s="155" t="str">
        <f>IFERROR(VLOOKUP(AK39,ETANCHEITE!AY$22:BA$167,2,FALSE),"")&amp;" "&amp;IFERROR(VLOOKUP(AK39,ETANCHEITE!AY$22:BA$167,3,FALSE),"")</f>
        <v xml:space="preserve"> </v>
      </c>
      <c r="AQ39" s="148" t="str">
        <f>IF(AP39&lt;&gt;" ",'Feuille de Donnée'!$C$3,"")</f>
        <v/>
      </c>
      <c r="AR39" s="162" t="str" cm="1">
        <f t="array" aca="1" ref="AR39" ca="1">IFERROR(IF(_xlfn.XLOOKUP(AK39,ETANCHEITE!AY$22:AY$92,ETANCHEITE!AW$22:AW$92,"")&lt;&gt;"",_xlfn.XLOOKUP(AK39,ETANCHEITE!AY$22:AY$92,ETANCHEITE!AW$22:AW$92,""),    INDEX(ETANCHEITE!AW:AW,MAX(_xlfn._xlws.FILTER(ROW(ETANCHEITE!AW$22:INDIRECT("'PEINTURE'!O" &amp; AN39-1)),ETANCHEITE!AW$22:INDIRECT("'PEINTURE'!O" &amp; AN39-1)&lt;&gt;"")))),"")</f>
        <v/>
      </c>
      <c r="AS39" s="163" t="str" cm="1">
        <f t="array" aca="1" ref="AS39" ca="1">IFERROR(IF(_xlfn.XLOOKUP(AK39,ETANCHEITE!AY$22:AY$92,ETANCHEITE!AX$22:AX$92,"")&lt;&gt;"",_xlfn.XLOOKUP(AK39,ETANCHEITE!AY$22:AY$92,ETANCHEITE!AX$22:AX$92,""),    INDEX(ETANCHEITE!AX:AX,MAX(_xlfn._xlws.FILTER(ROW(ETANCHEITE!AX$22:INDIRECT("'PEINTURE'!P" &amp; AN39-1)),ETANCHEITE!AX$22:INDIRECT("'PEINTURE'!P" &amp; AN39-1)&lt;&gt;"")))),"")</f>
        <v/>
      </c>
      <c r="AT39" s="145">
        <v>37</v>
      </c>
      <c r="AU39" s="154" t="str">
        <f>IF(AY39&lt;&gt;" ",ETANCHEITE!$D$5,"")</f>
        <v/>
      </c>
      <c r="AV39" s="154" t="str">
        <f>IF(AY39&lt;&gt;" ",ETANCHEITE!$D$8,"")</f>
        <v/>
      </c>
      <c r="AW39" s="146" t="str">
        <f>IFERROR(MATCH(AT39,ETANCHEITE!BH$22:BH$167,0)+18,"")</f>
        <v/>
      </c>
      <c r="AX39" s="147" t="str" cm="1">
        <f t="array" aca="1" ref="AX39" ca="1">IFERROR(IF(_xlfn.XLOOKUP(AT39,ETANCHEITE!BH$22:BH$167,ETANCHEITE!$A$22:$A$167,"")&lt;&gt;"",_xlfn.XLOOKUP(AT39,ETANCHEITE!BH$22:BH$167,ETANCHEITE!$A$22:$A$167,""),    INDEX(ETANCHEITE!$A:$A,MAX(_xlfn._xlws.FILTER(ROW(ETANCHEITE!$A$22:INDIRECT("'MENUISERIES EXTERIEURES'!$A" &amp; AW39-1)),ETANCHEITE!$A$22:INDIRECT("'MENUISERIES EXTERIEURES'!$A" &amp; AW39-1)&lt;&gt;"")))),"")&amp;"   "&amp;IFERROR(_xlfn.XLOOKUP(AT39,ETANCHEITE!BH$22:BH$167,ETANCHEITE!$B$22:$B$167),"")&amp;IFERROR(_xlfn.XLOOKUP(AT39,ETANCHEITE!BH$22:BH$167,ETANCHEITE!$C$22:$C$167),"")&amp;IFERROR(_xlfn.XLOOKUP(AT39,ETANCHEITE!BH$22:BH$167,ETANCHEITE!$D$22:$D$167),"")&amp;IFERROR(_xlfn.XLOOKUP(AT39,ETANCHEITE!BH$22:BH$167,ETANCHEITE!#REF!),"")&amp;IFERROR(_xlfn.XLOOKUP(AT39,ETANCHEITE!BH$22:BH$167,ETANCHEITE!#REF!),"")</f>
        <v xml:space="preserve">   </v>
      </c>
      <c r="AY39" s="155" t="str">
        <f>IFERROR(VLOOKUP(AT39,ETANCHEITE!BH$22:BJ$167,2,FALSE),"")&amp;" "&amp;IFERROR(VLOOKUP(AT39,ETANCHEITE!BH$22:BJ$167,3,FALSE),"")</f>
        <v xml:space="preserve"> </v>
      </c>
      <c r="AZ39" s="148" t="str">
        <f>IF(AY39&lt;&gt;" ",'Feuille de Donnée'!$C$3,"")</f>
        <v/>
      </c>
      <c r="BA39" s="162" t="str" cm="1">
        <f t="array" aca="1" ref="BA39" ca="1">IFERROR(IF(_xlfn.XLOOKUP(AT39,ETANCHEITE!BH$22:BH$92,ETANCHEITE!BF$22:BF$92,"")&lt;&gt;"",_xlfn.XLOOKUP(AT39,ETANCHEITE!BH$22:BH$92,ETANCHEITE!BF$22:BF$92,""),    INDEX(ETANCHEITE!BF:BF,MAX(_xlfn._xlws.FILTER(ROW(ETANCHEITE!BF$22:INDIRECT("'PEINTURE'!O" &amp; AW39-1)),ETANCHEITE!BF$22:INDIRECT("'PEINTURE'!O" &amp; AW39-1)&lt;&gt;"")))),"")</f>
        <v/>
      </c>
      <c r="BB39" s="163" t="str" cm="1">
        <f t="array" aca="1" ref="BB39" ca="1">IFERROR(IF(_xlfn.XLOOKUP(AT39,ETANCHEITE!BH$22:BH$92,ETANCHEITE!BG$22:BG$92,"")&lt;&gt;"",_xlfn.XLOOKUP(AT39,ETANCHEITE!BH$22:BH$92,ETANCHEITE!BG$22:BG$92,""),    INDEX(ETANCHEITE!BG:BG,MAX(_xlfn._xlws.FILTER(ROW(ETANCHEITE!BG$22:INDIRECT("'PEINTURE'!P" &amp; AW39-1)),ETANCHEITE!BG$22:INDIRECT("'PEINTURE'!P" &amp; AW39-1)&lt;&gt;"")))),"")</f>
        <v/>
      </c>
    </row>
    <row r="40" spans="1:54" ht="16.5" customHeight="1" x14ac:dyDescent="0.3">
      <c r="A40" s="145">
        <v>38</v>
      </c>
      <c r="B40" s="154" t="str">
        <f>IF(F40&lt;&gt;" ",ETANCHEITE!$D$5,"")</f>
        <v/>
      </c>
      <c r="C40" s="154" t="str">
        <f>IF(F40&lt;&gt;" ",ETANCHEITE!$D$8,"")</f>
        <v/>
      </c>
      <c r="D40" s="146" t="str">
        <f>IFERROR(MATCH(A40,ETANCHEITE!O$22:O$167,0)+18,"")</f>
        <v/>
      </c>
      <c r="E40" s="147" t="str" cm="1">
        <f t="array" aca="1" ref="E40" ca="1">IFERROR(IF(_xlfn.XLOOKUP(A40,ETANCHEITE!O$22:O$167,ETANCHEITE!$A$22:$A$167,"")&lt;&gt;"",_xlfn.XLOOKUP(A40,ETANCHEITE!O$22:O$167,ETANCHEITE!$A$22:$A$167,""),    INDEX(ETANCHEITE!$A:$A,MAX(_xlfn._xlws.FILTER(ROW(ETANCHEITE!$A$22:INDIRECT("'MENUISERIES EXTERIEURES'!$A" &amp; D40-1)),ETANCHEITE!$A$22:INDIRECT("'MENUISERIES EXTERIEURES'!$A" &amp; D40-1)&lt;&gt;"")))),"")&amp;"   "&amp;IFERROR(_xlfn.XLOOKUP(A40,ETANCHEITE!O$22:O$167,ETANCHEITE!$B$22:$B$167),"")&amp;IFERROR(_xlfn.XLOOKUP(A40,ETANCHEITE!O$22:O$167,ETANCHEITE!$C$22:$C$167),"")&amp;IFERROR(_xlfn.XLOOKUP(A40,ETANCHEITE!O$22:O$167,ETANCHEITE!$D$22:$D$167),"")&amp;IFERROR(_xlfn.XLOOKUP(A40,ETANCHEITE!O$22:O$167,ETANCHEITE!#REF!),"")&amp;IFERROR(_xlfn.XLOOKUP(A40,ETANCHEITE!O$22:O$167,ETANCHEITE!#REF!),"")</f>
        <v xml:space="preserve">   </v>
      </c>
      <c r="F40" s="155" t="str">
        <f>IFERROR(VLOOKUP(A40,ETANCHEITE!O$22:Q$167,2,FALSE),"")&amp;" "&amp;IFERROR(VLOOKUP(A40,ETANCHEITE!O$22:Q$167,3,FALSE),"")</f>
        <v xml:space="preserve"> </v>
      </c>
      <c r="G40" s="148" t="str">
        <f>IF(F40&lt;&gt;" ",'Feuille de Donnée'!$C$3,"")</f>
        <v/>
      </c>
      <c r="H40" s="162" t="str" cm="1">
        <f t="array" aca="1" ref="H40" ca="1">IFERROR(IF(_xlfn.XLOOKUP(A40,ETANCHEITE!O$22:O$92,ETANCHEITE!M$22:M$92,"")&lt;&gt;"",_xlfn.XLOOKUP(A40,ETANCHEITE!O$22:O$92,ETANCHEITE!M$22:M$92,""),    INDEX(ETANCHEITE!M:M,MAX(_xlfn._xlws.FILTER(ROW(ETANCHEITE!M$22:INDIRECT("'PEINTURE'!O" &amp; D40-1)),ETANCHEITE!M$22:INDIRECT("'PEINTURE'!O" &amp; D40-1)&lt;&gt;"")))),"")</f>
        <v/>
      </c>
      <c r="I40" s="163" t="str" cm="1">
        <f t="array" aca="1" ref="I40" ca="1">IFERROR(IF(_xlfn.XLOOKUP(A40,ETANCHEITE!O$22:O$92,ETANCHEITE!N$22:N$92,"")&lt;&gt;"",_xlfn.XLOOKUP(A40,ETANCHEITE!O$22:O$92,ETANCHEITE!N$22:N$92,""),    INDEX(ETANCHEITE!N:N,MAX(_xlfn._xlws.FILTER(ROW(ETANCHEITE!N$22:INDIRECT("'PEINTURE'!P" &amp; D40-1)),ETANCHEITE!N$22:INDIRECT("'PEINTURE'!P" &amp; D40-1)&lt;&gt;"")))),"")</f>
        <v/>
      </c>
      <c r="J40" s="145">
        <v>38</v>
      </c>
      <c r="K40" s="154" t="str">
        <f>IF(O40&lt;&gt;" ",ETANCHEITE!$D$5,"")</f>
        <v/>
      </c>
      <c r="L40" s="154" t="str">
        <f>IF(O40&lt;&gt;" ",ETANCHEITE!$D$8,"")</f>
        <v/>
      </c>
      <c r="M40" s="146" t="str">
        <f>IFERROR(MATCH(J40,ETANCHEITE!X$22:X$167,0)+18,"")</f>
        <v/>
      </c>
      <c r="N40" s="147" t="str" cm="1">
        <f t="array" aca="1" ref="N40" ca="1">IFERROR(IF(_xlfn.XLOOKUP(J40,ETANCHEITE!X$22:X$167,ETANCHEITE!$A$22:$A$167,"")&lt;&gt;"",_xlfn.XLOOKUP(J40,ETANCHEITE!X$22:X$167,ETANCHEITE!$A$22:$A$167,""),    INDEX(ETANCHEITE!$A:$A,MAX(_xlfn._xlws.FILTER(ROW(ETANCHEITE!$A$22:INDIRECT("'MENUISERIES EXTERIEURES'!$A" &amp; M40-1)),ETANCHEITE!$A$22:INDIRECT("'MENUISERIES EXTERIEURES'!$A" &amp; M40-1)&lt;&gt;"")))),"")&amp;"   "&amp;IFERROR(_xlfn.XLOOKUP(J40,ETANCHEITE!X$22:X$167,ETANCHEITE!$B$22:$B$167),"")&amp;IFERROR(_xlfn.XLOOKUP(J40,ETANCHEITE!X$22:X$167,ETANCHEITE!$C$22:$C$167),"")&amp;IFERROR(_xlfn.XLOOKUP(J40,ETANCHEITE!X$22:X$167,ETANCHEITE!$D$22:$D$167),"")&amp;IFERROR(_xlfn.XLOOKUP(J40,ETANCHEITE!X$22:X$167,ETANCHEITE!#REF!),"")&amp;IFERROR(_xlfn.XLOOKUP(J40,ETANCHEITE!X$22:X$167,ETANCHEITE!#REF!),"")</f>
        <v xml:space="preserve">   </v>
      </c>
      <c r="O40" s="155" t="str">
        <f>IFERROR(VLOOKUP(J40,ETANCHEITE!X$22:Z$167,2,FALSE),"")&amp;" "&amp;IFERROR(VLOOKUP(J40,ETANCHEITE!X$22:Z$167,3,FALSE),"")</f>
        <v xml:space="preserve"> </v>
      </c>
      <c r="P40" s="148" t="str">
        <f>IF(O40&lt;&gt;" ",'Feuille de Donnée'!$C$3,"")</f>
        <v/>
      </c>
      <c r="Q40" s="162" t="str" cm="1">
        <f t="array" aca="1" ref="Q40" ca="1">IFERROR(IF(_xlfn.XLOOKUP(J40,ETANCHEITE!X$22:X$92,ETANCHEITE!V$22:V$92,"")&lt;&gt;"",_xlfn.XLOOKUP(J40,ETANCHEITE!X$22:X$92,ETANCHEITE!V$22:V$92,""),    INDEX(ETANCHEITE!V:V,MAX(_xlfn._xlws.FILTER(ROW(ETANCHEITE!V$22:INDIRECT("'PEINTURE'!O" &amp; M40-1)),ETANCHEITE!V$22:INDIRECT("'PEINTURE'!O" &amp; M40-1)&lt;&gt;"")))),"")</f>
        <v/>
      </c>
      <c r="R40" s="163" t="str" cm="1">
        <f t="array" aca="1" ref="R40" ca="1">IFERROR(IF(_xlfn.XLOOKUP(J40,ETANCHEITE!X$22:X$92,ETANCHEITE!W$22:W$92,"")&lt;&gt;"",_xlfn.XLOOKUP(J40,ETANCHEITE!X$22:X$92,ETANCHEITE!W$22:W$92,""),    INDEX(ETANCHEITE!W:W,MAX(_xlfn._xlws.FILTER(ROW(ETANCHEITE!W$22:INDIRECT("'PEINTURE'!P" &amp; M40-1)),ETANCHEITE!W$22:INDIRECT("'PEINTURE'!P" &amp; M40-1)&lt;&gt;"")))),"")</f>
        <v/>
      </c>
      <c r="S40" s="145">
        <v>38</v>
      </c>
      <c r="T40" s="154" t="str">
        <f>IF(X40&lt;&gt;" ",ETANCHEITE!$D$5,"")</f>
        <v/>
      </c>
      <c r="U40" s="154" t="str">
        <f>IF(X40&lt;&gt;" ",ETANCHEITE!$D$8,"")</f>
        <v/>
      </c>
      <c r="V40" s="146" t="str">
        <f>IFERROR(MATCH(S40,ETANCHEITE!AG$22:AG$167,0)+18,"")</f>
        <v/>
      </c>
      <c r="W40" s="147" t="str" cm="1">
        <f t="array" aca="1" ref="W40" ca="1">IFERROR(IF(_xlfn.XLOOKUP(S40,ETANCHEITE!AG$22:AG$167,ETANCHEITE!$A$22:$A$167,"")&lt;&gt;"",_xlfn.XLOOKUP(S40,ETANCHEITE!AG$22:AG$167,ETANCHEITE!$A$22:$A$167,""),    INDEX(ETANCHEITE!$A:$A,MAX(_xlfn._xlws.FILTER(ROW(ETANCHEITE!$A$22:INDIRECT("'MENUISERIES EXTERIEURES'!$A" &amp; V40-1)),ETANCHEITE!$A$22:INDIRECT("'MENUISERIES EXTERIEURES'!$A" &amp; V40-1)&lt;&gt;"")))),"")&amp;"   "&amp;IFERROR(_xlfn.XLOOKUP(S40,ETANCHEITE!AG$22:AG$167,ETANCHEITE!$B$22:$B$167),"")&amp;IFERROR(_xlfn.XLOOKUP(S40,ETANCHEITE!AG$22:AG$167,ETANCHEITE!$C$22:$C$167),"")&amp;IFERROR(_xlfn.XLOOKUP(S40,ETANCHEITE!AG$22:AG$167,ETANCHEITE!$D$22:$D$167),"")&amp;IFERROR(_xlfn.XLOOKUP(S40,ETANCHEITE!AG$22:AG$167,ETANCHEITE!#REF!),"")&amp;IFERROR(_xlfn.XLOOKUP(S40,ETANCHEITE!AG$22:AG$167,ETANCHEITE!#REF!),"")</f>
        <v xml:space="preserve">   </v>
      </c>
      <c r="X40" s="155" t="str">
        <f>IFERROR(VLOOKUP(S40,ETANCHEITE!AG$22:AI$167,2,FALSE),"")&amp;" "&amp;IFERROR(VLOOKUP(S40,ETANCHEITE!AG$22:AI$167,3,FALSE),"")</f>
        <v xml:space="preserve"> </v>
      </c>
      <c r="Y40" s="148" t="str">
        <f>IF(X40&lt;&gt;" ",'Feuille de Donnée'!$C$3,"")</f>
        <v/>
      </c>
      <c r="Z40" s="162" t="str" cm="1">
        <f t="array" aca="1" ref="Z40" ca="1">IFERROR(IF(_xlfn.XLOOKUP(S40,ETANCHEITE!AG$22:AG$92,ETANCHEITE!AE$22:AE$92,"")&lt;&gt;"",_xlfn.XLOOKUP(S40,ETANCHEITE!AG$22:AG$92,ETANCHEITE!AE$22:AE$92,""),    INDEX(ETANCHEITE!AE:AE,MAX(_xlfn._xlws.FILTER(ROW(ETANCHEITE!AE$22:INDIRECT("'PEINTURE'!O" &amp; V40-1)),ETANCHEITE!AE$22:INDIRECT("'PEINTURE'!O" &amp; V40-1)&lt;&gt;"")))),"")</f>
        <v/>
      </c>
      <c r="AA40" s="163" t="str" cm="1">
        <f t="array" aca="1" ref="AA40" ca="1">IFERROR(IF(_xlfn.XLOOKUP(S40,ETANCHEITE!AG$22:AG$92,ETANCHEITE!AF$22:AF$92,"")&lt;&gt;"",_xlfn.XLOOKUP(S40,ETANCHEITE!AG$22:AG$92,ETANCHEITE!AF$22:AF$92,""),    INDEX(ETANCHEITE!AF:AF,MAX(_xlfn._xlws.FILTER(ROW(ETANCHEITE!AF$22:INDIRECT("'PEINTURE'!P" &amp; V40-1)),ETANCHEITE!AF$22:INDIRECT("'PEINTURE'!P" &amp; V40-1)&lt;&gt;"")))),"")</f>
        <v/>
      </c>
      <c r="AB40" s="145">
        <v>38</v>
      </c>
      <c r="AC40" s="154" t="str">
        <f>IF(AG40&lt;&gt;" ",ETANCHEITE!$D$5,"")</f>
        <v/>
      </c>
      <c r="AD40" s="154" t="str">
        <f>IF(AG40&lt;&gt;" ",ETANCHEITE!$D$8,"")</f>
        <v/>
      </c>
      <c r="AE40" s="146" t="str">
        <f>IFERROR(MATCH(AB40,ETANCHEITE!AP$22:AP$167,0)+18,"")</f>
        <v/>
      </c>
      <c r="AF40" s="147" t="str" cm="1">
        <f t="array" aca="1" ref="AF40" ca="1">IFERROR(IF(_xlfn.XLOOKUP(AB40,ETANCHEITE!AP$22:AP$167,ETANCHEITE!$A$22:$A$167,"")&lt;&gt;"",_xlfn.XLOOKUP(AB40,ETANCHEITE!AP$22:AP$167,ETANCHEITE!$A$22:$A$167,""),    INDEX(ETANCHEITE!$A:$A,MAX(_xlfn._xlws.FILTER(ROW(ETANCHEITE!$A$22:INDIRECT("'MENUISERIES EXTERIEURES'!$A" &amp; AE40-1)),ETANCHEITE!$A$22:INDIRECT("'MENUISERIES EXTERIEURES'!$A" &amp; AE40-1)&lt;&gt;"")))),"")&amp;"   "&amp;IFERROR(_xlfn.XLOOKUP(AB40,ETANCHEITE!AP$22:AP$167,ETANCHEITE!$B$22:$B$167),"")&amp;IFERROR(_xlfn.XLOOKUP(AB40,ETANCHEITE!AP$22:AP$167,ETANCHEITE!$C$22:$C$167),"")&amp;IFERROR(_xlfn.XLOOKUP(AB40,ETANCHEITE!AP$22:AP$167,ETANCHEITE!$D$22:$D$167),"")&amp;IFERROR(_xlfn.XLOOKUP(AB40,ETANCHEITE!AP$22:AP$167,ETANCHEITE!#REF!),"")&amp;IFERROR(_xlfn.XLOOKUP(AB40,ETANCHEITE!AP$22:AP$167,ETANCHEITE!#REF!),"")</f>
        <v xml:space="preserve">   </v>
      </c>
      <c r="AG40" s="155" t="str">
        <f>IFERROR(VLOOKUP(AB40,ETANCHEITE!AP$22:AR$167,2,FALSE),"")&amp;" "&amp;IFERROR(VLOOKUP(AB40,ETANCHEITE!AP$22:AR$167,3,FALSE),"")</f>
        <v xml:space="preserve"> </v>
      </c>
      <c r="AH40" s="148" t="str">
        <f>IF(AG40&lt;&gt;" ",'Feuille de Donnée'!$C$3,"")</f>
        <v/>
      </c>
      <c r="AI40" s="162" t="str" cm="1">
        <f t="array" aca="1" ref="AI40" ca="1">IFERROR(IF(_xlfn.XLOOKUP(AB40,ETANCHEITE!AP$22:AP$92,ETANCHEITE!AN$22:AN$92,"")&lt;&gt;"",_xlfn.XLOOKUP(AB40,ETANCHEITE!AP$22:AP$92,ETANCHEITE!AN$22:AN$92,""),    INDEX(ETANCHEITE!AN:AN,MAX(_xlfn._xlws.FILTER(ROW(ETANCHEITE!AN$22:INDIRECT("'PEINTURE'!O" &amp; AE40-1)),ETANCHEITE!AN$22:INDIRECT("'PEINTURE'!O" &amp; AE40-1)&lt;&gt;"")))),"")</f>
        <v/>
      </c>
      <c r="AJ40" s="163" t="str" cm="1">
        <f t="array" aca="1" ref="AJ40" ca="1">IFERROR(IF(_xlfn.XLOOKUP(AB40,ETANCHEITE!AP$22:AP$92,ETANCHEITE!AO$22:AO$92,"")&lt;&gt;"",_xlfn.XLOOKUP(AB40,ETANCHEITE!AP$22:AP$92,ETANCHEITE!AO$22:AO$92,""),    INDEX(ETANCHEITE!AO:AO,MAX(_xlfn._xlws.FILTER(ROW(ETANCHEITE!AO$22:INDIRECT("'PEINTURE'!P" &amp; AE40-1)),ETANCHEITE!AO$22:INDIRECT("'PEINTURE'!P" &amp; AE40-1)&lt;&gt;"")))),"")</f>
        <v/>
      </c>
      <c r="AK40" s="145">
        <v>38</v>
      </c>
      <c r="AL40" s="154" t="str">
        <f>IF(AP40&lt;&gt;" ",ETANCHEITE!$D$5,"")</f>
        <v/>
      </c>
      <c r="AM40" s="154" t="str">
        <f>IF(AP40&lt;&gt;" ",ETANCHEITE!$D$8,"")</f>
        <v/>
      </c>
      <c r="AN40" s="146" t="str">
        <f>IFERROR(MATCH(AK40,ETANCHEITE!AY$22:AY$167,0)+18,"")</f>
        <v/>
      </c>
      <c r="AO40" s="147" t="str" cm="1">
        <f t="array" aca="1" ref="AO40" ca="1">IFERROR(IF(_xlfn.XLOOKUP(AK40,ETANCHEITE!AY$22:AY$167,ETANCHEITE!$A$22:$A$167,"")&lt;&gt;"",_xlfn.XLOOKUP(AK40,ETANCHEITE!AY$22:AY$167,ETANCHEITE!$A$22:$A$167,""),    INDEX(ETANCHEITE!$A:$A,MAX(_xlfn._xlws.FILTER(ROW(ETANCHEITE!$A$22:INDIRECT("'MENUISERIES EXTERIEURES'!$A" &amp; AN40-1)),ETANCHEITE!$A$22:INDIRECT("'MENUISERIES EXTERIEURES'!$A" &amp; AN40-1)&lt;&gt;"")))),"")&amp;"   "&amp;IFERROR(_xlfn.XLOOKUP(AK40,ETANCHEITE!AY$22:AY$167,ETANCHEITE!$B$22:$B$167),"")&amp;IFERROR(_xlfn.XLOOKUP(AK40,ETANCHEITE!AY$22:AY$167,ETANCHEITE!$C$22:$C$167),"")&amp;IFERROR(_xlfn.XLOOKUP(AK40,ETANCHEITE!AY$22:AY$167,ETANCHEITE!$D$22:$D$167),"")&amp;IFERROR(_xlfn.XLOOKUP(AK40,ETANCHEITE!AY$22:AY$167,ETANCHEITE!#REF!),"")&amp;IFERROR(_xlfn.XLOOKUP(AK40,ETANCHEITE!AY$22:AY$167,ETANCHEITE!#REF!),"")</f>
        <v xml:space="preserve">   </v>
      </c>
      <c r="AP40" s="155" t="str">
        <f>IFERROR(VLOOKUP(AK40,ETANCHEITE!AY$22:BA$167,2,FALSE),"")&amp;" "&amp;IFERROR(VLOOKUP(AK40,ETANCHEITE!AY$22:BA$167,3,FALSE),"")</f>
        <v xml:space="preserve"> </v>
      </c>
      <c r="AQ40" s="148" t="str">
        <f>IF(AP40&lt;&gt;" ",'Feuille de Donnée'!$C$3,"")</f>
        <v/>
      </c>
      <c r="AR40" s="162" t="str" cm="1">
        <f t="array" aca="1" ref="AR40" ca="1">IFERROR(IF(_xlfn.XLOOKUP(AK40,ETANCHEITE!AY$22:AY$92,ETANCHEITE!AW$22:AW$92,"")&lt;&gt;"",_xlfn.XLOOKUP(AK40,ETANCHEITE!AY$22:AY$92,ETANCHEITE!AW$22:AW$92,""),    INDEX(ETANCHEITE!AW:AW,MAX(_xlfn._xlws.FILTER(ROW(ETANCHEITE!AW$22:INDIRECT("'PEINTURE'!O" &amp; AN40-1)),ETANCHEITE!AW$22:INDIRECT("'PEINTURE'!O" &amp; AN40-1)&lt;&gt;"")))),"")</f>
        <v/>
      </c>
      <c r="AS40" s="163" t="str" cm="1">
        <f t="array" aca="1" ref="AS40" ca="1">IFERROR(IF(_xlfn.XLOOKUP(AK40,ETANCHEITE!AY$22:AY$92,ETANCHEITE!AX$22:AX$92,"")&lt;&gt;"",_xlfn.XLOOKUP(AK40,ETANCHEITE!AY$22:AY$92,ETANCHEITE!AX$22:AX$92,""),    INDEX(ETANCHEITE!AX:AX,MAX(_xlfn._xlws.FILTER(ROW(ETANCHEITE!AX$22:INDIRECT("'PEINTURE'!P" &amp; AN40-1)),ETANCHEITE!AX$22:INDIRECT("'PEINTURE'!P" &amp; AN40-1)&lt;&gt;"")))),"")</f>
        <v/>
      </c>
      <c r="AT40" s="145">
        <v>38</v>
      </c>
      <c r="AU40" s="154" t="str">
        <f>IF(AY40&lt;&gt;" ",ETANCHEITE!$D$5,"")</f>
        <v/>
      </c>
      <c r="AV40" s="154" t="str">
        <f>IF(AY40&lt;&gt;" ",ETANCHEITE!$D$8,"")</f>
        <v/>
      </c>
      <c r="AW40" s="146" t="str">
        <f>IFERROR(MATCH(AT40,ETANCHEITE!BH$22:BH$167,0)+18,"")</f>
        <v/>
      </c>
      <c r="AX40" s="147" t="str" cm="1">
        <f t="array" aca="1" ref="AX40" ca="1">IFERROR(IF(_xlfn.XLOOKUP(AT40,ETANCHEITE!BH$22:BH$167,ETANCHEITE!$A$22:$A$167,"")&lt;&gt;"",_xlfn.XLOOKUP(AT40,ETANCHEITE!BH$22:BH$167,ETANCHEITE!$A$22:$A$167,""),    INDEX(ETANCHEITE!$A:$A,MAX(_xlfn._xlws.FILTER(ROW(ETANCHEITE!$A$22:INDIRECT("'MENUISERIES EXTERIEURES'!$A" &amp; AW40-1)),ETANCHEITE!$A$22:INDIRECT("'MENUISERIES EXTERIEURES'!$A" &amp; AW40-1)&lt;&gt;"")))),"")&amp;"   "&amp;IFERROR(_xlfn.XLOOKUP(AT40,ETANCHEITE!BH$22:BH$167,ETANCHEITE!$B$22:$B$167),"")&amp;IFERROR(_xlfn.XLOOKUP(AT40,ETANCHEITE!BH$22:BH$167,ETANCHEITE!$C$22:$C$167),"")&amp;IFERROR(_xlfn.XLOOKUP(AT40,ETANCHEITE!BH$22:BH$167,ETANCHEITE!$D$22:$D$167),"")&amp;IFERROR(_xlfn.XLOOKUP(AT40,ETANCHEITE!BH$22:BH$167,ETANCHEITE!#REF!),"")&amp;IFERROR(_xlfn.XLOOKUP(AT40,ETANCHEITE!BH$22:BH$167,ETANCHEITE!#REF!),"")</f>
        <v xml:space="preserve">   </v>
      </c>
      <c r="AY40" s="155" t="str">
        <f>IFERROR(VLOOKUP(AT40,ETANCHEITE!BH$22:BJ$167,2,FALSE),"")&amp;" "&amp;IFERROR(VLOOKUP(AT40,ETANCHEITE!BH$22:BJ$167,3,FALSE),"")</f>
        <v xml:space="preserve"> </v>
      </c>
      <c r="AZ40" s="148" t="str">
        <f>IF(AY40&lt;&gt;" ",'Feuille de Donnée'!$C$3,"")</f>
        <v/>
      </c>
      <c r="BA40" s="162" t="str" cm="1">
        <f t="array" aca="1" ref="BA40" ca="1">IFERROR(IF(_xlfn.XLOOKUP(AT40,ETANCHEITE!BH$22:BH$92,ETANCHEITE!BF$22:BF$92,"")&lt;&gt;"",_xlfn.XLOOKUP(AT40,ETANCHEITE!BH$22:BH$92,ETANCHEITE!BF$22:BF$92,""),    INDEX(ETANCHEITE!BF:BF,MAX(_xlfn._xlws.FILTER(ROW(ETANCHEITE!BF$22:INDIRECT("'PEINTURE'!O" &amp; AW40-1)),ETANCHEITE!BF$22:INDIRECT("'PEINTURE'!O" &amp; AW40-1)&lt;&gt;"")))),"")</f>
        <v/>
      </c>
      <c r="BB40" s="163" t="str" cm="1">
        <f t="array" aca="1" ref="BB40" ca="1">IFERROR(IF(_xlfn.XLOOKUP(AT40,ETANCHEITE!BH$22:BH$92,ETANCHEITE!BG$22:BG$92,"")&lt;&gt;"",_xlfn.XLOOKUP(AT40,ETANCHEITE!BH$22:BH$92,ETANCHEITE!BG$22:BG$92,""),    INDEX(ETANCHEITE!BG:BG,MAX(_xlfn._xlws.FILTER(ROW(ETANCHEITE!BG$22:INDIRECT("'PEINTURE'!P" &amp; AW40-1)),ETANCHEITE!BG$22:INDIRECT("'PEINTURE'!P" &amp; AW40-1)&lt;&gt;"")))),"")</f>
        <v/>
      </c>
    </row>
    <row r="41" spans="1:54" ht="16.5" customHeight="1" x14ac:dyDescent="0.3">
      <c r="A41" s="145">
        <v>39</v>
      </c>
      <c r="B41" s="154" t="str">
        <f>IF(F41&lt;&gt;" ",ETANCHEITE!$D$5,"")</f>
        <v/>
      </c>
      <c r="C41" s="154" t="str">
        <f>IF(F41&lt;&gt;" ",ETANCHEITE!$D$8,"")</f>
        <v/>
      </c>
      <c r="D41" s="146" t="str">
        <f>IFERROR(MATCH(A41,ETANCHEITE!O$22:O$167,0)+18,"")</f>
        <v/>
      </c>
      <c r="E41" s="147" t="str" cm="1">
        <f t="array" aca="1" ref="E41" ca="1">IFERROR(IF(_xlfn.XLOOKUP(A41,ETANCHEITE!O$22:O$167,ETANCHEITE!$A$22:$A$167,"")&lt;&gt;"",_xlfn.XLOOKUP(A41,ETANCHEITE!O$22:O$167,ETANCHEITE!$A$22:$A$167,""),    INDEX(ETANCHEITE!$A:$A,MAX(_xlfn._xlws.FILTER(ROW(ETANCHEITE!$A$22:INDIRECT("'MENUISERIES EXTERIEURES'!$A" &amp; D41-1)),ETANCHEITE!$A$22:INDIRECT("'MENUISERIES EXTERIEURES'!$A" &amp; D41-1)&lt;&gt;"")))),"")&amp;"   "&amp;IFERROR(_xlfn.XLOOKUP(A41,ETANCHEITE!O$22:O$167,ETANCHEITE!$B$22:$B$167),"")&amp;IFERROR(_xlfn.XLOOKUP(A41,ETANCHEITE!O$22:O$167,ETANCHEITE!$C$22:$C$167),"")&amp;IFERROR(_xlfn.XLOOKUP(A41,ETANCHEITE!O$22:O$167,ETANCHEITE!$D$22:$D$167),"")&amp;IFERROR(_xlfn.XLOOKUP(A41,ETANCHEITE!O$22:O$167,ETANCHEITE!#REF!),"")&amp;IFERROR(_xlfn.XLOOKUP(A41,ETANCHEITE!O$22:O$167,ETANCHEITE!#REF!),"")</f>
        <v xml:space="preserve">   </v>
      </c>
      <c r="F41" s="155" t="str">
        <f>IFERROR(VLOOKUP(A41,ETANCHEITE!O$22:Q$167,2,FALSE),"")&amp;" "&amp;IFERROR(VLOOKUP(A41,ETANCHEITE!O$22:Q$167,3,FALSE),"")</f>
        <v xml:space="preserve"> </v>
      </c>
      <c r="G41" s="148" t="str">
        <f>IF(F41&lt;&gt;" ",'Feuille de Donnée'!$C$3,"")</f>
        <v/>
      </c>
      <c r="H41" s="162" t="str" cm="1">
        <f t="array" aca="1" ref="H41" ca="1">IFERROR(IF(_xlfn.XLOOKUP(A41,ETANCHEITE!O$22:O$92,ETANCHEITE!M$22:M$92,"")&lt;&gt;"",_xlfn.XLOOKUP(A41,ETANCHEITE!O$22:O$92,ETANCHEITE!M$22:M$92,""),    INDEX(ETANCHEITE!M:M,MAX(_xlfn._xlws.FILTER(ROW(ETANCHEITE!M$22:INDIRECT("'PEINTURE'!O" &amp; D41-1)),ETANCHEITE!M$22:INDIRECT("'PEINTURE'!O" &amp; D41-1)&lt;&gt;"")))),"")</f>
        <v/>
      </c>
      <c r="I41" s="163" t="str" cm="1">
        <f t="array" aca="1" ref="I41" ca="1">IFERROR(IF(_xlfn.XLOOKUP(A41,ETANCHEITE!O$22:O$92,ETANCHEITE!N$22:N$92,"")&lt;&gt;"",_xlfn.XLOOKUP(A41,ETANCHEITE!O$22:O$92,ETANCHEITE!N$22:N$92,""),    INDEX(ETANCHEITE!N:N,MAX(_xlfn._xlws.FILTER(ROW(ETANCHEITE!N$22:INDIRECT("'PEINTURE'!P" &amp; D41-1)),ETANCHEITE!N$22:INDIRECT("'PEINTURE'!P" &amp; D41-1)&lt;&gt;"")))),"")</f>
        <v/>
      </c>
      <c r="J41" s="145">
        <v>39</v>
      </c>
      <c r="K41" s="154" t="str">
        <f>IF(O41&lt;&gt;" ",ETANCHEITE!$D$5,"")</f>
        <v/>
      </c>
      <c r="L41" s="154" t="str">
        <f>IF(O41&lt;&gt;" ",ETANCHEITE!$D$8,"")</f>
        <v/>
      </c>
      <c r="M41" s="146" t="str">
        <f>IFERROR(MATCH(J41,ETANCHEITE!X$22:X$167,0)+18,"")</f>
        <v/>
      </c>
      <c r="N41" s="147" t="str" cm="1">
        <f t="array" aca="1" ref="N41" ca="1">IFERROR(IF(_xlfn.XLOOKUP(J41,ETANCHEITE!X$22:X$167,ETANCHEITE!$A$22:$A$167,"")&lt;&gt;"",_xlfn.XLOOKUP(J41,ETANCHEITE!X$22:X$167,ETANCHEITE!$A$22:$A$167,""),    INDEX(ETANCHEITE!$A:$A,MAX(_xlfn._xlws.FILTER(ROW(ETANCHEITE!$A$22:INDIRECT("'MENUISERIES EXTERIEURES'!$A" &amp; M41-1)),ETANCHEITE!$A$22:INDIRECT("'MENUISERIES EXTERIEURES'!$A" &amp; M41-1)&lt;&gt;"")))),"")&amp;"   "&amp;IFERROR(_xlfn.XLOOKUP(J41,ETANCHEITE!X$22:X$167,ETANCHEITE!$B$22:$B$167),"")&amp;IFERROR(_xlfn.XLOOKUP(J41,ETANCHEITE!X$22:X$167,ETANCHEITE!$C$22:$C$167),"")&amp;IFERROR(_xlfn.XLOOKUP(J41,ETANCHEITE!X$22:X$167,ETANCHEITE!$D$22:$D$167),"")&amp;IFERROR(_xlfn.XLOOKUP(J41,ETANCHEITE!X$22:X$167,ETANCHEITE!#REF!),"")&amp;IFERROR(_xlfn.XLOOKUP(J41,ETANCHEITE!X$22:X$167,ETANCHEITE!#REF!),"")</f>
        <v xml:space="preserve">   </v>
      </c>
      <c r="O41" s="155" t="str">
        <f>IFERROR(VLOOKUP(J41,ETANCHEITE!X$22:Z$167,2,FALSE),"")&amp;" "&amp;IFERROR(VLOOKUP(J41,ETANCHEITE!X$22:Z$167,3,FALSE),"")</f>
        <v xml:space="preserve"> </v>
      </c>
      <c r="P41" s="148" t="str">
        <f>IF(O41&lt;&gt;" ",'Feuille de Donnée'!$C$3,"")</f>
        <v/>
      </c>
      <c r="Q41" s="162" t="str" cm="1">
        <f t="array" aca="1" ref="Q41" ca="1">IFERROR(IF(_xlfn.XLOOKUP(J41,ETANCHEITE!X$22:X$92,ETANCHEITE!V$22:V$92,"")&lt;&gt;"",_xlfn.XLOOKUP(J41,ETANCHEITE!X$22:X$92,ETANCHEITE!V$22:V$92,""),    INDEX(ETANCHEITE!V:V,MAX(_xlfn._xlws.FILTER(ROW(ETANCHEITE!V$22:INDIRECT("'PEINTURE'!O" &amp; M41-1)),ETANCHEITE!V$22:INDIRECT("'PEINTURE'!O" &amp; M41-1)&lt;&gt;"")))),"")</f>
        <v/>
      </c>
      <c r="R41" s="163" t="str" cm="1">
        <f t="array" aca="1" ref="R41" ca="1">IFERROR(IF(_xlfn.XLOOKUP(J41,ETANCHEITE!X$22:X$92,ETANCHEITE!W$22:W$92,"")&lt;&gt;"",_xlfn.XLOOKUP(J41,ETANCHEITE!X$22:X$92,ETANCHEITE!W$22:W$92,""),    INDEX(ETANCHEITE!W:W,MAX(_xlfn._xlws.FILTER(ROW(ETANCHEITE!W$22:INDIRECT("'PEINTURE'!P" &amp; M41-1)),ETANCHEITE!W$22:INDIRECT("'PEINTURE'!P" &amp; M41-1)&lt;&gt;"")))),"")</f>
        <v/>
      </c>
      <c r="S41" s="145">
        <v>39</v>
      </c>
      <c r="T41" s="154" t="str">
        <f>IF(X41&lt;&gt;" ",ETANCHEITE!$D$5,"")</f>
        <v/>
      </c>
      <c r="U41" s="154" t="str">
        <f>IF(X41&lt;&gt;" ",ETANCHEITE!$D$8,"")</f>
        <v/>
      </c>
      <c r="V41" s="146" t="str">
        <f>IFERROR(MATCH(S41,ETANCHEITE!AG$22:AG$167,0)+18,"")</f>
        <v/>
      </c>
      <c r="W41" s="147" t="str" cm="1">
        <f t="array" aca="1" ref="W41" ca="1">IFERROR(IF(_xlfn.XLOOKUP(S41,ETANCHEITE!AG$22:AG$167,ETANCHEITE!$A$22:$A$167,"")&lt;&gt;"",_xlfn.XLOOKUP(S41,ETANCHEITE!AG$22:AG$167,ETANCHEITE!$A$22:$A$167,""),    INDEX(ETANCHEITE!$A:$A,MAX(_xlfn._xlws.FILTER(ROW(ETANCHEITE!$A$22:INDIRECT("'MENUISERIES EXTERIEURES'!$A" &amp; V41-1)),ETANCHEITE!$A$22:INDIRECT("'MENUISERIES EXTERIEURES'!$A" &amp; V41-1)&lt;&gt;"")))),"")&amp;"   "&amp;IFERROR(_xlfn.XLOOKUP(S41,ETANCHEITE!AG$22:AG$167,ETANCHEITE!$B$22:$B$167),"")&amp;IFERROR(_xlfn.XLOOKUP(S41,ETANCHEITE!AG$22:AG$167,ETANCHEITE!$C$22:$C$167),"")&amp;IFERROR(_xlfn.XLOOKUP(S41,ETANCHEITE!AG$22:AG$167,ETANCHEITE!$D$22:$D$167),"")&amp;IFERROR(_xlfn.XLOOKUP(S41,ETANCHEITE!AG$22:AG$167,ETANCHEITE!#REF!),"")&amp;IFERROR(_xlfn.XLOOKUP(S41,ETANCHEITE!AG$22:AG$167,ETANCHEITE!#REF!),"")</f>
        <v xml:space="preserve">   </v>
      </c>
      <c r="X41" s="155" t="str">
        <f>IFERROR(VLOOKUP(S41,ETANCHEITE!AG$22:AI$167,2,FALSE),"")&amp;" "&amp;IFERROR(VLOOKUP(S41,ETANCHEITE!AG$22:AI$167,3,FALSE),"")</f>
        <v xml:space="preserve"> </v>
      </c>
      <c r="Y41" s="148" t="str">
        <f>IF(X41&lt;&gt;" ",'Feuille de Donnée'!$C$3,"")</f>
        <v/>
      </c>
      <c r="Z41" s="162" t="str" cm="1">
        <f t="array" aca="1" ref="Z41" ca="1">IFERROR(IF(_xlfn.XLOOKUP(S41,ETANCHEITE!AG$22:AG$92,ETANCHEITE!AE$22:AE$92,"")&lt;&gt;"",_xlfn.XLOOKUP(S41,ETANCHEITE!AG$22:AG$92,ETANCHEITE!AE$22:AE$92,""),    INDEX(ETANCHEITE!AE:AE,MAX(_xlfn._xlws.FILTER(ROW(ETANCHEITE!AE$22:INDIRECT("'PEINTURE'!O" &amp; V41-1)),ETANCHEITE!AE$22:INDIRECT("'PEINTURE'!O" &amp; V41-1)&lt;&gt;"")))),"")</f>
        <v/>
      </c>
      <c r="AA41" s="163" t="str" cm="1">
        <f t="array" aca="1" ref="AA41" ca="1">IFERROR(IF(_xlfn.XLOOKUP(S41,ETANCHEITE!AG$22:AG$92,ETANCHEITE!AF$22:AF$92,"")&lt;&gt;"",_xlfn.XLOOKUP(S41,ETANCHEITE!AG$22:AG$92,ETANCHEITE!AF$22:AF$92,""),    INDEX(ETANCHEITE!AF:AF,MAX(_xlfn._xlws.FILTER(ROW(ETANCHEITE!AF$22:INDIRECT("'PEINTURE'!P" &amp; V41-1)),ETANCHEITE!AF$22:INDIRECT("'PEINTURE'!P" &amp; V41-1)&lt;&gt;"")))),"")</f>
        <v/>
      </c>
      <c r="AB41" s="145">
        <v>39</v>
      </c>
      <c r="AC41" s="154" t="str">
        <f>IF(AG41&lt;&gt;" ",ETANCHEITE!$D$5,"")</f>
        <v/>
      </c>
      <c r="AD41" s="154" t="str">
        <f>IF(AG41&lt;&gt;" ",ETANCHEITE!$D$8,"")</f>
        <v/>
      </c>
      <c r="AE41" s="146" t="str">
        <f>IFERROR(MATCH(AB41,ETANCHEITE!AP$22:AP$167,0)+18,"")</f>
        <v/>
      </c>
      <c r="AF41" s="147" t="str" cm="1">
        <f t="array" aca="1" ref="AF41" ca="1">IFERROR(IF(_xlfn.XLOOKUP(AB41,ETANCHEITE!AP$22:AP$167,ETANCHEITE!$A$22:$A$167,"")&lt;&gt;"",_xlfn.XLOOKUP(AB41,ETANCHEITE!AP$22:AP$167,ETANCHEITE!$A$22:$A$167,""),    INDEX(ETANCHEITE!$A:$A,MAX(_xlfn._xlws.FILTER(ROW(ETANCHEITE!$A$22:INDIRECT("'MENUISERIES EXTERIEURES'!$A" &amp; AE41-1)),ETANCHEITE!$A$22:INDIRECT("'MENUISERIES EXTERIEURES'!$A" &amp; AE41-1)&lt;&gt;"")))),"")&amp;"   "&amp;IFERROR(_xlfn.XLOOKUP(AB41,ETANCHEITE!AP$22:AP$167,ETANCHEITE!$B$22:$B$167),"")&amp;IFERROR(_xlfn.XLOOKUP(AB41,ETANCHEITE!AP$22:AP$167,ETANCHEITE!$C$22:$C$167),"")&amp;IFERROR(_xlfn.XLOOKUP(AB41,ETANCHEITE!AP$22:AP$167,ETANCHEITE!$D$22:$D$167),"")&amp;IFERROR(_xlfn.XLOOKUP(AB41,ETANCHEITE!AP$22:AP$167,ETANCHEITE!#REF!),"")&amp;IFERROR(_xlfn.XLOOKUP(AB41,ETANCHEITE!AP$22:AP$167,ETANCHEITE!#REF!),"")</f>
        <v xml:space="preserve">   </v>
      </c>
      <c r="AG41" s="155" t="str">
        <f>IFERROR(VLOOKUP(AB41,ETANCHEITE!AP$22:AR$167,2,FALSE),"")&amp;" "&amp;IFERROR(VLOOKUP(AB41,ETANCHEITE!AP$22:AR$167,3,FALSE),"")</f>
        <v xml:space="preserve"> </v>
      </c>
      <c r="AH41" s="148" t="str">
        <f>IF(AG41&lt;&gt;" ",'Feuille de Donnée'!$C$3,"")</f>
        <v/>
      </c>
      <c r="AI41" s="162" t="str" cm="1">
        <f t="array" aca="1" ref="AI41" ca="1">IFERROR(IF(_xlfn.XLOOKUP(AB41,ETANCHEITE!AP$22:AP$92,ETANCHEITE!AN$22:AN$92,"")&lt;&gt;"",_xlfn.XLOOKUP(AB41,ETANCHEITE!AP$22:AP$92,ETANCHEITE!AN$22:AN$92,""),    INDEX(ETANCHEITE!AN:AN,MAX(_xlfn._xlws.FILTER(ROW(ETANCHEITE!AN$22:INDIRECT("'PEINTURE'!O" &amp; AE41-1)),ETANCHEITE!AN$22:INDIRECT("'PEINTURE'!O" &amp; AE41-1)&lt;&gt;"")))),"")</f>
        <v/>
      </c>
      <c r="AJ41" s="163" t="str" cm="1">
        <f t="array" aca="1" ref="AJ41" ca="1">IFERROR(IF(_xlfn.XLOOKUP(AB41,ETANCHEITE!AP$22:AP$92,ETANCHEITE!AO$22:AO$92,"")&lt;&gt;"",_xlfn.XLOOKUP(AB41,ETANCHEITE!AP$22:AP$92,ETANCHEITE!AO$22:AO$92,""),    INDEX(ETANCHEITE!AO:AO,MAX(_xlfn._xlws.FILTER(ROW(ETANCHEITE!AO$22:INDIRECT("'PEINTURE'!P" &amp; AE41-1)),ETANCHEITE!AO$22:INDIRECT("'PEINTURE'!P" &amp; AE41-1)&lt;&gt;"")))),"")</f>
        <v/>
      </c>
      <c r="AK41" s="145">
        <v>39</v>
      </c>
      <c r="AL41" s="154" t="str">
        <f>IF(AP41&lt;&gt;" ",ETANCHEITE!$D$5,"")</f>
        <v/>
      </c>
      <c r="AM41" s="154" t="str">
        <f>IF(AP41&lt;&gt;" ",ETANCHEITE!$D$8,"")</f>
        <v/>
      </c>
      <c r="AN41" s="146" t="str">
        <f>IFERROR(MATCH(AK41,ETANCHEITE!AY$22:AY$167,0)+18,"")</f>
        <v/>
      </c>
      <c r="AO41" s="147" t="str" cm="1">
        <f t="array" aca="1" ref="AO41" ca="1">IFERROR(IF(_xlfn.XLOOKUP(AK41,ETANCHEITE!AY$22:AY$167,ETANCHEITE!$A$22:$A$167,"")&lt;&gt;"",_xlfn.XLOOKUP(AK41,ETANCHEITE!AY$22:AY$167,ETANCHEITE!$A$22:$A$167,""),    INDEX(ETANCHEITE!$A:$A,MAX(_xlfn._xlws.FILTER(ROW(ETANCHEITE!$A$22:INDIRECT("'MENUISERIES EXTERIEURES'!$A" &amp; AN41-1)),ETANCHEITE!$A$22:INDIRECT("'MENUISERIES EXTERIEURES'!$A" &amp; AN41-1)&lt;&gt;"")))),"")&amp;"   "&amp;IFERROR(_xlfn.XLOOKUP(AK41,ETANCHEITE!AY$22:AY$167,ETANCHEITE!$B$22:$B$167),"")&amp;IFERROR(_xlfn.XLOOKUP(AK41,ETANCHEITE!AY$22:AY$167,ETANCHEITE!$C$22:$C$167),"")&amp;IFERROR(_xlfn.XLOOKUP(AK41,ETANCHEITE!AY$22:AY$167,ETANCHEITE!$D$22:$D$167),"")&amp;IFERROR(_xlfn.XLOOKUP(AK41,ETANCHEITE!AY$22:AY$167,ETANCHEITE!#REF!),"")&amp;IFERROR(_xlfn.XLOOKUP(AK41,ETANCHEITE!AY$22:AY$167,ETANCHEITE!#REF!),"")</f>
        <v xml:space="preserve">   </v>
      </c>
      <c r="AP41" s="155" t="str">
        <f>IFERROR(VLOOKUP(AK41,ETANCHEITE!AY$22:BA$167,2,FALSE),"")&amp;" "&amp;IFERROR(VLOOKUP(AK41,ETANCHEITE!AY$22:BA$167,3,FALSE),"")</f>
        <v xml:space="preserve"> </v>
      </c>
      <c r="AQ41" s="148" t="str">
        <f>IF(AP41&lt;&gt;" ",'Feuille de Donnée'!$C$3,"")</f>
        <v/>
      </c>
      <c r="AR41" s="162" t="str" cm="1">
        <f t="array" aca="1" ref="AR41" ca="1">IFERROR(IF(_xlfn.XLOOKUP(AK41,ETANCHEITE!AY$22:AY$92,ETANCHEITE!AW$22:AW$92,"")&lt;&gt;"",_xlfn.XLOOKUP(AK41,ETANCHEITE!AY$22:AY$92,ETANCHEITE!AW$22:AW$92,""),    INDEX(ETANCHEITE!AW:AW,MAX(_xlfn._xlws.FILTER(ROW(ETANCHEITE!AW$22:INDIRECT("'PEINTURE'!O" &amp; AN41-1)),ETANCHEITE!AW$22:INDIRECT("'PEINTURE'!O" &amp; AN41-1)&lt;&gt;"")))),"")</f>
        <v/>
      </c>
      <c r="AS41" s="163" t="str" cm="1">
        <f t="array" aca="1" ref="AS41" ca="1">IFERROR(IF(_xlfn.XLOOKUP(AK41,ETANCHEITE!AY$22:AY$92,ETANCHEITE!AX$22:AX$92,"")&lt;&gt;"",_xlfn.XLOOKUP(AK41,ETANCHEITE!AY$22:AY$92,ETANCHEITE!AX$22:AX$92,""),    INDEX(ETANCHEITE!AX:AX,MAX(_xlfn._xlws.FILTER(ROW(ETANCHEITE!AX$22:INDIRECT("'PEINTURE'!P" &amp; AN41-1)),ETANCHEITE!AX$22:INDIRECT("'PEINTURE'!P" &amp; AN41-1)&lt;&gt;"")))),"")</f>
        <v/>
      </c>
      <c r="AT41" s="145">
        <v>39</v>
      </c>
      <c r="AU41" s="154" t="str">
        <f>IF(AY41&lt;&gt;" ",ETANCHEITE!$D$5,"")</f>
        <v/>
      </c>
      <c r="AV41" s="154" t="str">
        <f>IF(AY41&lt;&gt;" ",ETANCHEITE!$D$8,"")</f>
        <v/>
      </c>
      <c r="AW41" s="146" t="str">
        <f>IFERROR(MATCH(AT41,ETANCHEITE!BH$22:BH$167,0)+18,"")</f>
        <v/>
      </c>
      <c r="AX41" s="147" t="str" cm="1">
        <f t="array" aca="1" ref="AX41" ca="1">IFERROR(IF(_xlfn.XLOOKUP(AT41,ETANCHEITE!BH$22:BH$167,ETANCHEITE!$A$22:$A$167,"")&lt;&gt;"",_xlfn.XLOOKUP(AT41,ETANCHEITE!BH$22:BH$167,ETANCHEITE!$A$22:$A$167,""),    INDEX(ETANCHEITE!$A:$A,MAX(_xlfn._xlws.FILTER(ROW(ETANCHEITE!$A$22:INDIRECT("'MENUISERIES EXTERIEURES'!$A" &amp; AW41-1)),ETANCHEITE!$A$22:INDIRECT("'MENUISERIES EXTERIEURES'!$A" &amp; AW41-1)&lt;&gt;"")))),"")&amp;"   "&amp;IFERROR(_xlfn.XLOOKUP(AT41,ETANCHEITE!BH$22:BH$167,ETANCHEITE!$B$22:$B$167),"")&amp;IFERROR(_xlfn.XLOOKUP(AT41,ETANCHEITE!BH$22:BH$167,ETANCHEITE!$C$22:$C$167),"")&amp;IFERROR(_xlfn.XLOOKUP(AT41,ETANCHEITE!BH$22:BH$167,ETANCHEITE!$D$22:$D$167),"")&amp;IFERROR(_xlfn.XLOOKUP(AT41,ETANCHEITE!BH$22:BH$167,ETANCHEITE!#REF!),"")&amp;IFERROR(_xlfn.XLOOKUP(AT41,ETANCHEITE!BH$22:BH$167,ETANCHEITE!#REF!),"")</f>
        <v xml:space="preserve">   </v>
      </c>
      <c r="AY41" s="155" t="str">
        <f>IFERROR(VLOOKUP(AT41,ETANCHEITE!BH$22:BJ$167,2,FALSE),"")&amp;" "&amp;IFERROR(VLOOKUP(AT41,ETANCHEITE!BH$22:BJ$167,3,FALSE),"")</f>
        <v xml:space="preserve"> </v>
      </c>
      <c r="AZ41" s="148" t="str">
        <f>IF(AY41&lt;&gt;" ",'Feuille de Donnée'!$C$3,"")</f>
        <v/>
      </c>
      <c r="BA41" s="162" t="str" cm="1">
        <f t="array" aca="1" ref="BA41" ca="1">IFERROR(IF(_xlfn.XLOOKUP(AT41,ETANCHEITE!BH$22:BH$92,ETANCHEITE!BF$22:BF$92,"")&lt;&gt;"",_xlfn.XLOOKUP(AT41,ETANCHEITE!BH$22:BH$92,ETANCHEITE!BF$22:BF$92,""),    INDEX(ETANCHEITE!BF:BF,MAX(_xlfn._xlws.FILTER(ROW(ETANCHEITE!BF$22:INDIRECT("'PEINTURE'!O" &amp; AW41-1)),ETANCHEITE!BF$22:INDIRECT("'PEINTURE'!O" &amp; AW41-1)&lt;&gt;"")))),"")</f>
        <v/>
      </c>
      <c r="BB41" s="163" t="str" cm="1">
        <f t="array" aca="1" ref="BB41" ca="1">IFERROR(IF(_xlfn.XLOOKUP(AT41,ETANCHEITE!BH$22:BH$92,ETANCHEITE!BG$22:BG$92,"")&lt;&gt;"",_xlfn.XLOOKUP(AT41,ETANCHEITE!BH$22:BH$92,ETANCHEITE!BG$22:BG$92,""),    INDEX(ETANCHEITE!BG:BG,MAX(_xlfn._xlws.FILTER(ROW(ETANCHEITE!BG$22:INDIRECT("'PEINTURE'!P" &amp; AW41-1)),ETANCHEITE!BG$22:INDIRECT("'PEINTURE'!P" &amp; AW41-1)&lt;&gt;"")))),"")</f>
        <v/>
      </c>
    </row>
    <row r="42" spans="1:54" ht="16.5" customHeight="1" x14ac:dyDescent="0.3">
      <c r="A42" s="145">
        <v>40</v>
      </c>
      <c r="B42" s="154" t="str">
        <f>IF(F42&lt;&gt;" ",ETANCHEITE!$D$5,"")</f>
        <v/>
      </c>
      <c r="C42" s="154" t="str">
        <f>IF(F42&lt;&gt;" ",ETANCHEITE!$D$8,"")</f>
        <v/>
      </c>
      <c r="D42" s="146" t="str">
        <f>IFERROR(MATCH(A42,ETANCHEITE!O$22:O$167,0)+18,"")</f>
        <v/>
      </c>
      <c r="E42" s="147" t="str" cm="1">
        <f t="array" aca="1" ref="E42" ca="1">IFERROR(IF(_xlfn.XLOOKUP(A42,ETANCHEITE!O$22:O$167,ETANCHEITE!$A$22:$A$167,"")&lt;&gt;"",_xlfn.XLOOKUP(A42,ETANCHEITE!O$22:O$167,ETANCHEITE!$A$22:$A$167,""),    INDEX(ETANCHEITE!$A:$A,MAX(_xlfn._xlws.FILTER(ROW(ETANCHEITE!$A$22:INDIRECT("'MENUISERIES EXTERIEURES'!$A" &amp; D42-1)),ETANCHEITE!$A$22:INDIRECT("'MENUISERIES EXTERIEURES'!$A" &amp; D42-1)&lt;&gt;"")))),"")&amp;"   "&amp;IFERROR(_xlfn.XLOOKUP(A42,ETANCHEITE!O$22:O$167,ETANCHEITE!$B$22:$B$167),"")&amp;IFERROR(_xlfn.XLOOKUP(A42,ETANCHEITE!O$22:O$167,ETANCHEITE!$C$22:$C$167),"")&amp;IFERROR(_xlfn.XLOOKUP(A42,ETANCHEITE!O$22:O$167,ETANCHEITE!$D$22:$D$167),"")&amp;IFERROR(_xlfn.XLOOKUP(A42,ETANCHEITE!O$22:O$167,ETANCHEITE!#REF!),"")&amp;IFERROR(_xlfn.XLOOKUP(A42,ETANCHEITE!O$22:O$167,ETANCHEITE!#REF!),"")</f>
        <v xml:space="preserve">   </v>
      </c>
      <c r="F42" s="155" t="str">
        <f>IFERROR(VLOOKUP(A42,ETANCHEITE!O$22:Q$167,2,FALSE),"")&amp;" "&amp;IFERROR(VLOOKUP(A42,ETANCHEITE!O$22:Q$167,3,FALSE),"")</f>
        <v xml:space="preserve"> </v>
      </c>
      <c r="G42" s="148" t="str">
        <f>IF(F42&lt;&gt;" ",'Feuille de Donnée'!$C$3,"")</f>
        <v/>
      </c>
      <c r="H42" s="162" t="str" cm="1">
        <f t="array" aca="1" ref="H42" ca="1">IFERROR(IF(_xlfn.XLOOKUP(A42,ETANCHEITE!O$22:O$92,ETANCHEITE!M$22:M$92,"")&lt;&gt;"",_xlfn.XLOOKUP(A42,ETANCHEITE!O$22:O$92,ETANCHEITE!M$22:M$92,""),    INDEX(ETANCHEITE!M:M,MAX(_xlfn._xlws.FILTER(ROW(ETANCHEITE!M$22:INDIRECT("'PEINTURE'!O" &amp; D42-1)),ETANCHEITE!M$22:INDIRECT("'PEINTURE'!O" &amp; D42-1)&lt;&gt;"")))),"")</f>
        <v/>
      </c>
      <c r="I42" s="163" t="str" cm="1">
        <f t="array" aca="1" ref="I42" ca="1">IFERROR(IF(_xlfn.XLOOKUP(A42,ETANCHEITE!O$22:O$92,ETANCHEITE!N$22:N$92,"")&lt;&gt;"",_xlfn.XLOOKUP(A42,ETANCHEITE!O$22:O$92,ETANCHEITE!N$22:N$92,""),    INDEX(ETANCHEITE!N:N,MAX(_xlfn._xlws.FILTER(ROW(ETANCHEITE!N$22:INDIRECT("'PEINTURE'!P" &amp; D42-1)),ETANCHEITE!N$22:INDIRECT("'PEINTURE'!P" &amp; D42-1)&lt;&gt;"")))),"")</f>
        <v/>
      </c>
      <c r="J42" s="145">
        <v>40</v>
      </c>
      <c r="K42" s="154" t="str">
        <f>IF(O42&lt;&gt;" ",ETANCHEITE!$D$5,"")</f>
        <v/>
      </c>
      <c r="L42" s="154" t="str">
        <f>IF(O42&lt;&gt;" ",ETANCHEITE!$D$8,"")</f>
        <v/>
      </c>
      <c r="M42" s="146" t="str">
        <f>IFERROR(MATCH(J42,ETANCHEITE!X$22:X$167,0)+18,"")</f>
        <v/>
      </c>
      <c r="N42" s="147" t="str" cm="1">
        <f t="array" aca="1" ref="N42" ca="1">IFERROR(IF(_xlfn.XLOOKUP(J42,ETANCHEITE!X$22:X$167,ETANCHEITE!$A$22:$A$167,"")&lt;&gt;"",_xlfn.XLOOKUP(J42,ETANCHEITE!X$22:X$167,ETANCHEITE!$A$22:$A$167,""),    INDEX(ETANCHEITE!$A:$A,MAX(_xlfn._xlws.FILTER(ROW(ETANCHEITE!$A$22:INDIRECT("'MENUISERIES EXTERIEURES'!$A" &amp; M42-1)),ETANCHEITE!$A$22:INDIRECT("'MENUISERIES EXTERIEURES'!$A" &amp; M42-1)&lt;&gt;"")))),"")&amp;"   "&amp;IFERROR(_xlfn.XLOOKUP(J42,ETANCHEITE!X$22:X$167,ETANCHEITE!$B$22:$B$167),"")&amp;IFERROR(_xlfn.XLOOKUP(J42,ETANCHEITE!X$22:X$167,ETANCHEITE!$C$22:$C$167),"")&amp;IFERROR(_xlfn.XLOOKUP(J42,ETANCHEITE!X$22:X$167,ETANCHEITE!$D$22:$D$167),"")&amp;IFERROR(_xlfn.XLOOKUP(J42,ETANCHEITE!X$22:X$167,ETANCHEITE!#REF!),"")&amp;IFERROR(_xlfn.XLOOKUP(J42,ETANCHEITE!X$22:X$167,ETANCHEITE!#REF!),"")</f>
        <v xml:space="preserve">   </v>
      </c>
      <c r="O42" s="155" t="str">
        <f>IFERROR(VLOOKUP(J42,ETANCHEITE!X$22:Z$167,2,FALSE),"")&amp;" "&amp;IFERROR(VLOOKUP(J42,ETANCHEITE!X$22:Z$167,3,FALSE),"")</f>
        <v xml:space="preserve"> </v>
      </c>
      <c r="P42" s="148" t="str">
        <f>IF(O42&lt;&gt;" ",'Feuille de Donnée'!$C$3,"")</f>
        <v/>
      </c>
      <c r="Q42" s="162" t="str" cm="1">
        <f t="array" aca="1" ref="Q42" ca="1">IFERROR(IF(_xlfn.XLOOKUP(J42,ETANCHEITE!X$22:X$92,ETANCHEITE!V$22:V$92,"")&lt;&gt;"",_xlfn.XLOOKUP(J42,ETANCHEITE!X$22:X$92,ETANCHEITE!V$22:V$92,""),    INDEX(ETANCHEITE!V:V,MAX(_xlfn._xlws.FILTER(ROW(ETANCHEITE!V$22:INDIRECT("'PEINTURE'!O" &amp; M42-1)),ETANCHEITE!V$22:INDIRECT("'PEINTURE'!O" &amp; M42-1)&lt;&gt;"")))),"")</f>
        <v/>
      </c>
      <c r="R42" s="163" t="str" cm="1">
        <f t="array" aca="1" ref="R42" ca="1">IFERROR(IF(_xlfn.XLOOKUP(J42,ETANCHEITE!X$22:X$92,ETANCHEITE!W$22:W$92,"")&lt;&gt;"",_xlfn.XLOOKUP(J42,ETANCHEITE!X$22:X$92,ETANCHEITE!W$22:W$92,""),    INDEX(ETANCHEITE!W:W,MAX(_xlfn._xlws.FILTER(ROW(ETANCHEITE!W$22:INDIRECT("'PEINTURE'!P" &amp; M42-1)),ETANCHEITE!W$22:INDIRECT("'PEINTURE'!P" &amp; M42-1)&lt;&gt;"")))),"")</f>
        <v/>
      </c>
      <c r="S42" s="145">
        <v>40</v>
      </c>
      <c r="T42" s="154" t="str">
        <f>IF(X42&lt;&gt;" ",ETANCHEITE!$D$5,"")</f>
        <v/>
      </c>
      <c r="U42" s="154" t="str">
        <f>IF(X42&lt;&gt;" ",ETANCHEITE!$D$8,"")</f>
        <v/>
      </c>
      <c r="V42" s="146" t="str">
        <f>IFERROR(MATCH(S42,ETANCHEITE!AG$22:AG$167,0)+18,"")</f>
        <v/>
      </c>
      <c r="W42" s="147" t="str" cm="1">
        <f t="array" aca="1" ref="W42" ca="1">IFERROR(IF(_xlfn.XLOOKUP(S42,ETANCHEITE!AG$22:AG$167,ETANCHEITE!$A$22:$A$167,"")&lt;&gt;"",_xlfn.XLOOKUP(S42,ETANCHEITE!AG$22:AG$167,ETANCHEITE!$A$22:$A$167,""),    INDEX(ETANCHEITE!$A:$A,MAX(_xlfn._xlws.FILTER(ROW(ETANCHEITE!$A$22:INDIRECT("'MENUISERIES EXTERIEURES'!$A" &amp; V42-1)),ETANCHEITE!$A$22:INDIRECT("'MENUISERIES EXTERIEURES'!$A" &amp; V42-1)&lt;&gt;"")))),"")&amp;"   "&amp;IFERROR(_xlfn.XLOOKUP(S42,ETANCHEITE!AG$22:AG$167,ETANCHEITE!$B$22:$B$167),"")&amp;IFERROR(_xlfn.XLOOKUP(S42,ETANCHEITE!AG$22:AG$167,ETANCHEITE!$C$22:$C$167),"")&amp;IFERROR(_xlfn.XLOOKUP(S42,ETANCHEITE!AG$22:AG$167,ETANCHEITE!$D$22:$D$167),"")&amp;IFERROR(_xlfn.XLOOKUP(S42,ETANCHEITE!AG$22:AG$167,ETANCHEITE!#REF!),"")&amp;IFERROR(_xlfn.XLOOKUP(S42,ETANCHEITE!AG$22:AG$167,ETANCHEITE!#REF!),"")</f>
        <v xml:space="preserve">   </v>
      </c>
      <c r="X42" s="155" t="str">
        <f>IFERROR(VLOOKUP(S42,ETANCHEITE!AG$22:AI$167,2,FALSE),"")&amp;" "&amp;IFERROR(VLOOKUP(S42,ETANCHEITE!AG$22:AI$167,3,FALSE),"")</f>
        <v xml:space="preserve"> </v>
      </c>
      <c r="Y42" s="148" t="str">
        <f>IF(X42&lt;&gt;" ",'Feuille de Donnée'!$C$3,"")</f>
        <v/>
      </c>
      <c r="Z42" s="162" t="str" cm="1">
        <f t="array" aca="1" ref="Z42" ca="1">IFERROR(IF(_xlfn.XLOOKUP(S42,ETANCHEITE!AG$22:AG$92,ETANCHEITE!AE$22:AE$92,"")&lt;&gt;"",_xlfn.XLOOKUP(S42,ETANCHEITE!AG$22:AG$92,ETANCHEITE!AE$22:AE$92,""),    INDEX(ETANCHEITE!AE:AE,MAX(_xlfn._xlws.FILTER(ROW(ETANCHEITE!AE$22:INDIRECT("'PEINTURE'!O" &amp; V42-1)),ETANCHEITE!AE$22:INDIRECT("'PEINTURE'!O" &amp; V42-1)&lt;&gt;"")))),"")</f>
        <v/>
      </c>
      <c r="AA42" s="163" t="str" cm="1">
        <f t="array" aca="1" ref="AA42" ca="1">IFERROR(IF(_xlfn.XLOOKUP(S42,ETANCHEITE!AG$22:AG$92,ETANCHEITE!AF$22:AF$92,"")&lt;&gt;"",_xlfn.XLOOKUP(S42,ETANCHEITE!AG$22:AG$92,ETANCHEITE!AF$22:AF$92,""),    INDEX(ETANCHEITE!AF:AF,MAX(_xlfn._xlws.FILTER(ROW(ETANCHEITE!AF$22:INDIRECT("'PEINTURE'!P" &amp; V42-1)),ETANCHEITE!AF$22:INDIRECT("'PEINTURE'!P" &amp; V42-1)&lt;&gt;"")))),"")</f>
        <v/>
      </c>
      <c r="AB42" s="145">
        <v>40</v>
      </c>
      <c r="AC42" s="154" t="str">
        <f>IF(AG42&lt;&gt;" ",ETANCHEITE!$D$5,"")</f>
        <v/>
      </c>
      <c r="AD42" s="154" t="str">
        <f>IF(AG42&lt;&gt;" ",ETANCHEITE!$D$8,"")</f>
        <v/>
      </c>
      <c r="AE42" s="146" t="str">
        <f>IFERROR(MATCH(AB42,ETANCHEITE!AP$22:AP$167,0)+18,"")</f>
        <v/>
      </c>
      <c r="AF42" s="147" t="str" cm="1">
        <f t="array" aca="1" ref="AF42" ca="1">IFERROR(IF(_xlfn.XLOOKUP(AB42,ETANCHEITE!AP$22:AP$167,ETANCHEITE!$A$22:$A$167,"")&lt;&gt;"",_xlfn.XLOOKUP(AB42,ETANCHEITE!AP$22:AP$167,ETANCHEITE!$A$22:$A$167,""),    INDEX(ETANCHEITE!$A:$A,MAX(_xlfn._xlws.FILTER(ROW(ETANCHEITE!$A$22:INDIRECT("'MENUISERIES EXTERIEURES'!$A" &amp; AE42-1)),ETANCHEITE!$A$22:INDIRECT("'MENUISERIES EXTERIEURES'!$A" &amp; AE42-1)&lt;&gt;"")))),"")&amp;"   "&amp;IFERROR(_xlfn.XLOOKUP(AB42,ETANCHEITE!AP$22:AP$167,ETANCHEITE!$B$22:$B$167),"")&amp;IFERROR(_xlfn.XLOOKUP(AB42,ETANCHEITE!AP$22:AP$167,ETANCHEITE!$C$22:$C$167),"")&amp;IFERROR(_xlfn.XLOOKUP(AB42,ETANCHEITE!AP$22:AP$167,ETANCHEITE!$D$22:$D$167),"")&amp;IFERROR(_xlfn.XLOOKUP(AB42,ETANCHEITE!AP$22:AP$167,ETANCHEITE!#REF!),"")&amp;IFERROR(_xlfn.XLOOKUP(AB42,ETANCHEITE!AP$22:AP$167,ETANCHEITE!#REF!),"")</f>
        <v xml:space="preserve">   </v>
      </c>
      <c r="AG42" s="155" t="str">
        <f>IFERROR(VLOOKUP(AB42,ETANCHEITE!AP$22:AR$167,2,FALSE),"")&amp;" "&amp;IFERROR(VLOOKUP(AB42,ETANCHEITE!AP$22:AR$167,3,FALSE),"")</f>
        <v xml:space="preserve"> </v>
      </c>
      <c r="AH42" s="148" t="str">
        <f>IF(AG42&lt;&gt;" ",'Feuille de Donnée'!$C$3,"")</f>
        <v/>
      </c>
      <c r="AI42" s="162" t="str" cm="1">
        <f t="array" aca="1" ref="AI42" ca="1">IFERROR(IF(_xlfn.XLOOKUP(AB42,ETANCHEITE!AP$22:AP$92,ETANCHEITE!AN$22:AN$92,"")&lt;&gt;"",_xlfn.XLOOKUP(AB42,ETANCHEITE!AP$22:AP$92,ETANCHEITE!AN$22:AN$92,""),    INDEX(ETANCHEITE!AN:AN,MAX(_xlfn._xlws.FILTER(ROW(ETANCHEITE!AN$22:INDIRECT("'PEINTURE'!O" &amp; AE42-1)),ETANCHEITE!AN$22:INDIRECT("'PEINTURE'!O" &amp; AE42-1)&lt;&gt;"")))),"")</f>
        <v/>
      </c>
      <c r="AJ42" s="163" t="str" cm="1">
        <f t="array" aca="1" ref="AJ42" ca="1">IFERROR(IF(_xlfn.XLOOKUP(AB42,ETANCHEITE!AP$22:AP$92,ETANCHEITE!AO$22:AO$92,"")&lt;&gt;"",_xlfn.XLOOKUP(AB42,ETANCHEITE!AP$22:AP$92,ETANCHEITE!AO$22:AO$92,""),    INDEX(ETANCHEITE!AO:AO,MAX(_xlfn._xlws.FILTER(ROW(ETANCHEITE!AO$22:INDIRECT("'PEINTURE'!P" &amp; AE42-1)),ETANCHEITE!AO$22:INDIRECT("'PEINTURE'!P" &amp; AE42-1)&lt;&gt;"")))),"")</f>
        <v/>
      </c>
      <c r="AK42" s="145">
        <v>40</v>
      </c>
      <c r="AL42" s="154" t="str">
        <f>IF(AP42&lt;&gt;" ",ETANCHEITE!$D$5,"")</f>
        <v/>
      </c>
      <c r="AM42" s="154" t="str">
        <f>IF(AP42&lt;&gt;" ",ETANCHEITE!$D$8,"")</f>
        <v/>
      </c>
      <c r="AN42" s="146" t="str">
        <f>IFERROR(MATCH(AK42,ETANCHEITE!AY$22:AY$167,0)+18,"")</f>
        <v/>
      </c>
      <c r="AO42" s="147" t="str" cm="1">
        <f t="array" aca="1" ref="AO42" ca="1">IFERROR(IF(_xlfn.XLOOKUP(AK42,ETANCHEITE!AY$22:AY$167,ETANCHEITE!$A$22:$A$167,"")&lt;&gt;"",_xlfn.XLOOKUP(AK42,ETANCHEITE!AY$22:AY$167,ETANCHEITE!$A$22:$A$167,""),    INDEX(ETANCHEITE!$A:$A,MAX(_xlfn._xlws.FILTER(ROW(ETANCHEITE!$A$22:INDIRECT("'MENUISERIES EXTERIEURES'!$A" &amp; AN42-1)),ETANCHEITE!$A$22:INDIRECT("'MENUISERIES EXTERIEURES'!$A" &amp; AN42-1)&lt;&gt;"")))),"")&amp;"   "&amp;IFERROR(_xlfn.XLOOKUP(AK42,ETANCHEITE!AY$22:AY$167,ETANCHEITE!$B$22:$B$167),"")&amp;IFERROR(_xlfn.XLOOKUP(AK42,ETANCHEITE!AY$22:AY$167,ETANCHEITE!$C$22:$C$167),"")&amp;IFERROR(_xlfn.XLOOKUP(AK42,ETANCHEITE!AY$22:AY$167,ETANCHEITE!$D$22:$D$167),"")&amp;IFERROR(_xlfn.XLOOKUP(AK42,ETANCHEITE!AY$22:AY$167,ETANCHEITE!#REF!),"")&amp;IFERROR(_xlfn.XLOOKUP(AK42,ETANCHEITE!AY$22:AY$167,ETANCHEITE!#REF!),"")</f>
        <v xml:space="preserve">   </v>
      </c>
      <c r="AP42" s="155" t="str">
        <f>IFERROR(VLOOKUP(AK42,ETANCHEITE!AY$22:BA$167,2,FALSE),"")&amp;" "&amp;IFERROR(VLOOKUP(AK42,ETANCHEITE!AY$22:BA$167,3,FALSE),"")</f>
        <v xml:space="preserve"> </v>
      </c>
      <c r="AQ42" s="148" t="str">
        <f>IF(AP42&lt;&gt;" ",'Feuille de Donnée'!$C$3,"")</f>
        <v/>
      </c>
      <c r="AR42" s="162" t="str" cm="1">
        <f t="array" aca="1" ref="AR42" ca="1">IFERROR(IF(_xlfn.XLOOKUP(AK42,ETANCHEITE!AY$22:AY$92,ETANCHEITE!AW$22:AW$92,"")&lt;&gt;"",_xlfn.XLOOKUP(AK42,ETANCHEITE!AY$22:AY$92,ETANCHEITE!AW$22:AW$92,""),    INDEX(ETANCHEITE!AW:AW,MAX(_xlfn._xlws.FILTER(ROW(ETANCHEITE!AW$22:INDIRECT("'PEINTURE'!O" &amp; AN42-1)),ETANCHEITE!AW$22:INDIRECT("'PEINTURE'!O" &amp; AN42-1)&lt;&gt;"")))),"")</f>
        <v/>
      </c>
      <c r="AS42" s="163" t="str" cm="1">
        <f t="array" aca="1" ref="AS42" ca="1">IFERROR(IF(_xlfn.XLOOKUP(AK42,ETANCHEITE!AY$22:AY$92,ETANCHEITE!AX$22:AX$92,"")&lt;&gt;"",_xlfn.XLOOKUP(AK42,ETANCHEITE!AY$22:AY$92,ETANCHEITE!AX$22:AX$92,""),    INDEX(ETANCHEITE!AX:AX,MAX(_xlfn._xlws.FILTER(ROW(ETANCHEITE!AX$22:INDIRECT("'PEINTURE'!P" &amp; AN42-1)),ETANCHEITE!AX$22:INDIRECT("'PEINTURE'!P" &amp; AN42-1)&lt;&gt;"")))),"")</f>
        <v/>
      </c>
      <c r="AT42" s="145">
        <v>40</v>
      </c>
      <c r="AU42" s="154" t="str">
        <f>IF(AY42&lt;&gt;" ",ETANCHEITE!$D$5,"")</f>
        <v/>
      </c>
      <c r="AV42" s="154" t="str">
        <f>IF(AY42&lt;&gt;" ",ETANCHEITE!$D$8,"")</f>
        <v/>
      </c>
      <c r="AW42" s="146" t="str">
        <f>IFERROR(MATCH(AT42,ETANCHEITE!BH$22:BH$167,0)+18,"")</f>
        <v/>
      </c>
      <c r="AX42" s="147" t="str" cm="1">
        <f t="array" aca="1" ref="AX42" ca="1">IFERROR(IF(_xlfn.XLOOKUP(AT42,ETANCHEITE!BH$22:BH$167,ETANCHEITE!$A$22:$A$167,"")&lt;&gt;"",_xlfn.XLOOKUP(AT42,ETANCHEITE!BH$22:BH$167,ETANCHEITE!$A$22:$A$167,""),    INDEX(ETANCHEITE!$A:$A,MAX(_xlfn._xlws.FILTER(ROW(ETANCHEITE!$A$22:INDIRECT("'MENUISERIES EXTERIEURES'!$A" &amp; AW42-1)),ETANCHEITE!$A$22:INDIRECT("'MENUISERIES EXTERIEURES'!$A" &amp; AW42-1)&lt;&gt;"")))),"")&amp;"   "&amp;IFERROR(_xlfn.XLOOKUP(AT42,ETANCHEITE!BH$22:BH$167,ETANCHEITE!$B$22:$B$167),"")&amp;IFERROR(_xlfn.XLOOKUP(AT42,ETANCHEITE!BH$22:BH$167,ETANCHEITE!$C$22:$C$167),"")&amp;IFERROR(_xlfn.XLOOKUP(AT42,ETANCHEITE!BH$22:BH$167,ETANCHEITE!$D$22:$D$167),"")&amp;IFERROR(_xlfn.XLOOKUP(AT42,ETANCHEITE!BH$22:BH$167,ETANCHEITE!#REF!),"")&amp;IFERROR(_xlfn.XLOOKUP(AT42,ETANCHEITE!BH$22:BH$167,ETANCHEITE!#REF!),"")</f>
        <v xml:space="preserve">   </v>
      </c>
      <c r="AY42" s="155" t="str">
        <f>IFERROR(VLOOKUP(AT42,ETANCHEITE!BH$22:BJ$167,2,FALSE),"")&amp;" "&amp;IFERROR(VLOOKUP(AT42,ETANCHEITE!BH$22:BJ$167,3,FALSE),"")</f>
        <v xml:space="preserve"> </v>
      </c>
      <c r="AZ42" s="148" t="str">
        <f>IF(AY42&lt;&gt;" ",'Feuille de Donnée'!$C$3,"")</f>
        <v/>
      </c>
      <c r="BA42" s="162" t="str" cm="1">
        <f t="array" aca="1" ref="BA42" ca="1">IFERROR(IF(_xlfn.XLOOKUP(AT42,ETANCHEITE!BH$22:BH$92,ETANCHEITE!BF$22:BF$92,"")&lt;&gt;"",_xlfn.XLOOKUP(AT42,ETANCHEITE!BH$22:BH$92,ETANCHEITE!BF$22:BF$92,""),    INDEX(ETANCHEITE!BF:BF,MAX(_xlfn._xlws.FILTER(ROW(ETANCHEITE!BF$22:INDIRECT("'PEINTURE'!O" &amp; AW42-1)),ETANCHEITE!BF$22:INDIRECT("'PEINTURE'!O" &amp; AW42-1)&lt;&gt;"")))),"")</f>
        <v/>
      </c>
      <c r="BB42" s="163" t="str" cm="1">
        <f t="array" aca="1" ref="BB42" ca="1">IFERROR(IF(_xlfn.XLOOKUP(AT42,ETANCHEITE!BH$22:BH$92,ETANCHEITE!BG$22:BG$92,"")&lt;&gt;"",_xlfn.XLOOKUP(AT42,ETANCHEITE!BH$22:BH$92,ETANCHEITE!BG$22:BG$92,""),    INDEX(ETANCHEITE!BG:BG,MAX(_xlfn._xlws.FILTER(ROW(ETANCHEITE!BG$22:INDIRECT("'PEINTURE'!P" &amp; AW42-1)),ETANCHEITE!BG$22:INDIRECT("'PEINTURE'!P" &amp; AW42-1)&lt;&gt;"")))),"")</f>
        <v/>
      </c>
    </row>
    <row r="43" spans="1:54" ht="16.5" customHeight="1" x14ac:dyDescent="0.3">
      <c r="A43" s="145">
        <v>41</v>
      </c>
      <c r="B43" s="154" t="str">
        <f>IF(F43&lt;&gt;" ",ETANCHEITE!$D$5,"")</f>
        <v/>
      </c>
      <c r="C43" s="154" t="str">
        <f>IF(F43&lt;&gt;" ",ETANCHEITE!$D$8,"")</f>
        <v/>
      </c>
      <c r="D43" s="146" t="str">
        <f>IFERROR(MATCH(A43,ETANCHEITE!O$22:O$167,0)+18,"")</f>
        <v/>
      </c>
      <c r="E43" s="147" t="str" cm="1">
        <f t="array" aca="1" ref="E43" ca="1">IFERROR(IF(_xlfn.XLOOKUP(A43,ETANCHEITE!O$22:O$167,ETANCHEITE!$A$22:$A$167,"")&lt;&gt;"",_xlfn.XLOOKUP(A43,ETANCHEITE!O$22:O$167,ETANCHEITE!$A$22:$A$167,""),    INDEX(ETANCHEITE!$A:$A,MAX(_xlfn._xlws.FILTER(ROW(ETANCHEITE!$A$22:INDIRECT("'MENUISERIES EXTERIEURES'!$A" &amp; D43-1)),ETANCHEITE!$A$22:INDIRECT("'MENUISERIES EXTERIEURES'!$A" &amp; D43-1)&lt;&gt;"")))),"")&amp;"   "&amp;IFERROR(_xlfn.XLOOKUP(A43,ETANCHEITE!O$22:O$167,ETANCHEITE!$B$22:$B$167),"")&amp;IFERROR(_xlfn.XLOOKUP(A43,ETANCHEITE!O$22:O$167,ETANCHEITE!$C$22:$C$167),"")&amp;IFERROR(_xlfn.XLOOKUP(A43,ETANCHEITE!O$22:O$167,ETANCHEITE!$D$22:$D$167),"")&amp;IFERROR(_xlfn.XLOOKUP(A43,ETANCHEITE!O$22:O$167,ETANCHEITE!#REF!),"")&amp;IFERROR(_xlfn.XLOOKUP(A43,ETANCHEITE!O$22:O$167,ETANCHEITE!#REF!),"")</f>
        <v xml:space="preserve">   </v>
      </c>
      <c r="F43" s="155" t="str">
        <f>IFERROR(VLOOKUP(A43,ETANCHEITE!O$22:Q$167,2,FALSE),"")&amp;" "&amp;IFERROR(VLOOKUP(A43,ETANCHEITE!O$22:Q$167,3,FALSE),"")</f>
        <v xml:space="preserve"> </v>
      </c>
      <c r="G43" s="148" t="str">
        <f>IF(F43&lt;&gt;" ",'Feuille de Donnée'!$C$3,"")</f>
        <v/>
      </c>
      <c r="H43" s="162" t="str" cm="1">
        <f t="array" aca="1" ref="H43" ca="1">IFERROR(IF(_xlfn.XLOOKUP(A43,ETANCHEITE!O$22:O$92,ETANCHEITE!M$22:M$92,"")&lt;&gt;"",_xlfn.XLOOKUP(A43,ETANCHEITE!O$22:O$92,ETANCHEITE!M$22:M$92,""),    INDEX(ETANCHEITE!M:M,MAX(_xlfn._xlws.FILTER(ROW(ETANCHEITE!M$22:INDIRECT("'PEINTURE'!O" &amp; D43-1)),ETANCHEITE!M$22:INDIRECT("'PEINTURE'!O" &amp; D43-1)&lt;&gt;"")))),"")</f>
        <v/>
      </c>
      <c r="I43" s="163" t="str" cm="1">
        <f t="array" aca="1" ref="I43" ca="1">IFERROR(IF(_xlfn.XLOOKUP(A43,ETANCHEITE!O$22:O$92,ETANCHEITE!N$22:N$92,"")&lt;&gt;"",_xlfn.XLOOKUP(A43,ETANCHEITE!O$22:O$92,ETANCHEITE!N$22:N$92,""),    INDEX(ETANCHEITE!N:N,MAX(_xlfn._xlws.FILTER(ROW(ETANCHEITE!N$22:INDIRECT("'PEINTURE'!P" &amp; D43-1)),ETANCHEITE!N$22:INDIRECT("'PEINTURE'!P" &amp; D43-1)&lt;&gt;"")))),"")</f>
        <v/>
      </c>
      <c r="J43" s="145">
        <v>41</v>
      </c>
      <c r="K43" s="154" t="str">
        <f>IF(O43&lt;&gt;" ",ETANCHEITE!$D$5,"")</f>
        <v/>
      </c>
      <c r="L43" s="154" t="str">
        <f>IF(O43&lt;&gt;" ",ETANCHEITE!$D$8,"")</f>
        <v/>
      </c>
      <c r="M43" s="146" t="str">
        <f>IFERROR(MATCH(J43,ETANCHEITE!X$22:X$167,0)+18,"")</f>
        <v/>
      </c>
      <c r="N43" s="147" t="str" cm="1">
        <f t="array" aca="1" ref="N43" ca="1">IFERROR(IF(_xlfn.XLOOKUP(J43,ETANCHEITE!X$22:X$167,ETANCHEITE!$A$22:$A$167,"")&lt;&gt;"",_xlfn.XLOOKUP(J43,ETANCHEITE!X$22:X$167,ETANCHEITE!$A$22:$A$167,""),    INDEX(ETANCHEITE!$A:$A,MAX(_xlfn._xlws.FILTER(ROW(ETANCHEITE!$A$22:INDIRECT("'MENUISERIES EXTERIEURES'!$A" &amp; M43-1)),ETANCHEITE!$A$22:INDIRECT("'MENUISERIES EXTERIEURES'!$A" &amp; M43-1)&lt;&gt;"")))),"")&amp;"   "&amp;IFERROR(_xlfn.XLOOKUP(J43,ETANCHEITE!X$22:X$167,ETANCHEITE!$B$22:$B$167),"")&amp;IFERROR(_xlfn.XLOOKUP(J43,ETANCHEITE!X$22:X$167,ETANCHEITE!$C$22:$C$167),"")&amp;IFERROR(_xlfn.XLOOKUP(J43,ETANCHEITE!X$22:X$167,ETANCHEITE!$D$22:$D$167),"")&amp;IFERROR(_xlfn.XLOOKUP(J43,ETANCHEITE!X$22:X$167,ETANCHEITE!#REF!),"")&amp;IFERROR(_xlfn.XLOOKUP(J43,ETANCHEITE!X$22:X$167,ETANCHEITE!#REF!),"")</f>
        <v xml:space="preserve">   </v>
      </c>
      <c r="O43" s="155" t="str">
        <f>IFERROR(VLOOKUP(J43,ETANCHEITE!X$22:Z$167,2,FALSE),"")&amp;" "&amp;IFERROR(VLOOKUP(J43,ETANCHEITE!X$22:Z$167,3,FALSE),"")</f>
        <v xml:space="preserve"> </v>
      </c>
      <c r="P43" s="148" t="str">
        <f>IF(O43&lt;&gt;" ",'Feuille de Donnée'!$C$3,"")</f>
        <v/>
      </c>
      <c r="Q43" s="162" t="str" cm="1">
        <f t="array" aca="1" ref="Q43" ca="1">IFERROR(IF(_xlfn.XLOOKUP(J43,ETANCHEITE!X$22:X$92,ETANCHEITE!V$22:V$92,"")&lt;&gt;"",_xlfn.XLOOKUP(J43,ETANCHEITE!X$22:X$92,ETANCHEITE!V$22:V$92,""),    INDEX(ETANCHEITE!V:V,MAX(_xlfn._xlws.FILTER(ROW(ETANCHEITE!V$22:INDIRECT("'PEINTURE'!O" &amp; M43-1)),ETANCHEITE!V$22:INDIRECT("'PEINTURE'!O" &amp; M43-1)&lt;&gt;"")))),"")</f>
        <v/>
      </c>
      <c r="R43" s="163" t="str" cm="1">
        <f t="array" aca="1" ref="R43" ca="1">IFERROR(IF(_xlfn.XLOOKUP(J43,ETANCHEITE!X$22:X$92,ETANCHEITE!W$22:W$92,"")&lt;&gt;"",_xlfn.XLOOKUP(J43,ETANCHEITE!X$22:X$92,ETANCHEITE!W$22:W$92,""),    INDEX(ETANCHEITE!W:W,MAX(_xlfn._xlws.FILTER(ROW(ETANCHEITE!W$22:INDIRECT("'PEINTURE'!P" &amp; M43-1)),ETANCHEITE!W$22:INDIRECT("'PEINTURE'!P" &amp; M43-1)&lt;&gt;"")))),"")</f>
        <v/>
      </c>
      <c r="S43" s="145">
        <v>41</v>
      </c>
      <c r="T43" s="154" t="str">
        <f>IF(X43&lt;&gt;" ",ETANCHEITE!$D$5,"")</f>
        <v/>
      </c>
      <c r="U43" s="154" t="str">
        <f>IF(X43&lt;&gt;" ",ETANCHEITE!$D$8,"")</f>
        <v/>
      </c>
      <c r="V43" s="146" t="str">
        <f>IFERROR(MATCH(S43,ETANCHEITE!AG$22:AG$167,0)+18,"")</f>
        <v/>
      </c>
      <c r="W43" s="147" t="str" cm="1">
        <f t="array" aca="1" ref="W43" ca="1">IFERROR(IF(_xlfn.XLOOKUP(S43,ETANCHEITE!AG$22:AG$167,ETANCHEITE!$A$22:$A$167,"")&lt;&gt;"",_xlfn.XLOOKUP(S43,ETANCHEITE!AG$22:AG$167,ETANCHEITE!$A$22:$A$167,""),    INDEX(ETANCHEITE!$A:$A,MAX(_xlfn._xlws.FILTER(ROW(ETANCHEITE!$A$22:INDIRECT("'MENUISERIES EXTERIEURES'!$A" &amp; V43-1)),ETANCHEITE!$A$22:INDIRECT("'MENUISERIES EXTERIEURES'!$A" &amp; V43-1)&lt;&gt;"")))),"")&amp;"   "&amp;IFERROR(_xlfn.XLOOKUP(S43,ETANCHEITE!AG$22:AG$167,ETANCHEITE!$B$22:$B$167),"")&amp;IFERROR(_xlfn.XLOOKUP(S43,ETANCHEITE!AG$22:AG$167,ETANCHEITE!$C$22:$C$167),"")&amp;IFERROR(_xlfn.XLOOKUP(S43,ETANCHEITE!AG$22:AG$167,ETANCHEITE!$D$22:$D$167),"")&amp;IFERROR(_xlfn.XLOOKUP(S43,ETANCHEITE!AG$22:AG$167,ETANCHEITE!#REF!),"")&amp;IFERROR(_xlfn.XLOOKUP(S43,ETANCHEITE!AG$22:AG$167,ETANCHEITE!#REF!),"")</f>
        <v xml:space="preserve">   </v>
      </c>
      <c r="X43" s="155" t="str">
        <f>IFERROR(VLOOKUP(S43,ETANCHEITE!AG$22:AI$167,2,FALSE),"")&amp;" "&amp;IFERROR(VLOOKUP(S43,ETANCHEITE!AG$22:AI$167,3,FALSE),"")</f>
        <v xml:space="preserve"> </v>
      </c>
      <c r="Y43" s="148" t="str">
        <f>IF(X43&lt;&gt;" ",'Feuille de Donnée'!$C$3,"")</f>
        <v/>
      </c>
      <c r="Z43" s="162" t="str" cm="1">
        <f t="array" aca="1" ref="Z43" ca="1">IFERROR(IF(_xlfn.XLOOKUP(S43,ETANCHEITE!AG$22:AG$92,ETANCHEITE!AE$22:AE$92,"")&lt;&gt;"",_xlfn.XLOOKUP(S43,ETANCHEITE!AG$22:AG$92,ETANCHEITE!AE$22:AE$92,""),    INDEX(ETANCHEITE!AE:AE,MAX(_xlfn._xlws.FILTER(ROW(ETANCHEITE!AE$22:INDIRECT("'PEINTURE'!O" &amp; V43-1)),ETANCHEITE!AE$22:INDIRECT("'PEINTURE'!O" &amp; V43-1)&lt;&gt;"")))),"")</f>
        <v/>
      </c>
      <c r="AA43" s="163" t="str" cm="1">
        <f t="array" aca="1" ref="AA43" ca="1">IFERROR(IF(_xlfn.XLOOKUP(S43,ETANCHEITE!AG$22:AG$92,ETANCHEITE!AF$22:AF$92,"")&lt;&gt;"",_xlfn.XLOOKUP(S43,ETANCHEITE!AG$22:AG$92,ETANCHEITE!AF$22:AF$92,""),    INDEX(ETANCHEITE!AF:AF,MAX(_xlfn._xlws.FILTER(ROW(ETANCHEITE!AF$22:INDIRECT("'PEINTURE'!P" &amp; V43-1)),ETANCHEITE!AF$22:INDIRECT("'PEINTURE'!P" &amp; V43-1)&lt;&gt;"")))),"")</f>
        <v/>
      </c>
      <c r="AB43" s="145">
        <v>41</v>
      </c>
      <c r="AC43" s="154" t="str">
        <f>IF(AG43&lt;&gt;" ",ETANCHEITE!$D$5,"")</f>
        <v/>
      </c>
      <c r="AD43" s="154" t="str">
        <f>IF(AG43&lt;&gt;" ",ETANCHEITE!$D$8,"")</f>
        <v/>
      </c>
      <c r="AE43" s="146" t="str">
        <f>IFERROR(MATCH(AB43,ETANCHEITE!AP$22:AP$167,0)+18,"")</f>
        <v/>
      </c>
      <c r="AF43" s="147" t="str" cm="1">
        <f t="array" aca="1" ref="AF43" ca="1">IFERROR(IF(_xlfn.XLOOKUP(AB43,ETANCHEITE!AP$22:AP$167,ETANCHEITE!$A$22:$A$167,"")&lt;&gt;"",_xlfn.XLOOKUP(AB43,ETANCHEITE!AP$22:AP$167,ETANCHEITE!$A$22:$A$167,""),    INDEX(ETANCHEITE!$A:$A,MAX(_xlfn._xlws.FILTER(ROW(ETANCHEITE!$A$22:INDIRECT("'MENUISERIES EXTERIEURES'!$A" &amp; AE43-1)),ETANCHEITE!$A$22:INDIRECT("'MENUISERIES EXTERIEURES'!$A" &amp; AE43-1)&lt;&gt;"")))),"")&amp;"   "&amp;IFERROR(_xlfn.XLOOKUP(AB43,ETANCHEITE!AP$22:AP$167,ETANCHEITE!$B$22:$B$167),"")&amp;IFERROR(_xlfn.XLOOKUP(AB43,ETANCHEITE!AP$22:AP$167,ETANCHEITE!$C$22:$C$167),"")&amp;IFERROR(_xlfn.XLOOKUP(AB43,ETANCHEITE!AP$22:AP$167,ETANCHEITE!$D$22:$D$167),"")&amp;IFERROR(_xlfn.XLOOKUP(AB43,ETANCHEITE!AP$22:AP$167,ETANCHEITE!#REF!),"")&amp;IFERROR(_xlfn.XLOOKUP(AB43,ETANCHEITE!AP$22:AP$167,ETANCHEITE!#REF!),"")</f>
        <v xml:space="preserve">   </v>
      </c>
      <c r="AG43" s="155" t="str">
        <f>IFERROR(VLOOKUP(AB43,ETANCHEITE!AP$22:AR$167,2,FALSE),"")&amp;" "&amp;IFERROR(VLOOKUP(AB43,ETANCHEITE!AP$22:AR$167,3,FALSE),"")</f>
        <v xml:space="preserve"> </v>
      </c>
      <c r="AH43" s="148" t="str">
        <f>IF(AG43&lt;&gt;" ",'Feuille de Donnée'!$C$3,"")</f>
        <v/>
      </c>
      <c r="AI43" s="162" t="str" cm="1">
        <f t="array" aca="1" ref="AI43" ca="1">IFERROR(IF(_xlfn.XLOOKUP(AB43,ETANCHEITE!AP$22:AP$92,ETANCHEITE!AN$22:AN$92,"")&lt;&gt;"",_xlfn.XLOOKUP(AB43,ETANCHEITE!AP$22:AP$92,ETANCHEITE!AN$22:AN$92,""),    INDEX(ETANCHEITE!AN:AN,MAX(_xlfn._xlws.FILTER(ROW(ETANCHEITE!AN$22:INDIRECT("'PEINTURE'!O" &amp; AE43-1)),ETANCHEITE!AN$22:INDIRECT("'PEINTURE'!O" &amp; AE43-1)&lt;&gt;"")))),"")</f>
        <v/>
      </c>
      <c r="AJ43" s="163" t="str" cm="1">
        <f t="array" aca="1" ref="AJ43" ca="1">IFERROR(IF(_xlfn.XLOOKUP(AB43,ETANCHEITE!AP$22:AP$92,ETANCHEITE!AO$22:AO$92,"")&lt;&gt;"",_xlfn.XLOOKUP(AB43,ETANCHEITE!AP$22:AP$92,ETANCHEITE!AO$22:AO$92,""),    INDEX(ETANCHEITE!AO:AO,MAX(_xlfn._xlws.FILTER(ROW(ETANCHEITE!AO$22:INDIRECT("'PEINTURE'!P" &amp; AE43-1)),ETANCHEITE!AO$22:INDIRECT("'PEINTURE'!P" &amp; AE43-1)&lt;&gt;"")))),"")</f>
        <v/>
      </c>
      <c r="AK43" s="145">
        <v>41</v>
      </c>
      <c r="AL43" s="154" t="str">
        <f>IF(AP43&lt;&gt;" ",ETANCHEITE!$D$5,"")</f>
        <v/>
      </c>
      <c r="AM43" s="154" t="str">
        <f>IF(AP43&lt;&gt;" ",ETANCHEITE!$D$8,"")</f>
        <v/>
      </c>
      <c r="AN43" s="146" t="str">
        <f>IFERROR(MATCH(AK43,ETANCHEITE!AY$22:AY$167,0)+18,"")</f>
        <v/>
      </c>
      <c r="AO43" s="147" t="str" cm="1">
        <f t="array" aca="1" ref="AO43" ca="1">IFERROR(IF(_xlfn.XLOOKUP(AK43,ETANCHEITE!AY$22:AY$167,ETANCHEITE!$A$22:$A$167,"")&lt;&gt;"",_xlfn.XLOOKUP(AK43,ETANCHEITE!AY$22:AY$167,ETANCHEITE!$A$22:$A$167,""),    INDEX(ETANCHEITE!$A:$A,MAX(_xlfn._xlws.FILTER(ROW(ETANCHEITE!$A$22:INDIRECT("'MENUISERIES EXTERIEURES'!$A" &amp; AN43-1)),ETANCHEITE!$A$22:INDIRECT("'MENUISERIES EXTERIEURES'!$A" &amp; AN43-1)&lt;&gt;"")))),"")&amp;"   "&amp;IFERROR(_xlfn.XLOOKUP(AK43,ETANCHEITE!AY$22:AY$167,ETANCHEITE!$B$22:$B$167),"")&amp;IFERROR(_xlfn.XLOOKUP(AK43,ETANCHEITE!AY$22:AY$167,ETANCHEITE!$C$22:$C$167),"")&amp;IFERROR(_xlfn.XLOOKUP(AK43,ETANCHEITE!AY$22:AY$167,ETANCHEITE!$D$22:$D$167),"")&amp;IFERROR(_xlfn.XLOOKUP(AK43,ETANCHEITE!AY$22:AY$167,ETANCHEITE!#REF!),"")&amp;IFERROR(_xlfn.XLOOKUP(AK43,ETANCHEITE!AY$22:AY$167,ETANCHEITE!#REF!),"")</f>
        <v xml:space="preserve">   </v>
      </c>
      <c r="AP43" s="155" t="str">
        <f>IFERROR(VLOOKUP(AK43,ETANCHEITE!AY$22:BA$167,2,FALSE),"")&amp;" "&amp;IFERROR(VLOOKUP(AK43,ETANCHEITE!AY$22:BA$167,3,FALSE),"")</f>
        <v xml:space="preserve"> </v>
      </c>
      <c r="AQ43" s="148" t="str">
        <f>IF(AP43&lt;&gt;" ",'Feuille de Donnée'!$C$3,"")</f>
        <v/>
      </c>
      <c r="AR43" s="162" t="str" cm="1">
        <f t="array" aca="1" ref="AR43" ca="1">IFERROR(IF(_xlfn.XLOOKUP(AK43,ETANCHEITE!AY$22:AY$92,ETANCHEITE!AW$22:AW$92,"")&lt;&gt;"",_xlfn.XLOOKUP(AK43,ETANCHEITE!AY$22:AY$92,ETANCHEITE!AW$22:AW$92,""),    INDEX(ETANCHEITE!AW:AW,MAX(_xlfn._xlws.FILTER(ROW(ETANCHEITE!AW$22:INDIRECT("'PEINTURE'!O" &amp; AN43-1)),ETANCHEITE!AW$22:INDIRECT("'PEINTURE'!O" &amp; AN43-1)&lt;&gt;"")))),"")</f>
        <v/>
      </c>
      <c r="AS43" s="163" t="str" cm="1">
        <f t="array" aca="1" ref="AS43" ca="1">IFERROR(IF(_xlfn.XLOOKUP(AK43,ETANCHEITE!AY$22:AY$92,ETANCHEITE!AX$22:AX$92,"")&lt;&gt;"",_xlfn.XLOOKUP(AK43,ETANCHEITE!AY$22:AY$92,ETANCHEITE!AX$22:AX$92,""),    INDEX(ETANCHEITE!AX:AX,MAX(_xlfn._xlws.FILTER(ROW(ETANCHEITE!AX$22:INDIRECT("'PEINTURE'!P" &amp; AN43-1)),ETANCHEITE!AX$22:INDIRECT("'PEINTURE'!P" &amp; AN43-1)&lt;&gt;"")))),"")</f>
        <v/>
      </c>
      <c r="AT43" s="145">
        <v>41</v>
      </c>
      <c r="AU43" s="154" t="str">
        <f>IF(AY43&lt;&gt;" ",ETANCHEITE!$D$5,"")</f>
        <v/>
      </c>
      <c r="AV43" s="154" t="str">
        <f>IF(AY43&lt;&gt;" ",ETANCHEITE!$D$8,"")</f>
        <v/>
      </c>
      <c r="AW43" s="146" t="str">
        <f>IFERROR(MATCH(AT43,ETANCHEITE!BH$22:BH$167,0)+18,"")</f>
        <v/>
      </c>
      <c r="AX43" s="147" t="str" cm="1">
        <f t="array" aca="1" ref="AX43" ca="1">IFERROR(IF(_xlfn.XLOOKUP(AT43,ETANCHEITE!BH$22:BH$167,ETANCHEITE!$A$22:$A$167,"")&lt;&gt;"",_xlfn.XLOOKUP(AT43,ETANCHEITE!BH$22:BH$167,ETANCHEITE!$A$22:$A$167,""),    INDEX(ETANCHEITE!$A:$A,MAX(_xlfn._xlws.FILTER(ROW(ETANCHEITE!$A$22:INDIRECT("'MENUISERIES EXTERIEURES'!$A" &amp; AW43-1)),ETANCHEITE!$A$22:INDIRECT("'MENUISERIES EXTERIEURES'!$A" &amp; AW43-1)&lt;&gt;"")))),"")&amp;"   "&amp;IFERROR(_xlfn.XLOOKUP(AT43,ETANCHEITE!BH$22:BH$167,ETANCHEITE!$B$22:$B$167),"")&amp;IFERROR(_xlfn.XLOOKUP(AT43,ETANCHEITE!BH$22:BH$167,ETANCHEITE!$C$22:$C$167),"")&amp;IFERROR(_xlfn.XLOOKUP(AT43,ETANCHEITE!BH$22:BH$167,ETANCHEITE!$D$22:$D$167),"")&amp;IFERROR(_xlfn.XLOOKUP(AT43,ETANCHEITE!BH$22:BH$167,ETANCHEITE!#REF!),"")&amp;IFERROR(_xlfn.XLOOKUP(AT43,ETANCHEITE!BH$22:BH$167,ETANCHEITE!#REF!),"")</f>
        <v xml:space="preserve">   </v>
      </c>
      <c r="AY43" s="155" t="str">
        <f>IFERROR(VLOOKUP(AT43,ETANCHEITE!BH$22:BJ$167,2,FALSE),"")&amp;" "&amp;IFERROR(VLOOKUP(AT43,ETANCHEITE!BH$22:BJ$167,3,FALSE),"")</f>
        <v xml:space="preserve"> </v>
      </c>
      <c r="AZ43" s="148" t="str">
        <f>IF(AY43&lt;&gt;" ",'Feuille de Donnée'!$C$3,"")</f>
        <v/>
      </c>
      <c r="BA43" s="162" t="str" cm="1">
        <f t="array" aca="1" ref="BA43" ca="1">IFERROR(IF(_xlfn.XLOOKUP(AT43,ETANCHEITE!BH$22:BH$92,ETANCHEITE!BF$22:BF$92,"")&lt;&gt;"",_xlfn.XLOOKUP(AT43,ETANCHEITE!BH$22:BH$92,ETANCHEITE!BF$22:BF$92,""),    INDEX(ETANCHEITE!BF:BF,MAX(_xlfn._xlws.FILTER(ROW(ETANCHEITE!BF$22:INDIRECT("'PEINTURE'!O" &amp; AW43-1)),ETANCHEITE!BF$22:INDIRECT("'PEINTURE'!O" &amp; AW43-1)&lt;&gt;"")))),"")</f>
        <v/>
      </c>
      <c r="BB43" s="163" t="str" cm="1">
        <f t="array" aca="1" ref="BB43" ca="1">IFERROR(IF(_xlfn.XLOOKUP(AT43,ETANCHEITE!BH$22:BH$92,ETANCHEITE!BG$22:BG$92,"")&lt;&gt;"",_xlfn.XLOOKUP(AT43,ETANCHEITE!BH$22:BH$92,ETANCHEITE!BG$22:BG$92,""),    INDEX(ETANCHEITE!BG:BG,MAX(_xlfn._xlws.FILTER(ROW(ETANCHEITE!BG$22:INDIRECT("'PEINTURE'!P" &amp; AW43-1)),ETANCHEITE!BG$22:INDIRECT("'PEINTURE'!P" &amp; AW43-1)&lt;&gt;"")))),"")</f>
        <v/>
      </c>
    </row>
    <row r="44" spans="1:54" ht="16.5" customHeight="1" x14ac:dyDescent="0.3">
      <c r="A44" s="145">
        <v>42</v>
      </c>
      <c r="B44" s="154" t="str">
        <f>IF(F44&lt;&gt;" ",ETANCHEITE!$D$5,"")</f>
        <v/>
      </c>
      <c r="C44" s="154" t="str">
        <f>IF(F44&lt;&gt;" ",ETANCHEITE!$D$8,"")</f>
        <v/>
      </c>
      <c r="D44" s="146" t="str">
        <f>IFERROR(MATCH(A44,ETANCHEITE!O$22:O$167,0)+18,"")</f>
        <v/>
      </c>
      <c r="E44" s="147" t="str" cm="1">
        <f t="array" aca="1" ref="E44" ca="1">IFERROR(IF(_xlfn.XLOOKUP(A44,ETANCHEITE!O$22:O$167,ETANCHEITE!$A$22:$A$167,"")&lt;&gt;"",_xlfn.XLOOKUP(A44,ETANCHEITE!O$22:O$167,ETANCHEITE!$A$22:$A$167,""),    INDEX(ETANCHEITE!$A:$A,MAX(_xlfn._xlws.FILTER(ROW(ETANCHEITE!$A$22:INDIRECT("'MENUISERIES EXTERIEURES'!$A" &amp; D44-1)),ETANCHEITE!$A$22:INDIRECT("'MENUISERIES EXTERIEURES'!$A" &amp; D44-1)&lt;&gt;"")))),"")&amp;"   "&amp;IFERROR(_xlfn.XLOOKUP(A44,ETANCHEITE!O$22:O$167,ETANCHEITE!$B$22:$B$167),"")&amp;IFERROR(_xlfn.XLOOKUP(A44,ETANCHEITE!O$22:O$167,ETANCHEITE!$C$22:$C$167),"")&amp;IFERROR(_xlfn.XLOOKUP(A44,ETANCHEITE!O$22:O$167,ETANCHEITE!$D$22:$D$167),"")&amp;IFERROR(_xlfn.XLOOKUP(A44,ETANCHEITE!O$22:O$167,ETANCHEITE!#REF!),"")&amp;IFERROR(_xlfn.XLOOKUP(A44,ETANCHEITE!O$22:O$167,ETANCHEITE!#REF!),"")</f>
        <v xml:space="preserve">   </v>
      </c>
      <c r="F44" s="155" t="str">
        <f>IFERROR(VLOOKUP(A44,ETANCHEITE!O$22:Q$167,2,FALSE),"")&amp;" "&amp;IFERROR(VLOOKUP(A44,ETANCHEITE!O$22:Q$167,3,FALSE),"")</f>
        <v xml:space="preserve"> </v>
      </c>
      <c r="G44" s="148" t="str">
        <f>IF(F44&lt;&gt;" ",'Feuille de Donnée'!$C$3,"")</f>
        <v/>
      </c>
      <c r="H44" s="162" t="str" cm="1">
        <f t="array" aca="1" ref="H44" ca="1">IFERROR(IF(_xlfn.XLOOKUP(A44,ETANCHEITE!O$22:O$92,ETANCHEITE!M$22:M$92,"")&lt;&gt;"",_xlfn.XLOOKUP(A44,ETANCHEITE!O$22:O$92,ETANCHEITE!M$22:M$92,""),    INDEX(ETANCHEITE!M:M,MAX(_xlfn._xlws.FILTER(ROW(ETANCHEITE!M$22:INDIRECT("'PEINTURE'!O" &amp; D44-1)),ETANCHEITE!M$22:INDIRECT("'PEINTURE'!O" &amp; D44-1)&lt;&gt;"")))),"")</f>
        <v/>
      </c>
      <c r="I44" s="163" t="str" cm="1">
        <f t="array" aca="1" ref="I44" ca="1">IFERROR(IF(_xlfn.XLOOKUP(A44,ETANCHEITE!O$22:O$92,ETANCHEITE!N$22:N$92,"")&lt;&gt;"",_xlfn.XLOOKUP(A44,ETANCHEITE!O$22:O$92,ETANCHEITE!N$22:N$92,""),    INDEX(ETANCHEITE!N:N,MAX(_xlfn._xlws.FILTER(ROW(ETANCHEITE!N$22:INDIRECT("'PEINTURE'!P" &amp; D44-1)),ETANCHEITE!N$22:INDIRECT("'PEINTURE'!P" &amp; D44-1)&lt;&gt;"")))),"")</f>
        <v/>
      </c>
      <c r="J44" s="145">
        <v>42</v>
      </c>
      <c r="K44" s="154" t="str">
        <f>IF(O44&lt;&gt;" ",ETANCHEITE!$D$5,"")</f>
        <v/>
      </c>
      <c r="L44" s="154" t="str">
        <f>IF(O44&lt;&gt;" ",ETANCHEITE!$D$8,"")</f>
        <v/>
      </c>
      <c r="M44" s="146" t="str">
        <f>IFERROR(MATCH(J44,ETANCHEITE!X$22:X$167,0)+18,"")</f>
        <v/>
      </c>
      <c r="N44" s="147" t="str" cm="1">
        <f t="array" aca="1" ref="N44" ca="1">IFERROR(IF(_xlfn.XLOOKUP(J44,ETANCHEITE!X$22:X$167,ETANCHEITE!$A$22:$A$167,"")&lt;&gt;"",_xlfn.XLOOKUP(J44,ETANCHEITE!X$22:X$167,ETANCHEITE!$A$22:$A$167,""),    INDEX(ETANCHEITE!$A:$A,MAX(_xlfn._xlws.FILTER(ROW(ETANCHEITE!$A$22:INDIRECT("'MENUISERIES EXTERIEURES'!$A" &amp; M44-1)),ETANCHEITE!$A$22:INDIRECT("'MENUISERIES EXTERIEURES'!$A" &amp; M44-1)&lt;&gt;"")))),"")&amp;"   "&amp;IFERROR(_xlfn.XLOOKUP(J44,ETANCHEITE!X$22:X$167,ETANCHEITE!$B$22:$B$167),"")&amp;IFERROR(_xlfn.XLOOKUP(J44,ETANCHEITE!X$22:X$167,ETANCHEITE!$C$22:$C$167),"")&amp;IFERROR(_xlfn.XLOOKUP(J44,ETANCHEITE!X$22:X$167,ETANCHEITE!$D$22:$D$167),"")&amp;IFERROR(_xlfn.XLOOKUP(J44,ETANCHEITE!X$22:X$167,ETANCHEITE!#REF!),"")&amp;IFERROR(_xlfn.XLOOKUP(J44,ETANCHEITE!X$22:X$167,ETANCHEITE!#REF!),"")</f>
        <v xml:space="preserve">   </v>
      </c>
      <c r="O44" s="155" t="str">
        <f>IFERROR(VLOOKUP(J44,ETANCHEITE!X$22:Z$167,2,FALSE),"")&amp;" "&amp;IFERROR(VLOOKUP(J44,ETANCHEITE!X$22:Z$167,3,FALSE),"")</f>
        <v xml:space="preserve"> </v>
      </c>
      <c r="P44" s="148" t="str">
        <f>IF(O44&lt;&gt;" ",'Feuille de Donnée'!$C$3,"")</f>
        <v/>
      </c>
      <c r="Q44" s="162" t="str" cm="1">
        <f t="array" aca="1" ref="Q44" ca="1">IFERROR(IF(_xlfn.XLOOKUP(J44,ETANCHEITE!X$22:X$92,ETANCHEITE!V$22:V$92,"")&lt;&gt;"",_xlfn.XLOOKUP(J44,ETANCHEITE!X$22:X$92,ETANCHEITE!V$22:V$92,""),    INDEX(ETANCHEITE!V:V,MAX(_xlfn._xlws.FILTER(ROW(ETANCHEITE!V$22:INDIRECT("'PEINTURE'!O" &amp; M44-1)),ETANCHEITE!V$22:INDIRECT("'PEINTURE'!O" &amp; M44-1)&lt;&gt;"")))),"")</f>
        <v/>
      </c>
      <c r="R44" s="163" t="str" cm="1">
        <f t="array" aca="1" ref="R44" ca="1">IFERROR(IF(_xlfn.XLOOKUP(J44,ETANCHEITE!X$22:X$92,ETANCHEITE!W$22:W$92,"")&lt;&gt;"",_xlfn.XLOOKUP(J44,ETANCHEITE!X$22:X$92,ETANCHEITE!W$22:W$92,""),    INDEX(ETANCHEITE!W:W,MAX(_xlfn._xlws.FILTER(ROW(ETANCHEITE!W$22:INDIRECT("'PEINTURE'!P" &amp; M44-1)),ETANCHEITE!W$22:INDIRECT("'PEINTURE'!P" &amp; M44-1)&lt;&gt;"")))),"")</f>
        <v/>
      </c>
      <c r="S44" s="145">
        <v>42</v>
      </c>
      <c r="T44" s="154" t="str">
        <f>IF(X44&lt;&gt;" ",ETANCHEITE!$D$5,"")</f>
        <v/>
      </c>
      <c r="U44" s="154" t="str">
        <f>IF(X44&lt;&gt;" ",ETANCHEITE!$D$8,"")</f>
        <v/>
      </c>
      <c r="V44" s="146" t="str">
        <f>IFERROR(MATCH(S44,ETANCHEITE!AG$22:AG$167,0)+18,"")</f>
        <v/>
      </c>
      <c r="W44" s="147" t="str" cm="1">
        <f t="array" aca="1" ref="W44" ca="1">IFERROR(IF(_xlfn.XLOOKUP(S44,ETANCHEITE!AG$22:AG$167,ETANCHEITE!$A$22:$A$167,"")&lt;&gt;"",_xlfn.XLOOKUP(S44,ETANCHEITE!AG$22:AG$167,ETANCHEITE!$A$22:$A$167,""),    INDEX(ETANCHEITE!$A:$A,MAX(_xlfn._xlws.FILTER(ROW(ETANCHEITE!$A$22:INDIRECT("'MENUISERIES EXTERIEURES'!$A" &amp; V44-1)),ETANCHEITE!$A$22:INDIRECT("'MENUISERIES EXTERIEURES'!$A" &amp; V44-1)&lt;&gt;"")))),"")&amp;"   "&amp;IFERROR(_xlfn.XLOOKUP(S44,ETANCHEITE!AG$22:AG$167,ETANCHEITE!$B$22:$B$167),"")&amp;IFERROR(_xlfn.XLOOKUP(S44,ETANCHEITE!AG$22:AG$167,ETANCHEITE!$C$22:$C$167),"")&amp;IFERROR(_xlfn.XLOOKUP(S44,ETANCHEITE!AG$22:AG$167,ETANCHEITE!$D$22:$D$167),"")&amp;IFERROR(_xlfn.XLOOKUP(S44,ETANCHEITE!AG$22:AG$167,ETANCHEITE!#REF!),"")&amp;IFERROR(_xlfn.XLOOKUP(S44,ETANCHEITE!AG$22:AG$167,ETANCHEITE!#REF!),"")</f>
        <v xml:space="preserve">   </v>
      </c>
      <c r="X44" s="155" t="str">
        <f>IFERROR(VLOOKUP(S44,ETANCHEITE!AG$22:AI$167,2,FALSE),"")&amp;" "&amp;IFERROR(VLOOKUP(S44,ETANCHEITE!AG$22:AI$167,3,FALSE),"")</f>
        <v xml:space="preserve"> </v>
      </c>
      <c r="Y44" s="148" t="str">
        <f>IF(X44&lt;&gt;" ",'Feuille de Donnée'!$C$3,"")</f>
        <v/>
      </c>
      <c r="Z44" s="162" t="str" cm="1">
        <f t="array" aca="1" ref="Z44" ca="1">IFERROR(IF(_xlfn.XLOOKUP(S44,ETANCHEITE!AG$22:AG$92,ETANCHEITE!AE$22:AE$92,"")&lt;&gt;"",_xlfn.XLOOKUP(S44,ETANCHEITE!AG$22:AG$92,ETANCHEITE!AE$22:AE$92,""),    INDEX(ETANCHEITE!AE:AE,MAX(_xlfn._xlws.FILTER(ROW(ETANCHEITE!AE$22:INDIRECT("'PEINTURE'!O" &amp; V44-1)),ETANCHEITE!AE$22:INDIRECT("'PEINTURE'!O" &amp; V44-1)&lt;&gt;"")))),"")</f>
        <v/>
      </c>
      <c r="AA44" s="163" t="str" cm="1">
        <f t="array" aca="1" ref="AA44" ca="1">IFERROR(IF(_xlfn.XLOOKUP(S44,ETANCHEITE!AG$22:AG$92,ETANCHEITE!AF$22:AF$92,"")&lt;&gt;"",_xlfn.XLOOKUP(S44,ETANCHEITE!AG$22:AG$92,ETANCHEITE!AF$22:AF$92,""),    INDEX(ETANCHEITE!AF:AF,MAX(_xlfn._xlws.FILTER(ROW(ETANCHEITE!AF$22:INDIRECT("'PEINTURE'!P" &amp; V44-1)),ETANCHEITE!AF$22:INDIRECT("'PEINTURE'!P" &amp; V44-1)&lt;&gt;"")))),"")</f>
        <v/>
      </c>
      <c r="AB44" s="145">
        <v>42</v>
      </c>
      <c r="AC44" s="154" t="str">
        <f>IF(AG44&lt;&gt;" ",ETANCHEITE!$D$5,"")</f>
        <v/>
      </c>
      <c r="AD44" s="154" t="str">
        <f>IF(AG44&lt;&gt;" ",ETANCHEITE!$D$8,"")</f>
        <v/>
      </c>
      <c r="AE44" s="146" t="str">
        <f>IFERROR(MATCH(AB44,ETANCHEITE!AP$22:AP$167,0)+18,"")</f>
        <v/>
      </c>
      <c r="AF44" s="147" t="str" cm="1">
        <f t="array" aca="1" ref="AF44" ca="1">IFERROR(IF(_xlfn.XLOOKUP(AB44,ETANCHEITE!AP$22:AP$167,ETANCHEITE!$A$22:$A$167,"")&lt;&gt;"",_xlfn.XLOOKUP(AB44,ETANCHEITE!AP$22:AP$167,ETANCHEITE!$A$22:$A$167,""),    INDEX(ETANCHEITE!$A:$A,MAX(_xlfn._xlws.FILTER(ROW(ETANCHEITE!$A$22:INDIRECT("'MENUISERIES EXTERIEURES'!$A" &amp; AE44-1)),ETANCHEITE!$A$22:INDIRECT("'MENUISERIES EXTERIEURES'!$A" &amp; AE44-1)&lt;&gt;"")))),"")&amp;"   "&amp;IFERROR(_xlfn.XLOOKUP(AB44,ETANCHEITE!AP$22:AP$167,ETANCHEITE!$B$22:$B$167),"")&amp;IFERROR(_xlfn.XLOOKUP(AB44,ETANCHEITE!AP$22:AP$167,ETANCHEITE!$C$22:$C$167),"")&amp;IFERROR(_xlfn.XLOOKUP(AB44,ETANCHEITE!AP$22:AP$167,ETANCHEITE!$D$22:$D$167),"")&amp;IFERROR(_xlfn.XLOOKUP(AB44,ETANCHEITE!AP$22:AP$167,ETANCHEITE!#REF!),"")&amp;IFERROR(_xlfn.XLOOKUP(AB44,ETANCHEITE!AP$22:AP$167,ETANCHEITE!#REF!),"")</f>
        <v xml:space="preserve">   </v>
      </c>
      <c r="AG44" s="155" t="str">
        <f>IFERROR(VLOOKUP(AB44,ETANCHEITE!AP$22:AR$167,2,FALSE),"")&amp;" "&amp;IFERROR(VLOOKUP(AB44,ETANCHEITE!AP$22:AR$167,3,FALSE),"")</f>
        <v xml:space="preserve"> </v>
      </c>
      <c r="AH44" s="148" t="str">
        <f>IF(AG44&lt;&gt;" ",'Feuille de Donnée'!$C$3,"")</f>
        <v/>
      </c>
      <c r="AI44" s="162" t="str" cm="1">
        <f t="array" aca="1" ref="AI44" ca="1">IFERROR(IF(_xlfn.XLOOKUP(AB44,ETANCHEITE!AP$22:AP$92,ETANCHEITE!AN$22:AN$92,"")&lt;&gt;"",_xlfn.XLOOKUP(AB44,ETANCHEITE!AP$22:AP$92,ETANCHEITE!AN$22:AN$92,""),    INDEX(ETANCHEITE!AN:AN,MAX(_xlfn._xlws.FILTER(ROW(ETANCHEITE!AN$22:INDIRECT("'PEINTURE'!O" &amp; AE44-1)),ETANCHEITE!AN$22:INDIRECT("'PEINTURE'!O" &amp; AE44-1)&lt;&gt;"")))),"")</f>
        <v/>
      </c>
      <c r="AJ44" s="163" t="str" cm="1">
        <f t="array" aca="1" ref="AJ44" ca="1">IFERROR(IF(_xlfn.XLOOKUP(AB44,ETANCHEITE!AP$22:AP$92,ETANCHEITE!AO$22:AO$92,"")&lt;&gt;"",_xlfn.XLOOKUP(AB44,ETANCHEITE!AP$22:AP$92,ETANCHEITE!AO$22:AO$92,""),    INDEX(ETANCHEITE!AO:AO,MAX(_xlfn._xlws.FILTER(ROW(ETANCHEITE!AO$22:INDIRECT("'PEINTURE'!P" &amp; AE44-1)),ETANCHEITE!AO$22:INDIRECT("'PEINTURE'!P" &amp; AE44-1)&lt;&gt;"")))),"")</f>
        <v/>
      </c>
      <c r="AK44" s="145">
        <v>42</v>
      </c>
      <c r="AL44" s="154" t="str">
        <f>IF(AP44&lt;&gt;" ",ETANCHEITE!$D$5,"")</f>
        <v/>
      </c>
      <c r="AM44" s="154" t="str">
        <f>IF(AP44&lt;&gt;" ",ETANCHEITE!$D$8,"")</f>
        <v/>
      </c>
      <c r="AN44" s="146" t="str">
        <f>IFERROR(MATCH(AK44,ETANCHEITE!AY$22:AY$167,0)+18,"")</f>
        <v/>
      </c>
      <c r="AO44" s="147" t="str" cm="1">
        <f t="array" aca="1" ref="AO44" ca="1">IFERROR(IF(_xlfn.XLOOKUP(AK44,ETANCHEITE!AY$22:AY$167,ETANCHEITE!$A$22:$A$167,"")&lt;&gt;"",_xlfn.XLOOKUP(AK44,ETANCHEITE!AY$22:AY$167,ETANCHEITE!$A$22:$A$167,""),    INDEX(ETANCHEITE!$A:$A,MAX(_xlfn._xlws.FILTER(ROW(ETANCHEITE!$A$22:INDIRECT("'MENUISERIES EXTERIEURES'!$A" &amp; AN44-1)),ETANCHEITE!$A$22:INDIRECT("'MENUISERIES EXTERIEURES'!$A" &amp; AN44-1)&lt;&gt;"")))),"")&amp;"   "&amp;IFERROR(_xlfn.XLOOKUP(AK44,ETANCHEITE!AY$22:AY$167,ETANCHEITE!$B$22:$B$167),"")&amp;IFERROR(_xlfn.XLOOKUP(AK44,ETANCHEITE!AY$22:AY$167,ETANCHEITE!$C$22:$C$167),"")&amp;IFERROR(_xlfn.XLOOKUP(AK44,ETANCHEITE!AY$22:AY$167,ETANCHEITE!$D$22:$D$167),"")&amp;IFERROR(_xlfn.XLOOKUP(AK44,ETANCHEITE!AY$22:AY$167,ETANCHEITE!#REF!),"")&amp;IFERROR(_xlfn.XLOOKUP(AK44,ETANCHEITE!AY$22:AY$167,ETANCHEITE!#REF!),"")</f>
        <v xml:space="preserve">   </v>
      </c>
      <c r="AP44" s="155" t="str">
        <f>IFERROR(VLOOKUP(AK44,ETANCHEITE!AY$22:BA$167,2,FALSE),"")&amp;" "&amp;IFERROR(VLOOKUP(AK44,ETANCHEITE!AY$22:BA$167,3,FALSE),"")</f>
        <v xml:space="preserve"> </v>
      </c>
      <c r="AQ44" s="148" t="str">
        <f>IF(AP44&lt;&gt;" ",'Feuille de Donnée'!$C$3,"")</f>
        <v/>
      </c>
      <c r="AR44" s="162" t="str" cm="1">
        <f t="array" aca="1" ref="AR44" ca="1">IFERROR(IF(_xlfn.XLOOKUP(AK44,ETANCHEITE!AY$22:AY$92,ETANCHEITE!AW$22:AW$92,"")&lt;&gt;"",_xlfn.XLOOKUP(AK44,ETANCHEITE!AY$22:AY$92,ETANCHEITE!AW$22:AW$92,""),    INDEX(ETANCHEITE!AW:AW,MAX(_xlfn._xlws.FILTER(ROW(ETANCHEITE!AW$22:INDIRECT("'PEINTURE'!O" &amp; AN44-1)),ETANCHEITE!AW$22:INDIRECT("'PEINTURE'!O" &amp; AN44-1)&lt;&gt;"")))),"")</f>
        <v/>
      </c>
      <c r="AS44" s="163" t="str" cm="1">
        <f t="array" aca="1" ref="AS44" ca="1">IFERROR(IF(_xlfn.XLOOKUP(AK44,ETANCHEITE!AY$22:AY$92,ETANCHEITE!AX$22:AX$92,"")&lt;&gt;"",_xlfn.XLOOKUP(AK44,ETANCHEITE!AY$22:AY$92,ETANCHEITE!AX$22:AX$92,""),    INDEX(ETANCHEITE!AX:AX,MAX(_xlfn._xlws.FILTER(ROW(ETANCHEITE!AX$22:INDIRECT("'PEINTURE'!P" &amp; AN44-1)),ETANCHEITE!AX$22:INDIRECT("'PEINTURE'!P" &amp; AN44-1)&lt;&gt;"")))),"")</f>
        <v/>
      </c>
      <c r="AT44" s="145">
        <v>42</v>
      </c>
      <c r="AU44" s="154" t="str">
        <f>IF(AY44&lt;&gt;" ",ETANCHEITE!$D$5,"")</f>
        <v/>
      </c>
      <c r="AV44" s="154" t="str">
        <f>IF(AY44&lt;&gt;" ",ETANCHEITE!$D$8,"")</f>
        <v/>
      </c>
      <c r="AW44" s="146" t="str">
        <f>IFERROR(MATCH(AT44,ETANCHEITE!BH$22:BH$167,0)+18,"")</f>
        <v/>
      </c>
      <c r="AX44" s="147" t="str" cm="1">
        <f t="array" aca="1" ref="AX44" ca="1">IFERROR(IF(_xlfn.XLOOKUP(AT44,ETANCHEITE!BH$22:BH$167,ETANCHEITE!$A$22:$A$167,"")&lt;&gt;"",_xlfn.XLOOKUP(AT44,ETANCHEITE!BH$22:BH$167,ETANCHEITE!$A$22:$A$167,""),    INDEX(ETANCHEITE!$A:$A,MAX(_xlfn._xlws.FILTER(ROW(ETANCHEITE!$A$22:INDIRECT("'MENUISERIES EXTERIEURES'!$A" &amp; AW44-1)),ETANCHEITE!$A$22:INDIRECT("'MENUISERIES EXTERIEURES'!$A" &amp; AW44-1)&lt;&gt;"")))),"")&amp;"   "&amp;IFERROR(_xlfn.XLOOKUP(AT44,ETANCHEITE!BH$22:BH$167,ETANCHEITE!$B$22:$B$167),"")&amp;IFERROR(_xlfn.XLOOKUP(AT44,ETANCHEITE!BH$22:BH$167,ETANCHEITE!$C$22:$C$167),"")&amp;IFERROR(_xlfn.XLOOKUP(AT44,ETANCHEITE!BH$22:BH$167,ETANCHEITE!$D$22:$D$167),"")&amp;IFERROR(_xlfn.XLOOKUP(AT44,ETANCHEITE!BH$22:BH$167,ETANCHEITE!#REF!),"")&amp;IFERROR(_xlfn.XLOOKUP(AT44,ETANCHEITE!BH$22:BH$167,ETANCHEITE!#REF!),"")</f>
        <v xml:space="preserve">   </v>
      </c>
      <c r="AY44" s="155" t="str">
        <f>IFERROR(VLOOKUP(AT44,ETANCHEITE!BH$22:BJ$167,2,FALSE),"")&amp;" "&amp;IFERROR(VLOOKUP(AT44,ETANCHEITE!BH$22:BJ$167,3,FALSE),"")</f>
        <v xml:space="preserve"> </v>
      </c>
      <c r="AZ44" s="148" t="str">
        <f>IF(AY44&lt;&gt;" ",'Feuille de Donnée'!$C$3,"")</f>
        <v/>
      </c>
      <c r="BA44" s="162" t="str" cm="1">
        <f t="array" aca="1" ref="BA44" ca="1">IFERROR(IF(_xlfn.XLOOKUP(AT44,ETANCHEITE!BH$22:BH$92,ETANCHEITE!BF$22:BF$92,"")&lt;&gt;"",_xlfn.XLOOKUP(AT44,ETANCHEITE!BH$22:BH$92,ETANCHEITE!BF$22:BF$92,""),    INDEX(ETANCHEITE!BF:BF,MAX(_xlfn._xlws.FILTER(ROW(ETANCHEITE!BF$22:INDIRECT("'PEINTURE'!O" &amp; AW44-1)),ETANCHEITE!BF$22:INDIRECT("'PEINTURE'!O" &amp; AW44-1)&lt;&gt;"")))),"")</f>
        <v/>
      </c>
      <c r="BB44" s="163" t="str" cm="1">
        <f t="array" aca="1" ref="BB44" ca="1">IFERROR(IF(_xlfn.XLOOKUP(AT44,ETANCHEITE!BH$22:BH$92,ETANCHEITE!BG$22:BG$92,"")&lt;&gt;"",_xlfn.XLOOKUP(AT44,ETANCHEITE!BH$22:BH$92,ETANCHEITE!BG$22:BG$92,""),    INDEX(ETANCHEITE!BG:BG,MAX(_xlfn._xlws.FILTER(ROW(ETANCHEITE!BG$22:INDIRECT("'PEINTURE'!P" &amp; AW44-1)),ETANCHEITE!BG$22:INDIRECT("'PEINTURE'!P" &amp; AW44-1)&lt;&gt;"")))),"")</f>
        <v/>
      </c>
    </row>
    <row r="45" spans="1:54" ht="16.5" customHeight="1" x14ac:dyDescent="0.3">
      <c r="A45" s="145">
        <v>43</v>
      </c>
      <c r="B45" s="154" t="str">
        <f>IF(F45&lt;&gt;" ",ETANCHEITE!$D$5,"")</f>
        <v/>
      </c>
      <c r="C45" s="154" t="str">
        <f>IF(F45&lt;&gt;" ",ETANCHEITE!$D$8,"")</f>
        <v/>
      </c>
      <c r="D45" s="146" t="str">
        <f>IFERROR(MATCH(A45,ETANCHEITE!O$22:O$167,0)+18,"")</f>
        <v/>
      </c>
      <c r="E45" s="147" t="str" cm="1">
        <f t="array" aca="1" ref="E45" ca="1">IFERROR(IF(_xlfn.XLOOKUP(A45,ETANCHEITE!O$22:O$167,ETANCHEITE!$A$22:$A$167,"")&lt;&gt;"",_xlfn.XLOOKUP(A45,ETANCHEITE!O$22:O$167,ETANCHEITE!$A$22:$A$167,""),    INDEX(ETANCHEITE!$A:$A,MAX(_xlfn._xlws.FILTER(ROW(ETANCHEITE!$A$22:INDIRECT("'MENUISERIES EXTERIEURES'!$A" &amp; D45-1)),ETANCHEITE!$A$22:INDIRECT("'MENUISERIES EXTERIEURES'!$A" &amp; D45-1)&lt;&gt;"")))),"")&amp;"   "&amp;IFERROR(_xlfn.XLOOKUP(A45,ETANCHEITE!O$22:O$167,ETANCHEITE!$B$22:$B$167),"")&amp;IFERROR(_xlfn.XLOOKUP(A45,ETANCHEITE!O$22:O$167,ETANCHEITE!$C$22:$C$167),"")&amp;IFERROR(_xlfn.XLOOKUP(A45,ETANCHEITE!O$22:O$167,ETANCHEITE!$D$22:$D$167),"")&amp;IFERROR(_xlfn.XLOOKUP(A45,ETANCHEITE!O$22:O$167,ETANCHEITE!#REF!),"")&amp;IFERROR(_xlfn.XLOOKUP(A45,ETANCHEITE!O$22:O$167,ETANCHEITE!#REF!),"")</f>
        <v xml:space="preserve">   </v>
      </c>
      <c r="F45" s="155" t="str">
        <f>IFERROR(VLOOKUP(A45,ETANCHEITE!O$22:Q$167,2,FALSE),"")&amp;" "&amp;IFERROR(VLOOKUP(A45,ETANCHEITE!O$22:Q$167,3,FALSE),"")</f>
        <v xml:space="preserve"> </v>
      </c>
      <c r="G45" s="148" t="str">
        <f>IF(F45&lt;&gt;" ",'Feuille de Donnée'!$C$3,"")</f>
        <v/>
      </c>
      <c r="H45" s="162" t="str" cm="1">
        <f t="array" aca="1" ref="H45" ca="1">IFERROR(IF(_xlfn.XLOOKUP(A45,ETANCHEITE!O$22:O$92,ETANCHEITE!M$22:M$92,"")&lt;&gt;"",_xlfn.XLOOKUP(A45,ETANCHEITE!O$22:O$92,ETANCHEITE!M$22:M$92,""),    INDEX(ETANCHEITE!M:M,MAX(_xlfn._xlws.FILTER(ROW(ETANCHEITE!M$22:INDIRECT("'PEINTURE'!O" &amp; D45-1)),ETANCHEITE!M$22:INDIRECT("'PEINTURE'!O" &amp; D45-1)&lt;&gt;"")))),"")</f>
        <v/>
      </c>
      <c r="I45" s="163" t="str" cm="1">
        <f t="array" aca="1" ref="I45" ca="1">IFERROR(IF(_xlfn.XLOOKUP(A45,ETANCHEITE!O$22:O$92,ETANCHEITE!N$22:N$92,"")&lt;&gt;"",_xlfn.XLOOKUP(A45,ETANCHEITE!O$22:O$92,ETANCHEITE!N$22:N$92,""),    INDEX(ETANCHEITE!N:N,MAX(_xlfn._xlws.FILTER(ROW(ETANCHEITE!N$22:INDIRECT("'PEINTURE'!P" &amp; D45-1)),ETANCHEITE!N$22:INDIRECT("'PEINTURE'!P" &amp; D45-1)&lt;&gt;"")))),"")</f>
        <v/>
      </c>
      <c r="J45" s="145">
        <v>43</v>
      </c>
      <c r="K45" s="154" t="str">
        <f>IF(O45&lt;&gt;" ",ETANCHEITE!$D$5,"")</f>
        <v/>
      </c>
      <c r="L45" s="154" t="str">
        <f>IF(O45&lt;&gt;" ",ETANCHEITE!$D$8,"")</f>
        <v/>
      </c>
      <c r="M45" s="146" t="str">
        <f>IFERROR(MATCH(J45,ETANCHEITE!X$22:X$167,0)+18,"")</f>
        <v/>
      </c>
      <c r="N45" s="147" t="str" cm="1">
        <f t="array" aca="1" ref="N45" ca="1">IFERROR(IF(_xlfn.XLOOKUP(J45,ETANCHEITE!X$22:X$167,ETANCHEITE!$A$22:$A$167,"")&lt;&gt;"",_xlfn.XLOOKUP(J45,ETANCHEITE!X$22:X$167,ETANCHEITE!$A$22:$A$167,""),    INDEX(ETANCHEITE!$A:$A,MAX(_xlfn._xlws.FILTER(ROW(ETANCHEITE!$A$22:INDIRECT("'MENUISERIES EXTERIEURES'!$A" &amp; M45-1)),ETANCHEITE!$A$22:INDIRECT("'MENUISERIES EXTERIEURES'!$A" &amp; M45-1)&lt;&gt;"")))),"")&amp;"   "&amp;IFERROR(_xlfn.XLOOKUP(J45,ETANCHEITE!X$22:X$167,ETANCHEITE!$B$22:$B$167),"")&amp;IFERROR(_xlfn.XLOOKUP(J45,ETANCHEITE!X$22:X$167,ETANCHEITE!$C$22:$C$167),"")&amp;IFERROR(_xlfn.XLOOKUP(J45,ETANCHEITE!X$22:X$167,ETANCHEITE!$D$22:$D$167),"")&amp;IFERROR(_xlfn.XLOOKUP(J45,ETANCHEITE!X$22:X$167,ETANCHEITE!#REF!),"")&amp;IFERROR(_xlfn.XLOOKUP(J45,ETANCHEITE!X$22:X$167,ETANCHEITE!#REF!),"")</f>
        <v xml:space="preserve">   </v>
      </c>
      <c r="O45" s="155" t="str">
        <f>IFERROR(VLOOKUP(J45,ETANCHEITE!X$22:Z$167,2,FALSE),"")&amp;" "&amp;IFERROR(VLOOKUP(J45,ETANCHEITE!X$22:Z$167,3,FALSE),"")</f>
        <v xml:space="preserve"> </v>
      </c>
      <c r="P45" s="148" t="str">
        <f>IF(O45&lt;&gt;" ",'Feuille de Donnée'!$C$3,"")</f>
        <v/>
      </c>
      <c r="Q45" s="162" t="str" cm="1">
        <f t="array" aca="1" ref="Q45" ca="1">IFERROR(IF(_xlfn.XLOOKUP(J45,ETANCHEITE!X$22:X$92,ETANCHEITE!V$22:V$92,"")&lt;&gt;"",_xlfn.XLOOKUP(J45,ETANCHEITE!X$22:X$92,ETANCHEITE!V$22:V$92,""),    INDEX(ETANCHEITE!V:V,MAX(_xlfn._xlws.FILTER(ROW(ETANCHEITE!V$22:INDIRECT("'PEINTURE'!O" &amp; M45-1)),ETANCHEITE!V$22:INDIRECT("'PEINTURE'!O" &amp; M45-1)&lt;&gt;"")))),"")</f>
        <v/>
      </c>
      <c r="R45" s="163" t="str" cm="1">
        <f t="array" aca="1" ref="R45" ca="1">IFERROR(IF(_xlfn.XLOOKUP(J45,ETANCHEITE!X$22:X$92,ETANCHEITE!W$22:W$92,"")&lt;&gt;"",_xlfn.XLOOKUP(J45,ETANCHEITE!X$22:X$92,ETANCHEITE!W$22:W$92,""),    INDEX(ETANCHEITE!W:W,MAX(_xlfn._xlws.FILTER(ROW(ETANCHEITE!W$22:INDIRECT("'PEINTURE'!P" &amp; M45-1)),ETANCHEITE!W$22:INDIRECT("'PEINTURE'!P" &amp; M45-1)&lt;&gt;"")))),"")</f>
        <v/>
      </c>
      <c r="S45" s="145">
        <v>43</v>
      </c>
      <c r="T45" s="154" t="str">
        <f>IF(X45&lt;&gt;" ",ETANCHEITE!$D$5,"")</f>
        <v/>
      </c>
      <c r="U45" s="154" t="str">
        <f>IF(X45&lt;&gt;" ",ETANCHEITE!$D$8,"")</f>
        <v/>
      </c>
      <c r="V45" s="146" t="str">
        <f>IFERROR(MATCH(S45,ETANCHEITE!AG$22:AG$167,0)+18,"")</f>
        <v/>
      </c>
      <c r="W45" s="147" t="str" cm="1">
        <f t="array" aca="1" ref="W45" ca="1">IFERROR(IF(_xlfn.XLOOKUP(S45,ETANCHEITE!AG$22:AG$167,ETANCHEITE!$A$22:$A$167,"")&lt;&gt;"",_xlfn.XLOOKUP(S45,ETANCHEITE!AG$22:AG$167,ETANCHEITE!$A$22:$A$167,""),    INDEX(ETANCHEITE!$A:$A,MAX(_xlfn._xlws.FILTER(ROW(ETANCHEITE!$A$22:INDIRECT("'MENUISERIES EXTERIEURES'!$A" &amp; V45-1)),ETANCHEITE!$A$22:INDIRECT("'MENUISERIES EXTERIEURES'!$A" &amp; V45-1)&lt;&gt;"")))),"")&amp;"   "&amp;IFERROR(_xlfn.XLOOKUP(S45,ETANCHEITE!AG$22:AG$167,ETANCHEITE!$B$22:$B$167),"")&amp;IFERROR(_xlfn.XLOOKUP(S45,ETANCHEITE!AG$22:AG$167,ETANCHEITE!$C$22:$C$167),"")&amp;IFERROR(_xlfn.XLOOKUP(S45,ETANCHEITE!AG$22:AG$167,ETANCHEITE!$D$22:$D$167),"")&amp;IFERROR(_xlfn.XLOOKUP(S45,ETANCHEITE!AG$22:AG$167,ETANCHEITE!#REF!),"")&amp;IFERROR(_xlfn.XLOOKUP(S45,ETANCHEITE!AG$22:AG$167,ETANCHEITE!#REF!),"")</f>
        <v xml:space="preserve">   </v>
      </c>
      <c r="X45" s="155" t="str">
        <f>IFERROR(VLOOKUP(S45,ETANCHEITE!AG$22:AI$167,2,FALSE),"")&amp;" "&amp;IFERROR(VLOOKUP(S45,ETANCHEITE!AG$22:AI$167,3,FALSE),"")</f>
        <v xml:space="preserve"> </v>
      </c>
      <c r="Y45" s="148" t="str">
        <f>IF(X45&lt;&gt;" ",'Feuille de Donnée'!$C$3,"")</f>
        <v/>
      </c>
      <c r="Z45" s="162" t="str" cm="1">
        <f t="array" aca="1" ref="Z45" ca="1">IFERROR(IF(_xlfn.XLOOKUP(S45,ETANCHEITE!AG$22:AG$92,ETANCHEITE!AE$22:AE$92,"")&lt;&gt;"",_xlfn.XLOOKUP(S45,ETANCHEITE!AG$22:AG$92,ETANCHEITE!AE$22:AE$92,""),    INDEX(ETANCHEITE!AE:AE,MAX(_xlfn._xlws.FILTER(ROW(ETANCHEITE!AE$22:INDIRECT("'PEINTURE'!O" &amp; V45-1)),ETANCHEITE!AE$22:INDIRECT("'PEINTURE'!O" &amp; V45-1)&lt;&gt;"")))),"")</f>
        <v/>
      </c>
      <c r="AA45" s="163" t="str" cm="1">
        <f t="array" aca="1" ref="AA45" ca="1">IFERROR(IF(_xlfn.XLOOKUP(S45,ETANCHEITE!AG$22:AG$92,ETANCHEITE!AF$22:AF$92,"")&lt;&gt;"",_xlfn.XLOOKUP(S45,ETANCHEITE!AG$22:AG$92,ETANCHEITE!AF$22:AF$92,""),    INDEX(ETANCHEITE!AF:AF,MAX(_xlfn._xlws.FILTER(ROW(ETANCHEITE!AF$22:INDIRECT("'PEINTURE'!P" &amp; V45-1)),ETANCHEITE!AF$22:INDIRECT("'PEINTURE'!P" &amp; V45-1)&lt;&gt;"")))),"")</f>
        <v/>
      </c>
      <c r="AB45" s="145">
        <v>43</v>
      </c>
      <c r="AC45" s="154" t="str">
        <f>IF(AG45&lt;&gt;" ",ETANCHEITE!$D$5,"")</f>
        <v/>
      </c>
      <c r="AD45" s="154" t="str">
        <f>IF(AG45&lt;&gt;" ",ETANCHEITE!$D$8,"")</f>
        <v/>
      </c>
      <c r="AE45" s="146" t="str">
        <f>IFERROR(MATCH(AB45,ETANCHEITE!AP$22:AP$167,0)+18,"")</f>
        <v/>
      </c>
      <c r="AF45" s="147" t="str" cm="1">
        <f t="array" aca="1" ref="AF45" ca="1">IFERROR(IF(_xlfn.XLOOKUP(AB45,ETANCHEITE!AP$22:AP$167,ETANCHEITE!$A$22:$A$167,"")&lt;&gt;"",_xlfn.XLOOKUP(AB45,ETANCHEITE!AP$22:AP$167,ETANCHEITE!$A$22:$A$167,""),    INDEX(ETANCHEITE!$A:$A,MAX(_xlfn._xlws.FILTER(ROW(ETANCHEITE!$A$22:INDIRECT("'MENUISERIES EXTERIEURES'!$A" &amp; AE45-1)),ETANCHEITE!$A$22:INDIRECT("'MENUISERIES EXTERIEURES'!$A" &amp; AE45-1)&lt;&gt;"")))),"")&amp;"   "&amp;IFERROR(_xlfn.XLOOKUP(AB45,ETANCHEITE!AP$22:AP$167,ETANCHEITE!$B$22:$B$167),"")&amp;IFERROR(_xlfn.XLOOKUP(AB45,ETANCHEITE!AP$22:AP$167,ETANCHEITE!$C$22:$C$167),"")&amp;IFERROR(_xlfn.XLOOKUP(AB45,ETANCHEITE!AP$22:AP$167,ETANCHEITE!$D$22:$D$167),"")&amp;IFERROR(_xlfn.XLOOKUP(AB45,ETANCHEITE!AP$22:AP$167,ETANCHEITE!#REF!),"")&amp;IFERROR(_xlfn.XLOOKUP(AB45,ETANCHEITE!AP$22:AP$167,ETANCHEITE!#REF!),"")</f>
        <v xml:space="preserve">   </v>
      </c>
      <c r="AG45" s="155" t="str">
        <f>IFERROR(VLOOKUP(AB45,ETANCHEITE!AP$22:AR$167,2,FALSE),"")&amp;" "&amp;IFERROR(VLOOKUP(AB45,ETANCHEITE!AP$22:AR$167,3,FALSE),"")</f>
        <v xml:space="preserve"> </v>
      </c>
      <c r="AH45" s="148" t="str">
        <f>IF(AG45&lt;&gt;" ",'Feuille de Donnée'!$C$3,"")</f>
        <v/>
      </c>
      <c r="AI45" s="162" t="str" cm="1">
        <f t="array" aca="1" ref="AI45" ca="1">IFERROR(IF(_xlfn.XLOOKUP(AB45,ETANCHEITE!AP$22:AP$92,ETANCHEITE!AN$22:AN$92,"")&lt;&gt;"",_xlfn.XLOOKUP(AB45,ETANCHEITE!AP$22:AP$92,ETANCHEITE!AN$22:AN$92,""),    INDEX(ETANCHEITE!AN:AN,MAX(_xlfn._xlws.FILTER(ROW(ETANCHEITE!AN$22:INDIRECT("'PEINTURE'!O" &amp; AE45-1)),ETANCHEITE!AN$22:INDIRECT("'PEINTURE'!O" &amp; AE45-1)&lt;&gt;"")))),"")</f>
        <v/>
      </c>
      <c r="AJ45" s="163" t="str" cm="1">
        <f t="array" aca="1" ref="AJ45" ca="1">IFERROR(IF(_xlfn.XLOOKUP(AB45,ETANCHEITE!AP$22:AP$92,ETANCHEITE!AO$22:AO$92,"")&lt;&gt;"",_xlfn.XLOOKUP(AB45,ETANCHEITE!AP$22:AP$92,ETANCHEITE!AO$22:AO$92,""),    INDEX(ETANCHEITE!AO:AO,MAX(_xlfn._xlws.FILTER(ROW(ETANCHEITE!AO$22:INDIRECT("'PEINTURE'!P" &amp; AE45-1)),ETANCHEITE!AO$22:INDIRECT("'PEINTURE'!P" &amp; AE45-1)&lt;&gt;"")))),"")</f>
        <v/>
      </c>
      <c r="AK45" s="145">
        <v>43</v>
      </c>
      <c r="AL45" s="154" t="str">
        <f>IF(AP45&lt;&gt;" ",ETANCHEITE!$D$5,"")</f>
        <v/>
      </c>
      <c r="AM45" s="154" t="str">
        <f>IF(AP45&lt;&gt;" ",ETANCHEITE!$D$8,"")</f>
        <v/>
      </c>
      <c r="AN45" s="146" t="str">
        <f>IFERROR(MATCH(AK45,ETANCHEITE!AY$22:AY$167,0)+18,"")</f>
        <v/>
      </c>
      <c r="AO45" s="147" t="str" cm="1">
        <f t="array" aca="1" ref="AO45" ca="1">IFERROR(IF(_xlfn.XLOOKUP(AK45,ETANCHEITE!AY$22:AY$167,ETANCHEITE!$A$22:$A$167,"")&lt;&gt;"",_xlfn.XLOOKUP(AK45,ETANCHEITE!AY$22:AY$167,ETANCHEITE!$A$22:$A$167,""),    INDEX(ETANCHEITE!$A:$A,MAX(_xlfn._xlws.FILTER(ROW(ETANCHEITE!$A$22:INDIRECT("'MENUISERIES EXTERIEURES'!$A" &amp; AN45-1)),ETANCHEITE!$A$22:INDIRECT("'MENUISERIES EXTERIEURES'!$A" &amp; AN45-1)&lt;&gt;"")))),"")&amp;"   "&amp;IFERROR(_xlfn.XLOOKUP(AK45,ETANCHEITE!AY$22:AY$167,ETANCHEITE!$B$22:$B$167),"")&amp;IFERROR(_xlfn.XLOOKUP(AK45,ETANCHEITE!AY$22:AY$167,ETANCHEITE!$C$22:$C$167),"")&amp;IFERROR(_xlfn.XLOOKUP(AK45,ETANCHEITE!AY$22:AY$167,ETANCHEITE!$D$22:$D$167),"")&amp;IFERROR(_xlfn.XLOOKUP(AK45,ETANCHEITE!AY$22:AY$167,ETANCHEITE!#REF!),"")&amp;IFERROR(_xlfn.XLOOKUP(AK45,ETANCHEITE!AY$22:AY$167,ETANCHEITE!#REF!),"")</f>
        <v xml:space="preserve">   </v>
      </c>
      <c r="AP45" s="155" t="str">
        <f>IFERROR(VLOOKUP(AK45,ETANCHEITE!AY$22:BA$167,2,FALSE),"")&amp;" "&amp;IFERROR(VLOOKUP(AK45,ETANCHEITE!AY$22:BA$167,3,FALSE),"")</f>
        <v xml:space="preserve"> </v>
      </c>
      <c r="AQ45" s="148" t="str">
        <f>IF(AP45&lt;&gt;" ",'Feuille de Donnée'!$C$3,"")</f>
        <v/>
      </c>
      <c r="AR45" s="162" t="str" cm="1">
        <f t="array" aca="1" ref="AR45" ca="1">IFERROR(IF(_xlfn.XLOOKUP(AK45,ETANCHEITE!AY$22:AY$92,ETANCHEITE!AW$22:AW$92,"")&lt;&gt;"",_xlfn.XLOOKUP(AK45,ETANCHEITE!AY$22:AY$92,ETANCHEITE!AW$22:AW$92,""),    INDEX(ETANCHEITE!AW:AW,MAX(_xlfn._xlws.FILTER(ROW(ETANCHEITE!AW$22:INDIRECT("'PEINTURE'!O" &amp; AN45-1)),ETANCHEITE!AW$22:INDIRECT("'PEINTURE'!O" &amp; AN45-1)&lt;&gt;"")))),"")</f>
        <v/>
      </c>
      <c r="AS45" s="163" t="str" cm="1">
        <f t="array" aca="1" ref="AS45" ca="1">IFERROR(IF(_xlfn.XLOOKUP(AK45,ETANCHEITE!AY$22:AY$92,ETANCHEITE!AX$22:AX$92,"")&lt;&gt;"",_xlfn.XLOOKUP(AK45,ETANCHEITE!AY$22:AY$92,ETANCHEITE!AX$22:AX$92,""),    INDEX(ETANCHEITE!AX:AX,MAX(_xlfn._xlws.FILTER(ROW(ETANCHEITE!AX$22:INDIRECT("'PEINTURE'!P" &amp; AN45-1)),ETANCHEITE!AX$22:INDIRECT("'PEINTURE'!P" &amp; AN45-1)&lt;&gt;"")))),"")</f>
        <v/>
      </c>
      <c r="AT45" s="145">
        <v>43</v>
      </c>
      <c r="AU45" s="154" t="str">
        <f>IF(AY45&lt;&gt;" ",ETANCHEITE!$D$5,"")</f>
        <v/>
      </c>
      <c r="AV45" s="154" t="str">
        <f>IF(AY45&lt;&gt;" ",ETANCHEITE!$D$8,"")</f>
        <v/>
      </c>
      <c r="AW45" s="146" t="str">
        <f>IFERROR(MATCH(AT45,ETANCHEITE!BH$22:BH$167,0)+18,"")</f>
        <v/>
      </c>
      <c r="AX45" s="147" t="str" cm="1">
        <f t="array" aca="1" ref="AX45" ca="1">IFERROR(IF(_xlfn.XLOOKUP(AT45,ETANCHEITE!BH$22:BH$167,ETANCHEITE!$A$22:$A$167,"")&lt;&gt;"",_xlfn.XLOOKUP(AT45,ETANCHEITE!BH$22:BH$167,ETANCHEITE!$A$22:$A$167,""),    INDEX(ETANCHEITE!$A:$A,MAX(_xlfn._xlws.FILTER(ROW(ETANCHEITE!$A$22:INDIRECT("'MENUISERIES EXTERIEURES'!$A" &amp; AW45-1)),ETANCHEITE!$A$22:INDIRECT("'MENUISERIES EXTERIEURES'!$A" &amp; AW45-1)&lt;&gt;"")))),"")&amp;"   "&amp;IFERROR(_xlfn.XLOOKUP(AT45,ETANCHEITE!BH$22:BH$167,ETANCHEITE!$B$22:$B$167),"")&amp;IFERROR(_xlfn.XLOOKUP(AT45,ETANCHEITE!BH$22:BH$167,ETANCHEITE!$C$22:$C$167),"")&amp;IFERROR(_xlfn.XLOOKUP(AT45,ETANCHEITE!BH$22:BH$167,ETANCHEITE!$D$22:$D$167),"")&amp;IFERROR(_xlfn.XLOOKUP(AT45,ETANCHEITE!BH$22:BH$167,ETANCHEITE!#REF!),"")&amp;IFERROR(_xlfn.XLOOKUP(AT45,ETANCHEITE!BH$22:BH$167,ETANCHEITE!#REF!),"")</f>
        <v xml:space="preserve">   </v>
      </c>
      <c r="AY45" s="155" t="str">
        <f>IFERROR(VLOOKUP(AT45,ETANCHEITE!BH$22:BJ$167,2,FALSE),"")&amp;" "&amp;IFERROR(VLOOKUP(AT45,ETANCHEITE!BH$22:BJ$167,3,FALSE),"")</f>
        <v xml:space="preserve"> </v>
      </c>
      <c r="AZ45" s="148" t="str">
        <f>IF(AY45&lt;&gt;" ",'Feuille de Donnée'!$C$3,"")</f>
        <v/>
      </c>
      <c r="BA45" s="162" t="str" cm="1">
        <f t="array" aca="1" ref="BA45" ca="1">IFERROR(IF(_xlfn.XLOOKUP(AT45,ETANCHEITE!BH$22:BH$92,ETANCHEITE!BF$22:BF$92,"")&lt;&gt;"",_xlfn.XLOOKUP(AT45,ETANCHEITE!BH$22:BH$92,ETANCHEITE!BF$22:BF$92,""),    INDEX(ETANCHEITE!BF:BF,MAX(_xlfn._xlws.FILTER(ROW(ETANCHEITE!BF$22:INDIRECT("'PEINTURE'!O" &amp; AW45-1)),ETANCHEITE!BF$22:INDIRECT("'PEINTURE'!O" &amp; AW45-1)&lt;&gt;"")))),"")</f>
        <v/>
      </c>
      <c r="BB45" s="163" t="str" cm="1">
        <f t="array" aca="1" ref="BB45" ca="1">IFERROR(IF(_xlfn.XLOOKUP(AT45,ETANCHEITE!BH$22:BH$92,ETANCHEITE!BG$22:BG$92,"")&lt;&gt;"",_xlfn.XLOOKUP(AT45,ETANCHEITE!BH$22:BH$92,ETANCHEITE!BG$22:BG$92,""),    INDEX(ETANCHEITE!BG:BG,MAX(_xlfn._xlws.FILTER(ROW(ETANCHEITE!BG$22:INDIRECT("'PEINTURE'!P" &amp; AW45-1)),ETANCHEITE!BG$22:INDIRECT("'PEINTURE'!P" &amp; AW45-1)&lt;&gt;"")))),"")</f>
        <v/>
      </c>
    </row>
    <row r="46" spans="1:54" ht="16.5" customHeight="1" x14ac:dyDescent="0.3">
      <c r="A46" s="145">
        <v>44</v>
      </c>
      <c r="B46" s="154" t="str">
        <f>IF(F46&lt;&gt;" ",ETANCHEITE!$D$5,"")</f>
        <v/>
      </c>
      <c r="C46" s="154" t="str">
        <f>IF(F46&lt;&gt;" ",ETANCHEITE!$D$8,"")</f>
        <v/>
      </c>
      <c r="D46" s="146" t="str">
        <f>IFERROR(MATCH(A46,ETANCHEITE!O$22:O$167,0)+18,"")</f>
        <v/>
      </c>
      <c r="E46" s="147" t="str" cm="1">
        <f t="array" aca="1" ref="E46" ca="1">IFERROR(IF(_xlfn.XLOOKUP(A46,ETANCHEITE!O$22:O$167,ETANCHEITE!$A$22:$A$167,"")&lt;&gt;"",_xlfn.XLOOKUP(A46,ETANCHEITE!O$22:O$167,ETANCHEITE!$A$22:$A$167,""),    INDEX(ETANCHEITE!$A:$A,MAX(_xlfn._xlws.FILTER(ROW(ETANCHEITE!$A$22:INDIRECT("'MENUISERIES EXTERIEURES'!$A" &amp; D46-1)),ETANCHEITE!$A$22:INDIRECT("'MENUISERIES EXTERIEURES'!$A" &amp; D46-1)&lt;&gt;"")))),"")&amp;"   "&amp;IFERROR(_xlfn.XLOOKUP(A46,ETANCHEITE!O$22:O$167,ETANCHEITE!$B$22:$B$167),"")&amp;IFERROR(_xlfn.XLOOKUP(A46,ETANCHEITE!O$22:O$167,ETANCHEITE!$C$22:$C$167),"")&amp;IFERROR(_xlfn.XLOOKUP(A46,ETANCHEITE!O$22:O$167,ETANCHEITE!$D$22:$D$167),"")&amp;IFERROR(_xlfn.XLOOKUP(A46,ETANCHEITE!O$22:O$167,ETANCHEITE!#REF!),"")&amp;IFERROR(_xlfn.XLOOKUP(A46,ETANCHEITE!O$22:O$167,ETANCHEITE!#REF!),"")</f>
        <v xml:space="preserve">   </v>
      </c>
      <c r="F46" s="155" t="str">
        <f>IFERROR(VLOOKUP(A46,ETANCHEITE!O$22:Q$167,2,FALSE),"")&amp;" "&amp;IFERROR(VLOOKUP(A46,ETANCHEITE!O$22:Q$167,3,FALSE),"")</f>
        <v xml:space="preserve"> </v>
      </c>
      <c r="G46" s="148" t="str">
        <f>IF(F46&lt;&gt;" ",'Feuille de Donnée'!$C$3,"")</f>
        <v/>
      </c>
      <c r="H46" s="162" t="str" cm="1">
        <f t="array" aca="1" ref="H46" ca="1">IFERROR(IF(_xlfn.XLOOKUP(A46,ETANCHEITE!O$22:O$92,ETANCHEITE!M$22:M$92,"")&lt;&gt;"",_xlfn.XLOOKUP(A46,ETANCHEITE!O$22:O$92,ETANCHEITE!M$22:M$92,""),    INDEX(ETANCHEITE!M:M,MAX(_xlfn._xlws.FILTER(ROW(ETANCHEITE!M$22:INDIRECT("'PEINTURE'!O" &amp; D46-1)),ETANCHEITE!M$22:INDIRECT("'PEINTURE'!O" &amp; D46-1)&lt;&gt;"")))),"")</f>
        <v/>
      </c>
      <c r="I46" s="163" t="str" cm="1">
        <f t="array" aca="1" ref="I46" ca="1">IFERROR(IF(_xlfn.XLOOKUP(A46,ETANCHEITE!O$22:O$92,ETANCHEITE!N$22:N$92,"")&lt;&gt;"",_xlfn.XLOOKUP(A46,ETANCHEITE!O$22:O$92,ETANCHEITE!N$22:N$92,""),    INDEX(ETANCHEITE!N:N,MAX(_xlfn._xlws.FILTER(ROW(ETANCHEITE!N$22:INDIRECT("'PEINTURE'!P" &amp; D46-1)),ETANCHEITE!N$22:INDIRECT("'PEINTURE'!P" &amp; D46-1)&lt;&gt;"")))),"")</f>
        <v/>
      </c>
      <c r="J46" s="145">
        <v>44</v>
      </c>
      <c r="K46" s="154" t="str">
        <f>IF(O46&lt;&gt;" ",ETANCHEITE!$D$5,"")</f>
        <v/>
      </c>
      <c r="L46" s="154" t="str">
        <f>IF(O46&lt;&gt;" ",ETANCHEITE!$D$8,"")</f>
        <v/>
      </c>
      <c r="M46" s="146" t="str">
        <f>IFERROR(MATCH(J46,ETANCHEITE!X$22:X$167,0)+18,"")</f>
        <v/>
      </c>
      <c r="N46" s="147" t="str" cm="1">
        <f t="array" aca="1" ref="N46" ca="1">IFERROR(IF(_xlfn.XLOOKUP(J46,ETANCHEITE!X$22:X$167,ETANCHEITE!$A$22:$A$167,"")&lt;&gt;"",_xlfn.XLOOKUP(J46,ETANCHEITE!X$22:X$167,ETANCHEITE!$A$22:$A$167,""),    INDEX(ETANCHEITE!$A:$A,MAX(_xlfn._xlws.FILTER(ROW(ETANCHEITE!$A$22:INDIRECT("'MENUISERIES EXTERIEURES'!$A" &amp; M46-1)),ETANCHEITE!$A$22:INDIRECT("'MENUISERIES EXTERIEURES'!$A" &amp; M46-1)&lt;&gt;"")))),"")&amp;"   "&amp;IFERROR(_xlfn.XLOOKUP(J46,ETANCHEITE!X$22:X$167,ETANCHEITE!$B$22:$B$167),"")&amp;IFERROR(_xlfn.XLOOKUP(J46,ETANCHEITE!X$22:X$167,ETANCHEITE!$C$22:$C$167),"")&amp;IFERROR(_xlfn.XLOOKUP(J46,ETANCHEITE!X$22:X$167,ETANCHEITE!$D$22:$D$167),"")&amp;IFERROR(_xlfn.XLOOKUP(J46,ETANCHEITE!X$22:X$167,ETANCHEITE!#REF!),"")&amp;IFERROR(_xlfn.XLOOKUP(J46,ETANCHEITE!X$22:X$167,ETANCHEITE!#REF!),"")</f>
        <v xml:space="preserve">   </v>
      </c>
      <c r="O46" s="155" t="str">
        <f>IFERROR(VLOOKUP(J46,ETANCHEITE!X$22:Z$167,2,FALSE),"")&amp;" "&amp;IFERROR(VLOOKUP(J46,ETANCHEITE!X$22:Z$167,3,FALSE),"")</f>
        <v xml:space="preserve"> </v>
      </c>
      <c r="P46" s="148" t="str">
        <f>IF(O46&lt;&gt;" ",'Feuille de Donnée'!$C$3,"")</f>
        <v/>
      </c>
      <c r="Q46" s="162" t="str" cm="1">
        <f t="array" aca="1" ref="Q46" ca="1">IFERROR(IF(_xlfn.XLOOKUP(J46,ETANCHEITE!X$22:X$92,ETANCHEITE!V$22:V$92,"")&lt;&gt;"",_xlfn.XLOOKUP(J46,ETANCHEITE!X$22:X$92,ETANCHEITE!V$22:V$92,""),    INDEX(ETANCHEITE!V:V,MAX(_xlfn._xlws.FILTER(ROW(ETANCHEITE!V$22:INDIRECT("'PEINTURE'!O" &amp; M46-1)),ETANCHEITE!V$22:INDIRECT("'PEINTURE'!O" &amp; M46-1)&lt;&gt;"")))),"")</f>
        <v/>
      </c>
      <c r="R46" s="163" t="str" cm="1">
        <f t="array" aca="1" ref="R46" ca="1">IFERROR(IF(_xlfn.XLOOKUP(J46,ETANCHEITE!X$22:X$92,ETANCHEITE!W$22:W$92,"")&lt;&gt;"",_xlfn.XLOOKUP(J46,ETANCHEITE!X$22:X$92,ETANCHEITE!W$22:W$92,""),    INDEX(ETANCHEITE!W:W,MAX(_xlfn._xlws.FILTER(ROW(ETANCHEITE!W$22:INDIRECT("'PEINTURE'!P" &amp; M46-1)),ETANCHEITE!W$22:INDIRECT("'PEINTURE'!P" &amp; M46-1)&lt;&gt;"")))),"")</f>
        <v/>
      </c>
      <c r="S46" s="145">
        <v>44</v>
      </c>
      <c r="T46" s="154" t="str">
        <f>IF(X46&lt;&gt;" ",ETANCHEITE!$D$5,"")</f>
        <v/>
      </c>
      <c r="U46" s="154" t="str">
        <f>IF(X46&lt;&gt;" ",ETANCHEITE!$D$8,"")</f>
        <v/>
      </c>
      <c r="V46" s="146" t="str">
        <f>IFERROR(MATCH(S46,ETANCHEITE!AG$22:AG$167,0)+18,"")</f>
        <v/>
      </c>
      <c r="W46" s="147" t="str" cm="1">
        <f t="array" aca="1" ref="W46" ca="1">IFERROR(IF(_xlfn.XLOOKUP(S46,ETANCHEITE!AG$22:AG$167,ETANCHEITE!$A$22:$A$167,"")&lt;&gt;"",_xlfn.XLOOKUP(S46,ETANCHEITE!AG$22:AG$167,ETANCHEITE!$A$22:$A$167,""),    INDEX(ETANCHEITE!$A:$A,MAX(_xlfn._xlws.FILTER(ROW(ETANCHEITE!$A$22:INDIRECT("'MENUISERIES EXTERIEURES'!$A" &amp; V46-1)),ETANCHEITE!$A$22:INDIRECT("'MENUISERIES EXTERIEURES'!$A" &amp; V46-1)&lt;&gt;"")))),"")&amp;"   "&amp;IFERROR(_xlfn.XLOOKUP(S46,ETANCHEITE!AG$22:AG$167,ETANCHEITE!$B$22:$B$167),"")&amp;IFERROR(_xlfn.XLOOKUP(S46,ETANCHEITE!AG$22:AG$167,ETANCHEITE!$C$22:$C$167),"")&amp;IFERROR(_xlfn.XLOOKUP(S46,ETANCHEITE!AG$22:AG$167,ETANCHEITE!$D$22:$D$167),"")&amp;IFERROR(_xlfn.XLOOKUP(S46,ETANCHEITE!AG$22:AG$167,ETANCHEITE!#REF!),"")&amp;IFERROR(_xlfn.XLOOKUP(S46,ETANCHEITE!AG$22:AG$167,ETANCHEITE!#REF!),"")</f>
        <v xml:space="preserve">   </v>
      </c>
      <c r="X46" s="155" t="str">
        <f>IFERROR(VLOOKUP(S46,ETANCHEITE!AG$22:AI$167,2,FALSE),"")&amp;" "&amp;IFERROR(VLOOKUP(S46,ETANCHEITE!AG$22:AI$167,3,FALSE),"")</f>
        <v xml:space="preserve"> </v>
      </c>
      <c r="Y46" s="148" t="str">
        <f>IF(X46&lt;&gt;" ",'Feuille de Donnée'!$C$3,"")</f>
        <v/>
      </c>
      <c r="Z46" s="162" t="str" cm="1">
        <f t="array" aca="1" ref="Z46" ca="1">IFERROR(IF(_xlfn.XLOOKUP(S46,ETANCHEITE!AG$22:AG$92,ETANCHEITE!AE$22:AE$92,"")&lt;&gt;"",_xlfn.XLOOKUP(S46,ETANCHEITE!AG$22:AG$92,ETANCHEITE!AE$22:AE$92,""),    INDEX(ETANCHEITE!AE:AE,MAX(_xlfn._xlws.FILTER(ROW(ETANCHEITE!AE$22:INDIRECT("'PEINTURE'!O" &amp; V46-1)),ETANCHEITE!AE$22:INDIRECT("'PEINTURE'!O" &amp; V46-1)&lt;&gt;"")))),"")</f>
        <v/>
      </c>
      <c r="AA46" s="163" t="str" cm="1">
        <f t="array" aca="1" ref="AA46" ca="1">IFERROR(IF(_xlfn.XLOOKUP(S46,ETANCHEITE!AG$22:AG$92,ETANCHEITE!AF$22:AF$92,"")&lt;&gt;"",_xlfn.XLOOKUP(S46,ETANCHEITE!AG$22:AG$92,ETANCHEITE!AF$22:AF$92,""),    INDEX(ETANCHEITE!AF:AF,MAX(_xlfn._xlws.FILTER(ROW(ETANCHEITE!AF$22:INDIRECT("'PEINTURE'!P" &amp; V46-1)),ETANCHEITE!AF$22:INDIRECT("'PEINTURE'!P" &amp; V46-1)&lt;&gt;"")))),"")</f>
        <v/>
      </c>
      <c r="AB46" s="145">
        <v>44</v>
      </c>
      <c r="AC46" s="154" t="str">
        <f>IF(AG46&lt;&gt;" ",ETANCHEITE!$D$5,"")</f>
        <v/>
      </c>
      <c r="AD46" s="154" t="str">
        <f>IF(AG46&lt;&gt;" ",ETANCHEITE!$D$8,"")</f>
        <v/>
      </c>
      <c r="AE46" s="146" t="str">
        <f>IFERROR(MATCH(AB46,ETANCHEITE!AP$22:AP$167,0)+18,"")</f>
        <v/>
      </c>
      <c r="AF46" s="147" t="str" cm="1">
        <f t="array" aca="1" ref="AF46" ca="1">IFERROR(IF(_xlfn.XLOOKUP(AB46,ETANCHEITE!AP$22:AP$167,ETANCHEITE!$A$22:$A$167,"")&lt;&gt;"",_xlfn.XLOOKUP(AB46,ETANCHEITE!AP$22:AP$167,ETANCHEITE!$A$22:$A$167,""),    INDEX(ETANCHEITE!$A:$A,MAX(_xlfn._xlws.FILTER(ROW(ETANCHEITE!$A$22:INDIRECT("'MENUISERIES EXTERIEURES'!$A" &amp; AE46-1)),ETANCHEITE!$A$22:INDIRECT("'MENUISERIES EXTERIEURES'!$A" &amp; AE46-1)&lt;&gt;"")))),"")&amp;"   "&amp;IFERROR(_xlfn.XLOOKUP(AB46,ETANCHEITE!AP$22:AP$167,ETANCHEITE!$B$22:$B$167),"")&amp;IFERROR(_xlfn.XLOOKUP(AB46,ETANCHEITE!AP$22:AP$167,ETANCHEITE!$C$22:$C$167),"")&amp;IFERROR(_xlfn.XLOOKUP(AB46,ETANCHEITE!AP$22:AP$167,ETANCHEITE!$D$22:$D$167),"")&amp;IFERROR(_xlfn.XLOOKUP(AB46,ETANCHEITE!AP$22:AP$167,ETANCHEITE!#REF!),"")&amp;IFERROR(_xlfn.XLOOKUP(AB46,ETANCHEITE!AP$22:AP$167,ETANCHEITE!#REF!),"")</f>
        <v xml:space="preserve">   </v>
      </c>
      <c r="AG46" s="155" t="str">
        <f>IFERROR(VLOOKUP(AB46,ETANCHEITE!AP$22:AR$167,2,FALSE),"")&amp;" "&amp;IFERROR(VLOOKUP(AB46,ETANCHEITE!AP$22:AR$167,3,FALSE),"")</f>
        <v xml:space="preserve"> </v>
      </c>
      <c r="AH46" s="148" t="str">
        <f>IF(AG46&lt;&gt;" ",'Feuille de Donnée'!$C$3,"")</f>
        <v/>
      </c>
      <c r="AI46" s="162" t="str" cm="1">
        <f t="array" aca="1" ref="AI46" ca="1">IFERROR(IF(_xlfn.XLOOKUP(AB46,ETANCHEITE!AP$22:AP$92,ETANCHEITE!AN$22:AN$92,"")&lt;&gt;"",_xlfn.XLOOKUP(AB46,ETANCHEITE!AP$22:AP$92,ETANCHEITE!AN$22:AN$92,""),    INDEX(ETANCHEITE!AN:AN,MAX(_xlfn._xlws.FILTER(ROW(ETANCHEITE!AN$22:INDIRECT("'PEINTURE'!O" &amp; AE46-1)),ETANCHEITE!AN$22:INDIRECT("'PEINTURE'!O" &amp; AE46-1)&lt;&gt;"")))),"")</f>
        <v/>
      </c>
      <c r="AJ46" s="163" t="str" cm="1">
        <f t="array" aca="1" ref="AJ46" ca="1">IFERROR(IF(_xlfn.XLOOKUP(AB46,ETANCHEITE!AP$22:AP$92,ETANCHEITE!AO$22:AO$92,"")&lt;&gt;"",_xlfn.XLOOKUP(AB46,ETANCHEITE!AP$22:AP$92,ETANCHEITE!AO$22:AO$92,""),    INDEX(ETANCHEITE!AO:AO,MAX(_xlfn._xlws.FILTER(ROW(ETANCHEITE!AO$22:INDIRECT("'PEINTURE'!P" &amp; AE46-1)),ETANCHEITE!AO$22:INDIRECT("'PEINTURE'!P" &amp; AE46-1)&lt;&gt;"")))),"")</f>
        <v/>
      </c>
      <c r="AK46" s="145">
        <v>44</v>
      </c>
      <c r="AL46" s="154" t="str">
        <f>IF(AP46&lt;&gt;" ",ETANCHEITE!$D$5,"")</f>
        <v/>
      </c>
      <c r="AM46" s="154" t="str">
        <f>IF(AP46&lt;&gt;" ",ETANCHEITE!$D$8,"")</f>
        <v/>
      </c>
      <c r="AN46" s="146" t="str">
        <f>IFERROR(MATCH(AK46,ETANCHEITE!AY$22:AY$167,0)+18,"")</f>
        <v/>
      </c>
      <c r="AO46" s="147" t="str" cm="1">
        <f t="array" aca="1" ref="AO46" ca="1">IFERROR(IF(_xlfn.XLOOKUP(AK46,ETANCHEITE!AY$22:AY$167,ETANCHEITE!$A$22:$A$167,"")&lt;&gt;"",_xlfn.XLOOKUP(AK46,ETANCHEITE!AY$22:AY$167,ETANCHEITE!$A$22:$A$167,""),    INDEX(ETANCHEITE!$A:$A,MAX(_xlfn._xlws.FILTER(ROW(ETANCHEITE!$A$22:INDIRECT("'MENUISERIES EXTERIEURES'!$A" &amp; AN46-1)),ETANCHEITE!$A$22:INDIRECT("'MENUISERIES EXTERIEURES'!$A" &amp; AN46-1)&lt;&gt;"")))),"")&amp;"   "&amp;IFERROR(_xlfn.XLOOKUP(AK46,ETANCHEITE!AY$22:AY$167,ETANCHEITE!$B$22:$B$167),"")&amp;IFERROR(_xlfn.XLOOKUP(AK46,ETANCHEITE!AY$22:AY$167,ETANCHEITE!$C$22:$C$167),"")&amp;IFERROR(_xlfn.XLOOKUP(AK46,ETANCHEITE!AY$22:AY$167,ETANCHEITE!$D$22:$D$167),"")&amp;IFERROR(_xlfn.XLOOKUP(AK46,ETANCHEITE!AY$22:AY$167,ETANCHEITE!#REF!),"")&amp;IFERROR(_xlfn.XLOOKUP(AK46,ETANCHEITE!AY$22:AY$167,ETANCHEITE!#REF!),"")</f>
        <v xml:space="preserve">   </v>
      </c>
      <c r="AP46" s="155" t="str">
        <f>IFERROR(VLOOKUP(AK46,ETANCHEITE!AY$22:BA$167,2,FALSE),"")&amp;" "&amp;IFERROR(VLOOKUP(AK46,ETANCHEITE!AY$22:BA$167,3,FALSE),"")</f>
        <v xml:space="preserve"> </v>
      </c>
      <c r="AQ46" s="148" t="str">
        <f>IF(AP46&lt;&gt;" ",'Feuille de Donnée'!$C$3,"")</f>
        <v/>
      </c>
      <c r="AR46" s="162" t="str" cm="1">
        <f t="array" aca="1" ref="AR46" ca="1">IFERROR(IF(_xlfn.XLOOKUP(AK46,ETANCHEITE!AY$22:AY$92,ETANCHEITE!AW$22:AW$92,"")&lt;&gt;"",_xlfn.XLOOKUP(AK46,ETANCHEITE!AY$22:AY$92,ETANCHEITE!AW$22:AW$92,""),    INDEX(ETANCHEITE!AW:AW,MAX(_xlfn._xlws.FILTER(ROW(ETANCHEITE!AW$22:INDIRECT("'PEINTURE'!O" &amp; AN46-1)),ETANCHEITE!AW$22:INDIRECT("'PEINTURE'!O" &amp; AN46-1)&lt;&gt;"")))),"")</f>
        <v/>
      </c>
      <c r="AS46" s="163" t="str" cm="1">
        <f t="array" aca="1" ref="AS46" ca="1">IFERROR(IF(_xlfn.XLOOKUP(AK46,ETANCHEITE!AY$22:AY$92,ETANCHEITE!AX$22:AX$92,"")&lt;&gt;"",_xlfn.XLOOKUP(AK46,ETANCHEITE!AY$22:AY$92,ETANCHEITE!AX$22:AX$92,""),    INDEX(ETANCHEITE!AX:AX,MAX(_xlfn._xlws.FILTER(ROW(ETANCHEITE!AX$22:INDIRECT("'PEINTURE'!P" &amp; AN46-1)),ETANCHEITE!AX$22:INDIRECT("'PEINTURE'!P" &amp; AN46-1)&lt;&gt;"")))),"")</f>
        <v/>
      </c>
      <c r="AT46" s="145">
        <v>44</v>
      </c>
      <c r="AU46" s="154" t="str">
        <f>IF(AY46&lt;&gt;" ",ETANCHEITE!$D$5,"")</f>
        <v/>
      </c>
      <c r="AV46" s="154" t="str">
        <f>IF(AY46&lt;&gt;" ",ETANCHEITE!$D$8,"")</f>
        <v/>
      </c>
      <c r="AW46" s="146" t="str">
        <f>IFERROR(MATCH(AT46,ETANCHEITE!BH$22:BH$167,0)+18,"")</f>
        <v/>
      </c>
      <c r="AX46" s="147" t="str" cm="1">
        <f t="array" aca="1" ref="AX46" ca="1">IFERROR(IF(_xlfn.XLOOKUP(AT46,ETANCHEITE!BH$22:BH$167,ETANCHEITE!$A$22:$A$167,"")&lt;&gt;"",_xlfn.XLOOKUP(AT46,ETANCHEITE!BH$22:BH$167,ETANCHEITE!$A$22:$A$167,""),    INDEX(ETANCHEITE!$A:$A,MAX(_xlfn._xlws.FILTER(ROW(ETANCHEITE!$A$22:INDIRECT("'MENUISERIES EXTERIEURES'!$A" &amp; AW46-1)),ETANCHEITE!$A$22:INDIRECT("'MENUISERIES EXTERIEURES'!$A" &amp; AW46-1)&lt;&gt;"")))),"")&amp;"   "&amp;IFERROR(_xlfn.XLOOKUP(AT46,ETANCHEITE!BH$22:BH$167,ETANCHEITE!$B$22:$B$167),"")&amp;IFERROR(_xlfn.XLOOKUP(AT46,ETANCHEITE!BH$22:BH$167,ETANCHEITE!$C$22:$C$167),"")&amp;IFERROR(_xlfn.XLOOKUP(AT46,ETANCHEITE!BH$22:BH$167,ETANCHEITE!$D$22:$D$167),"")&amp;IFERROR(_xlfn.XLOOKUP(AT46,ETANCHEITE!BH$22:BH$167,ETANCHEITE!#REF!),"")&amp;IFERROR(_xlfn.XLOOKUP(AT46,ETANCHEITE!BH$22:BH$167,ETANCHEITE!#REF!),"")</f>
        <v xml:space="preserve">   </v>
      </c>
      <c r="AY46" s="155" t="str">
        <f>IFERROR(VLOOKUP(AT46,ETANCHEITE!BH$22:BJ$167,2,FALSE),"")&amp;" "&amp;IFERROR(VLOOKUP(AT46,ETANCHEITE!BH$22:BJ$167,3,FALSE),"")</f>
        <v xml:space="preserve"> </v>
      </c>
      <c r="AZ46" s="148" t="str">
        <f>IF(AY46&lt;&gt;" ",'Feuille de Donnée'!$C$3,"")</f>
        <v/>
      </c>
      <c r="BA46" s="162" t="str" cm="1">
        <f t="array" aca="1" ref="BA46" ca="1">IFERROR(IF(_xlfn.XLOOKUP(AT46,ETANCHEITE!BH$22:BH$92,ETANCHEITE!BF$22:BF$92,"")&lt;&gt;"",_xlfn.XLOOKUP(AT46,ETANCHEITE!BH$22:BH$92,ETANCHEITE!BF$22:BF$92,""),    INDEX(ETANCHEITE!BF:BF,MAX(_xlfn._xlws.FILTER(ROW(ETANCHEITE!BF$22:INDIRECT("'PEINTURE'!O" &amp; AW46-1)),ETANCHEITE!BF$22:INDIRECT("'PEINTURE'!O" &amp; AW46-1)&lt;&gt;"")))),"")</f>
        <v/>
      </c>
      <c r="BB46" s="163" t="str" cm="1">
        <f t="array" aca="1" ref="BB46" ca="1">IFERROR(IF(_xlfn.XLOOKUP(AT46,ETANCHEITE!BH$22:BH$92,ETANCHEITE!BG$22:BG$92,"")&lt;&gt;"",_xlfn.XLOOKUP(AT46,ETANCHEITE!BH$22:BH$92,ETANCHEITE!BG$22:BG$92,""),    INDEX(ETANCHEITE!BG:BG,MAX(_xlfn._xlws.FILTER(ROW(ETANCHEITE!BG$22:INDIRECT("'PEINTURE'!P" &amp; AW46-1)),ETANCHEITE!BG$22:INDIRECT("'PEINTURE'!P" &amp; AW46-1)&lt;&gt;"")))),"")</f>
        <v/>
      </c>
    </row>
    <row r="47" spans="1:54" ht="16.5" customHeight="1" x14ac:dyDescent="0.3">
      <c r="A47" s="145">
        <v>45</v>
      </c>
      <c r="B47" s="154" t="str">
        <f>IF(F47&lt;&gt;" ",ETANCHEITE!$D$5,"")</f>
        <v/>
      </c>
      <c r="C47" s="154" t="str">
        <f>IF(F47&lt;&gt;" ",ETANCHEITE!$D$8,"")</f>
        <v/>
      </c>
      <c r="D47" s="146" t="str">
        <f>IFERROR(MATCH(A47,ETANCHEITE!O$22:O$167,0)+18,"")</f>
        <v/>
      </c>
      <c r="E47" s="147" t="str" cm="1">
        <f t="array" aca="1" ref="E47" ca="1">IFERROR(IF(_xlfn.XLOOKUP(A47,ETANCHEITE!O$22:O$167,ETANCHEITE!$A$22:$A$167,"")&lt;&gt;"",_xlfn.XLOOKUP(A47,ETANCHEITE!O$22:O$167,ETANCHEITE!$A$22:$A$167,""),    INDEX(ETANCHEITE!$A:$A,MAX(_xlfn._xlws.FILTER(ROW(ETANCHEITE!$A$22:INDIRECT("'MENUISERIES EXTERIEURES'!$A" &amp; D47-1)),ETANCHEITE!$A$22:INDIRECT("'MENUISERIES EXTERIEURES'!$A" &amp; D47-1)&lt;&gt;"")))),"")&amp;"   "&amp;IFERROR(_xlfn.XLOOKUP(A47,ETANCHEITE!O$22:O$167,ETANCHEITE!$B$22:$B$167),"")&amp;IFERROR(_xlfn.XLOOKUP(A47,ETANCHEITE!O$22:O$167,ETANCHEITE!$C$22:$C$167),"")&amp;IFERROR(_xlfn.XLOOKUP(A47,ETANCHEITE!O$22:O$167,ETANCHEITE!$D$22:$D$167),"")&amp;IFERROR(_xlfn.XLOOKUP(A47,ETANCHEITE!O$22:O$167,ETANCHEITE!#REF!),"")&amp;IFERROR(_xlfn.XLOOKUP(A47,ETANCHEITE!O$22:O$167,ETANCHEITE!#REF!),"")</f>
        <v xml:space="preserve">   </v>
      </c>
      <c r="F47" s="155" t="str">
        <f>IFERROR(VLOOKUP(A47,ETANCHEITE!O$22:Q$167,2,FALSE),"")&amp;" "&amp;IFERROR(VLOOKUP(A47,ETANCHEITE!O$22:Q$167,3,FALSE),"")</f>
        <v xml:space="preserve"> </v>
      </c>
      <c r="G47" s="148" t="str">
        <f>IF(F47&lt;&gt;" ",'Feuille de Donnée'!$C$3,"")</f>
        <v/>
      </c>
      <c r="H47" s="162" t="str" cm="1">
        <f t="array" aca="1" ref="H47" ca="1">IFERROR(IF(_xlfn.XLOOKUP(A47,ETANCHEITE!O$22:O$92,ETANCHEITE!M$22:M$92,"")&lt;&gt;"",_xlfn.XLOOKUP(A47,ETANCHEITE!O$22:O$92,ETANCHEITE!M$22:M$92,""),    INDEX(ETANCHEITE!M:M,MAX(_xlfn._xlws.FILTER(ROW(ETANCHEITE!M$22:INDIRECT("'PEINTURE'!O" &amp; D47-1)),ETANCHEITE!M$22:INDIRECT("'PEINTURE'!O" &amp; D47-1)&lt;&gt;"")))),"")</f>
        <v/>
      </c>
      <c r="I47" s="163" t="str" cm="1">
        <f t="array" aca="1" ref="I47" ca="1">IFERROR(IF(_xlfn.XLOOKUP(A47,ETANCHEITE!O$22:O$92,ETANCHEITE!N$22:N$92,"")&lt;&gt;"",_xlfn.XLOOKUP(A47,ETANCHEITE!O$22:O$92,ETANCHEITE!N$22:N$92,""),    INDEX(ETANCHEITE!N:N,MAX(_xlfn._xlws.FILTER(ROW(ETANCHEITE!N$22:INDIRECT("'PEINTURE'!P" &amp; D47-1)),ETANCHEITE!N$22:INDIRECT("'PEINTURE'!P" &amp; D47-1)&lt;&gt;"")))),"")</f>
        <v/>
      </c>
      <c r="J47" s="145">
        <v>45</v>
      </c>
      <c r="K47" s="154" t="str">
        <f>IF(O47&lt;&gt;" ",ETANCHEITE!$D$5,"")</f>
        <v/>
      </c>
      <c r="L47" s="154" t="str">
        <f>IF(O47&lt;&gt;" ",ETANCHEITE!$D$8,"")</f>
        <v/>
      </c>
      <c r="M47" s="146" t="str">
        <f>IFERROR(MATCH(J47,ETANCHEITE!X$22:X$167,0)+18,"")</f>
        <v/>
      </c>
      <c r="N47" s="147" t="str" cm="1">
        <f t="array" aca="1" ref="N47" ca="1">IFERROR(IF(_xlfn.XLOOKUP(J47,ETANCHEITE!X$22:X$167,ETANCHEITE!$A$22:$A$167,"")&lt;&gt;"",_xlfn.XLOOKUP(J47,ETANCHEITE!X$22:X$167,ETANCHEITE!$A$22:$A$167,""),    INDEX(ETANCHEITE!$A:$A,MAX(_xlfn._xlws.FILTER(ROW(ETANCHEITE!$A$22:INDIRECT("'MENUISERIES EXTERIEURES'!$A" &amp; M47-1)),ETANCHEITE!$A$22:INDIRECT("'MENUISERIES EXTERIEURES'!$A" &amp; M47-1)&lt;&gt;"")))),"")&amp;"   "&amp;IFERROR(_xlfn.XLOOKUP(J47,ETANCHEITE!X$22:X$167,ETANCHEITE!$B$22:$B$167),"")&amp;IFERROR(_xlfn.XLOOKUP(J47,ETANCHEITE!X$22:X$167,ETANCHEITE!$C$22:$C$167),"")&amp;IFERROR(_xlfn.XLOOKUP(J47,ETANCHEITE!X$22:X$167,ETANCHEITE!$D$22:$D$167),"")&amp;IFERROR(_xlfn.XLOOKUP(J47,ETANCHEITE!X$22:X$167,ETANCHEITE!#REF!),"")&amp;IFERROR(_xlfn.XLOOKUP(J47,ETANCHEITE!X$22:X$167,ETANCHEITE!#REF!),"")</f>
        <v xml:space="preserve">   </v>
      </c>
      <c r="O47" s="155" t="str">
        <f>IFERROR(VLOOKUP(J47,ETANCHEITE!X$22:Z$167,2,FALSE),"")&amp;" "&amp;IFERROR(VLOOKUP(J47,ETANCHEITE!X$22:Z$167,3,FALSE),"")</f>
        <v xml:space="preserve"> </v>
      </c>
      <c r="P47" s="148" t="str">
        <f>IF(O47&lt;&gt;" ",'Feuille de Donnée'!$C$3,"")</f>
        <v/>
      </c>
      <c r="Q47" s="162" t="str" cm="1">
        <f t="array" aca="1" ref="Q47" ca="1">IFERROR(IF(_xlfn.XLOOKUP(J47,ETANCHEITE!X$22:X$92,ETANCHEITE!V$22:V$92,"")&lt;&gt;"",_xlfn.XLOOKUP(J47,ETANCHEITE!X$22:X$92,ETANCHEITE!V$22:V$92,""),    INDEX(ETANCHEITE!V:V,MAX(_xlfn._xlws.FILTER(ROW(ETANCHEITE!V$22:INDIRECT("'PEINTURE'!O" &amp; M47-1)),ETANCHEITE!V$22:INDIRECT("'PEINTURE'!O" &amp; M47-1)&lt;&gt;"")))),"")</f>
        <v/>
      </c>
      <c r="R47" s="163" t="str" cm="1">
        <f t="array" aca="1" ref="R47" ca="1">IFERROR(IF(_xlfn.XLOOKUP(J47,ETANCHEITE!X$22:X$92,ETANCHEITE!W$22:W$92,"")&lt;&gt;"",_xlfn.XLOOKUP(J47,ETANCHEITE!X$22:X$92,ETANCHEITE!W$22:W$92,""),    INDEX(ETANCHEITE!W:W,MAX(_xlfn._xlws.FILTER(ROW(ETANCHEITE!W$22:INDIRECT("'PEINTURE'!P" &amp; M47-1)),ETANCHEITE!W$22:INDIRECT("'PEINTURE'!P" &amp; M47-1)&lt;&gt;"")))),"")</f>
        <v/>
      </c>
      <c r="S47" s="145">
        <v>45</v>
      </c>
      <c r="T47" s="154" t="str">
        <f>IF(X47&lt;&gt;" ",ETANCHEITE!$D$5,"")</f>
        <v/>
      </c>
      <c r="U47" s="154" t="str">
        <f>IF(X47&lt;&gt;" ",ETANCHEITE!$D$8,"")</f>
        <v/>
      </c>
      <c r="V47" s="146" t="str">
        <f>IFERROR(MATCH(S47,ETANCHEITE!AG$22:AG$167,0)+18,"")</f>
        <v/>
      </c>
      <c r="W47" s="147" t="str" cm="1">
        <f t="array" aca="1" ref="W47" ca="1">IFERROR(IF(_xlfn.XLOOKUP(S47,ETANCHEITE!AG$22:AG$167,ETANCHEITE!$A$22:$A$167,"")&lt;&gt;"",_xlfn.XLOOKUP(S47,ETANCHEITE!AG$22:AG$167,ETANCHEITE!$A$22:$A$167,""),    INDEX(ETANCHEITE!$A:$A,MAX(_xlfn._xlws.FILTER(ROW(ETANCHEITE!$A$22:INDIRECT("'MENUISERIES EXTERIEURES'!$A" &amp; V47-1)),ETANCHEITE!$A$22:INDIRECT("'MENUISERIES EXTERIEURES'!$A" &amp; V47-1)&lt;&gt;"")))),"")&amp;"   "&amp;IFERROR(_xlfn.XLOOKUP(S47,ETANCHEITE!AG$22:AG$167,ETANCHEITE!$B$22:$B$167),"")&amp;IFERROR(_xlfn.XLOOKUP(S47,ETANCHEITE!AG$22:AG$167,ETANCHEITE!$C$22:$C$167),"")&amp;IFERROR(_xlfn.XLOOKUP(S47,ETANCHEITE!AG$22:AG$167,ETANCHEITE!$D$22:$D$167),"")&amp;IFERROR(_xlfn.XLOOKUP(S47,ETANCHEITE!AG$22:AG$167,ETANCHEITE!#REF!),"")&amp;IFERROR(_xlfn.XLOOKUP(S47,ETANCHEITE!AG$22:AG$167,ETANCHEITE!#REF!),"")</f>
        <v xml:space="preserve">   </v>
      </c>
      <c r="X47" s="155" t="str">
        <f>IFERROR(VLOOKUP(S47,ETANCHEITE!AG$22:AI$167,2,FALSE),"")&amp;" "&amp;IFERROR(VLOOKUP(S47,ETANCHEITE!AG$22:AI$167,3,FALSE),"")</f>
        <v xml:space="preserve"> </v>
      </c>
      <c r="Y47" s="148" t="str">
        <f>IF(X47&lt;&gt;" ",'Feuille de Donnée'!$C$3,"")</f>
        <v/>
      </c>
      <c r="Z47" s="162" t="str" cm="1">
        <f t="array" aca="1" ref="Z47" ca="1">IFERROR(IF(_xlfn.XLOOKUP(S47,ETANCHEITE!AG$22:AG$92,ETANCHEITE!AE$22:AE$92,"")&lt;&gt;"",_xlfn.XLOOKUP(S47,ETANCHEITE!AG$22:AG$92,ETANCHEITE!AE$22:AE$92,""),    INDEX(ETANCHEITE!AE:AE,MAX(_xlfn._xlws.FILTER(ROW(ETANCHEITE!AE$22:INDIRECT("'PEINTURE'!O" &amp; V47-1)),ETANCHEITE!AE$22:INDIRECT("'PEINTURE'!O" &amp; V47-1)&lt;&gt;"")))),"")</f>
        <v/>
      </c>
      <c r="AA47" s="163" t="str" cm="1">
        <f t="array" aca="1" ref="AA47" ca="1">IFERROR(IF(_xlfn.XLOOKUP(S47,ETANCHEITE!AG$22:AG$92,ETANCHEITE!AF$22:AF$92,"")&lt;&gt;"",_xlfn.XLOOKUP(S47,ETANCHEITE!AG$22:AG$92,ETANCHEITE!AF$22:AF$92,""),    INDEX(ETANCHEITE!AF:AF,MAX(_xlfn._xlws.FILTER(ROW(ETANCHEITE!AF$22:INDIRECT("'PEINTURE'!P" &amp; V47-1)),ETANCHEITE!AF$22:INDIRECT("'PEINTURE'!P" &amp; V47-1)&lt;&gt;"")))),"")</f>
        <v/>
      </c>
      <c r="AB47" s="145">
        <v>45</v>
      </c>
      <c r="AC47" s="154" t="str">
        <f>IF(AG47&lt;&gt;" ",ETANCHEITE!$D$5,"")</f>
        <v/>
      </c>
      <c r="AD47" s="154" t="str">
        <f>IF(AG47&lt;&gt;" ",ETANCHEITE!$D$8,"")</f>
        <v/>
      </c>
      <c r="AE47" s="146" t="str">
        <f>IFERROR(MATCH(AB47,ETANCHEITE!AP$22:AP$167,0)+18,"")</f>
        <v/>
      </c>
      <c r="AF47" s="147" t="str" cm="1">
        <f t="array" aca="1" ref="AF47" ca="1">IFERROR(IF(_xlfn.XLOOKUP(AB47,ETANCHEITE!AP$22:AP$167,ETANCHEITE!$A$22:$A$167,"")&lt;&gt;"",_xlfn.XLOOKUP(AB47,ETANCHEITE!AP$22:AP$167,ETANCHEITE!$A$22:$A$167,""),    INDEX(ETANCHEITE!$A:$A,MAX(_xlfn._xlws.FILTER(ROW(ETANCHEITE!$A$22:INDIRECT("'MENUISERIES EXTERIEURES'!$A" &amp; AE47-1)),ETANCHEITE!$A$22:INDIRECT("'MENUISERIES EXTERIEURES'!$A" &amp; AE47-1)&lt;&gt;"")))),"")&amp;"   "&amp;IFERROR(_xlfn.XLOOKUP(AB47,ETANCHEITE!AP$22:AP$167,ETANCHEITE!$B$22:$B$167),"")&amp;IFERROR(_xlfn.XLOOKUP(AB47,ETANCHEITE!AP$22:AP$167,ETANCHEITE!$C$22:$C$167),"")&amp;IFERROR(_xlfn.XLOOKUP(AB47,ETANCHEITE!AP$22:AP$167,ETANCHEITE!$D$22:$D$167),"")&amp;IFERROR(_xlfn.XLOOKUP(AB47,ETANCHEITE!AP$22:AP$167,ETANCHEITE!#REF!),"")&amp;IFERROR(_xlfn.XLOOKUP(AB47,ETANCHEITE!AP$22:AP$167,ETANCHEITE!#REF!),"")</f>
        <v xml:space="preserve">   </v>
      </c>
      <c r="AG47" s="155" t="str">
        <f>IFERROR(VLOOKUP(AB47,ETANCHEITE!AP$22:AR$167,2,FALSE),"")&amp;" "&amp;IFERROR(VLOOKUP(AB47,ETANCHEITE!AP$22:AR$167,3,FALSE),"")</f>
        <v xml:space="preserve"> </v>
      </c>
      <c r="AH47" s="148" t="str">
        <f>IF(AG47&lt;&gt;" ",'Feuille de Donnée'!$C$3,"")</f>
        <v/>
      </c>
      <c r="AI47" s="162" t="str" cm="1">
        <f t="array" aca="1" ref="AI47" ca="1">IFERROR(IF(_xlfn.XLOOKUP(AB47,ETANCHEITE!AP$22:AP$92,ETANCHEITE!AN$22:AN$92,"")&lt;&gt;"",_xlfn.XLOOKUP(AB47,ETANCHEITE!AP$22:AP$92,ETANCHEITE!AN$22:AN$92,""),    INDEX(ETANCHEITE!AN:AN,MAX(_xlfn._xlws.FILTER(ROW(ETANCHEITE!AN$22:INDIRECT("'PEINTURE'!O" &amp; AE47-1)),ETANCHEITE!AN$22:INDIRECT("'PEINTURE'!O" &amp; AE47-1)&lt;&gt;"")))),"")</f>
        <v/>
      </c>
      <c r="AJ47" s="163" t="str" cm="1">
        <f t="array" aca="1" ref="AJ47" ca="1">IFERROR(IF(_xlfn.XLOOKUP(AB47,ETANCHEITE!AP$22:AP$92,ETANCHEITE!AO$22:AO$92,"")&lt;&gt;"",_xlfn.XLOOKUP(AB47,ETANCHEITE!AP$22:AP$92,ETANCHEITE!AO$22:AO$92,""),    INDEX(ETANCHEITE!AO:AO,MAX(_xlfn._xlws.FILTER(ROW(ETANCHEITE!AO$22:INDIRECT("'PEINTURE'!P" &amp; AE47-1)),ETANCHEITE!AO$22:INDIRECT("'PEINTURE'!P" &amp; AE47-1)&lt;&gt;"")))),"")</f>
        <v/>
      </c>
      <c r="AK47" s="145">
        <v>45</v>
      </c>
      <c r="AL47" s="154" t="str">
        <f>IF(AP47&lt;&gt;" ",ETANCHEITE!$D$5,"")</f>
        <v/>
      </c>
      <c r="AM47" s="154" t="str">
        <f>IF(AP47&lt;&gt;" ",ETANCHEITE!$D$8,"")</f>
        <v/>
      </c>
      <c r="AN47" s="146" t="str">
        <f>IFERROR(MATCH(AK47,ETANCHEITE!AY$22:AY$167,0)+18,"")</f>
        <v/>
      </c>
      <c r="AO47" s="147" t="str" cm="1">
        <f t="array" aca="1" ref="AO47" ca="1">IFERROR(IF(_xlfn.XLOOKUP(AK47,ETANCHEITE!AY$22:AY$167,ETANCHEITE!$A$22:$A$167,"")&lt;&gt;"",_xlfn.XLOOKUP(AK47,ETANCHEITE!AY$22:AY$167,ETANCHEITE!$A$22:$A$167,""),    INDEX(ETANCHEITE!$A:$A,MAX(_xlfn._xlws.FILTER(ROW(ETANCHEITE!$A$22:INDIRECT("'MENUISERIES EXTERIEURES'!$A" &amp; AN47-1)),ETANCHEITE!$A$22:INDIRECT("'MENUISERIES EXTERIEURES'!$A" &amp; AN47-1)&lt;&gt;"")))),"")&amp;"   "&amp;IFERROR(_xlfn.XLOOKUP(AK47,ETANCHEITE!AY$22:AY$167,ETANCHEITE!$B$22:$B$167),"")&amp;IFERROR(_xlfn.XLOOKUP(AK47,ETANCHEITE!AY$22:AY$167,ETANCHEITE!$C$22:$C$167),"")&amp;IFERROR(_xlfn.XLOOKUP(AK47,ETANCHEITE!AY$22:AY$167,ETANCHEITE!$D$22:$D$167),"")&amp;IFERROR(_xlfn.XLOOKUP(AK47,ETANCHEITE!AY$22:AY$167,ETANCHEITE!#REF!),"")&amp;IFERROR(_xlfn.XLOOKUP(AK47,ETANCHEITE!AY$22:AY$167,ETANCHEITE!#REF!),"")</f>
        <v xml:space="preserve">   </v>
      </c>
      <c r="AP47" s="155" t="str">
        <f>IFERROR(VLOOKUP(AK47,ETANCHEITE!AY$22:BA$167,2,FALSE),"")&amp;" "&amp;IFERROR(VLOOKUP(AK47,ETANCHEITE!AY$22:BA$167,3,FALSE),"")</f>
        <v xml:space="preserve"> </v>
      </c>
      <c r="AQ47" s="148" t="str">
        <f>IF(AP47&lt;&gt;" ",'Feuille de Donnée'!$C$3,"")</f>
        <v/>
      </c>
      <c r="AR47" s="162" t="str" cm="1">
        <f t="array" aca="1" ref="AR47" ca="1">IFERROR(IF(_xlfn.XLOOKUP(AK47,ETANCHEITE!AY$22:AY$92,ETANCHEITE!AW$22:AW$92,"")&lt;&gt;"",_xlfn.XLOOKUP(AK47,ETANCHEITE!AY$22:AY$92,ETANCHEITE!AW$22:AW$92,""),    INDEX(ETANCHEITE!AW:AW,MAX(_xlfn._xlws.FILTER(ROW(ETANCHEITE!AW$22:INDIRECT("'PEINTURE'!O" &amp; AN47-1)),ETANCHEITE!AW$22:INDIRECT("'PEINTURE'!O" &amp; AN47-1)&lt;&gt;"")))),"")</f>
        <v/>
      </c>
      <c r="AS47" s="163" t="str" cm="1">
        <f t="array" aca="1" ref="AS47" ca="1">IFERROR(IF(_xlfn.XLOOKUP(AK47,ETANCHEITE!AY$22:AY$92,ETANCHEITE!AX$22:AX$92,"")&lt;&gt;"",_xlfn.XLOOKUP(AK47,ETANCHEITE!AY$22:AY$92,ETANCHEITE!AX$22:AX$92,""),    INDEX(ETANCHEITE!AX:AX,MAX(_xlfn._xlws.FILTER(ROW(ETANCHEITE!AX$22:INDIRECT("'PEINTURE'!P" &amp; AN47-1)),ETANCHEITE!AX$22:INDIRECT("'PEINTURE'!P" &amp; AN47-1)&lt;&gt;"")))),"")</f>
        <v/>
      </c>
      <c r="AT47" s="145">
        <v>45</v>
      </c>
      <c r="AU47" s="154" t="str">
        <f>IF(AY47&lt;&gt;" ",ETANCHEITE!$D$5,"")</f>
        <v/>
      </c>
      <c r="AV47" s="154" t="str">
        <f>IF(AY47&lt;&gt;" ",ETANCHEITE!$D$8,"")</f>
        <v/>
      </c>
      <c r="AW47" s="146" t="str">
        <f>IFERROR(MATCH(AT47,ETANCHEITE!BH$22:BH$167,0)+18,"")</f>
        <v/>
      </c>
      <c r="AX47" s="147" t="str" cm="1">
        <f t="array" aca="1" ref="AX47" ca="1">IFERROR(IF(_xlfn.XLOOKUP(AT47,ETANCHEITE!BH$22:BH$167,ETANCHEITE!$A$22:$A$167,"")&lt;&gt;"",_xlfn.XLOOKUP(AT47,ETANCHEITE!BH$22:BH$167,ETANCHEITE!$A$22:$A$167,""),    INDEX(ETANCHEITE!$A:$A,MAX(_xlfn._xlws.FILTER(ROW(ETANCHEITE!$A$22:INDIRECT("'MENUISERIES EXTERIEURES'!$A" &amp; AW47-1)),ETANCHEITE!$A$22:INDIRECT("'MENUISERIES EXTERIEURES'!$A" &amp; AW47-1)&lt;&gt;"")))),"")&amp;"   "&amp;IFERROR(_xlfn.XLOOKUP(AT47,ETANCHEITE!BH$22:BH$167,ETANCHEITE!$B$22:$B$167),"")&amp;IFERROR(_xlfn.XLOOKUP(AT47,ETANCHEITE!BH$22:BH$167,ETANCHEITE!$C$22:$C$167),"")&amp;IFERROR(_xlfn.XLOOKUP(AT47,ETANCHEITE!BH$22:BH$167,ETANCHEITE!$D$22:$D$167),"")&amp;IFERROR(_xlfn.XLOOKUP(AT47,ETANCHEITE!BH$22:BH$167,ETANCHEITE!#REF!),"")&amp;IFERROR(_xlfn.XLOOKUP(AT47,ETANCHEITE!BH$22:BH$167,ETANCHEITE!#REF!),"")</f>
        <v xml:space="preserve">   </v>
      </c>
      <c r="AY47" s="155" t="str">
        <f>IFERROR(VLOOKUP(AT47,ETANCHEITE!BH$22:BJ$167,2,FALSE),"")&amp;" "&amp;IFERROR(VLOOKUP(AT47,ETANCHEITE!BH$22:BJ$167,3,FALSE),"")</f>
        <v xml:space="preserve"> </v>
      </c>
      <c r="AZ47" s="148" t="str">
        <f>IF(AY47&lt;&gt;" ",'Feuille de Donnée'!$C$3,"")</f>
        <v/>
      </c>
      <c r="BA47" s="162" t="str" cm="1">
        <f t="array" aca="1" ref="BA47" ca="1">IFERROR(IF(_xlfn.XLOOKUP(AT47,ETANCHEITE!BH$22:BH$92,ETANCHEITE!BF$22:BF$92,"")&lt;&gt;"",_xlfn.XLOOKUP(AT47,ETANCHEITE!BH$22:BH$92,ETANCHEITE!BF$22:BF$92,""),    INDEX(ETANCHEITE!BF:BF,MAX(_xlfn._xlws.FILTER(ROW(ETANCHEITE!BF$22:INDIRECT("'PEINTURE'!O" &amp; AW47-1)),ETANCHEITE!BF$22:INDIRECT("'PEINTURE'!O" &amp; AW47-1)&lt;&gt;"")))),"")</f>
        <v/>
      </c>
      <c r="BB47" s="163" t="str" cm="1">
        <f t="array" aca="1" ref="BB47" ca="1">IFERROR(IF(_xlfn.XLOOKUP(AT47,ETANCHEITE!BH$22:BH$92,ETANCHEITE!BG$22:BG$92,"")&lt;&gt;"",_xlfn.XLOOKUP(AT47,ETANCHEITE!BH$22:BH$92,ETANCHEITE!BG$22:BG$92,""),    INDEX(ETANCHEITE!BG:BG,MAX(_xlfn._xlws.FILTER(ROW(ETANCHEITE!BG$22:INDIRECT("'PEINTURE'!P" &amp; AW47-1)),ETANCHEITE!BG$22:INDIRECT("'PEINTURE'!P" &amp; AW47-1)&lt;&gt;"")))),"")</f>
        <v/>
      </c>
    </row>
    <row r="48" spans="1:54" ht="16.5" customHeight="1" x14ac:dyDescent="0.3">
      <c r="A48" s="145">
        <v>46</v>
      </c>
      <c r="B48" s="154" t="str">
        <f>IF(F48&lt;&gt;" ",ETANCHEITE!$D$5,"")</f>
        <v/>
      </c>
      <c r="C48" s="154" t="str">
        <f>IF(F48&lt;&gt;" ",ETANCHEITE!$D$8,"")</f>
        <v/>
      </c>
      <c r="D48" s="146" t="str">
        <f>IFERROR(MATCH(A48,ETANCHEITE!O$22:O$167,0)+18,"")</f>
        <v/>
      </c>
      <c r="E48" s="147" t="str" cm="1">
        <f t="array" aca="1" ref="E48" ca="1">IFERROR(IF(_xlfn.XLOOKUP(A48,ETANCHEITE!O$22:O$167,ETANCHEITE!$A$22:$A$167,"")&lt;&gt;"",_xlfn.XLOOKUP(A48,ETANCHEITE!O$22:O$167,ETANCHEITE!$A$22:$A$167,""),    INDEX(ETANCHEITE!$A:$A,MAX(_xlfn._xlws.FILTER(ROW(ETANCHEITE!$A$22:INDIRECT("'MENUISERIES EXTERIEURES'!$A" &amp; D48-1)),ETANCHEITE!$A$22:INDIRECT("'MENUISERIES EXTERIEURES'!$A" &amp; D48-1)&lt;&gt;"")))),"")&amp;"   "&amp;IFERROR(_xlfn.XLOOKUP(A48,ETANCHEITE!O$22:O$167,ETANCHEITE!$B$22:$B$167),"")&amp;IFERROR(_xlfn.XLOOKUP(A48,ETANCHEITE!O$22:O$167,ETANCHEITE!$C$22:$C$167),"")&amp;IFERROR(_xlfn.XLOOKUP(A48,ETANCHEITE!O$22:O$167,ETANCHEITE!$D$22:$D$167),"")&amp;IFERROR(_xlfn.XLOOKUP(A48,ETANCHEITE!O$22:O$167,ETANCHEITE!#REF!),"")&amp;IFERROR(_xlfn.XLOOKUP(A48,ETANCHEITE!O$22:O$167,ETANCHEITE!#REF!),"")</f>
        <v xml:space="preserve">   </v>
      </c>
      <c r="F48" s="155" t="str">
        <f>IFERROR(VLOOKUP(A48,ETANCHEITE!O$22:Q$167,2,FALSE),"")&amp;" "&amp;IFERROR(VLOOKUP(A48,ETANCHEITE!O$22:Q$167,3,FALSE),"")</f>
        <v xml:space="preserve"> </v>
      </c>
      <c r="G48" s="148" t="str">
        <f>IF(F48&lt;&gt;" ",'Feuille de Donnée'!$C$3,"")</f>
        <v/>
      </c>
      <c r="H48" s="162" t="str" cm="1">
        <f t="array" aca="1" ref="H48" ca="1">IFERROR(IF(_xlfn.XLOOKUP(A48,ETANCHEITE!O$22:O$92,ETANCHEITE!M$22:M$92,"")&lt;&gt;"",_xlfn.XLOOKUP(A48,ETANCHEITE!O$22:O$92,ETANCHEITE!M$22:M$92,""),    INDEX(ETANCHEITE!M:M,MAX(_xlfn._xlws.FILTER(ROW(ETANCHEITE!M$22:INDIRECT("'PEINTURE'!O" &amp; D48-1)),ETANCHEITE!M$22:INDIRECT("'PEINTURE'!O" &amp; D48-1)&lt;&gt;"")))),"")</f>
        <v/>
      </c>
      <c r="I48" s="163" t="str" cm="1">
        <f t="array" aca="1" ref="I48" ca="1">IFERROR(IF(_xlfn.XLOOKUP(A48,ETANCHEITE!O$22:O$92,ETANCHEITE!N$22:N$92,"")&lt;&gt;"",_xlfn.XLOOKUP(A48,ETANCHEITE!O$22:O$92,ETANCHEITE!N$22:N$92,""),    INDEX(ETANCHEITE!N:N,MAX(_xlfn._xlws.FILTER(ROW(ETANCHEITE!N$22:INDIRECT("'PEINTURE'!P" &amp; D48-1)),ETANCHEITE!N$22:INDIRECT("'PEINTURE'!P" &amp; D48-1)&lt;&gt;"")))),"")</f>
        <v/>
      </c>
      <c r="J48" s="145">
        <v>46</v>
      </c>
      <c r="K48" s="154" t="str">
        <f>IF(O48&lt;&gt;" ",ETANCHEITE!$D$5,"")</f>
        <v/>
      </c>
      <c r="L48" s="154" t="str">
        <f>IF(O48&lt;&gt;" ",ETANCHEITE!$D$8,"")</f>
        <v/>
      </c>
      <c r="M48" s="146" t="str">
        <f>IFERROR(MATCH(J48,ETANCHEITE!X$22:X$167,0)+18,"")</f>
        <v/>
      </c>
      <c r="N48" s="147" t="str" cm="1">
        <f t="array" aca="1" ref="N48" ca="1">IFERROR(IF(_xlfn.XLOOKUP(J48,ETANCHEITE!X$22:X$167,ETANCHEITE!$A$22:$A$167,"")&lt;&gt;"",_xlfn.XLOOKUP(J48,ETANCHEITE!X$22:X$167,ETANCHEITE!$A$22:$A$167,""),    INDEX(ETANCHEITE!$A:$A,MAX(_xlfn._xlws.FILTER(ROW(ETANCHEITE!$A$22:INDIRECT("'MENUISERIES EXTERIEURES'!$A" &amp; M48-1)),ETANCHEITE!$A$22:INDIRECT("'MENUISERIES EXTERIEURES'!$A" &amp; M48-1)&lt;&gt;"")))),"")&amp;"   "&amp;IFERROR(_xlfn.XLOOKUP(J48,ETANCHEITE!X$22:X$167,ETANCHEITE!$B$22:$B$167),"")&amp;IFERROR(_xlfn.XLOOKUP(J48,ETANCHEITE!X$22:X$167,ETANCHEITE!$C$22:$C$167),"")&amp;IFERROR(_xlfn.XLOOKUP(J48,ETANCHEITE!X$22:X$167,ETANCHEITE!$D$22:$D$167),"")&amp;IFERROR(_xlfn.XLOOKUP(J48,ETANCHEITE!X$22:X$167,ETANCHEITE!#REF!),"")&amp;IFERROR(_xlfn.XLOOKUP(J48,ETANCHEITE!X$22:X$167,ETANCHEITE!#REF!),"")</f>
        <v xml:space="preserve">   </v>
      </c>
      <c r="O48" s="155" t="str">
        <f>IFERROR(VLOOKUP(J48,ETANCHEITE!X$22:Z$167,2,FALSE),"")&amp;" "&amp;IFERROR(VLOOKUP(J48,ETANCHEITE!X$22:Z$167,3,FALSE),"")</f>
        <v xml:space="preserve"> </v>
      </c>
      <c r="P48" s="148" t="str">
        <f>IF(O48&lt;&gt;" ",'Feuille de Donnée'!$C$3,"")</f>
        <v/>
      </c>
      <c r="Q48" s="162" t="str" cm="1">
        <f t="array" aca="1" ref="Q48" ca="1">IFERROR(IF(_xlfn.XLOOKUP(J48,ETANCHEITE!X$22:X$92,ETANCHEITE!V$22:V$92,"")&lt;&gt;"",_xlfn.XLOOKUP(J48,ETANCHEITE!X$22:X$92,ETANCHEITE!V$22:V$92,""),    INDEX(ETANCHEITE!V:V,MAX(_xlfn._xlws.FILTER(ROW(ETANCHEITE!V$22:INDIRECT("'PEINTURE'!O" &amp; M48-1)),ETANCHEITE!V$22:INDIRECT("'PEINTURE'!O" &amp; M48-1)&lt;&gt;"")))),"")</f>
        <v/>
      </c>
      <c r="R48" s="163" t="str" cm="1">
        <f t="array" aca="1" ref="R48" ca="1">IFERROR(IF(_xlfn.XLOOKUP(J48,ETANCHEITE!X$22:X$92,ETANCHEITE!W$22:W$92,"")&lt;&gt;"",_xlfn.XLOOKUP(J48,ETANCHEITE!X$22:X$92,ETANCHEITE!W$22:W$92,""),    INDEX(ETANCHEITE!W:W,MAX(_xlfn._xlws.FILTER(ROW(ETANCHEITE!W$22:INDIRECT("'PEINTURE'!P" &amp; M48-1)),ETANCHEITE!W$22:INDIRECT("'PEINTURE'!P" &amp; M48-1)&lt;&gt;"")))),"")</f>
        <v/>
      </c>
      <c r="S48" s="145">
        <v>46</v>
      </c>
      <c r="T48" s="154" t="str">
        <f>IF(X48&lt;&gt;" ",ETANCHEITE!$D$5,"")</f>
        <v/>
      </c>
      <c r="U48" s="154" t="str">
        <f>IF(X48&lt;&gt;" ",ETANCHEITE!$D$8,"")</f>
        <v/>
      </c>
      <c r="V48" s="146" t="str">
        <f>IFERROR(MATCH(S48,ETANCHEITE!AG$22:AG$167,0)+18,"")</f>
        <v/>
      </c>
      <c r="W48" s="147" t="str" cm="1">
        <f t="array" aca="1" ref="W48" ca="1">IFERROR(IF(_xlfn.XLOOKUP(S48,ETANCHEITE!AG$22:AG$167,ETANCHEITE!$A$22:$A$167,"")&lt;&gt;"",_xlfn.XLOOKUP(S48,ETANCHEITE!AG$22:AG$167,ETANCHEITE!$A$22:$A$167,""),    INDEX(ETANCHEITE!$A:$A,MAX(_xlfn._xlws.FILTER(ROW(ETANCHEITE!$A$22:INDIRECT("'MENUISERIES EXTERIEURES'!$A" &amp; V48-1)),ETANCHEITE!$A$22:INDIRECT("'MENUISERIES EXTERIEURES'!$A" &amp; V48-1)&lt;&gt;"")))),"")&amp;"   "&amp;IFERROR(_xlfn.XLOOKUP(S48,ETANCHEITE!AG$22:AG$167,ETANCHEITE!$B$22:$B$167),"")&amp;IFERROR(_xlfn.XLOOKUP(S48,ETANCHEITE!AG$22:AG$167,ETANCHEITE!$C$22:$C$167),"")&amp;IFERROR(_xlfn.XLOOKUP(S48,ETANCHEITE!AG$22:AG$167,ETANCHEITE!$D$22:$D$167),"")&amp;IFERROR(_xlfn.XLOOKUP(S48,ETANCHEITE!AG$22:AG$167,ETANCHEITE!#REF!),"")&amp;IFERROR(_xlfn.XLOOKUP(S48,ETANCHEITE!AG$22:AG$167,ETANCHEITE!#REF!),"")</f>
        <v xml:space="preserve">   </v>
      </c>
      <c r="X48" s="155" t="str">
        <f>IFERROR(VLOOKUP(S48,ETANCHEITE!AG$22:AI$167,2,FALSE),"")&amp;" "&amp;IFERROR(VLOOKUP(S48,ETANCHEITE!AG$22:AI$167,3,FALSE),"")</f>
        <v xml:space="preserve"> </v>
      </c>
      <c r="Y48" s="148" t="str">
        <f>IF(X48&lt;&gt;" ",'Feuille de Donnée'!$C$3,"")</f>
        <v/>
      </c>
      <c r="Z48" s="162" t="str" cm="1">
        <f t="array" aca="1" ref="Z48" ca="1">IFERROR(IF(_xlfn.XLOOKUP(S48,ETANCHEITE!AG$22:AG$92,ETANCHEITE!AE$22:AE$92,"")&lt;&gt;"",_xlfn.XLOOKUP(S48,ETANCHEITE!AG$22:AG$92,ETANCHEITE!AE$22:AE$92,""),    INDEX(ETANCHEITE!AE:AE,MAX(_xlfn._xlws.FILTER(ROW(ETANCHEITE!AE$22:INDIRECT("'PEINTURE'!O" &amp; V48-1)),ETANCHEITE!AE$22:INDIRECT("'PEINTURE'!O" &amp; V48-1)&lt;&gt;"")))),"")</f>
        <v/>
      </c>
      <c r="AA48" s="163" t="str" cm="1">
        <f t="array" aca="1" ref="AA48" ca="1">IFERROR(IF(_xlfn.XLOOKUP(S48,ETANCHEITE!AG$22:AG$92,ETANCHEITE!AF$22:AF$92,"")&lt;&gt;"",_xlfn.XLOOKUP(S48,ETANCHEITE!AG$22:AG$92,ETANCHEITE!AF$22:AF$92,""),    INDEX(ETANCHEITE!AF:AF,MAX(_xlfn._xlws.FILTER(ROW(ETANCHEITE!AF$22:INDIRECT("'PEINTURE'!P" &amp; V48-1)),ETANCHEITE!AF$22:INDIRECT("'PEINTURE'!P" &amp; V48-1)&lt;&gt;"")))),"")</f>
        <v/>
      </c>
      <c r="AB48" s="145">
        <v>46</v>
      </c>
      <c r="AC48" s="154" t="str">
        <f>IF(AG48&lt;&gt;" ",ETANCHEITE!$D$5,"")</f>
        <v/>
      </c>
      <c r="AD48" s="154" t="str">
        <f>IF(AG48&lt;&gt;" ",ETANCHEITE!$D$8,"")</f>
        <v/>
      </c>
      <c r="AE48" s="146" t="str">
        <f>IFERROR(MATCH(AB48,ETANCHEITE!AP$22:AP$167,0)+18,"")</f>
        <v/>
      </c>
      <c r="AF48" s="147" t="str" cm="1">
        <f t="array" aca="1" ref="AF48" ca="1">IFERROR(IF(_xlfn.XLOOKUP(AB48,ETANCHEITE!AP$22:AP$167,ETANCHEITE!$A$22:$A$167,"")&lt;&gt;"",_xlfn.XLOOKUP(AB48,ETANCHEITE!AP$22:AP$167,ETANCHEITE!$A$22:$A$167,""),    INDEX(ETANCHEITE!$A:$A,MAX(_xlfn._xlws.FILTER(ROW(ETANCHEITE!$A$22:INDIRECT("'MENUISERIES EXTERIEURES'!$A" &amp; AE48-1)),ETANCHEITE!$A$22:INDIRECT("'MENUISERIES EXTERIEURES'!$A" &amp; AE48-1)&lt;&gt;"")))),"")&amp;"   "&amp;IFERROR(_xlfn.XLOOKUP(AB48,ETANCHEITE!AP$22:AP$167,ETANCHEITE!$B$22:$B$167),"")&amp;IFERROR(_xlfn.XLOOKUP(AB48,ETANCHEITE!AP$22:AP$167,ETANCHEITE!$C$22:$C$167),"")&amp;IFERROR(_xlfn.XLOOKUP(AB48,ETANCHEITE!AP$22:AP$167,ETANCHEITE!$D$22:$D$167),"")&amp;IFERROR(_xlfn.XLOOKUP(AB48,ETANCHEITE!AP$22:AP$167,ETANCHEITE!#REF!),"")&amp;IFERROR(_xlfn.XLOOKUP(AB48,ETANCHEITE!AP$22:AP$167,ETANCHEITE!#REF!),"")</f>
        <v xml:space="preserve">   </v>
      </c>
      <c r="AG48" s="155" t="str">
        <f>IFERROR(VLOOKUP(AB48,ETANCHEITE!AP$22:AR$167,2,FALSE),"")&amp;" "&amp;IFERROR(VLOOKUP(AB48,ETANCHEITE!AP$22:AR$167,3,FALSE),"")</f>
        <v xml:space="preserve"> </v>
      </c>
      <c r="AH48" s="148" t="str">
        <f>IF(AG48&lt;&gt;" ",'Feuille de Donnée'!$C$3,"")</f>
        <v/>
      </c>
      <c r="AI48" s="162" t="str" cm="1">
        <f t="array" aca="1" ref="AI48" ca="1">IFERROR(IF(_xlfn.XLOOKUP(AB48,ETANCHEITE!AP$22:AP$92,ETANCHEITE!AN$22:AN$92,"")&lt;&gt;"",_xlfn.XLOOKUP(AB48,ETANCHEITE!AP$22:AP$92,ETANCHEITE!AN$22:AN$92,""),    INDEX(ETANCHEITE!AN:AN,MAX(_xlfn._xlws.FILTER(ROW(ETANCHEITE!AN$22:INDIRECT("'PEINTURE'!O" &amp; AE48-1)),ETANCHEITE!AN$22:INDIRECT("'PEINTURE'!O" &amp; AE48-1)&lt;&gt;"")))),"")</f>
        <v/>
      </c>
      <c r="AJ48" s="163" t="str" cm="1">
        <f t="array" aca="1" ref="AJ48" ca="1">IFERROR(IF(_xlfn.XLOOKUP(AB48,ETANCHEITE!AP$22:AP$92,ETANCHEITE!AO$22:AO$92,"")&lt;&gt;"",_xlfn.XLOOKUP(AB48,ETANCHEITE!AP$22:AP$92,ETANCHEITE!AO$22:AO$92,""),    INDEX(ETANCHEITE!AO:AO,MAX(_xlfn._xlws.FILTER(ROW(ETANCHEITE!AO$22:INDIRECT("'PEINTURE'!P" &amp; AE48-1)),ETANCHEITE!AO$22:INDIRECT("'PEINTURE'!P" &amp; AE48-1)&lt;&gt;"")))),"")</f>
        <v/>
      </c>
      <c r="AK48" s="145">
        <v>46</v>
      </c>
      <c r="AL48" s="154" t="str">
        <f>IF(AP48&lt;&gt;" ",ETANCHEITE!$D$5,"")</f>
        <v/>
      </c>
      <c r="AM48" s="154" t="str">
        <f>IF(AP48&lt;&gt;" ",ETANCHEITE!$D$8,"")</f>
        <v/>
      </c>
      <c r="AN48" s="146" t="str">
        <f>IFERROR(MATCH(AK48,ETANCHEITE!AY$22:AY$167,0)+18,"")</f>
        <v/>
      </c>
      <c r="AO48" s="147" t="str" cm="1">
        <f t="array" aca="1" ref="AO48" ca="1">IFERROR(IF(_xlfn.XLOOKUP(AK48,ETANCHEITE!AY$22:AY$167,ETANCHEITE!$A$22:$A$167,"")&lt;&gt;"",_xlfn.XLOOKUP(AK48,ETANCHEITE!AY$22:AY$167,ETANCHEITE!$A$22:$A$167,""),    INDEX(ETANCHEITE!$A:$A,MAX(_xlfn._xlws.FILTER(ROW(ETANCHEITE!$A$22:INDIRECT("'MENUISERIES EXTERIEURES'!$A" &amp; AN48-1)),ETANCHEITE!$A$22:INDIRECT("'MENUISERIES EXTERIEURES'!$A" &amp; AN48-1)&lt;&gt;"")))),"")&amp;"   "&amp;IFERROR(_xlfn.XLOOKUP(AK48,ETANCHEITE!AY$22:AY$167,ETANCHEITE!$B$22:$B$167),"")&amp;IFERROR(_xlfn.XLOOKUP(AK48,ETANCHEITE!AY$22:AY$167,ETANCHEITE!$C$22:$C$167),"")&amp;IFERROR(_xlfn.XLOOKUP(AK48,ETANCHEITE!AY$22:AY$167,ETANCHEITE!$D$22:$D$167),"")&amp;IFERROR(_xlfn.XLOOKUP(AK48,ETANCHEITE!AY$22:AY$167,ETANCHEITE!#REF!),"")&amp;IFERROR(_xlfn.XLOOKUP(AK48,ETANCHEITE!AY$22:AY$167,ETANCHEITE!#REF!),"")</f>
        <v xml:space="preserve">   </v>
      </c>
      <c r="AP48" s="155" t="str">
        <f>IFERROR(VLOOKUP(AK48,ETANCHEITE!AY$22:BA$167,2,FALSE),"")&amp;" "&amp;IFERROR(VLOOKUP(AK48,ETANCHEITE!AY$22:BA$167,3,FALSE),"")</f>
        <v xml:space="preserve"> </v>
      </c>
      <c r="AQ48" s="148" t="str">
        <f>IF(AP48&lt;&gt;" ",'Feuille de Donnée'!$C$3,"")</f>
        <v/>
      </c>
      <c r="AR48" s="162" t="str" cm="1">
        <f t="array" aca="1" ref="AR48" ca="1">IFERROR(IF(_xlfn.XLOOKUP(AK48,ETANCHEITE!AY$22:AY$92,ETANCHEITE!AW$22:AW$92,"")&lt;&gt;"",_xlfn.XLOOKUP(AK48,ETANCHEITE!AY$22:AY$92,ETANCHEITE!AW$22:AW$92,""),    INDEX(ETANCHEITE!AW:AW,MAX(_xlfn._xlws.FILTER(ROW(ETANCHEITE!AW$22:INDIRECT("'PEINTURE'!O" &amp; AN48-1)),ETANCHEITE!AW$22:INDIRECT("'PEINTURE'!O" &amp; AN48-1)&lt;&gt;"")))),"")</f>
        <v/>
      </c>
      <c r="AS48" s="163" t="str" cm="1">
        <f t="array" aca="1" ref="AS48" ca="1">IFERROR(IF(_xlfn.XLOOKUP(AK48,ETANCHEITE!AY$22:AY$92,ETANCHEITE!AX$22:AX$92,"")&lt;&gt;"",_xlfn.XLOOKUP(AK48,ETANCHEITE!AY$22:AY$92,ETANCHEITE!AX$22:AX$92,""),    INDEX(ETANCHEITE!AX:AX,MAX(_xlfn._xlws.FILTER(ROW(ETANCHEITE!AX$22:INDIRECT("'PEINTURE'!P" &amp; AN48-1)),ETANCHEITE!AX$22:INDIRECT("'PEINTURE'!P" &amp; AN48-1)&lt;&gt;"")))),"")</f>
        <v/>
      </c>
      <c r="AT48" s="145">
        <v>46</v>
      </c>
      <c r="AU48" s="154" t="str">
        <f>IF(AY48&lt;&gt;" ",ETANCHEITE!$D$5,"")</f>
        <v/>
      </c>
      <c r="AV48" s="154" t="str">
        <f>IF(AY48&lt;&gt;" ",ETANCHEITE!$D$8,"")</f>
        <v/>
      </c>
      <c r="AW48" s="146" t="str">
        <f>IFERROR(MATCH(AT48,ETANCHEITE!BH$22:BH$167,0)+18,"")</f>
        <v/>
      </c>
      <c r="AX48" s="147" t="str" cm="1">
        <f t="array" aca="1" ref="AX48" ca="1">IFERROR(IF(_xlfn.XLOOKUP(AT48,ETANCHEITE!BH$22:BH$167,ETANCHEITE!$A$22:$A$167,"")&lt;&gt;"",_xlfn.XLOOKUP(AT48,ETANCHEITE!BH$22:BH$167,ETANCHEITE!$A$22:$A$167,""),    INDEX(ETANCHEITE!$A:$A,MAX(_xlfn._xlws.FILTER(ROW(ETANCHEITE!$A$22:INDIRECT("'MENUISERIES EXTERIEURES'!$A" &amp; AW48-1)),ETANCHEITE!$A$22:INDIRECT("'MENUISERIES EXTERIEURES'!$A" &amp; AW48-1)&lt;&gt;"")))),"")&amp;"   "&amp;IFERROR(_xlfn.XLOOKUP(AT48,ETANCHEITE!BH$22:BH$167,ETANCHEITE!$B$22:$B$167),"")&amp;IFERROR(_xlfn.XLOOKUP(AT48,ETANCHEITE!BH$22:BH$167,ETANCHEITE!$C$22:$C$167),"")&amp;IFERROR(_xlfn.XLOOKUP(AT48,ETANCHEITE!BH$22:BH$167,ETANCHEITE!$D$22:$D$167),"")&amp;IFERROR(_xlfn.XLOOKUP(AT48,ETANCHEITE!BH$22:BH$167,ETANCHEITE!#REF!),"")&amp;IFERROR(_xlfn.XLOOKUP(AT48,ETANCHEITE!BH$22:BH$167,ETANCHEITE!#REF!),"")</f>
        <v xml:space="preserve">   </v>
      </c>
      <c r="AY48" s="155" t="str">
        <f>IFERROR(VLOOKUP(AT48,ETANCHEITE!BH$22:BJ$167,2,FALSE),"")&amp;" "&amp;IFERROR(VLOOKUP(AT48,ETANCHEITE!BH$22:BJ$167,3,FALSE),"")</f>
        <v xml:space="preserve"> </v>
      </c>
      <c r="AZ48" s="148" t="str">
        <f>IF(AY48&lt;&gt;" ",'Feuille de Donnée'!$C$3,"")</f>
        <v/>
      </c>
      <c r="BA48" s="162" t="str" cm="1">
        <f t="array" aca="1" ref="BA48" ca="1">IFERROR(IF(_xlfn.XLOOKUP(AT48,ETANCHEITE!BH$22:BH$92,ETANCHEITE!BF$22:BF$92,"")&lt;&gt;"",_xlfn.XLOOKUP(AT48,ETANCHEITE!BH$22:BH$92,ETANCHEITE!BF$22:BF$92,""),    INDEX(ETANCHEITE!BF:BF,MAX(_xlfn._xlws.FILTER(ROW(ETANCHEITE!BF$22:INDIRECT("'PEINTURE'!O" &amp; AW48-1)),ETANCHEITE!BF$22:INDIRECT("'PEINTURE'!O" &amp; AW48-1)&lt;&gt;"")))),"")</f>
        <v/>
      </c>
      <c r="BB48" s="163" t="str" cm="1">
        <f t="array" aca="1" ref="BB48" ca="1">IFERROR(IF(_xlfn.XLOOKUP(AT48,ETANCHEITE!BH$22:BH$92,ETANCHEITE!BG$22:BG$92,"")&lt;&gt;"",_xlfn.XLOOKUP(AT48,ETANCHEITE!BH$22:BH$92,ETANCHEITE!BG$22:BG$92,""),    INDEX(ETANCHEITE!BG:BG,MAX(_xlfn._xlws.FILTER(ROW(ETANCHEITE!BG$22:INDIRECT("'PEINTURE'!P" &amp; AW48-1)),ETANCHEITE!BG$22:INDIRECT("'PEINTURE'!P" &amp; AW48-1)&lt;&gt;"")))),"")</f>
        <v/>
      </c>
    </row>
    <row r="49" spans="1:54" ht="16.5" customHeight="1" x14ac:dyDescent="0.3">
      <c r="A49" s="145">
        <v>47</v>
      </c>
      <c r="B49" s="154" t="str">
        <f>IF(F49&lt;&gt;" ",ETANCHEITE!$D$5,"")</f>
        <v/>
      </c>
      <c r="C49" s="154" t="str">
        <f>IF(F49&lt;&gt;" ",ETANCHEITE!$D$8,"")</f>
        <v/>
      </c>
      <c r="D49" s="146" t="str">
        <f>IFERROR(MATCH(A49,ETANCHEITE!O$22:O$167,0)+18,"")</f>
        <v/>
      </c>
      <c r="E49" s="147" t="str" cm="1">
        <f t="array" aca="1" ref="E49" ca="1">IFERROR(IF(_xlfn.XLOOKUP(A49,ETANCHEITE!O$22:O$167,ETANCHEITE!$A$22:$A$167,"")&lt;&gt;"",_xlfn.XLOOKUP(A49,ETANCHEITE!O$22:O$167,ETANCHEITE!$A$22:$A$167,""),    INDEX(ETANCHEITE!$A:$A,MAX(_xlfn._xlws.FILTER(ROW(ETANCHEITE!$A$22:INDIRECT("'MENUISERIES EXTERIEURES'!$A" &amp; D49-1)),ETANCHEITE!$A$22:INDIRECT("'MENUISERIES EXTERIEURES'!$A" &amp; D49-1)&lt;&gt;"")))),"")&amp;"   "&amp;IFERROR(_xlfn.XLOOKUP(A49,ETANCHEITE!O$22:O$167,ETANCHEITE!$B$22:$B$167),"")&amp;IFERROR(_xlfn.XLOOKUP(A49,ETANCHEITE!O$22:O$167,ETANCHEITE!$C$22:$C$167),"")&amp;IFERROR(_xlfn.XLOOKUP(A49,ETANCHEITE!O$22:O$167,ETANCHEITE!$D$22:$D$167),"")&amp;IFERROR(_xlfn.XLOOKUP(A49,ETANCHEITE!O$22:O$167,ETANCHEITE!#REF!),"")&amp;IFERROR(_xlfn.XLOOKUP(A49,ETANCHEITE!O$22:O$167,ETANCHEITE!#REF!),"")</f>
        <v xml:space="preserve">   </v>
      </c>
      <c r="F49" s="155" t="str">
        <f>IFERROR(VLOOKUP(A49,ETANCHEITE!O$22:Q$167,2,FALSE),"")&amp;" "&amp;IFERROR(VLOOKUP(A49,ETANCHEITE!O$22:Q$167,3,FALSE),"")</f>
        <v xml:space="preserve"> </v>
      </c>
      <c r="G49" s="148" t="str">
        <f>IF(F49&lt;&gt;" ",'Feuille de Donnée'!$C$3,"")</f>
        <v/>
      </c>
      <c r="H49" s="162" t="str" cm="1">
        <f t="array" aca="1" ref="H49" ca="1">IFERROR(IF(_xlfn.XLOOKUP(A49,ETANCHEITE!O$22:O$92,ETANCHEITE!M$22:M$92,"")&lt;&gt;"",_xlfn.XLOOKUP(A49,ETANCHEITE!O$22:O$92,ETANCHEITE!M$22:M$92,""),    INDEX(ETANCHEITE!M:M,MAX(_xlfn._xlws.FILTER(ROW(ETANCHEITE!M$22:INDIRECT("'PEINTURE'!O" &amp; D49-1)),ETANCHEITE!M$22:INDIRECT("'PEINTURE'!O" &amp; D49-1)&lt;&gt;"")))),"")</f>
        <v/>
      </c>
      <c r="I49" s="163" t="str" cm="1">
        <f t="array" aca="1" ref="I49" ca="1">IFERROR(IF(_xlfn.XLOOKUP(A49,ETANCHEITE!O$22:O$92,ETANCHEITE!N$22:N$92,"")&lt;&gt;"",_xlfn.XLOOKUP(A49,ETANCHEITE!O$22:O$92,ETANCHEITE!N$22:N$92,""),    INDEX(ETANCHEITE!N:N,MAX(_xlfn._xlws.FILTER(ROW(ETANCHEITE!N$22:INDIRECT("'PEINTURE'!P" &amp; D49-1)),ETANCHEITE!N$22:INDIRECT("'PEINTURE'!P" &amp; D49-1)&lt;&gt;"")))),"")</f>
        <v/>
      </c>
      <c r="J49" s="145">
        <v>47</v>
      </c>
      <c r="K49" s="154" t="str">
        <f>IF(O49&lt;&gt;" ",ETANCHEITE!$D$5,"")</f>
        <v/>
      </c>
      <c r="L49" s="154" t="str">
        <f>IF(O49&lt;&gt;" ",ETANCHEITE!$D$8,"")</f>
        <v/>
      </c>
      <c r="M49" s="146" t="str">
        <f>IFERROR(MATCH(J49,ETANCHEITE!X$22:X$167,0)+18,"")</f>
        <v/>
      </c>
      <c r="N49" s="147" t="str" cm="1">
        <f t="array" aca="1" ref="N49" ca="1">IFERROR(IF(_xlfn.XLOOKUP(J49,ETANCHEITE!X$22:X$167,ETANCHEITE!$A$22:$A$167,"")&lt;&gt;"",_xlfn.XLOOKUP(J49,ETANCHEITE!X$22:X$167,ETANCHEITE!$A$22:$A$167,""),    INDEX(ETANCHEITE!$A:$A,MAX(_xlfn._xlws.FILTER(ROW(ETANCHEITE!$A$22:INDIRECT("'MENUISERIES EXTERIEURES'!$A" &amp; M49-1)),ETANCHEITE!$A$22:INDIRECT("'MENUISERIES EXTERIEURES'!$A" &amp; M49-1)&lt;&gt;"")))),"")&amp;"   "&amp;IFERROR(_xlfn.XLOOKUP(J49,ETANCHEITE!X$22:X$167,ETANCHEITE!$B$22:$B$167),"")&amp;IFERROR(_xlfn.XLOOKUP(J49,ETANCHEITE!X$22:X$167,ETANCHEITE!$C$22:$C$167),"")&amp;IFERROR(_xlfn.XLOOKUP(J49,ETANCHEITE!X$22:X$167,ETANCHEITE!$D$22:$D$167),"")&amp;IFERROR(_xlfn.XLOOKUP(J49,ETANCHEITE!X$22:X$167,ETANCHEITE!#REF!),"")&amp;IFERROR(_xlfn.XLOOKUP(J49,ETANCHEITE!X$22:X$167,ETANCHEITE!#REF!),"")</f>
        <v xml:space="preserve">   </v>
      </c>
      <c r="O49" s="155" t="str">
        <f>IFERROR(VLOOKUP(J49,ETANCHEITE!X$22:Z$167,2,FALSE),"")&amp;" "&amp;IFERROR(VLOOKUP(J49,ETANCHEITE!X$22:Z$167,3,FALSE),"")</f>
        <v xml:space="preserve"> </v>
      </c>
      <c r="P49" s="148" t="str">
        <f>IF(O49&lt;&gt;" ",'Feuille de Donnée'!$C$3,"")</f>
        <v/>
      </c>
      <c r="Q49" s="162" t="str" cm="1">
        <f t="array" aca="1" ref="Q49" ca="1">IFERROR(IF(_xlfn.XLOOKUP(J49,ETANCHEITE!X$22:X$92,ETANCHEITE!V$22:V$92,"")&lt;&gt;"",_xlfn.XLOOKUP(J49,ETANCHEITE!X$22:X$92,ETANCHEITE!V$22:V$92,""),    INDEX(ETANCHEITE!V:V,MAX(_xlfn._xlws.FILTER(ROW(ETANCHEITE!V$22:INDIRECT("'PEINTURE'!O" &amp; M49-1)),ETANCHEITE!V$22:INDIRECT("'PEINTURE'!O" &amp; M49-1)&lt;&gt;"")))),"")</f>
        <v/>
      </c>
      <c r="R49" s="163" t="str" cm="1">
        <f t="array" aca="1" ref="R49" ca="1">IFERROR(IF(_xlfn.XLOOKUP(J49,ETANCHEITE!X$22:X$92,ETANCHEITE!W$22:W$92,"")&lt;&gt;"",_xlfn.XLOOKUP(J49,ETANCHEITE!X$22:X$92,ETANCHEITE!W$22:W$92,""),    INDEX(ETANCHEITE!W:W,MAX(_xlfn._xlws.FILTER(ROW(ETANCHEITE!W$22:INDIRECT("'PEINTURE'!P" &amp; M49-1)),ETANCHEITE!W$22:INDIRECT("'PEINTURE'!P" &amp; M49-1)&lt;&gt;"")))),"")</f>
        <v/>
      </c>
      <c r="S49" s="145">
        <v>47</v>
      </c>
      <c r="T49" s="154" t="str">
        <f>IF(X49&lt;&gt;" ",ETANCHEITE!$D$5,"")</f>
        <v/>
      </c>
      <c r="U49" s="154" t="str">
        <f>IF(X49&lt;&gt;" ",ETANCHEITE!$D$8,"")</f>
        <v/>
      </c>
      <c r="V49" s="146" t="str">
        <f>IFERROR(MATCH(S49,ETANCHEITE!AG$22:AG$167,0)+18,"")</f>
        <v/>
      </c>
      <c r="W49" s="147" t="str" cm="1">
        <f t="array" aca="1" ref="W49" ca="1">IFERROR(IF(_xlfn.XLOOKUP(S49,ETANCHEITE!AG$22:AG$167,ETANCHEITE!$A$22:$A$167,"")&lt;&gt;"",_xlfn.XLOOKUP(S49,ETANCHEITE!AG$22:AG$167,ETANCHEITE!$A$22:$A$167,""),    INDEX(ETANCHEITE!$A:$A,MAX(_xlfn._xlws.FILTER(ROW(ETANCHEITE!$A$22:INDIRECT("'MENUISERIES EXTERIEURES'!$A" &amp; V49-1)),ETANCHEITE!$A$22:INDIRECT("'MENUISERIES EXTERIEURES'!$A" &amp; V49-1)&lt;&gt;"")))),"")&amp;"   "&amp;IFERROR(_xlfn.XLOOKUP(S49,ETANCHEITE!AG$22:AG$167,ETANCHEITE!$B$22:$B$167),"")&amp;IFERROR(_xlfn.XLOOKUP(S49,ETANCHEITE!AG$22:AG$167,ETANCHEITE!$C$22:$C$167),"")&amp;IFERROR(_xlfn.XLOOKUP(S49,ETANCHEITE!AG$22:AG$167,ETANCHEITE!$D$22:$D$167),"")&amp;IFERROR(_xlfn.XLOOKUP(S49,ETANCHEITE!AG$22:AG$167,ETANCHEITE!#REF!),"")&amp;IFERROR(_xlfn.XLOOKUP(S49,ETANCHEITE!AG$22:AG$167,ETANCHEITE!#REF!),"")</f>
        <v xml:space="preserve">   </v>
      </c>
      <c r="X49" s="155" t="str">
        <f>IFERROR(VLOOKUP(S49,ETANCHEITE!AG$22:AI$167,2,FALSE),"")&amp;" "&amp;IFERROR(VLOOKUP(S49,ETANCHEITE!AG$22:AI$167,3,FALSE),"")</f>
        <v xml:space="preserve"> </v>
      </c>
      <c r="Y49" s="148" t="str">
        <f>IF(X49&lt;&gt;" ",'Feuille de Donnée'!$C$3,"")</f>
        <v/>
      </c>
      <c r="Z49" s="162" t="str" cm="1">
        <f t="array" aca="1" ref="Z49" ca="1">IFERROR(IF(_xlfn.XLOOKUP(S49,ETANCHEITE!AG$22:AG$92,ETANCHEITE!AE$22:AE$92,"")&lt;&gt;"",_xlfn.XLOOKUP(S49,ETANCHEITE!AG$22:AG$92,ETANCHEITE!AE$22:AE$92,""),    INDEX(ETANCHEITE!AE:AE,MAX(_xlfn._xlws.FILTER(ROW(ETANCHEITE!AE$22:INDIRECT("'PEINTURE'!O" &amp; V49-1)),ETANCHEITE!AE$22:INDIRECT("'PEINTURE'!O" &amp; V49-1)&lt;&gt;"")))),"")</f>
        <v/>
      </c>
      <c r="AA49" s="163" t="str" cm="1">
        <f t="array" aca="1" ref="AA49" ca="1">IFERROR(IF(_xlfn.XLOOKUP(S49,ETANCHEITE!AG$22:AG$92,ETANCHEITE!AF$22:AF$92,"")&lt;&gt;"",_xlfn.XLOOKUP(S49,ETANCHEITE!AG$22:AG$92,ETANCHEITE!AF$22:AF$92,""),    INDEX(ETANCHEITE!AF:AF,MAX(_xlfn._xlws.FILTER(ROW(ETANCHEITE!AF$22:INDIRECT("'PEINTURE'!P" &amp; V49-1)),ETANCHEITE!AF$22:INDIRECT("'PEINTURE'!P" &amp; V49-1)&lt;&gt;"")))),"")</f>
        <v/>
      </c>
      <c r="AB49" s="145">
        <v>47</v>
      </c>
      <c r="AC49" s="154" t="str">
        <f>IF(AG49&lt;&gt;" ",ETANCHEITE!$D$5,"")</f>
        <v/>
      </c>
      <c r="AD49" s="154" t="str">
        <f>IF(AG49&lt;&gt;" ",ETANCHEITE!$D$8,"")</f>
        <v/>
      </c>
      <c r="AE49" s="146" t="str">
        <f>IFERROR(MATCH(AB49,ETANCHEITE!AP$22:AP$167,0)+18,"")</f>
        <v/>
      </c>
      <c r="AF49" s="147" t="str" cm="1">
        <f t="array" aca="1" ref="AF49" ca="1">IFERROR(IF(_xlfn.XLOOKUP(AB49,ETANCHEITE!AP$22:AP$167,ETANCHEITE!$A$22:$A$167,"")&lt;&gt;"",_xlfn.XLOOKUP(AB49,ETANCHEITE!AP$22:AP$167,ETANCHEITE!$A$22:$A$167,""),    INDEX(ETANCHEITE!$A:$A,MAX(_xlfn._xlws.FILTER(ROW(ETANCHEITE!$A$22:INDIRECT("'MENUISERIES EXTERIEURES'!$A" &amp; AE49-1)),ETANCHEITE!$A$22:INDIRECT("'MENUISERIES EXTERIEURES'!$A" &amp; AE49-1)&lt;&gt;"")))),"")&amp;"   "&amp;IFERROR(_xlfn.XLOOKUP(AB49,ETANCHEITE!AP$22:AP$167,ETANCHEITE!$B$22:$B$167),"")&amp;IFERROR(_xlfn.XLOOKUP(AB49,ETANCHEITE!AP$22:AP$167,ETANCHEITE!$C$22:$C$167),"")&amp;IFERROR(_xlfn.XLOOKUP(AB49,ETANCHEITE!AP$22:AP$167,ETANCHEITE!$D$22:$D$167),"")&amp;IFERROR(_xlfn.XLOOKUP(AB49,ETANCHEITE!AP$22:AP$167,ETANCHEITE!#REF!),"")&amp;IFERROR(_xlfn.XLOOKUP(AB49,ETANCHEITE!AP$22:AP$167,ETANCHEITE!#REF!),"")</f>
        <v xml:space="preserve">   </v>
      </c>
      <c r="AG49" s="155" t="str">
        <f>IFERROR(VLOOKUP(AB49,ETANCHEITE!AP$22:AR$167,2,FALSE),"")&amp;" "&amp;IFERROR(VLOOKUP(AB49,ETANCHEITE!AP$22:AR$167,3,FALSE),"")</f>
        <v xml:space="preserve"> </v>
      </c>
      <c r="AH49" s="148" t="str">
        <f>IF(AG49&lt;&gt;" ",'Feuille de Donnée'!$C$3,"")</f>
        <v/>
      </c>
      <c r="AI49" s="162" t="str" cm="1">
        <f t="array" aca="1" ref="AI49" ca="1">IFERROR(IF(_xlfn.XLOOKUP(AB49,ETANCHEITE!AP$22:AP$92,ETANCHEITE!AN$22:AN$92,"")&lt;&gt;"",_xlfn.XLOOKUP(AB49,ETANCHEITE!AP$22:AP$92,ETANCHEITE!AN$22:AN$92,""),    INDEX(ETANCHEITE!AN:AN,MAX(_xlfn._xlws.FILTER(ROW(ETANCHEITE!AN$22:INDIRECT("'PEINTURE'!O" &amp; AE49-1)),ETANCHEITE!AN$22:INDIRECT("'PEINTURE'!O" &amp; AE49-1)&lt;&gt;"")))),"")</f>
        <v/>
      </c>
      <c r="AJ49" s="163" t="str" cm="1">
        <f t="array" aca="1" ref="AJ49" ca="1">IFERROR(IF(_xlfn.XLOOKUP(AB49,ETANCHEITE!AP$22:AP$92,ETANCHEITE!AO$22:AO$92,"")&lt;&gt;"",_xlfn.XLOOKUP(AB49,ETANCHEITE!AP$22:AP$92,ETANCHEITE!AO$22:AO$92,""),    INDEX(ETANCHEITE!AO:AO,MAX(_xlfn._xlws.FILTER(ROW(ETANCHEITE!AO$22:INDIRECT("'PEINTURE'!P" &amp; AE49-1)),ETANCHEITE!AO$22:INDIRECT("'PEINTURE'!P" &amp; AE49-1)&lt;&gt;"")))),"")</f>
        <v/>
      </c>
      <c r="AK49" s="145">
        <v>47</v>
      </c>
      <c r="AL49" s="154" t="str">
        <f>IF(AP49&lt;&gt;" ",ETANCHEITE!$D$5,"")</f>
        <v/>
      </c>
      <c r="AM49" s="154" t="str">
        <f>IF(AP49&lt;&gt;" ",ETANCHEITE!$D$8,"")</f>
        <v/>
      </c>
      <c r="AN49" s="146" t="str">
        <f>IFERROR(MATCH(AK49,ETANCHEITE!AY$22:AY$167,0)+18,"")</f>
        <v/>
      </c>
      <c r="AO49" s="147" t="str" cm="1">
        <f t="array" aca="1" ref="AO49" ca="1">IFERROR(IF(_xlfn.XLOOKUP(AK49,ETANCHEITE!AY$22:AY$167,ETANCHEITE!$A$22:$A$167,"")&lt;&gt;"",_xlfn.XLOOKUP(AK49,ETANCHEITE!AY$22:AY$167,ETANCHEITE!$A$22:$A$167,""),    INDEX(ETANCHEITE!$A:$A,MAX(_xlfn._xlws.FILTER(ROW(ETANCHEITE!$A$22:INDIRECT("'MENUISERIES EXTERIEURES'!$A" &amp; AN49-1)),ETANCHEITE!$A$22:INDIRECT("'MENUISERIES EXTERIEURES'!$A" &amp; AN49-1)&lt;&gt;"")))),"")&amp;"   "&amp;IFERROR(_xlfn.XLOOKUP(AK49,ETANCHEITE!AY$22:AY$167,ETANCHEITE!$B$22:$B$167),"")&amp;IFERROR(_xlfn.XLOOKUP(AK49,ETANCHEITE!AY$22:AY$167,ETANCHEITE!$C$22:$C$167),"")&amp;IFERROR(_xlfn.XLOOKUP(AK49,ETANCHEITE!AY$22:AY$167,ETANCHEITE!$D$22:$D$167),"")&amp;IFERROR(_xlfn.XLOOKUP(AK49,ETANCHEITE!AY$22:AY$167,ETANCHEITE!#REF!),"")&amp;IFERROR(_xlfn.XLOOKUP(AK49,ETANCHEITE!AY$22:AY$167,ETANCHEITE!#REF!),"")</f>
        <v xml:space="preserve">   </v>
      </c>
      <c r="AP49" s="155" t="str">
        <f>IFERROR(VLOOKUP(AK49,ETANCHEITE!AY$22:BA$167,2,FALSE),"")&amp;" "&amp;IFERROR(VLOOKUP(AK49,ETANCHEITE!AY$22:BA$167,3,FALSE),"")</f>
        <v xml:space="preserve"> </v>
      </c>
      <c r="AQ49" s="148" t="str">
        <f>IF(AP49&lt;&gt;" ",'Feuille de Donnée'!$C$3,"")</f>
        <v/>
      </c>
      <c r="AR49" s="162" t="str" cm="1">
        <f t="array" aca="1" ref="AR49" ca="1">IFERROR(IF(_xlfn.XLOOKUP(AK49,ETANCHEITE!AY$22:AY$92,ETANCHEITE!AW$22:AW$92,"")&lt;&gt;"",_xlfn.XLOOKUP(AK49,ETANCHEITE!AY$22:AY$92,ETANCHEITE!AW$22:AW$92,""),    INDEX(ETANCHEITE!AW:AW,MAX(_xlfn._xlws.FILTER(ROW(ETANCHEITE!AW$22:INDIRECT("'PEINTURE'!O" &amp; AN49-1)),ETANCHEITE!AW$22:INDIRECT("'PEINTURE'!O" &amp; AN49-1)&lt;&gt;"")))),"")</f>
        <v/>
      </c>
      <c r="AS49" s="163" t="str" cm="1">
        <f t="array" aca="1" ref="AS49" ca="1">IFERROR(IF(_xlfn.XLOOKUP(AK49,ETANCHEITE!AY$22:AY$92,ETANCHEITE!AX$22:AX$92,"")&lt;&gt;"",_xlfn.XLOOKUP(AK49,ETANCHEITE!AY$22:AY$92,ETANCHEITE!AX$22:AX$92,""),    INDEX(ETANCHEITE!AX:AX,MAX(_xlfn._xlws.FILTER(ROW(ETANCHEITE!AX$22:INDIRECT("'PEINTURE'!P" &amp; AN49-1)),ETANCHEITE!AX$22:INDIRECT("'PEINTURE'!P" &amp; AN49-1)&lt;&gt;"")))),"")</f>
        <v/>
      </c>
      <c r="AT49" s="145">
        <v>47</v>
      </c>
      <c r="AU49" s="154" t="str">
        <f>IF(AY49&lt;&gt;" ",ETANCHEITE!$D$5,"")</f>
        <v/>
      </c>
      <c r="AV49" s="154" t="str">
        <f>IF(AY49&lt;&gt;" ",ETANCHEITE!$D$8,"")</f>
        <v/>
      </c>
      <c r="AW49" s="146" t="str">
        <f>IFERROR(MATCH(AT49,ETANCHEITE!BH$22:BH$167,0)+18,"")</f>
        <v/>
      </c>
      <c r="AX49" s="147" t="str" cm="1">
        <f t="array" aca="1" ref="AX49" ca="1">IFERROR(IF(_xlfn.XLOOKUP(AT49,ETANCHEITE!BH$22:BH$167,ETANCHEITE!$A$22:$A$167,"")&lt;&gt;"",_xlfn.XLOOKUP(AT49,ETANCHEITE!BH$22:BH$167,ETANCHEITE!$A$22:$A$167,""),    INDEX(ETANCHEITE!$A:$A,MAX(_xlfn._xlws.FILTER(ROW(ETANCHEITE!$A$22:INDIRECT("'MENUISERIES EXTERIEURES'!$A" &amp; AW49-1)),ETANCHEITE!$A$22:INDIRECT("'MENUISERIES EXTERIEURES'!$A" &amp; AW49-1)&lt;&gt;"")))),"")&amp;"   "&amp;IFERROR(_xlfn.XLOOKUP(AT49,ETANCHEITE!BH$22:BH$167,ETANCHEITE!$B$22:$B$167),"")&amp;IFERROR(_xlfn.XLOOKUP(AT49,ETANCHEITE!BH$22:BH$167,ETANCHEITE!$C$22:$C$167),"")&amp;IFERROR(_xlfn.XLOOKUP(AT49,ETANCHEITE!BH$22:BH$167,ETANCHEITE!$D$22:$D$167),"")&amp;IFERROR(_xlfn.XLOOKUP(AT49,ETANCHEITE!BH$22:BH$167,ETANCHEITE!#REF!),"")&amp;IFERROR(_xlfn.XLOOKUP(AT49,ETANCHEITE!BH$22:BH$167,ETANCHEITE!#REF!),"")</f>
        <v xml:space="preserve">   </v>
      </c>
      <c r="AY49" s="155" t="str">
        <f>IFERROR(VLOOKUP(AT49,ETANCHEITE!BH$22:BJ$167,2,FALSE),"")&amp;" "&amp;IFERROR(VLOOKUP(AT49,ETANCHEITE!BH$22:BJ$167,3,FALSE),"")</f>
        <v xml:space="preserve"> </v>
      </c>
      <c r="AZ49" s="148" t="str">
        <f>IF(AY49&lt;&gt;" ",'Feuille de Donnée'!$C$3,"")</f>
        <v/>
      </c>
      <c r="BA49" s="162" t="str" cm="1">
        <f t="array" aca="1" ref="BA49" ca="1">IFERROR(IF(_xlfn.XLOOKUP(AT49,ETANCHEITE!BH$22:BH$92,ETANCHEITE!BF$22:BF$92,"")&lt;&gt;"",_xlfn.XLOOKUP(AT49,ETANCHEITE!BH$22:BH$92,ETANCHEITE!BF$22:BF$92,""),    INDEX(ETANCHEITE!BF:BF,MAX(_xlfn._xlws.FILTER(ROW(ETANCHEITE!BF$22:INDIRECT("'PEINTURE'!O" &amp; AW49-1)),ETANCHEITE!BF$22:INDIRECT("'PEINTURE'!O" &amp; AW49-1)&lt;&gt;"")))),"")</f>
        <v/>
      </c>
      <c r="BB49" s="163" t="str" cm="1">
        <f t="array" aca="1" ref="BB49" ca="1">IFERROR(IF(_xlfn.XLOOKUP(AT49,ETANCHEITE!BH$22:BH$92,ETANCHEITE!BG$22:BG$92,"")&lt;&gt;"",_xlfn.XLOOKUP(AT49,ETANCHEITE!BH$22:BH$92,ETANCHEITE!BG$22:BG$92,""),    INDEX(ETANCHEITE!BG:BG,MAX(_xlfn._xlws.FILTER(ROW(ETANCHEITE!BG$22:INDIRECT("'PEINTURE'!P" &amp; AW49-1)),ETANCHEITE!BG$22:INDIRECT("'PEINTURE'!P" &amp; AW49-1)&lt;&gt;"")))),"")</f>
        <v/>
      </c>
    </row>
    <row r="50" spans="1:54" ht="16.5" customHeight="1" x14ac:dyDescent="0.3">
      <c r="A50" s="145">
        <v>48</v>
      </c>
      <c r="B50" s="154" t="str">
        <f>IF(F50&lt;&gt;" ",ETANCHEITE!$D$5,"")</f>
        <v/>
      </c>
      <c r="C50" s="154" t="str">
        <f>IF(F50&lt;&gt;" ",ETANCHEITE!$D$8,"")</f>
        <v/>
      </c>
      <c r="D50" s="146" t="str">
        <f>IFERROR(MATCH(A50,ETANCHEITE!O$22:O$167,0)+18,"")</f>
        <v/>
      </c>
      <c r="E50" s="147" t="str" cm="1">
        <f t="array" aca="1" ref="E50" ca="1">IFERROR(IF(_xlfn.XLOOKUP(A50,ETANCHEITE!O$22:O$167,ETANCHEITE!$A$22:$A$167,"")&lt;&gt;"",_xlfn.XLOOKUP(A50,ETANCHEITE!O$22:O$167,ETANCHEITE!$A$22:$A$167,""),    INDEX(ETANCHEITE!$A:$A,MAX(_xlfn._xlws.FILTER(ROW(ETANCHEITE!$A$22:INDIRECT("'MENUISERIES EXTERIEURES'!$A" &amp; D50-1)),ETANCHEITE!$A$22:INDIRECT("'MENUISERIES EXTERIEURES'!$A" &amp; D50-1)&lt;&gt;"")))),"")&amp;"   "&amp;IFERROR(_xlfn.XLOOKUP(A50,ETANCHEITE!O$22:O$167,ETANCHEITE!$B$22:$B$167),"")&amp;IFERROR(_xlfn.XLOOKUP(A50,ETANCHEITE!O$22:O$167,ETANCHEITE!$C$22:$C$167),"")&amp;IFERROR(_xlfn.XLOOKUP(A50,ETANCHEITE!O$22:O$167,ETANCHEITE!$D$22:$D$167),"")&amp;IFERROR(_xlfn.XLOOKUP(A50,ETANCHEITE!O$22:O$167,ETANCHEITE!#REF!),"")&amp;IFERROR(_xlfn.XLOOKUP(A50,ETANCHEITE!O$22:O$167,ETANCHEITE!#REF!),"")</f>
        <v xml:space="preserve">   </v>
      </c>
      <c r="F50" s="155" t="str">
        <f>IFERROR(VLOOKUP(A50,ETANCHEITE!O$22:Q$167,2,FALSE),"")&amp;" "&amp;IFERROR(VLOOKUP(A50,ETANCHEITE!O$22:Q$167,3,FALSE),"")</f>
        <v xml:space="preserve"> </v>
      </c>
      <c r="G50" s="148" t="str">
        <f>IF(F50&lt;&gt;" ",'Feuille de Donnée'!$C$3,"")</f>
        <v/>
      </c>
      <c r="H50" s="162" t="str" cm="1">
        <f t="array" aca="1" ref="H50" ca="1">IFERROR(IF(_xlfn.XLOOKUP(A50,ETANCHEITE!O$22:O$92,ETANCHEITE!M$22:M$92,"")&lt;&gt;"",_xlfn.XLOOKUP(A50,ETANCHEITE!O$22:O$92,ETANCHEITE!M$22:M$92,""),    INDEX(ETANCHEITE!M:M,MAX(_xlfn._xlws.FILTER(ROW(ETANCHEITE!M$22:INDIRECT("'PEINTURE'!O" &amp; D50-1)),ETANCHEITE!M$22:INDIRECT("'PEINTURE'!O" &amp; D50-1)&lt;&gt;"")))),"")</f>
        <v/>
      </c>
      <c r="I50" s="163" t="str" cm="1">
        <f t="array" aca="1" ref="I50" ca="1">IFERROR(IF(_xlfn.XLOOKUP(A50,ETANCHEITE!O$22:O$92,ETANCHEITE!N$22:N$92,"")&lt;&gt;"",_xlfn.XLOOKUP(A50,ETANCHEITE!O$22:O$92,ETANCHEITE!N$22:N$92,""),    INDEX(ETANCHEITE!N:N,MAX(_xlfn._xlws.FILTER(ROW(ETANCHEITE!N$22:INDIRECT("'PEINTURE'!P" &amp; D50-1)),ETANCHEITE!N$22:INDIRECT("'PEINTURE'!P" &amp; D50-1)&lt;&gt;"")))),"")</f>
        <v/>
      </c>
      <c r="J50" s="145">
        <v>48</v>
      </c>
      <c r="K50" s="154" t="str">
        <f>IF(O50&lt;&gt;" ",ETANCHEITE!$D$5,"")</f>
        <v/>
      </c>
      <c r="L50" s="154" t="str">
        <f>IF(O50&lt;&gt;" ",ETANCHEITE!$D$8,"")</f>
        <v/>
      </c>
      <c r="M50" s="146" t="str">
        <f>IFERROR(MATCH(J50,ETANCHEITE!X$22:X$167,0)+18,"")</f>
        <v/>
      </c>
      <c r="N50" s="147" t="str" cm="1">
        <f t="array" aca="1" ref="N50" ca="1">IFERROR(IF(_xlfn.XLOOKUP(J50,ETANCHEITE!X$22:X$167,ETANCHEITE!$A$22:$A$167,"")&lt;&gt;"",_xlfn.XLOOKUP(J50,ETANCHEITE!X$22:X$167,ETANCHEITE!$A$22:$A$167,""),    INDEX(ETANCHEITE!$A:$A,MAX(_xlfn._xlws.FILTER(ROW(ETANCHEITE!$A$22:INDIRECT("'MENUISERIES EXTERIEURES'!$A" &amp; M50-1)),ETANCHEITE!$A$22:INDIRECT("'MENUISERIES EXTERIEURES'!$A" &amp; M50-1)&lt;&gt;"")))),"")&amp;"   "&amp;IFERROR(_xlfn.XLOOKUP(J50,ETANCHEITE!X$22:X$167,ETANCHEITE!$B$22:$B$167),"")&amp;IFERROR(_xlfn.XLOOKUP(J50,ETANCHEITE!X$22:X$167,ETANCHEITE!$C$22:$C$167),"")&amp;IFERROR(_xlfn.XLOOKUP(J50,ETANCHEITE!X$22:X$167,ETANCHEITE!$D$22:$D$167),"")&amp;IFERROR(_xlfn.XLOOKUP(J50,ETANCHEITE!X$22:X$167,ETANCHEITE!#REF!),"")&amp;IFERROR(_xlfn.XLOOKUP(J50,ETANCHEITE!X$22:X$167,ETANCHEITE!#REF!),"")</f>
        <v xml:space="preserve">   </v>
      </c>
      <c r="O50" s="155" t="str">
        <f>IFERROR(VLOOKUP(J50,ETANCHEITE!X$22:Z$167,2,FALSE),"")&amp;" "&amp;IFERROR(VLOOKUP(J50,ETANCHEITE!X$22:Z$167,3,FALSE),"")</f>
        <v xml:space="preserve"> </v>
      </c>
      <c r="P50" s="148" t="str">
        <f>IF(O50&lt;&gt;" ",'Feuille de Donnée'!$C$3,"")</f>
        <v/>
      </c>
      <c r="Q50" s="162" t="str" cm="1">
        <f t="array" aca="1" ref="Q50" ca="1">IFERROR(IF(_xlfn.XLOOKUP(J50,ETANCHEITE!X$22:X$92,ETANCHEITE!V$22:V$92,"")&lt;&gt;"",_xlfn.XLOOKUP(J50,ETANCHEITE!X$22:X$92,ETANCHEITE!V$22:V$92,""),    INDEX(ETANCHEITE!V:V,MAX(_xlfn._xlws.FILTER(ROW(ETANCHEITE!V$22:INDIRECT("'PEINTURE'!O" &amp; M50-1)),ETANCHEITE!V$22:INDIRECT("'PEINTURE'!O" &amp; M50-1)&lt;&gt;"")))),"")</f>
        <v/>
      </c>
      <c r="R50" s="163" t="str" cm="1">
        <f t="array" aca="1" ref="R50" ca="1">IFERROR(IF(_xlfn.XLOOKUP(J50,ETANCHEITE!X$22:X$92,ETANCHEITE!W$22:W$92,"")&lt;&gt;"",_xlfn.XLOOKUP(J50,ETANCHEITE!X$22:X$92,ETANCHEITE!W$22:W$92,""),    INDEX(ETANCHEITE!W:W,MAX(_xlfn._xlws.FILTER(ROW(ETANCHEITE!W$22:INDIRECT("'PEINTURE'!P" &amp; M50-1)),ETANCHEITE!W$22:INDIRECT("'PEINTURE'!P" &amp; M50-1)&lt;&gt;"")))),"")</f>
        <v/>
      </c>
      <c r="S50" s="145">
        <v>48</v>
      </c>
      <c r="T50" s="154" t="str">
        <f>IF(X50&lt;&gt;" ",ETANCHEITE!$D$5,"")</f>
        <v/>
      </c>
      <c r="U50" s="154" t="str">
        <f>IF(X50&lt;&gt;" ",ETANCHEITE!$D$8,"")</f>
        <v/>
      </c>
      <c r="V50" s="146" t="str">
        <f>IFERROR(MATCH(S50,ETANCHEITE!AG$22:AG$167,0)+18,"")</f>
        <v/>
      </c>
      <c r="W50" s="147" t="str" cm="1">
        <f t="array" aca="1" ref="W50" ca="1">IFERROR(IF(_xlfn.XLOOKUP(S50,ETANCHEITE!AG$22:AG$167,ETANCHEITE!$A$22:$A$167,"")&lt;&gt;"",_xlfn.XLOOKUP(S50,ETANCHEITE!AG$22:AG$167,ETANCHEITE!$A$22:$A$167,""),    INDEX(ETANCHEITE!$A:$A,MAX(_xlfn._xlws.FILTER(ROW(ETANCHEITE!$A$22:INDIRECT("'MENUISERIES EXTERIEURES'!$A" &amp; V50-1)),ETANCHEITE!$A$22:INDIRECT("'MENUISERIES EXTERIEURES'!$A" &amp; V50-1)&lt;&gt;"")))),"")&amp;"   "&amp;IFERROR(_xlfn.XLOOKUP(S50,ETANCHEITE!AG$22:AG$167,ETANCHEITE!$B$22:$B$167),"")&amp;IFERROR(_xlfn.XLOOKUP(S50,ETANCHEITE!AG$22:AG$167,ETANCHEITE!$C$22:$C$167),"")&amp;IFERROR(_xlfn.XLOOKUP(S50,ETANCHEITE!AG$22:AG$167,ETANCHEITE!$D$22:$D$167),"")&amp;IFERROR(_xlfn.XLOOKUP(S50,ETANCHEITE!AG$22:AG$167,ETANCHEITE!#REF!),"")&amp;IFERROR(_xlfn.XLOOKUP(S50,ETANCHEITE!AG$22:AG$167,ETANCHEITE!#REF!),"")</f>
        <v xml:space="preserve">   </v>
      </c>
      <c r="X50" s="155" t="str">
        <f>IFERROR(VLOOKUP(S50,ETANCHEITE!AG$22:AI$167,2,FALSE),"")&amp;" "&amp;IFERROR(VLOOKUP(S50,ETANCHEITE!AG$22:AI$167,3,FALSE),"")</f>
        <v xml:space="preserve"> </v>
      </c>
      <c r="Y50" s="148" t="str">
        <f>IF(X50&lt;&gt;" ",'Feuille de Donnée'!$C$3,"")</f>
        <v/>
      </c>
      <c r="Z50" s="162" t="str" cm="1">
        <f t="array" aca="1" ref="Z50" ca="1">IFERROR(IF(_xlfn.XLOOKUP(S50,ETANCHEITE!AG$22:AG$92,ETANCHEITE!AE$22:AE$92,"")&lt;&gt;"",_xlfn.XLOOKUP(S50,ETANCHEITE!AG$22:AG$92,ETANCHEITE!AE$22:AE$92,""),    INDEX(ETANCHEITE!AE:AE,MAX(_xlfn._xlws.FILTER(ROW(ETANCHEITE!AE$22:INDIRECT("'PEINTURE'!O" &amp; V50-1)),ETANCHEITE!AE$22:INDIRECT("'PEINTURE'!O" &amp; V50-1)&lt;&gt;"")))),"")</f>
        <v/>
      </c>
      <c r="AA50" s="163" t="str" cm="1">
        <f t="array" aca="1" ref="AA50" ca="1">IFERROR(IF(_xlfn.XLOOKUP(S50,ETANCHEITE!AG$22:AG$92,ETANCHEITE!AF$22:AF$92,"")&lt;&gt;"",_xlfn.XLOOKUP(S50,ETANCHEITE!AG$22:AG$92,ETANCHEITE!AF$22:AF$92,""),    INDEX(ETANCHEITE!AF:AF,MAX(_xlfn._xlws.FILTER(ROW(ETANCHEITE!AF$22:INDIRECT("'PEINTURE'!P" &amp; V50-1)),ETANCHEITE!AF$22:INDIRECT("'PEINTURE'!P" &amp; V50-1)&lt;&gt;"")))),"")</f>
        <v/>
      </c>
      <c r="AB50" s="145">
        <v>48</v>
      </c>
      <c r="AC50" s="154" t="str">
        <f>IF(AG50&lt;&gt;" ",ETANCHEITE!$D$5,"")</f>
        <v/>
      </c>
      <c r="AD50" s="154" t="str">
        <f>IF(AG50&lt;&gt;" ",ETANCHEITE!$D$8,"")</f>
        <v/>
      </c>
      <c r="AE50" s="146" t="str">
        <f>IFERROR(MATCH(AB50,ETANCHEITE!AP$22:AP$167,0)+18,"")</f>
        <v/>
      </c>
      <c r="AF50" s="147" t="str" cm="1">
        <f t="array" aca="1" ref="AF50" ca="1">IFERROR(IF(_xlfn.XLOOKUP(AB50,ETANCHEITE!AP$22:AP$167,ETANCHEITE!$A$22:$A$167,"")&lt;&gt;"",_xlfn.XLOOKUP(AB50,ETANCHEITE!AP$22:AP$167,ETANCHEITE!$A$22:$A$167,""),    INDEX(ETANCHEITE!$A:$A,MAX(_xlfn._xlws.FILTER(ROW(ETANCHEITE!$A$22:INDIRECT("'MENUISERIES EXTERIEURES'!$A" &amp; AE50-1)),ETANCHEITE!$A$22:INDIRECT("'MENUISERIES EXTERIEURES'!$A" &amp; AE50-1)&lt;&gt;"")))),"")&amp;"   "&amp;IFERROR(_xlfn.XLOOKUP(AB50,ETANCHEITE!AP$22:AP$167,ETANCHEITE!$B$22:$B$167),"")&amp;IFERROR(_xlfn.XLOOKUP(AB50,ETANCHEITE!AP$22:AP$167,ETANCHEITE!$C$22:$C$167),"")&amp;IFERROR(_xlfn.XLOOKUP(AB50,ETANCHEITE!AP$22:AP$167,ETANCHEITE!$D$22:$D$167),"")&amp;IFERROR(_xlfn.XLOOKUP(AB50,ETANCHEITE!AP$22:AP$167,ETANCHEITE!#REF!),"")&amp;IFERROR(_xlfn.XLOOKUP(AB50,ETANCHEITE!AP$22:AP$167,ETANCHEITE!#REF!),"")</f>
        <v xml:space="preserve">   </v>
      </c>
      <c r="AG50" s="155" t="str">
        <f>IFERROR(VLOOKUP(AB50,ETANCHEITE!AP$22:AR$167,2,FALSE),"")&amp;" "&amp;IFERROR(VLOOKUP(AB50,ETANCHEITE!AP$22:AR$167,3,FALSE),"")</f>
        <v xml:space="preserve"> </v>
      </c>
      <c r="AH50" s="148" t="str">
        <f>IF(AG50&lt;&gt;" ",'Feuille de Donnée'!$C$3,"")</f>
        <v/>
      </c>
      <c r="AI50" s="162" t="str" cm="1">
        <f t="array" aca="1" ref="AI50" ca="1">IFERROR(IF(_xlfn.XLOOKUP(AB50,ETANCHEITE!AP$22:AP$92,ETANCHEITE!AN$22:AN$92,"")&lt;&gt;"",_xlfn.XLOOKUP(AB50,ETANCHEITE!AP$22:AP$92,ETANCHEITE!AN$22:AN$92,""),    INDEX(ETANCHEITE!AN:AN,MAX(_xlfn._xlws.FILTER(ROW(ETANCHEITE!AN$22:INDIRECT("'PEINTURE'!O" &amp; AE50-1)),ETANCHEITE!AN$22:INDIRECT("'PEINTURE'!O" &amp; AE50-1)&lt;&gt;"")))),"")</f>
        <v/>
      </c>
      <c r="AJ50" s="163" t="str" cm="1">
        <f t="array" aca="1" ref="AJ50" ca="1">IFERROR(IF(_xlfn.XLOOKUP(AB50,ETANCHEITE!AP$22:AP$92,ETANCHEITE!AO$22:AO$92,"")&lt;&gt;"",_xlfn.XLOOKUP(AB50,ETANCHEITE!AP$22:AP$92,ETANCHEITE!AO$22:AO$92,""),    INDEX(ETANCHEITE!AO:AO,MAX(_xlfn._xlws.FILTER(ROW(ETANCHEITE!AO$22:INDIRECT("'PEINTURE'!P" &amp; AE50-1)),ETANCHEITE!AO$22:INDIRECT("'PEINTURE'!P" &amp; AE50-1)&lt;&gt;"")))),"")</f>
        <v/>
      </c>
      <c r="AK50" s="145">
        <v>48</v>
      </c>
      <c r="AL50" s="154" t="str">
        <f>IF(AP50&lt;&gt;" ",ETANCHEITE!$D$5,"")</f>
        <v/>
      </c>
      <c r="AM50" s="154" t="str">
        <f>IF(AP50&lt;&gt;" ",ETANCHEITE!$D$8,"")</f>
        <v/>
      </c>
      <c r="AN50" s="146" t="str">
        <f>IFERROR(MATCH(AK50,ETANCHEITE!AY$22:AY$167,0)+18,"")</f>
        <v/>
      </c>
      <c r="AO50" s="147" t="str" cm="1">
        <f t="array" aca="1" ref="AO50" ca="1">IFERROR(IF(_xlfn.XLOOKUP(AK50,ETANCHEITE!AY$22:AY$167,ETANCHEITE!$A$22:$A$167,"")&lt;&gt;"",_xlfn.XLOOKUP(AK50,ETANCHEITE!AY$22:AY$167,ETANCHEITE!$A$22:$A$167,""),    INDEX(ETANCHEITE!$A:$A,MAX(_xlfn._xlws.FILTER(ROW(ETANCHEITE!$A$22:INDIRECT("'MENUISERIES EXTERIEURES'!$A" &amp; AN50-1)),ETANCHEITE!$A$22:INDIRECT("'MENUISERIES EXTERIEURES'!$A" &amp; AN50-1)&lt;&gt;"")))),"")&amp;"   "&amp;IFERROR(_xlfn.XLOOKUP(AK50,ETANCHEITE!AY$22:AY$167,ETANCHEITE!$B$22:$B$167),"")&amp;IFERROR(_xlfn.XLOOKUP(AK50,ETANCHEITE!AY$22:AY$167,ETANCHEITE!$C$22:$C$167),"")&amp;IFERROR(_xlfn.XLOOKUP(AK50,ETANCHEITE!AY$22:AY$167,ETANCHEITE!$D$22:$D$167),"")&amp;IFERROR(_xlfn.XLOOKUP(AK50,ETANCHEITE!AY$22:AY$167,ETANCHEITE!#REF!),"")&amp;IFERROR(_xlfn.XLOOKUP(AK50,ETANCHEITE!AY$22:AY$167,ETANCHEITE!#REF!),"")</f>
        <v xml:space="preserve">   </v>
      </c>
      <c r="AP50" s="155" t="str">
        <f>IFERROR(VLOOKUP(AK50,ETANCHEITE!AY$22:BA$167,2,FALSE),"")&amp;" "&amp;IFERROR(VLOOKUP(AK50,ETANCHEITE!AY$22:BA$167,3,FALSE),"")</f>
        <v xml:space="preserve"> </v>
      </c>
      <c r="AQ50" s="148" t="str">
        <f>IF(AP50&lt;&gt;" ",'Feuille de Donnée'!$C$3,"")</f>
        <v/>
      </c>
      <c r="AR50" s="162" t="str" cm="1">
        <f t="array" aca="1" ref="AR50" ca="1">IFERROR(IF(_xlfn.XLOOKUP(AK50,ETANCHEITE!AY$22:AY$92,ETANCHEITE!AW$22:AW$92,"")&lt;&gt;"",_xlfn.XLOOKUP(AK50,ETANCHEITE!AY$22:AY$92,ETANCHEITE!AW$22:AW$92,""),    INDEX(ETANCHEITE!AW:AW,MAX(_xlfn._xlws.FILTER(ROW(ETANCHEITE!AW$22:INDIRECT("'PEINTURE'!O" &amp; AN50-1)),ETANCHEITE!AW$22:INDIRECT("'PEINTURE'!O" &amp; AN50-1)&lt;&gt;"")))),"")</f>
        <v/>
      </c>
      <c r="AS50" s="163" t="str" cm="1">
        <f t="array" aca="1" ref="AS50" ca="1">IFERROR(IF(_xlfn.XLOOKUP(AK50,ETANCHEITE!AY$22:AY$92,ETANCHEITE!AX$22:AX$92,"")&lt;&gt;"",_xlfn.XLOOKUP(AK50,ETANCHEITE!AY$22:AY$92,ETANCHEITE!AX$22:AX$92,""),    INDEX(ETANCHEITE!AX:AX,MAX(_xlfn._xlws.FILTER(ROW(ETANCHEITE!AX$22:INDIRECT("'PEINTURE'!P" &amp; AN50-1)),ETANCHEITE!AX$22:INDIRECT("'PEINTURE'!P" &amp; AN50-1)&lt;&gt;"")))),"")</f>
        <v/>
      </c>
      <c r="AT50" s="145">
        <v>48</v>
      </c>
      <c r="AU50" s="154" t="str">
        <f>IF(AY50&lt;&gt;" ",ETANCHEITE!$D$5,"")</f>
        <v/>
      </c>
      <c r="AV50" s="154" t="str">
        <f>IF(AY50&lt;&gt;" ",ETANCHEITE!$D$8,"")</f>
        <v/>
      </c>
      <c r="AW50" s="146" t="str">
        <f>IFERROR(MATCH(AT50,ETANCHEITE!BH$22:BH$167,0)+18,"")</f>
        <v/>
      </c>
      <c r="AX50" s="147" t="str" cm="1">
        <f t="array" aca="1" ref="AX50" ca="1">IFERROR(IF(_xlfn.XLOOKUP(AT50,ETANCHEITE!BH$22:BH$167,ETANCHEITE!$A$22:$A$167,"")&lt;&gt;"",_xlfn.XLOOKUP(AT50,ETANCHEITE!BH$22:BH$167,ETANCHEITE!$A$22:$A$167,""),    INDEX(ETANCHEITE!$A:$A,MAX(_xlfn._xlws.FILTER(ROW(ETANCHEITE!$A$22:INDIRECT("'MENUISERIES EXTERIEURES'!$A" &amp; AW50-1)),ETANCHEITE!$A$22:INDIRECT("'MENUISERIES EXTERIEURES'!$A" &amp; AW50-1)&lt;&gt;"")))),"")&amp;"   "&amp;IFERROR(_xlfn.XLOOKUP(AT50,ETANCHEITE!BH$22:BH$167,ETANCHEITE!$B$22:$B$167),"")&amp;IFERROR(_xlfn.XLOOKUP(AT50,ETANCHEITE!BH$22:BH$167,ETANCHEITE!$C$22:$C$167),"")&amp;IFERROR(_xlfn.XLOOKUP(AT50,ETANCHEITE!BH$22:BH$167,ETANCHEITE!$D$22:$D$167),"")&amp;IFERROR(_xlfn.XLOOKUP(AT50,ETANCHEITE!BH$22:BH$167,ETANCHEITE!#REF!),"")&amp;IFERROR(_xlfn.XLOOKUP(AT50,ETANCHEITE!BH$22:BH$167,ETANCHEITE!#REF!),"")</f>
        <v xml:space="preserve">   </v>
      </c>
      <c r="AY50" s="155" t="str">
        <f>IFERROR(VLOOKUP(AT50,ETANCHEITE!BH$22:BJ$167,2,FALSE),"")&amp;" "&amp;IFERROR(VLOOKUP(AT50,ETANCHEITE!BH$22:BJ$167,3,FALSE),"")</f>
        <v xml:space="preserve"> </v>
      </c>
      <c r="AZ50" s="148" t="str">
        <f>IF(AY50&lt;&gt;" ",'Feuille de Donnée'!$C$3,"")</f>
        <v/>
      </c>
      <c r="BA50" s="162" t="str" cm="1">
        <f t="array" aca="1" ref="BA50" ca="1">IFERROR(IF(_xlfn.XLOOKUP(AT50,ETANCHEITE!BH$22:BH$92,ETANCHEITE!BF$22:BF$92,"")&lt;&gt;"",_xlfn.XLOOKUP(AT50,ETANCHEITE!BH$22:BH$92,ETANCHEITE!BF$22:BF$92,""),    INDEX(ETANCHEITE!BF:BF,MAX(_xlfn._xlws.FILTER(ROW(ETANCHEITE!BF$22:INDIRECT("'PEINTURE'!O" &amp; AW50-1)),ETANCHEITE!BF$22:INDIRECT("'PEINTURE'!O" &amp; AW50-1)&lt;&gt;"")))),"")</f>
        <v/>
      </c>
      <c r="BB50" s="163" t="str" cm="1">
        <f t="array" aca="1" ref="BB50" ca="1">IFERROR(IF(_xlfn.XLOOKUP(AT50,ETANCHEITE!BH$22:BH$92,ETANCHEITE!BG$22:BG$92,"")&lt;&gt;"",_xlfn.XLOOKUP(AT50,ETANCHEITE!BH$22:BH$92,ETANCHEITE!BG$22:BG$92,""),    INDEX(ETANCHEITE!BG:BG,MAX(_xlfn._xlws.FILTER(ROW(ETANCHEITE!BG$22:INDIRECT("'PEINTURE'!P" &amp; AW50-1)),ETANCHEITE!BG$22:INDIRECT("'PEINTURE'!P" &amp; AW50-1)&lt;&gt;"")))),"")</f>
        <v/>
      </c>
    </row>
    <row r="51" spans="1:54" ht="16.5" customHeight="1" x14ac:dyDescent="0.3">
      <c r="A51" s="145">
        <v>49</v>
      </c>
      <c r="B51" s="154" t="str">
        <f>IF(F51&lt;&gt;" ",ETANCHEITE!$D$5,"")</f>
        <v/>
      </c>
      <c r="C51" s="154" t="str">
        <f>IF(F51&lt;&gt;" ",ETANCHEITE!$D$8,"")</f>
        <v/>
      </c>
      <c r="D51" s="146" t="str">
        <f>IFERROR(MATCH(A51,ETANCHEITE!O$22:O$167,0)+18,"")</f>
        <v/>
      </c>
      <c r="E51" s="147" t="str" cm="1">
        <f t="array" aca="1" ref="E51" ca="1">IFERROR(IF(_xlfn.XLOOKUP(A51,ETANCHEITE!O$22:O$167,ETANCHEITE!$A$22:$A$167,"")&lt;&gt;"",_xlfn.XLOOKUP(A51,ETANCHEITE!O$22:O$167,ETANCHEITE!$A$22:$A$167,""),    INDEX(ETANCHEITE!$A:$A,MAX(_xlfn._xlws.FILTER(ROW(ETANCHEITE!$A$22:INDIRECT("'MENUISERIES EXTERIEURES'!$A" &amp; D51-1)),ETANCHEITE!$A$22:INDIRECT("'MENUISERIES EXTERIEURES'!$A" &amp; D51-1)&lt;&gt;"")))),"")&amp;"   "&amp;IFERROR(_xlfn.XLOOKUP(A51,ETANCHEITE!O$22:O$167,ETANCHEITE!$B$22:$B$167),"")&amp;IFERROR(_xlfn.XLOOKUP(A51,ETANCHEITE!O$22:O$167,ETANCHEITE!$C$22:$C$167),"")&amp;IFERROR(_xlfn.XLOOKUP(A51,ETANCHEITE!O$22:O$167,ETANCHEITE!$D$22:$D$167),"")&amp;IFERROR(_xlfn.XLOOKUP(A51,ETANCHEITE!O$22:O$167,ETANCHEITE!#REF!),"")&amp;IFERROR(_xlfn.XLOOKUP(A51,ETANCHEITE!O$22:O$167,ETANCHEITE!#REF!),"")</f>
        <v xml:space="preserve">   </v>
      </c>
      <c r="F51" s="155" t="str">
        <f>IFERROR(VLOOKUP(A51,ETANCHEITE!O$22:Q$167,2,FALSE),"")&amp;" "&amp;IFERROR(VLOOKUP(A51,ETANCHEITE!O$22:Q$167,3,FALSE),"")</f>
        <v xml:space="preserve"> </v>
      </c>
      <c r="G51" s="148" t="str">
        <f>IF(F51&lt;&gt;" ",'Feuille de Donnée'!$C$3,"")</f>
        <v/>
      </c>
      <c r="H51" s="162" t="str" cm="1">
        <f t="array" aca="1" ref="H51" ca="1">IFERROR(IF(_xlfn.XLOOKUP(A51,ETANCHEITE!O$22:O$92,ETANCHEITE!M$22:M$92,"")&lt;&gt;"",_xlfn.XLOOKUP(A51,ETANCHEITE!O$22:O$92,ETANCHEITE!M$22:M$92,""),    INDEX(ETANCHEITE!M:M,MAX(_xlfn._xlws.FILTER(ROW(ETANCHEITE!M$22:INDIRECT("'PEINTURE'!O" &amp; D51-1)),ETANCHEITE!M$22:INDIRECT("'PEINTURE'!O" &amp; D51-1)&lt;&gt;"")))),"")</f>
        <v/>
      </c>
      <c r="I51" s="163" t="str" cm="1">
        <f t="array" aca="1" ref="I51" ca="1">IFERROR(IF(_xlfn.XLOOKUP(A51,ETANCHEITE!O$22:O$92,ETANCHEITE!N$22:N$92,"")&lt;&gt;"",_xlfn.XLOOKUP(A51,ETANCHEITE!O$22:O$92,ETANCHEITE!N$22:N$92,""),    INDEX(ETANCHEITE!N:N,MAX(_xlfn._xlws.FILTER(ROW(ETANCHEITE!N$22:INDIRECT("'PEINTURE'!P" &amp; D51-1)),ETANCHEITE!N$22:INDIRECT("'PEINTURE'!P" &amp; D51-1)&lt;&gt;"")))),"")</f>
        <v/>
      </c>
      <c r="J51" s="145">
        <v>49</v>
      </c>
      <c r="K51" s="154" t="str">
        <f>IF(O51&lt;&gt;" ",ETANCHEITE!$D$5,"")</f>
        <v/>
      </c>
      <c r="L51" s="154" t="str">
        <f>IF(O51&lt;&gt;" ",ETANCHEITE!$D$8,"")</f>
        <v/>
      </c>
      <c r="M51" s="146" t="str">
        <f>IFERROR(MATCH(J51,ETANCHEITE!X$22:X$167,0)+18,"")</f>
        <v/>
      </c>
      <c r="N51" s="147" t="str" cm="1">
        <f t="array" aca="1" ref="N51" ca="1">IFERROR(IF(_xlfn.XLOOKUP(J51,ETANCHEITE!X$22:X$167,ETANCHEITE!$A$22:$A$167,"")&lt;&gt;"",_xlfn.XLOOKUP(J51,ETANCHEITE!X$22:X$167,ETANCHEITE!$A$22:$A$167,""),    INDEX(ETANCHEITE!$A:$A,MAX(_xlfn._xlws.FILTER(ROW(ETANCHEITE!$A$22:INDIRECT("'MENUISERIES EXTERIEURES'!$A" &amp; M51-1)),ETANCHEITE!$A$22:INDIRECT("'MENUISERIES EXTERIEURES'!$A" &amp; M51-1)&lt;&gt;"")))),"")&amp;"   "&amp;IFERROR(_xlfn.XLOOKUP(J51,ETANCHEITE!X$22:X$167,ETANCHEITE!$B$22:$B$167),"")&amp;IFERROR(_xlfn.XLOOKUP(J51,ETANCHEITE!X$22:X$167,ETANCHEITE!$C$22:$C$167),"")&amp;IFERROR(_xlfn.XLOOKUP(J51,ETANCHEITE!X$22:X$167,ETANCHEITE!$D$22:$D$167),"")&amp;IFERROR(_xlfn.XLOOKUP(J51,ETANCHEITE!X$22:X$167,ETANCHEITE!#REF!),"")&amp;IFERROR(_xlfn.XLOOKUP(J51,ETANCHEITE!X$22:X$167,ETANCHEITE!#REF!),"")</f>
        <v xml:space="preserve">   </v>
      </c>
      <c r="O51" s="155" t="str">
        <f>IFERROR(VLOOKUP(J51,ETANCHEITE!X$22:Z$167,2,FALSE),"")&amp;" "&amp;IFERROR(VLOOKUP(J51,ETANCHEITE!X$22:Z$167,3,FALSE),"")</f>
        <v xml:space="preserve"> </v>
      </c>
      <c r="P51" s="148" t="str">
        <f>IF(O51&lt;&gt;" ",'Feuille de Donnée'!$C$3,"")</f>
        <v/>
      </c>
      <c r="Q51" s="162" t="str" cm="1">
        <f t="array" aca="1" ref="Q51" ca="1">IFERROR(IF(_xlfn.XLOOKUP(J51,ETANCHEITE!X$22:X$92,ETANCHEITE!V$22:V$92,"")&lt;&gt;"",_xlfn.XLOOKUP(J51,ETANCHEITE!X$22:X$92,ETANCHEITE!V$22:V$92,""),    INDEX(ETANCHEITE!V:V,MAX(_xlfn._xlws.FILTER(ROW(ETANCHEITE!V$22:INDIRECT("'PEINTURE'!O" &amp; M51-1)),ETANCHEITE!V$22:INDIRECT("'PEINTURE'!O" &amp; M51-1)&lt;&gt;"")))),"")</f>
        <v/>
      </c>
      <c r="R51" s="163" t="str" cm="1">
        <f t="array" aca="1" ref="R51" ca="1">IFERROR(IF(_xlfn.XLOOKUP(J51,ETANCHEITE!X$22:X$92,ETANCHEITE!W$22:W$92,"")&lt;&gt;"",_xlfn.XLOOKUP(J51,ETANCHEITE!X$22:X$92,ETANCHEITE!W$22:W$92,""),    INDEX(ETANCHEITE!W:W,MAX(_xlfn._xlws.FILTER(ROW(ETANCHEITE!W$22:INDIRECT("'PEINTURE'!P" &amp; M51-1)),ETANCHEITE!W$22:INDIRECT("'PEINTURE'!P" &amp; M51-1)&lt;&gt;"")))),"")</f>
        <v/>
      </c>
      <c r="S51" s="145">
        <v>49</v>
      </c>
      <c r="T51" s="154" t="str">
        <f>IF(X51&lt;&gt;" ",ETANCHEITE!$D$5,"")</f>
        <v/>
      </c>
      <c r="U51" s="154" t="str">
        <f>IF(X51&lt;&gt;" ",ETANCHEITE!$D$8,"")</f>
        <v/>
      </c>
      <c r="V51" s="146" t="str">
        <f>IFERROR(MATCH(S51,ETANCHEITE!AG$22:AG$167,0)+18,"")</f>
        <v/>
      </c>
      <c r="W51" s="147" t="str" cm="1">
        <f t="array" aca="1" ref="W51" ca="1">IFERROR(IF(_xlfn.XLOOKUP(S51,ETANCHEITE!AG$22:AG$167,ETANCHEITE!$A$22:$A$167,"")&lt;&gt;"",_xlfn.XLOOKUP(S51,ETANCHEITE!AG$22:AG$167,ETANCHEITE!$A$22:$A$167,""),    INDEX(ETANCHEITE!$A:$A,MAX(_xlfn._xlws.FILTER(ROW(ETANCHEITE!$A$22:INDIRECT("'MENUISERIES EXTERIEURES'!$A" &amp; V51-1)),ETANCHEITE!$A$22:INDIRECT("'MENUISERIES EXTERIEURES'!$A" &amp; V51-1)&lt;&gt;"")))),"")&amp;"   "&amp;IFERROR(_xlfn.XLOOKUP(S51,ETANCHEITE!AG$22:AG$167,ETANCHEITE!$B$22:$B$167),"")&amp;IFERROR(_xlfn.XLOOKUP(S51,ETANCHEITE!AG$22:AG$167,ETANCHEITE!$C$22:$C$167),"")&amp;IFERROR(_xlfn.XLOOKUP(S51,ETANCHEITE!AG$22:AG$167,ETANCHEITE!$D$22:$D$167),"")&amp;IFERROR(_xlfn.XLOOKUP(S51,ETANCHEITE!AG$22:AG$167,ETANCHEITE!#REF!),"")&amp;IFERROR(_xlfn.XLOOKUP(S51,ETANCHEITE!AG$22:AG$167,ETANCHEITE!#REF!),"")</f>
        <v xml:space="preserve">   </v>
      </c>
      <c r="X51" s="155" t="str">
        <f>IFERROR(VLOOKUP(S51,ETANCHEITE!AG$22:AI$167,2,FALSE),"")&amp;" "&amp;IFERROR(VLOOKUP(S51,ETANCHEITE!AG$22:AI$167,3,FALSE),"")</f>
        <v xml:space="preserve"> </v>
      </c>
      <c r="Y51" s="148" t="str">
        <f>IF(X51&lt;&gt;" ",'Feuille de Donnée'!$C$3,"")</f>
        <v/>
      </c>
      <c r="Z51" s="162" t="str" cm="1">
        <f t="array" aca="1" ref="Z51" ca="1">IFERROR(IF(_xlfn.XLOOKUP(S51,ETANCHEITE!AG$22:AG$92,ETANCHEITE!AE$22:AE$92,"")&lt;&gt;"",_xlfn.XLOOKUP(S51,ETANCHEITE!AG$22:AG$92,ETANCHEITE!AE$22:AE$92,""),    INDEX(ETANCHEITE!AE:AE,MAX(_xlfn._xlws.FILTER(ROW(ETANCHEITE!AE$22:INDIRECT("'PEINTURE'!O" &amp; V51-1)),ETANCHEITE!AE$22:INDIRECT("'PEINTURE'!O" &amp; V51-1)&lt;&gt;"")))),"")</f>
        <v/>
      </c>
      <c r="AA51" s="163" t="str" cm="1">
        <f t="array" aca="1" ref="AA51" ca="1">IFERROR(IF(_xlfn.XLOOKUP(S51,ETANCHEITE!AG$22:AG$92,ETANCHEITE!AF$22:AF$92,"")&lt;&gt;"",_xlfn.XLOOKUP(S51,ETANCHEITE!AG$22:AG$92,ETANCHEITE!AF$22:AF$92,""),    INDEX(ETANCHEITE!AF:AF,MAX(_xlfn._xlws.FILTER(ROW(ETANCHEITE!AF$22:INDIRECT("'PEINTURE'!P" &amp; V51-1)),ETANCHEITE!AF$22:INDIRECT("'PEINTURE'!P" &amp; V51-1)&lt;&gt;"")))),"")</f>
        <v/>
      </c>
      <c r="AB51" s="145">
        <v>49</v>
      </c>
      <c r="AC51" s="154" t="str">
        <f>IF(AG51&lt;&gt;" ",ETANCHEITE!$D$5,"")</f>
        <v/>
      </c>
      <c r="AD51" s="154" t="str">
        <f>IF(AG51&lt;&gt;" ",ETANCHEITE!$D$8,"")</f>
        <v/>
      </c>
      <c r="AE51" s="146" t="str">
        <f>IFERROR(MATCH(AB51,ETANCHEITE!AP$22:AP$167,0)+18,"")</f>
        <v/>
      </c>
      <c r="AF51" s="147" t="str" cm="1">
        <f t="array" aca="1" ref="AF51" ca="1">IFERROR(IF(_xlfn.XLOOKUP(AB51,ETANCHEITE!AP$22:AP$167,ETANCHEITE!$A$22:$A$167,"")&lt;&gt;"",_xlfn.XLOOKUP(AB51,ETANCHEITE!AP$22:AP$167,ETANCHEITE!$A$22:$A$167,""),    INDEX(ETANCHEITE!$A:$A,MAX(_xlfn._xlws.FILTER(ROW(ETANCHEITE!$A$22:INDIRECT("'MENUISERIES EXTERIEURES'!$A" &amp; AE51-1)),ETANCHEITE!$A$22:INDIRECT("'MENUISERIES EXTERIEURES'!$A" &amp; AE51-1)&lt;&gt;"")))),"")&amp;"   "&amp;IFERROR(_xlfn.XLOOKUP(AB51,ETANCHEITE!AP$22:AP$167,ETANCHEITE!$B$22:$B$167),"")&amp;IFERROR(_xlfn.XLOOKUP(AB51,ETANCHEITE!AP$22:AP$167,ETANCHEITE!$C$22:$C$167),"")&amp;IFERROR(_xlfn.XLOOKUP(AB51,ETANCHEITE!AP$22:AP$167,ETANCHEITE!$D$22:$D$167),"")&amp;IFERROR(_xlfn.XLOOKUP(AB51,ETANCHEITE!AP$22:AP$167,ETANCHEITE!#REF!),"")&amp;IFERROR(_xlfn.XLOOKUP(AB51,ETANCHEITE!AP$22:AP$167,ETANCHEITE!#REF!),"")</f>
        <v xml:space="preserve">   </v>
      </c>
      <c r="AG51" s="155" t="str">
        <f>IFERROR(VLOOKUP(AB51,ETANCHEITE!AP$22:AR$167,2,FALSE),"")&amp;" "&amp;IFERROR(VLOOKUP(AB51,ETANCHEITE!AP$22:AR$167,3,FALSE),"")</f>
        <v xml:space="preserve"> </v>
      </c>
      <c r="AH51" s="148" t="str">
        <f>IF(AG51&lt;&gt;" ",'Feuille de Donnée'!$C$3,"")</f>
        <v/>
      </c>
      <c r="AI51" s="162" t="str" cm="1">
        <f t="array" aca="1" ref="AI51" ca="1">IFERROR(IF(_xlfn.XLOOKUP(AB51,ETANCHEITE!AP$22:AP$92,ETANCHEITE!AN$22:AN$92,"")&lt;&gt;"",_xlfn.XLOOKUP(AB51,ETANCHEITE!AP$22:AP$92,ETANCHEITE!AN$22:AN$92,""),    INDEX(ETANCHEITE!AN:AN,MAX(_xlfn._xlws.FILTER(ROW(ETANCHEITE!AN$22:INDIRECT("'PEINTURE'!O" &amp; AE51-1)),ETANCHEITE!AN$22:INDIRECT("'PEINTURE'!O" &amp; AE51-1)&lt;&gt;"")))),"")</f>
        <v/>
      </c>
      <c r="AJ51" s="163" t="str" cm="1">
        <f t="array" aca="1" ref="AJ51" ca="1">IFERROR(IF(_xlfn.XLOOKUP(AB51,ETANCHEITE!AP$22:AP$92,ETANCHEITE!AO$22:AO$92,"")&lt;&gt;"",_xlfn.XLOOKUP(AB51,ETANCHEITE!AP$22:AP$92,ETANCHEITE!AO$22:AO$92,""),    INDEX(ETANCHEITE!AO:AO,MAX(_xlfn._xlws.FILTER(ROW(ETANCHEITE!AO$22:INDIRECT("'PEINTURE'!P" &amp; AE51-1)),ETANCHEITE!AO$22:INDIRECT("'PEINTURE'!P" &amp; AE51-1)&lt;&gt;"")))),"")</f>
        <v/>
      </c>
      <c r="AK51" s="145">
        <v>49</v>
      </c>
      <c r="AL51" s="154" t="str">
        <f>IF(AP51&lt;&gt;" ",ETANCHEITE!$D$5,"")</f>
        <v/>
      </c>
      <c r="AM51" s="154" t="str">
        <f>IF(AP51&lt;&gt;" ",ETANCHEITE!$D$8,"")</f>
        <v/>
      </c>
      <c r="AN51" s="146" t="str">
        <f>IFERROR(MATCH(AK51,ETANCHEITE!AY$22:AY$167,0)+18,"")</f>
        <v/>
      </c>
      <c r="AO51" s="147" t="str" cm="1">
        <f t="array" aca="1" ref="AO51" ca="1">IFERROR(IF(_xlfn.XLOOKUP(AK51,ETANCHEITE!AY$22:AY$167,ETANCHEITE!$A$22:$A$167,"")&lt;&gt;"",_xlfn.XLOOKUP(AK51,ETANCHEITE!AY$22:AY$167,ETANCHEITE!$A$22:$A$167,""),    INDEX(ETANCHEITE!$A:$A,MAX(_xlfn._xlws.FILTER(ROW(ETANCHEITE!$A$22:INDIRECT("'MENUISERIES EXTERIEURES'!$A" &amp; AN51-1)),ETANCHEITE!$A$22:INDIRECT("'MENUISERIES EXTERIEURES'!$A" &amp; AN51-1)&lt;&gt;"")))),"")&amp;"   "&amp;IFERROR(_xlfn.XLOOKUP(AK51,ETANCHEITE!AY$22:AY$167,ETANCHEITE!$B$22:$B$167),"")&amp;IFERROR(_xlfn.XLOOKUP(AK51,ETANCHEITE!AY$22:AY$167,ETANCHEITE!$C$22:$C$167),"")&amp;IFERROR(_xlfn.XLOOKUP(AK51,ETANCHEITE!AY$22:AY$167,ETANCHEITE!$D$22:$D$167),"")&amp;IFERROR(_xlfn.XLOOKUP(AK51,ETANCHEITE!AY$22:AY$167,ETANCHEITE!#REF!),"")&amp;IFERROR(_xlfn.XLOOKUP(AK51,ETANCHEITE!AY$22:AY$167,ETANCHEITE!#REF!),"")</f>
        <v xml:space="preserve">   </v>
      </c>
      <c r="AP51" s="155" t="str">
        <f>IFERROR(VLOOKUP(AK51,ETANCHEITE!AY$22:BA$167,2,FALSE),"")&amp;" "&amp;IFERROR(VLOOKUP(AK51,ETANCHEITE!AY$22:BA$167,3,FALSE),"")</f>
        <v xml:space="preserve"> </v>
      </c>
      <c r="AQ51" s="148" t="str">
        <f>IF(AP51&lt;&gt;" ",'Feuille de Donnée'!$C$3,"")</f>
        <v/>
      </c>
      <c r="AR51" s="162" t="str" cm="1">
        <f t="array" aca="1" ref="AR51" ca="1">IFERROR(IF(_xlfn.XLOOKUP(AK51,ETANCHEITE!AY$22:AY$92,ETANCHEITE!AW$22:AW$92,"")&lt;&gt;"",_xlfn.XLOOKUP(AK51,ETANCHEITE!AY$22:AY$92,ETANCHEITE!AW$22:AW$92,""),    INDEX(ETANCHEITE!AW:AW,MAX(_xlfn._xlws.FILTER(ROW(ETANCHEITE!AW$22:INDIRECT("'PEINTURE'!O" &amp; AN51-1)),ETANCHEITE!AW$22:INDIRECT("'PEINTURE'!O" &amp; AN51-1)&lt;&gt;"")))),"")</f>
        <v/>
      </c>
      <c r="AS51" s="163" t="str" cm="1">
        <f t="array" aca="1" ref="AS51" ca="1">IFERROR(IF(_xlfn.XLOOKUP(AK51,ETANCHEITE!AY$22:AY$92,ETANCHEITE!AX$22:AX$92,"")&lt;&gt;"",_xlfn.XLOOKUP(AK51,ETANCHEITE!AY$22:AY$92,ETANCHEITE!AX$22:AX$92,""),    INDEX(ETANCHEITE!AX:AX,MAX(_xlfn._xlws.FILTER(ROW(ETANCHEITE!AX$22:INDIRECT("'PEINTURE'!P" &amp; AN51-1)),ETANCHEITE!AX$22:INDIRECT("'PEINTURE'!P" &amp; AN51-1)&lt;&gt;"")))),"")</f>
        <v/>
      </c>
      <c r="AT51" s="145">
        <v>49</v>
      </c>
      <c r="AU51" s="154" t="str">
        <f>IF(AY51&lt;&gt;" ",ETANCHEITE!$D$5,"")</f>
        <v/>
      </c>
      <c r="AV51" s="154" t="str">
        <f>IF(AY51&lt;&gt;" ",ETANCHEITE!$D$8,"")</f>
        <v/>
      </c>
      <c r="AW51" s="146" t="str">
        <f>IFERROR(MATCH(AT51,ETANCHEITE!BH$22:BH$167,0)+18,"")</f>
        <v/>
      </c>
      <c r="AX51" s="147" t="str" cm="1">
        <f t="array" aca="1" ref="AX51" ca="1">IFERROR(IF(_xlfn.XLOOKUP(AT51,ETANCHEITE!BH$22:BH$167,ETANCHEITE!$A$22:$A$167,"")&lt;&gt;"",_xlfn.XLOOKUP(AT51,ETANCHEITE!BH$22:BH$167,ETANCHEITE!$A$22:$A$167,""),    INDEX(ETANCHEITE!$A:$A,MAX(_xlfn._xlws.FILTER(ROW(ETANCHEITE!$A$22:INDIRECT("'MENUISERIES EXTERIEURES'!$A" &amp; AW51-1)),ETANCHEITE!$A$22:INDIRECT("'MENUISERIES EXTERIEURES'!$A" &amp; AW51-1)&lt;&gt;"")))),"")&amp;"   "&amp;IFERROR(_xlfn.XLOOKUP(AT51,ETANCHEITE!BH$22:BH$167,ETANCHEITE!$B$22:$B$167),"")&amp;IFERROR(_xlfn.XLOOKUP(AT51,ETANCHEITE!BH$22:BH$167,ETANCHEITE!$C$22:$C$167),"")&amp;IFERROR(_xlfn.XLOOKUP(AT51,ETANCHEITE!BH$22:BH$167,ETANCHEITE!$D$22:$D$167),"")&amp;IFERROR(_xlfn.XLOOKUP(AT51,ETANCHEITE!BH$22:BH$167,ETANCHEITE!#REF!),"")&amp;IFERROR(_xlfn.XLOOKUP(AT51,ETANCHEITE!BH$22:BH$167,ETANCHEITE!#REF!),"")</f>
        <v xml:space="preserve">   </v>
      </c>
      <c r="AY51" s="155" t="str">
        <f>IFERROR(VLOOKUP(AT51,ETANCHEITE!BH$22:BJ$167,2,FALSE),"")&amp;" "&amp;IFERROR(VLOOKUP(AT51,ETANCHEITE!BH$22:BJ$167,3,FALSE),"")</f>
        <v xml:space="preserve"> </v>
      </c>
      <c r="AZ51" s="148" t="str">
        <f>IF(AY51&lt;&gt;" ",'Feuille de Donnée'!$C$3,"")</f>
        <v/>
      </c>
      <c r="BA51" s="162" t="str" cm="1">
        <f t="array" aca="1" ref="BA51" ca="1">IFERROR(IF(_xlfn.XLOOKUP(AT51,ETANCHEITE!BH$22:BH$92,ETANCHEITE!BF$22:BF$92,"")&lt;&gt;"",_xlfn.XLOOKUP(AT51,ETANCHEITE!BH$22:BH$92,ETANCHEITE!BF$22:BF$92,""),    INDEX(ETANCHEITE!BF:BF,MAX(_xlfn._xlws.FILTER(ROW(ETANCHEITE!BF$22:INDIRECT("'PEINTURE'!O" &amp; AW51-1)),ETANCHEITE!BF$22:INDIRECT("'PEINTURE'!O" &amp; AW51-1)&lt;&gt;"")))),"")</f>
        <v/>
      </c>
      <c r="BB51" s="163" t="str" cm="1">
        <f t="array" aca="1" ref="BB51" ca="1">IFERROR(IF(_xlfn.XLOOKUP(AT51,ETANCHEITE!BH$22:BH$92,ETANCHEITE!BG$22:BG$92,"")&lt;&gt;"",_xlfn.XLOOKUP(AT51,ETANCHEITE!BH$22:BH$92,ETANCHEITE!BG$22:BG$92,""),    INDEX(ETANCHEITE!BG:BG,MAX(_xlfn._xlws.FILTER(ROW(ETANCHEITE!BG$22:INDIRECT("'PEINTURE'!P" &amp; AW51-1)),ETANCHEITE!BG$22:INDIRECT("'PEINTURE'!P" &amp; AW51-1)&lt;&gt;"")))),"")</f>
        <v/>
      </c>
    </row>
    <row r="52" spans="1:54" ht="16.5" customHeight="1" x14ac:dyDescent="0.3">
      <c r="A52" s="145">
        <v>50</v>
      </c>
      <c r="B52" s="154" t="str">
        <f>IF(F52&lt;&gt;" ",ETANCHEITE!$D$5,"")</f>
        <v/>
      </c>
      <c r="C52" s="154" t="str">
        <f>IF(F52&lt;&gt;" ",ETANCHEITE!$D$8,"")</f>
        <v/>
      </c>
      <c r="D52" s="146" t="str">
        <f>IFERROR(MATCH(A52,ETANCHEITE!O$22:O$167,0)+18,"")</f>
        <v/>
      </c>
      <c r="E52" s="147" t="str" cm="1">
        <f t="array" aca="1" ref="E52" ca="1">IFERROR(IF(_xlfn.XLOOKUP(A52,ETANCHEITE!O$22:O$167,ETANCHEITE!$A$22:$A$167,"")&lt;&gt;"",_xlfn.XLOOKUP(A52,ETANCHEITE!O$22:O$167,ETANCHEITE!$A$22:$A$167,""),    INDEX(ETANCHEITE!$A:$A,MAX(_xlfn._xlws.FILTER(ROW(ETANCHEITE!$A$22:INDIRECT("'MENUISERIES EXTERIEURES'!$A" &amp; D52-1)),ETANCHEITE!$A$22:INDIRECT("'MENUISERIES EXTERIEURES'!$A" &amp; D52-1)&lt;&gt;"")))),"")&amp;"   "&amp;IFERROR(_xlfn.XLOOKUP(A52,ETANCHEITE!O$22:O$167,ETANCHEITE!$B$22:$B$167),"")&amp;IFERROR(_xlfn.XLOOKUP(A52,ETANCHEITE!O$22:O$167,ETANCHEITE!$C$22:$C$167),"")&amp;IFERROR(_xlfn.XLOOKUP(A52,ETANCHEITE!O$22:O$167,ETANCHEITE!$D$22:$D$167),"")&amp;IFERROR(_xlfn.XLOOKUP(A52,ETANCHEITE!O$22:O$167,ETANCHEITE!#REF!),"")&amp;IFERROR(_xlfn.XLOOKUP(A52,ETANCHEITE!O$22:O$167,ETANCHEITE!#REF!),"")</f>
        <v xml:space="preserve">   </v>
      </c>
      <c r="F52" s="155" t="str">
        <f>IFERROR(VLOOKUP(A52,ETANCHEITE!O$22:Q$167,2,FALSE),"")&amp;" "&amp;IFERROR(VLOOKUP(A52,ETANCHEITE!O$22:Q$167,3,FALSE),"")</f>
        <v xml:space="preserve"> </v>
      </c>
      <c r="G52" s="148" t="str">
        <f>IF(F52&lt;&gt;" ",'Feuille de Donnée'!$C$3,"")</f>
        <v/>
      </c>
      <c r="H52" s="162" t="str" cm="1">
        <f t="array" aca="1" ref="H52" ca="1">IFERROR(IF(_xlfn.XLOOKUP(A52,ETANCHEITE!O$22:O$92,ETANCHEITE!M$22:M$92,"")&lt;&gt;"",_xlfn.XLOOKUP(A52,ETANCHEITE!O$22:O$92,ETANCHEITE!M$22:M$92,""),    INDEX(ETANCHEITE!M:M,MAX(_xlfn._xlws.FILTER(ROW(ETANCHEITE!M$22:INDIRECT("'PEINTURE'!O" &amp; D52-1)),ETANCHEITE!M$22:INDIRECT("'PEINTURE'!O" &amp; D52-1)&lt;&gt;"")))),"")</f>
        <v/>
      </c>
      <c r="I52" s="163" t="str" cm="1">
        <f t="array" aca="1" ref="I52" ca="1">IFERROR(IF(_xlfn.XLOOKUP(A52,ETANCHEITE!O$22:O$92,ETANCHEITE!N$22:N$92,"")&lt;&gt;"",_xlfn.XLOOKUP(A52,ETANCHEITE!O$22:O$92,ETANCHEITE!N$22:N$92,""),    INDEX(ETANCHEITE!N:N,MAX(_xlfn._xlws.FILTER(ROW(ETANCHEITE!N$22:INDIRECT("'PEINTURE'!P" &amp; D52-1)),ETANCHEITE!N$22:INDIRECT("'PEINTURE'!P" &amp; D52-1)&lt;&gt;"")))),"")</f>
        <v/>
      </c>
      <c r="J52" s="145">
        <v>50</v>
      </c>
      <c r="K52" s="154" t="str">
        <f>IF(O52&lt;&gt;" ",ETANCHEITE!$D$5,"")</f>
        <v/>
      </c>
      <c r="L52" s="154" t="str">
        <f>IF(O52&lt;&gt;" ",ETANCHEITE!$D$8,"")</f>
        <v/>
      </c>
      <c r="M52" s="146" t="str">
        <f>IFERROR(MATCH(J52,ETANCHEITE!X$22:X$167,0)+18,"")</f>
        <v/>
      </c>
      <c r="N52" s="147" t="str" cm="1">
        <f t="array" aca="1" ref="N52" ca="1">IFERROR(IF(_xlfn.XLOOKUP(J52,ETANCHEITE!X$22:X$167,ETANCHEITE!$A$22:$A$167,"")&lt;&gt;"",_xlfn.XLOOKUP(J52,ETANCHEITE!X$22:X$167,ETANCHEITE!$A$22:$A$167,""),    INDEX(ETANCHEITE!$A:$A,MAX(_xlfn._xlws.FILTER(ROW(ETANCHEITE!$A$22:INDIRECT("'MENUISERIES EXTERIEURES'!$A" &amp; M52-1)),ETANCHEITE!$A$22:INDIRECT("'MENUISERIES EXTERIEURES'!$A" &amp; M52-1)&lt;&gt;"")))),"")&amp;"   "&amp;IFERROR(_xlfn.XLOOKUP(J52,ETANCHEITE!X$22:X$167,ETANCHEITE!$B$22:$B$167),"")&amp;IFERROR(_xlfn.XLOOKUP(J52,ETANCHEITE!X$22:X$167,ETANCHEITE!$C$22:$C$167),"")&amp;IFERROR(_xlfn.XLOOKUP(J52,ETANCHEITE!X$22:X$167,ETANCHEITE!$D$22:$D$167),"")&amp;IFERROR(_xlfn.XLOOKUP(J52,ETANCHEITE!X$22:X$167,ETANCHEITE!#REF!),"")&amp;IFERROR(_xlfn.XLOOKUP(J52,ETANCHEITE!X$22:X$167,ETANCHEITE!#REF!),"")</f>
        <v xml:space="preserve">   </v>
      </c>
      <c r="O52" s="155" t="str">
        <f>IFERROR(VLOOKUP(J52,ETANCHEITE!X$22:Z$167,2,FALSE),"")&amp;" "&amp;IFERROR(VLOOKUP(J52,ETANCHEITE!X$22:Z$167,3,FALSE),"")</f>
        <v xml:space="preserve"> </v>
      </c>
      <c r="P52" s="148" t="str">
        <f>IF(O52&lt;&gt;" ",'Feuille de Donnée'!$C$3,"")</f>
        <v/>
      </c>
      <c r="Q52" s="162" t="str" cm="1">
        <f t="array" aca="1" ref="Q52" ca="1">IFERROR(IF(_xlfn.XLOOKUP(J52,ETANCHEITE!X$22:X$92,ETANCHEITE!V$22:V$92,"")&lt;&gt;"",_xlfn.XLOOKUP(J52,ETANCHEITE!X$22:X$92,ETANCHEITE!V$22:V$92,""),    INDEX(ETANCHEITE!V:V,MAX(_xlfn._xlws.FILTER(ROW(ETANCHEITE!V$22:INDIRECT("'PEINTURE'!O" &amp; M52-1)),ETANCHEITE!V$22:INDIRECT("'PEINTURE'!O" &amp; M52-1)&lt;&gt;"")))),"")</f>
        <v/>
      </c>
      <c r="R52" s="163" t="str" cm="1">
        <f t="array" aca="1" ref="R52" ca="1">IFERROR(IF(_xlfn.XLOOKUP(J52,ETANCHEITE!X$22:X$92,ETANCHEITE!W$22:W$92,"")&lt;&gt;"",_xlfn.XLOOKUP(J52,ETANCHEITE!X$22:X$92,ETANCHEITE!W$22:W$92,""),    INDEX(ETANCHEITE!W:W,MAX(_xlfn._xlws.FILTER(ROW(ETANCHEITE!W$22:INDIRECT("'PEINTURE'!P" &amp; M52-1)),ETANCHEITE!W$22:INDIRECT("'PEINTURE'!P" &amp; M52-1)&lt;&gt;"")))),"")</f>
        <v/>
      </c>
      <c r="S52" s="145">
        <v>50</v>
      </c>
      <c r="T52" s="154" t="str">
        <f>IF(X52&lt;&gt;" ",ETANCHEITE!$D$5,"")</f>
        <v/>
      </c>
      <c r="U52" s="154" t="str">
        <f>IF(X52&lt;&gt;" ",ETANCHEITE!$D$8,"")</f>
        <v/>
      </c>
      <c r="V52" s="146" t="str">
        <f>IFERROR(MATCH(S52,ETANCHEITE!AG$22:AG$167,0)+18,"")</f>
        <v/>
      </c>
      <c r="W52" s="147" t="str" cm="1">
        <f t="array" aca="1" ref="W52" ca="1">IFERROR(IF(_xlfn.XLOOKUP(S52,ETANCHEITE!AG$22:AG$167,ETANCHEITE!$A$22:$A$167,"")&lt;&gt;"",_xlfn.XLOOKUP(S52,ETANCHEITE!AG$22:AG$167,ETANCHEITE!$A$22:$A$167,""),    INDEX(ETANCHEITE!$A:$A,MAX(_xlfn._xlws.FILTER(ROW(ETANCHEITE!$A$22:INDIRECT("'MENUISERIES EXTERIEURES'!$A" &amp; V52-1)),ETANCHEITE!$A$22:INDIRECT("'MENUISERIES EXTERIEURES'!$A" &amp; V52-1)&lt;&gt;"")))),"")&amp;"   "&amp;IFERROR(_xlfn.XLOOKUP(S52,ETANCHEITE!AG$22:AG$167,ETANCHEITE!$B$22:$B$167),"")&amp;IFERROR(_xlfn.XLOOKUP(S52,ETANCHEITE!AG$22:AG$167,ETANCHEITE!$C$22:$C$167),"")&amp;IFERROR(_xlfn.XLOOKUP(S52,ETANCHEITE!AG$22:AG$167,ETANCHEITE!$D$22:$D$167),"")&amp;IFERROR(_xlfn.XLOOKUP(S52,ETANCHEITE!AG$22:AG$167,ETANCHEITE!#REF!),"")&amp;IFERROR(_xlfn.XLOOKUP(S52,ETANCHEITE!AG$22:AG$167,ETANCHEITE!#REF!),"")</f>
        <v xml:space="preserve">   </v>
      </c>
      <c r="X52" s="155" t="str">
        <f>IFERROR(VLOOKUP(S52,ETANCHEITE!AG$22:AI$167,2,FALSE),"")&amp;" "&amp;IFERROR(VLOOKUP(S52,ETANCHEITE!AG$22:AI$167,3,FALSE),"")</f>
        <v xml:space="preserve"> </v>
      </c>
      <c r="Y52" s="148" t="str">
        <f>IF(X52&lt;&gt;" ",'Feuille de Donnée'!$C$3,"")</f>
        <v/>
      </c>
      <c r="Z52" s="162" t="str" cm="1">
        <f t="array" aca="1" ref="Z52" ca="1">IFERROR(IF(_xlfn.XLOOKUP(S52,ETANCHEITE!AG$22:AG$92,ETANCHEITE!AE$22:AE$92,"")&lt;&gt;"",_xlfn.XLOOKUP(S52,ETANCHEITE!AG$22:AG$92,ETANCHEITE!AE$22:AE$92,""),    INDEX(ETANCHEITE!AE:AE,MAX(_xlfn._xlws.FILTER(ROW(ETANCHEITE!AE$22:INDIRECT("'PEINTURE'!O" &amp; V52-1)),ETANCHEITE!AE$22:INDIRECT("'PEINTURE'!O" &amp; V52-1)&lt;&gt;"")))),"")</f>
        <v/>
      </c>
      <c r="AA52" s="163" t="str" cm="1">
        <f t="array" aca="1" ref="AA52" ca="1">IFERROR(IF(_xlfn.XLOOKUP(S52,ETANCHEITE!AG$22:AG$92,ETANCHEITE!AF$22:AF$92,"")&lt;&gt;"",_xlfn.XLOOKUP(S52,ETANCHEITE!AG$22:AG$92,ETANCHEITE!AF$22:AF$92,""),    INDEX(ETANCHEITE!AF:AF,MAX(_xlfn._xlws.FILTER(ROW(ETANCHEITE!AF$22:INDIRECT("'PEINTURE'!P" &amp; V52-1)),ETANCHEITE!AF$22:INDIRECT("'PEINTURE'!P" &amp; V52-1)&lt;&gt;"")))),"")</f>
        <v/>
      </c>
      <c r="AB52" s="145">
        <v>50</v>
      </c>
      <c r="AC52" s="154" t="str">
        <f>IF(AG52&lt;&gt;" ",ETANCHEITE!$D$5,"")</f>
        <v/>
      </c>
      <c r="AD52" s="154" t="str">
        <f>IF(AG52&lt;&gt;" ",ETANCHEITE!$D$8,"")</f>
        <v/>
      </c>
      <c r="AE52" s="146" t="str">
        <f>IFERROR(MATCH(AB52,ETANCHEITE!AP$22:AP$167,0)+18,"")</f>
        <v/>
      </c>
      <c r="AF52" s="147" t="str" cm="1">
        <f t="array" aca="1" ref="AF52" ca="1">IFERROR(IF(_xlfn.XLOOKUP(AB52,ETANCHEITE!AP$22:AP$167,ETANCHEITE!$A$22:$A$167,"")&lt;&gt;"",_xlfn.XLOOKUP(AB52,ETANCHEITE!AP$22:AP$167,ETANCHEITE!$A$22:$A$167,""),    INDEX(ETANCHEITE!$A:$A,MAX(_xlfn._xlws.FILTER(ROW(ETANCHEITE!$A$22:INDIRECT("'MENUISERIES EXTERIEURES'!$A" &amp; AE52-1)),ETANCHEITE!$A$22:INDIRECT("'MENUISERIES EXTERIEURES'!$A" &amp; AE52-1)&lt;&gt;"")))),"")&amp;"   "&amp;IFERROR(_xlfn.XLOOKUP(AB52,ETANCHEITE!AP$22:AP$167,ETANCHEITE!$B$22:$B$167),"")&amp;IFERROR(_xlfn.XLOOKUP(AB52,ETANCHEITE!AP$22:AP$167,ETANCHEITE!$C$22:$C$167),"")&amp;IFERROR(_xlfn.XLOOKUP(AB52,ETANCHEITE!AP$22:AP$167,ETANCHEITE!$D$22:$D$167),"")&amp;IFERROR(_xlfn.XLOOKUP(AB52,ETANCHEITE!AP$22:AP$167,ETANCHEITE!#REF!),"")&amp;IFERROR(_xlfn.XLOOKUP(AB52,ETANCHEITE!AP$22:AP$167,ETANCHEITE!#REF!),"")</f>
        <v xml:space="preserve">   </v>
      </c>
      <c r="AG52" s="155" t="str">
        <f>IFERROR(VLOOKUP(AB52,ETANCHEITE!AP$22:AR$167,2,FALSE),"")&amp;" "&amp;IFERROR(VLOOKUP(AB52,ETANCHEITE!AP$22:AR$167,3,FALSE),"")</f>
        <v xml:space="preserve"> </v>
      </c>
      <c r="AH52" s="148" t="str">
        <f>IF(AG52&lt;&gt;" ",'Feuille de Donnée'!$C$3,"")</f>
        <v/>
      </c>
      <c r="AI52" s="162" t="str" cm="1">
        <f t="array" aca="1" ref="AI52" ca="1">IFERROR(IF(_xlfn.XLOOKUP(AB52,ETANCHEITE!AP$22:AP$92,ETANCHEITE!AN$22:AN$92,"")&lt;&gt;"",_xlfn.XLOOKUP(AB52,ETANCHEITE!AP$22:AP$92,ETANCHEITE!AN$22:AN$92,""),    INDEX(ETANCHEITE!AN:AN,MAX(_xlfn._xlws.FILTER(ROW(ETANCHEITE!AN$22:INDIRECT("'PEINTURE'!O" &amp; AE52-1)),ETANCHEITE!AN$22:INDIRECT("'PEINTURE'!O" &amp; AE52-1)&lt;&gt;"")))),"")</f>
        <v/>
      </c>
      <c r="AJ52" s="163" t="str" cm="1">
        <f t="array" aca="1" ref="AJ52" ca="1">IFERROR(IF(_xlfn.XLOOKUP(AB52,ETANCHEITE!AP$22:AP$92,ETANCHEITE!AO$22:AO$92,"")&lt;&gt;"",_xlfn.XLOOKUP(AB52,ETANCHEITE!AP$22:AP$92,ETANCHEITE!AO$22:AO$92,""),    INDEX(ETANCHEITE!AO:AO,MAX(_xlfn._xlws.FILTER(ROW(ETANCHEITE!AO$22:INDIRECT("'PEINTURE'!P" &amp; AE52-1)),ETANCHEITE!AO$22:INDIRECT("'PEINTURE'!P" &amp; AE52-1)&lt;&gt;"")))),"")</f>
        <v/>
      </c>
      <c r="AK52" s="145">
        <v>50</v>
      </c>
      <c r="AL52" s="154" t="str">
        <f>IF(AP52&lt;&gt;" ",ETANCHEITE!$D$5,"")</f>
        <v/>
      </c>
      <c r="AM52" s="154" t="str">
        <f>IF(AP52&lt;&gt;" ",ETANCHEITE!$D$8,"")</f>
        <v/>
      </c>
      <c r="AN52" s="146" t="str">
        <f>IFERROR(MATCH(AK52,ETANCHEITE!AY$22:AY$167,0)+18,"")</f>
        <v/>
      </c>
      <c r="AO52" s="147" t="str" cm="1">
        <f t="array" aca="1" ref="AO52" ca="1">IFERROR(IF(_xlfn.XLOOKUP(AK52,ETANCHEITE!AY$22:AY$167,ETANCHEITE!$A$22:$A$167,"")&lt;&gt;"",_xlfn.XLOOKUP(AK52,ETANCHEITE!AY$22:AY$167,ETANCHEITE!$A$22:$A$167,""),    INDEX(ETANCHEITE!$A:$A,MAX(_xlfn._xlws.FILTER(ROW(ETANCHEITE!$A$22:INDIRECT("'MENUISERIES EXTERIEURES'!$A" &amp; AN52-1)),ETANCHEITE!$A$22:INDIRECT("'MENUISERIES EXTERIEURES'!$A" &amp; AN52-1)&lt;&gt;"")))),"")&amp;"   "&amp;IFERROR(_xlfn.XLOOKUP(AK52,ETANCHEITE!AY$22:AY$167,ETANCHEITE!$B$22:$B$167),"")&amp;IFERROR(_xlfn.XLOOKUP(AK52,ETANCHEITE!AY$22:AY$167,ETANCHEITE!$C$22:$C$167),"")&amp;IFERROR(_xlfn.XLOOKUP(AK52,ETANCHEITE!AY$22:AY$167,ETANCHEITE!$D$22:$D$167),"")&amp;IFERROR(_xlfn.XLOOKUP(AK52,ETANCHEITE!AY$22:AY$167,ETANCHEITE!#REF!),"")&amp;IFERROR(_xlfn.XLOOKUP(AK52,ETANCHEITE!AY$22:AY$167,ETANCHEITE!#REF!),"")</f>
        <v xml:space="preserve">   </v>
      </c>
      <c r="AP52" s="155" t="str">
        <f>IFERROR(VLOOKUP(AK52,ETANCHEITE!AY$22:BA$167,2,FALSE),"")&amp;" "&amp;IFERROR(VLOOKUP(AK52,ETANCHEITE!AY$22:BA$167,3,FALSE),"")</f>
        <v xml:space="preserve"> </v>
      </c>
      <c r="AQ52" s="148" t="str">
        <f>IF(AP52&lt;&gt;" ",'Feuille de Donnée'!$C$3,"")</f>
        <v/>
      </c>
      <c r="AR52" s="162" t="str" cm="1">
        <f t="array" aca="1" ref="AR52" ca="1">IFERROR(IF(_xlfn.XLOOKUP(AK52,ETANCHEITE!AY$22:AY$92,ETANCHEITE!AW$22:AW$92,"")&lt;&gt;"",_xlfn.XLOOKUP(AK52,ETANCHEITE!AY$22:AY$92,ETANCHEITE!AW$22:AW$92,""),    INDEX(ETANCHEITE!AW:AW,MAX(_xlfn._xlws.FILTER(ROW(ETANCHEITE!AW$22:INDIRECT("'PEINTURE'!O" &amp; AN52-1)),ETANCHEITE!AW$22:INDIRECT("'PEINTURE'!O" &amp; AN52-1)&lt;&gt;"")))),"")</f>
        <v/>
      </c>
      <c r="AS52" s="163" t="str" cm="1">
        <f t="array" aca="1" ref="AS52" ca="1">IFERROR(IF(_xlfn.XLOOKUP(AK52,ETANCHEITE!AY$22:AY$92,ETANCHEITE!AX$22:AX$92,"")&lt;&gt;"",_xlfn.XLOOKUP(AK52,ETANCHEITE!AY$22:AY$92,ETANCHEITE!AX$22:AX$92,""),    INDEX(ETANCHEITE!AX:AX,MAX(_xlfn._xlws.FILTER(ROW(ETANCHEITE!AX$22:INDIRECT("'PEINTURE'!P" &amp; AN52-1)),ETANCHEITE!AX$22:INDIRECT("'PEINTURE'!P" &amp; AN52-1)&lt;&gt;"")))),"")</f>
        <v/>
      </c>
      <c r="AT52" s="145">
        <v>50</v>
      </c>
      <c r="AU52" s="154" t="str">
        <f>IF(AY52&lt;&gt;" ",ETANCHEITE!$D$5,"")</f>
        <v/>
      </c>
      <c r="AV52" s="154" t="str">
        <f>IF(AY52&lt;&gt;" ",ETANCHEITE!$D$8,"")</f>
        <v/>
      </c>
      <c r="AW52" s="146" t="str">
        <f>IFERROR(MATCH(AT52,ETANCHEITE!BH$22:BH$167,0)+18,"")</f>
        <v/>
      </c>
      <c r="AX52" s="147" t="str" cm="1">
        <f t="array" aca="1" ref="AX52" ca="1">IFERROR(IF(_xlfn.XLOOKUP(AT52,ETANCHEITE!BH$22:BH$167,ETANCHEITE!$A$22:$A$167,"")&lt;&gt;"",_xlfn.XLOOKUP(AT52,ETANCHEITE!BH$22:BH$167,ETANCHEITE!$A$22:$A$167,""),    INDEX(ETANCHEITE!$A:$A,MAX(_xlfn._xlws.FILTER(ROW(ETANCHEITE!$A$22:INDIRECT("'MENUISERIES EXTERIEURES'!$A" &amp; AW52-1)),ETANCHEITE!$A$22:INDIRECT("'MENUISERIES EXTERIEURES'!$A" &amp; AW52-1)&lt;&gt;"")))),"")&amp;"   "&amp;IFERROR(_xlfn.XLOOKUP(AT52,ETANCHEITE!BH$22:BH$167,ETANCHEITE!$B$22:$B$167),"")&amp;IFERROR(_xlfn.XLOOKUP(AT52,ETANCHEITE!BH$22:BH$167,ETANCHEITE!$C$22:$C$167),"")&amp;IFERROR(_xlfn.XLOOKUP(AT52,ETANCHEITE!BH$22:BH$167,ETANCHEITE!$D$22:$D$167),"")&amp;IFERROR(_xlfn.XLOOKUP(AT52,ETANCHEITE!BH$22:BH$167,ETANCHEITE!#REF!),"")&amp;IFERROR(_xlfn.XLOOKUP(AT52,ETANCHEITE!BH$22:BH$167,ETANCHEITE!#REF!),"")</f>
        <v xml:space="preserve">   </v>
      </c>
      <c r="AY52" s="155" t="str">
        <f>IFERROR(VLOOKUP(AT52,ETANCHEITE!BH$22:BJ$167,2,FALSE),"")&amp;" "&amp;IFERROR(VLOOKUP(AT52,ETANCHEITE!BH$22:BJ$167,3,FALSE),"")</f>
        <v xml:space="preserve"> </v>
      </c>
      <c r="AZ52" s="148" t="str">
        <f>IF(AY52&lt;&gt;" ",'Feuille de Donnée'!$C$3,"")</f>
        <v/>
      </c>
      <c r="BA52" s="162" t="str" cm="1">
        <f t="array" aca="1" ref="BA52" ca="1">IFERROR(IF(_xlfn.XLOOKUP(AT52,ETANCHEITE!BH$22:BH$92,ETANCHEITE!BF$22:BF$92,"")&lt;&gt;"",_xlfn.XLOOKUP(AT52,ETANCHEITE!BH$22:BH$92,ETANCHEITE!BF$22:BF$92,""),    INDEX(ETANCHEITE!BF:BF,MAX(_xlfn._xlws.FILTER(ROW(ETANCHEITE!BF$22:INDIRECT("'PEINTURE'!O" &amp; AW52-1)),ETANCHEITE!BF$22:INDIRECT("'PEINTURE'!O" &amp; AW52-1)&lt;&gt;"")))),"")</f>
        <v/>
      </c>
      <c r="BB52" s="163" t="str" cm="1">
        <f t="array" aca="1" ref="BB52" ca="1">IFERROR(IF(_xlfn.XLOOKUP(AT52,ETANCHEITE!BH$22:BH$92,ETANCHEITE!BG$22:BG$92,"")&lt;&gt;"",_xlfn.XLOOKUP(AT52,ETANCHEITE!BH$22:BH$92,ETANCHEITE!BG$22:BG$92,""),    INDEX(ETANCHEITE!BG:BG,MAX(_xlfn._xlws.FILTER(ROW(ETANCHEITE!BG$22:INDIRECT("'PEINTURE'!P" &amp; AW52-1)),ETANCHEITE!BG$22:INDIRECT("'PEINTURE'!P" &amp; AW52-1)&lt;&gt;"")))),"")</f>
        <v/>
      </c>
    </row>
    <row r="53" spans="1:54" ht="16.5" customHeight="1" x14ac:dyDescent="0.3">
      <c r="A53" s="145">
        <v>51</v>
      </c>
      <c r="B53" s="154" t="str">
        <f>IF(F53&lt;&gt;" ",ETANCHEITE!$D$5,"")</f>
        <v/>
      </c>
      <c r="C53" s="154" t="str">
        <f>IF(F53&lt;&gt;" ",ETANCHEITE!$D$8,"")</f>
        <v/>
      </c>
      <c r="D53" s="146" t="str">
        <f>IFERROR(MATCH(A53,ETANCHEITE!O$22:O$167,0)+18,"")</f>
        <v/>
      </c>
      <c r="E53" s="147" t="str" cm="1">
        <f t="array" aca="1" ref="E53" ca="1">IFERROR(IF(_xlfn.XLOOKUP(A53,ETANCHEITE!O$22:O$167,ETANCHEITE!$A$22:$A$167,"")&lt;&gt;"",_xlfn.XLOOKUP(A53,ETANCHEITE!O$22:O$167,ETANCHEITE!$A$22:$A$167,""),    INDEX(ETANCHEITE!$A:$A,MAX(_xlfn._xlws.FILTER(ROW(ETANCHEITE!$A$22:INDIRECT("'MENUISERIES EXTERIEURES'!$A" &amp; D53-1)),ETANCHEITE!$A$22:INDIRECT("'MENUISERIES EXTERIEURES'!$A" &amp; D53-1)&lt;&gt;"")))),"")&amp;"   "&amp;IFERROR(_xlfn.XLOOKUP(A53,ETANCHEITE!O$22:O$167,ETANCHEITE!$B$22:$B$167),"")&amp;IFERROR(_xlfn.XLOOKUP(A53,ETANCHEITE!O$22:O$167,ETANCHEITE!$C$22:$C$167),"")&amp;IFERROR(_xlfn.XLOOKUP(A53,ETANCHEITE!O$22:O$167,ETANCHEITE!$D$22:$D$167),"")&amp;IFERROR(_xlfn.XLOOKUP(A53,ETANCHEITE!O$22:O$167,ETANCHEITE!#REF!),"")&amp;IFERROR(_xlfn.XLOOKUP(A53,ETANCHEITE!O$22:O$167,ETANCHEITE!#REF!),"")</f>
        <v xml:space="preserve">   </v>
      </c>
      <c r="F53" s="155" t="str">
        <f>IFERROR(VLOOKUP(A53,ETANCHEITE!O$22:Q$167,2,FALSE),"")&amp;" "&amp;IFERROR(VLOOKUP(A53,ETANCHEITE!O$22:Q$167,3,FALSE),"")</f>
        <v xml:space="preserve"> </v>
      </c>
      <c r="G53" s="148" t="str">
        <f>IF(F53&lt;&gt;" ",'Feuille de Donnée'!$C$3,"")</f>
        <v/>
      </c>
      <c r="H53" s="162" t="str" cm="1">
        <f t="array" aca="1" ref="H53" ca="1">IFERROR(IF(_xlfn.XLOOKUP(A53,ETANCHEITE!O$22:O$92,ETANCHEITE!M$22:M$92,"")&lt;&gt;"",_xlfn.XLOOKUP(A53,ETANCHEITE!O$22:O$92,ETANCHEITE!M$22:M$92,""),    INDEX(ETANCHEITE!M:M,MAX(_xlfn._xlws.FILTER(ROW(ETANCHEITE!M$22:INDIRECT("'PEINTURE'!O" &amp; D53-1)),ETANCHEITE!M$22:INDIRECT("'PEINTURE'!O" &amp; D53-1)&lt;&gt;"")))),"")</f>
        <v/>
      </c>
      <c r="I53" s="163" t="str" cm="1">
        <f t="array" aca="1" ref="I53" ca="1">IFERROR(IF(_xlfn.XLOOKUP(A53,ETANCHEITE!O$22:O$92,ETANCHEITE!N$22:N$92,"")&lt;&gt;"",_xlfn.XLOOKUP(A53,ETANCHEITE!O$22:O$92,ETANCHEITE!N$22:N$92,""),    INDEX(ETANCHEITE!N:N,MAX(_xlfn._xlws.FILTER(ROW(ETANCHEITE!N$22:INDIRECT("'PEINTURE'!P" &amp; D53-1)),ETANCHEITE!N$22:INDIRECT("'PEINTURE'!P" &amp; D53-1)&lt;&gt;"")))),"")</f>
        <v/>
      </c>
      <c r="J53" s="145">
        <v>51</v>
      </c>
      <c r="K53" s="154" t="str">
        <f>IF(O53&lt;&gt;" ",ETANCHEITE!$D$5,"")</f>
        <v/>
      </c>
      <c r="L53" s="154" t="str">
        <f>IF(O53&lt;&gt;" ",ETANCHEITE!$D$8,"")</f>
        <v/>
      </c>
      <c r="M53" s="146" t="str">
        <f>IFERROR(MATCH(J53,ETANCHEITE!X$22:X$167,0)+18,"")</f>
        <v/>
      </c>
      <c r="N53" s="147" t="str" cm="1">
        <f t="array" aca="1" ref="N53" ca="1">IFERROR(IF(_xlfn.XLOOKUP(J53,ETANCHEITE!X$22:X$167,ETANCHEITE!$A$22:$A$167,"")&lt;&gt;"",_xlfn.XLOOKUP(J53,ETANCHEITE!X$22:X$167,ETANCHEITE!$A$22:$A$167,""),    INDEX(ETANCHEITE!$A:$A,MAX(_xlfn._xlws.FILTER(ROW(ETANCHEITE!$A$22:INDIRECT("'MENUISERIES EXTERIEURES'!$A" &amp; M53-1)),ETANCHEITE!$A$22:INDIRECT("'MENUISERIES EXTERIEURES'!$A" &amp; M53-1)&lt;&gt;"")))),"")&amp;"   "&amp;IFERROR(_xlfn.XLOOKUP(J53,ETANCHEITE!X$22:X$167,ETANCHEITE!$B$22:$B$167),"")&amp;IFERROR(_xlfn.XLOOKUP(J53,ETANCHEITE!X$22:X$167,ETANCHEITE!$C$22:$C$167),"")&amp;IFERROR(_xlfn.XLOOKUP(J53,ETANCHEITE!X$22:X$167,ETANCHEITE!$D$22:$D$167),"")&amp;IFERROR(_xlfn.XLOOKUP(J53,ETANCHEITE!X$22:X$167,ETANCHEITE!#REF!),"")&amp;IFERROR(_xlfn.XLOOKUP(J53,ETANCHEITE!X$22:X$167,ETANCHEITE!#REF!),"")</f>
        <v xml:space="preserve">   </v>
      </c>
      <c r="O53" s="155" t="str">
        <f>IFERROR(VLOOKUP(J53,ETANCHEITE!X$22:Z$167,2,FALSE),"")&amp;" "&amp;IFERROR(VLOOKUP(J53,ETANCHEITE!X$22:Z$167,3,FALSE),"")</f>
        <v xml:space="preserve"> </v>
      </c>
      <c r="P53" s="148" t="str">
        <f>IF(O53&lt;&gt;" ",'Feuille de Donnée'!$C$3,"")</f>
        <v/>
      </c>
      <c r="Q53" s="162" t="str" cm="1">
        <f t="array" aca="1" ref="Q53" ca="1">IFERROR(IF(_xlfn.XLOOKUP(J53,ETANCHEITE!X$22:X$92,ETANCHEITE!V$22:V$92,"")&lt;&gt;"",_xlfn.XLOOKUP(J53,ETANCHEITE!X$22:X$92,ETANCHEITE!V$22:V$92,""),    INDEX(ETANCHEITE!V:V,MAX(_xlfn._xlws.FILTER(ROW(ETANCHEITE!V$22:INDIRECT("'PEINTURE'!O" &amp; M53-1)),ETANCHEITE!V$22:INDIRECT("'PEINTURE'!O" &amp; M53-1)&lt;&gt;"")))),"")</f>
        <v/>
      </c>
      <c r="R53" s="163" t="str" cm="1">
        <f t="array" aca="1" ref="R53" ca="1">IFERROR(IF(_xlfn.XLOOKUP(J53,ETANCHEITE!X$22:X$92,ETANCHEITE!W$22:W$92,"")&lt;&gt;"",_xlfn.XLOOKUP(J53,ETANCHEITE!X$22:X$92,ETANCHEITE!W$22:W$92,""),    INDEX(ETANCHEITE!W:W,MAX(_xlfn._xlws.FILTER(ROW(ETANCHEITE!W$22:INDIRECT("'PEINTURE'!P" &amp; M53-1)),ETANCHEITE!W$22:INDIRECT("'PEINTURE'!P" &amp; M53-1)&lt;&gt;"")))),"")</f>
        <v/>
      </c>
      <c r="S53" s="145">
        <v>51</v>
      </c>
      <c r="T53" s="154" t="str">
        <f>IF(X53&lt;&gt;" ",ETANCHEITE!$D$5,"")</f>
        <v/>
      </c>
      <c r="U53" s="154" t="str">
        <f>IF(X53&lt;&gt;" ",ETANCHEITE!$D$8,"")</f>
        <v/>
      </c>
      <c r="V53" s="146" t="str">
        <f>IFERROR(MATCH(S53,ETANCHEITE!AG$22:AG$167,0)+18,"")</f>
        <v/>
      </c>
      <c r="W53" s="147" t="str" cm="1">
        <f t="array" aca="1" ref="W53" ca="1">IFERROR(IF(_xlfn.XLOOKUP(S53,ETANCHEITE!AG$22:AG$167,ETANCHEITE!$A$22:$A$167,"")&lt;&gt;"",_xlfn.XLOOKUP(S53,ETANCHEITE!AG$22:AG$167,ETANCHEITE!$A$22:$A$167,""),    INDEX(ETANCHEITE!$A:$A,MAX(_xlfn._xlws.FILTER(ROW(ETANCHEITE!$A$22:INDIRECT("'MENUISERIES EXTERIEURES'!$A" &amp; V53-1)),ETANCHEITE!$A$22:INDIRECT("'MENUISERIES EXTERIEURES'!$A" &amp; V53-1)&lt;&gt;"")))),"")&amp;"   "&amp;IFERROR(_xlfn.XLOOKUP(S53,ETANCHEITE!AG$22:AG$167,ETANCHEITE!$B$22:$B$167),"")&amp;IFERROR(_xlfn.XLOOKUP(S53,ETANCHEITE!AG$22:AG$167,ETANCHEITE!$C$22:$C$167),"")&amp;IFERROR(_xlfn.XLOOKUP(S53,ETANCHEITE!AG$22:AG$167,ETANCHEITE!$D$22:$D$167),"")&amp;IFERROR(_xlfn.XLOOKUP(S53,ETANCHEITE!AG$22:AG$167,ETANCHEITE!#REF!),"")&amp;IFERROR(_xlfn.XLOOKUP(S53,ETANCHEITE!AG$22:AG$167,ETANCHEITE!#REF!),"")</f>
        <v xml:space="preserve">   </v>
      </c>
      <c r="X53" s="155" t="str">
        <f>IFERROR(VLOOKUP(S53,ETANCHEITE!AG$22:AI$167,2,FALSE),"")&amp;" "&amp;IFERROR(VLOOKUP(S53,ETANCHEITE!AG$22:AI$167,3,FALSE),"")</f>
        <v xml:space="preserve"> </v>
      </c>
      <c r="Y53" s="148" t="str">
        <f>IF(X53&lt;&gt;" ",'Feuille de Donnée'!$C$3,"")</f>
        <v/>
      </c>
      <c r="Z53" s="162" t="str" cm="1">
        <f t="array" aca="1" ref="Z53" ca="1">IFERROR(IF(_xlfn.XLOOKUP(S53,ETANCHEITE!AG$22:AG$92,ETANCHEITE!AE$22:AE$92,"")&lt;&gt;"",_xlfn.XLOOKUP(S53,ETANCHEITE!AG$22:AG$92,ETANCHEITE!AE$22:AE$92,""),    INDEX(ETANCHEITE!AE:AE,MAX(_xlfn._xlws.FILTER(ROW(ETANCHEITE!AE$22:INDIRECT("'PEINTURE'!O" &amp; V53-1)),ETANCHEITE!AE$22:INDIRECT("'PEINTURE'!O" &amp; V53-1)&lt;&gt;"")))),"")</f>
        <v/>
      </c>
      <c r="AA53" s="163" t="str" cm="1">
        <f t="array" aca="1" ref="AA53" ca="1">IFERROR(IF(_xlfn.XLOOKUP(S53,ETANCHEITE!AG$22:AG$92,ETANCHEITE!AF$22:AF$92,"")&lt;&gt;"",_xlfn.XLOOKUP(S53,ETANCHEITE!AG$22:AG$92,ETANCHEITE!AF$22:AF$92,""),    INDEX(ETANCHEITE!AF:AF,MAX(_xlfn._xlws.FILTER(ROW(ETANCHEITE!AF$22:INDIRECT("'PEINTURE'!P" &amp; V53-1)),ETANCHEITE!AF$22:INDIRECT("'PEINTURE'!P" &amp; V53-1)&lt;&gt;"")))),"")</f>
        <v/>
      </c>
      <c r="AB53" s="145">
        <v>51</v>
      </c>
      <c r="AC53" s="154" t="str">
        <f>IF(AG53&lt;&gt;" ",ETANCHEITE!$D$5,"")</f>
        <v/>
      </c>
      <c r="AD53" s="154" t="str">
        <f>IF(AG53&lt;&gt;" ",ETANCHEITE!$D$8,"")</f>
        <v/>
      </c>
      <c r="AE53" s="146" t="str">
        <f>IFERROR(MATCH(AB53,ETANCHEITE!AP$22:AP$167,0)+18,"")</f>
        <v/>
      </c>
      <c r="AF53" s="147" t="str" cm="1">
        <f t="array" aca="1" ref="AF53" ca="1">IFERROR(IF(_xlfn.XLOOKUP(AB53,ETANCHEITE!AP$22:AP$167,ETANCHEITE!$A$22:$A$167,"")&lt;&gt;"",_xlfn.XLOOKUP(AB53,ETANCHEITE!AP$22:AP$167,ETANCHEITE!$A$22:$A$167,""),    INDEX(ETANCHEITE!$A:$A,MAX(_xlfn._xlws.FILTER(ROW(ETANCHEITE!$A$22:INDIRECT("'MENUISERIES EXTERIEURES'!$A" &amp; AE53-1)),ETANCHEITE!$A$22:INDIRECT("'MENUISERIES EXTERIEURES'!$A" &amp; AE53-1)&lt;&gt;"")))),"")&amp;"   "&amp;IFERROR(_xlfn.XLOOKUP(AB53,ETANCHEITE!AP$22:AP$167,ETANCHEITE!$B$22:$B$167),"")&amp;IFERROR(_xlfn.XLOOKUP(AB53,ETANCHEITE!AP$22:AP$167,ETANCHEITE!$C$22:$C$167),"")&amp;IFERROR(_xlfn.XLOOKUP(AB53,ETANCHEITE!AP$22:AP$167,ETANCHEITE!$D$22:$D$167),"")&amp;IFERROR(_xlfn.XLOOKUP(AB53,ETANCHEITE!AP$22:AP$167,ETANCHEITE!#REF!),"")&amp;IFERROR(_xlfn.XLOOKUP(AB53,ETANCHEITE!AP$22:AP$167,ETANCHEITE!#REF!),"")</f>
        <v xml:space="preserve">   </v>
      </c>
      <c r="AG53" s="155" t="str">
        <f>IFERROR(VLOOKUP(AB53,ETANCHEITE!AP$22:AR$167,2,FALSE),"")&amp;" "&amp;IFERROR(VLOOKUP(AB53,ETANCHEITE!AP$22:AR$167,3,FALSE),"")</f>
        <v xml:space="preserve"> </v>
      </c>
      <c r="AH53" s="148" t="str">
        <f>IF(AG53&lt;&gt;" ",'Feuille de Donnée'!$C$3,"")</f>
        <v/>
      </c>
      <c r="AI53" s="162" t="str" cm="1">
        <f t="array" aca="1" ref="AI53" ca="1">IFERROR(IF(_xlfn.XLOOKUP(AB53,ETANCHEITE!AP$22:AP$92,ETANCHEITE!AN$22:AN$92,"")&lt;&gt;"",_xlfn.XLOOKUP(AB53,ETANCHEITE!AP$22:AP$92,ETANCHEITE!AN$22:AN$92,""),    INDEX(ETANCHEITE!AN:AN,MAX(_xlfn._xlws.FILTER(ROW(ETANCHEITE!AN$22:INDIRECT("'PEINTURE'!O" &amp; AE53-1)),ETANCHEITE!AN$22:INDIRECT("'PEINTURE'!O" &amp; AE53-1)&lt;&gt;"")))),"")</f>
        <v/>
      </c>
      <c r="AJ53" s="163" t="str" cm="1">
        <f t="array" aca="1" ref="AJ53" ca="1">IFERROR(IF(_xlfn.XLOOKUP(AB53,ETANCHEITE!AP$22:AP$92,ETANCHEITE!AO$22:AO$92,"")&lt;&gt;"",_xlfn.XLOOKUP(AB53,ETANCHEITE!AP$22:AP$92,ETANCHEITE!AO$22:AO$92,""),    INDEX(ETANCHEITE!AO:AO,MAX(_xlfn._xlws.FILTER(ROW(ETANCHEITE!AO$22:INDIRECT("'PEINTURE'!P" &amp; AE53-1)),ETANCHEITE!AO$22:INDIRECT("'PEINTURE'!P" &amp; AE53-1)&lt;&gt;"")))),"")</f>
        <v/>
      </c>
      <c r="AK53" s="145">
        <v>51</v>
      </c>
      <c r="AL53" s="154" t="str">
        <f>IF(AP53&lt;&gt;" ",ETANCHEITE!$D$5,"")</f>
        <v/>
      </c>
      <c r="AM53" s="154" t="str">
        <f>IF(AP53&lt;&gt;" ",ETANCHEITE!$D$8,"")</f>
        <v/>
      </c>
      <c r="AN53" s="146" t="str">
        <f>IFERROR(MATCH(AK53,ETANCHEITE!AY$22:AY$167,0)+18,"")</f>
        <v/>
      </c>
      <c r="AO53" s="147" t="str" cm="1">
        <f t="array" aca="1" ref="AO53" ca="1">IFERROR(IF(_xlfn.XLOOKUP(AK53,ETANCHEITE!AY$22:AY$167,ETANCHEITE!$A$22:$A$167,"")&lt;&gt;"",_xlfn.XLOOKUP(AK53,ETANCHEITE!AY$22:AY$167,ETANCHEITE!$A$22:$A$167,""),    INDEX(ETANCHEITE!$A:$A,MAX(_xlfn._xlws.FILTER(ROW(ETANCHEITE!$A$22:INDIRECT("'MENUISERIES EXTERIEURES'!$A" &amp; AN53-1)),ETANCHEITE!$A$22:INDIRECT("'MENUISERIES EXTERIEURES'!$A" &amp; AN53-1)&lt;&gt;"")))),"")&amp;"   "&amp;IFERROR(_xlfn.XLOOKUP(AK53,ETANCHEITE!AY$22:AY$167,ETANCHEITE!$B$22:$B$167),"")&amp;IFERROR(_xlfn.XLOOKUP(AK53,ETANCHEITE!AY$22:AY$167,ETANCHEITE!$C$22:$C$167),"")&amp;IFERROR(_xlfn.XLOOKUP(AK53,ETANCHEITE!AY$22:AY$167,ETANCHEITE!$D$22:$D$167),"")&amp;IFERROR(_xlfn.XLOOKUP(AK53,ETANCHEITE!AY$22:AY$167,ETANCHEITE!#REF!),"")&amp;IFERROR(_xlfn.XLOOKUP(AK53,ETANCHEITE!AY$22:AY$167,ETANCHEITE!#REF!),"")</f>
        <v xml:space="preserve">   </v>
      </c>
      <c r="AP53" s="155" t="str">
        <f>IFERROR(VLOOKUP(AK53,ETANCHEITE!AY$22:BA$167,2,FALSE),"")&amp;" "&amp;IFERROR(VLOOKUP(AK53,ETANCHEITE!AY$22:BA$167,3,FALSE),"")</f>
        <v xml:space="preserve"> </v>
      </c>
      <c r="AQ53" s="148" t="str">
        <f>IF(AP53&lt;&gt;" ",'Feuille de Donnée'!$C$3,"")</f>
        <v/>
      </c>
      <c r="AR53" s="162" t="str" cm="1">
        <f t="array" aca="1" ref="AR53" ca="1">IFERROR(IF(_xlfn.XLOOKUP(AK53,ETANCHEITE!AY$22:AY$92,ETANCHEITE!AW$22:AW$92,"")&lt;&gt;"",_xlfn.XLOOKUP(AK53,ETANCHEITE!AY$22:AY$92,ETANCHEITE!AW$22:AW$92,""),    INDEX(ETANCHEITE!AW:AW,MAX(_xlfn._xlws.FILTER(ROW(ETANCHEITE!AW$22:INDIRECT("'PEINTURE'!O" &amp; AN53-1)),ETANCHEITE!AW$22:INDIRECT("'PEINTURE'!O" &amp; AN53-1)&lt;&gt;"")))),"")</f>
        <v/>
      </c>
      <c r="AS53" s="163" t="str" cm="1">
        <f t="array" aca="1" ref="AS53" ca="1">IFERROR(IF(_xlfn.XLOOKUP(AK53,ETANCHEITE!AY$22:AY$92,ETANCHEITE!AX$22:AX$92,"")&lt;&gt;"",_xlfn.XLOOKUP(AK53,ETANCHEITE!AY$22:AY$92,ETANCHEITE!AX$22:AX$92,""),    INDEX(ETANCHEITE!AX:AX,MAX(_xlfn._xlws.FILTER(ROW(ETANCHEITE!AX$22:INDIRECT("'PEINTURE'!P" &amp; AN53-1)),ETANCHEITE!AX$22:INDIRECT("'PEINTURE'!P" &amp; AN53-1)&lt;&gt;"")))),"")</f>
        <v/>
      </c>
      <c r="AT53" s="145">
        <v>51</v>
      </c>
      <c r="AU53" s="154" t="str">
        <f>IF(AY53&lt;&gt;" ",ETANCHEITE!$D$5,"")</f>
        <v/>
      </c>
      <c r="AV53" s="154" t="str">
        <f>IF(AY53&lt;&gt;" ",ETANCHEITE!$D$8,"")</f>
        <v/>
      </c>
      <c r="AW53" s="146" t="str">
        <f>IFERROR(MATCH(AT53,ETANCHEITE!BH$22:BH$167,0)+18,"")</f>
        <v/>
      </c>
      <c r="AX53" s="147" t="str" cm="1">
        <f t="array" aca="1" ref="AX53" ca="1">IFERROR(IF(_xlfn.XLOOKUP(AT53,ETANCHEITE!BH$22:BH$167,ETANCHEITE!$A$22:$A$167,"")&lt;&gt;"",_xlfn.XLOOKUP(AT53,ETANCHEITE!BH$22:BH$167,ETANCHEITE!$A$22:$A$167,""),    INDEX(ETANCHEITE!$A:$A,MAX(_xlfn._xlws.FILTER(ROW(ETANCHEITE!$A$22:INDIRECT("'MENUISERIES EXTERIEURES'!$A" &amp; AW53-1)),ETANCHEITE!$A$22:INDIRECT("'MENUISERIES EXTERIEURES'!$A" &amp; AW53-1)&lt;&gt;"")))),"")&amp;"   "&amp;IFERROR(_xlfn.XLOOKUP(AT53,ETANCHEITE!BH$22:BH$167,ETANCHEITE!$B$22:$B$167),"")&amp;IFERROR(_xlfn.XLOOKUP(AT53,ETANCHEITE!BH$22:BH$167,ETANCHEITE!$C$22:$C$167),"")&amp;IFERROR(_xlfn.XLOOKUP(AT53,ETANCHEITE!BH$22:BH$167,ETANCHEITE!$D$22:$D$167),"")&amp;IFERROR(_xlfn.XLOOKUP(AT53,ETANCHEITE!BH$22:BH$167,ETANCHEITE!#REF!),"")&amp;IFERROR(_xlfn.XLOOKUP(AT53,ETANCHEITE!BH$22:BH$167,ETANCHEITE!#REF!),"")</f>
        <v xml:space="preserve">   </v>
      </c>
      <c r="AY53" s="155" t="str">
        <f>IFERROR(VLOOKUP(AT53,ETANCHEITE!BH$22:BJ$167,2,FALSE),"")&amp;" "&amp;IFERROR(VLOOKUP(AT53,ETANCHEITE!BH$22:BJ$167,3,FALSE),"")</f>
        <v xml:space="preserve"> </v>
      </c>
      <c r="AZ53" s="148" t="str">
        <f>IF(AY53&lt;&gt;" ",'Feuille de Donnée'!$C$3,"")</f>
        <v/>
      </c>
      <c r="BA53" s="162" t="str" cm="1">
        <f t="array" aca="1" ref="BA53" ca="1">IFERROR(IF(_xlfn.XLOOKUP(AT53,ETANCHEITE!BH$22:BH$92,ETANCHEITE!BF$22:BF$92,"")&lt;&gt;"",_xlfn.XLOOKUP(AT53,ETANCHEITE!BH$22:BH$92,ETANCHEITE!BF$22:BF$92,""),    INDEX(ETANCHEITE!BF:BF,MAX(_xlfn._xlws.FILTER(ROW(ETANCHEITE!BF$22:INDIRECT("'PEINTURE'!O" &amp; AW53-1)),ETANCHEITE!BF$22:INDIRECT("'PEINTURE'!O" &amp; AW53-1)&lt;&gt;"")))),"")</f>
        <v/>
      </c>
      <c r="BB53" s="163" t="str" cm="1">
        <f t="array" aca="1" ref="BB53" ca="1">IFERROR(IF(_xlfn.XLOOKUP(AT53,ETANCHEITE!BH$22:BH$92,ETANCHEITE!BG$22:BG$92,"")&lt;&gt;"",_xlfn.XLOOKUP(AT53,ETANCHEITE!BH$22:BH$92,ETANCHEITE!BG$22:BG$92,""),    INDEX(ETANCHEITE!BG:BG,MAX(_xlfn._xlws.FILTER(ROW(ETANCHEITE!BG$22:INDIRECT("'PEINTURE'!P" &amp; AW53-1)),ETANCHEITE!BG$22:INDIRECT("'PEINTURE'!P" &amp; AW53-1)&lt;&gt;"")))),"")</f>
        <v/>
      </c>
    </row>
    <row r="54" spans="1:54" x14ac:dyDescent="0.3">
      <c r="A54" s="145">
        <v>52</v>
      </c>
      <c r="B54" s="154" t="str">
        <f>IF(F54&lt;&gt;" ",ETANCHEITE!$D$5,"")</f>
        <v/>
      </c>
      <c r="C54" s="154" t="str">
        <f>IF(F54&lt;&gt;" ",ETANCHEITE!$D$8,"")</f>
        <v/>
      </c>
      <c r="D54" s="146" t="str">
        <f>IFERROR(MATCH(A54,ETANCHEITE!O$22:O$167,0)+18,"")</f>
        <v/>
      </c>
      <c r="E54" s="147" t="str" cm="1">
        <f t="array" aca="1" ref="E54" ca="1">IFERROR(IF(_xlfn.XLOOKUP(A54,ETANCHEITE!O$22:O$167,ETANCHEITE!$A$22:$A$167,"")&lt;&gt;"",_xlfn.XLOOKUP(A54,ETANCHEITE!O$22:O$167,ETANCHEITE!$A$22:$A$167,""),    INDEX(ETANCHEITE!$A:$A,MAX(_xlfn._xlws.FILTER(ROW(ETANCHEITE!$A$22:INDIRECT("'MENUISERIES EXTERIEURES'!$A" &amp; D54-1)),ETANCHEITE!$A$22:INDIRECT("'MENUISERIES EXTERIEURES'!$A" &amp; D54-1)&lt;&gt;"")))),"")&amp;"   "&amp;IFERROR(_xlfn.XLOOKUP(A54,ETANCHEITE!O$22:O$167,ETANCHEITE!$B$22:$B$167),"")&amp;IFERROR(_xlfn.XLOOKUP(A54,ETANCHEITE!O$22:O$167,ETANCHEITE!$C$22:$C$167),"")&amp;IFERROR(_xlfn.XLOOKUP(A54,ETANCHEITE!O$22:O$167,ETANCHEITE!$D$22:$D$167),"")&amp;IFERROR(_xlfn.XLOOKUP(A54,ETANCHEITE!O$22:O$167,ETANCHEITE!#REF!),"")&amp;IFERROR(_xlfn.XLOOKUP(A54,ETANCHEITE!O$22:O$167,ETANCHEITE!#REF!),"")</f>
        <v xml:space="preserve">   </v>
      </c>
      <c r="F54" s="155" t="str">
        <f>IFERROR(VLOOKUP(A54,ETANCHEITE!O$22:Q$167,2,FALSE),"")&amp;" "&amp;IFERROR(VLOOKUP(A54,ETANCHEITE!O$22:Q$167,3,FALSE),"")</f>
        <v xml:space="preserve"> </v>
      </c>
      <c r="G54" s="148" t="str">
        <f>IF(F54&lt;&gt;" ",'Feuille de Donnée'!$C$3,"")</f>
        <v/>
      </c>
      <c r="H54" s="162" t="str" cm="1">
        <f t="array" aca="1" ref="H54" ca="1">IFERROR(IF(_xlfn.XLOOKUP(A54,ETANCHEITE!O$22:O$92,ETANCHEITE!M$22:M$92,"")&lt;&gt;"",_xlfn.XLOOKUP(A54,ETANCHEITE!O$22:O$92,ETANCHEITE!M$22:M$92,""),    INDEX(ETANCHEITE!M:M,MAX(_xlfn._xlws.FILTER(ROW(ETANCHEITE!M$22:INDIRECT("'PEINTURE'!O" &amp; D54-1)),ETANCHEITE!M$22:INDIRECT("'PEINTURE'!O" &amp; D54-1)&lt;&gt;"")))),"")</f>
        <v/>
      </c>
      <c r="I54" s="163" t="str" cm="1">
        <f t="array" aca="1" ref="I54" ca="1">IFERROR(IF(_xlfn.XLOOKUP(A54,ETANCHEITE!O$22:O$92,ETANCHEITE!N$22:N$92,"")&lt;&gt;"",_xlfn.XLOOKUP(A54,ETANCHEITE!O$22:O$92,ETANCHEITE!N$22:N$92,""),    INDEX(ETANCHEITE!N:N,MAX(_xlfn._xlws.FILTER(ROW(ETANCHEITE!N$22:INDIRECT("'PEINTURE'!P" &amp; D54-1)),ETANCHEITE!N$22:INDIRECT("'PEINTURE'!P" &amp; D54-1)&lt;&gt;"")))),"")</f>
        <v/>
      </c>
      <c r="J54" s="145">
        <v>52</v>
      </c>
      <c r="K54" s="154" t="str">
        <f>IF(O54&lt;&gt;" ",ETANCHEITE!$D$5,"")</f>
        <v/>
      </c>
      <c r="L54" s="154" t="str">
        <f>IF(O54&lt;&gt;" ",ETANCHEITE!$D$8,"")</f>
        <v/>
      </c>
      <c r="M54" s="146" t="str">
        <f>IFERROR(MATCH(J54,ETANCHEITE!X$22:X$167,0)+18,"")</f>
        <v/>
      </c>
      <c r="N54" s="147" t="str" cm="1">
        <f t="array" aca="1" ref="N54" ca="1">IFERROR(IF(_xlfn.XLOOKUP(J54,ETANCHEITE!X$22:X$167,ETANCHEITE!$A$22:$A$167,"")&lt;&gt;"",_xlfn.XLOOKUP(J54,ETANCHEITE!X$22:X$167,ETANCHEITE!$A$22:$A$167,""),    INDEX(ETANCHEITE!$A:$A,MAX(_xlfn._xlws.FILTER(ROW(ETANCHEITE!$A$22:INDIRECT("'MENUISERIES EXTERIEURES'!$A" &amp; M54-1)),ETANCHEITE!$A$22:INDIRECT("'MENUISERIES EXTERIEURES'!$A" &amp; M54-1)&lt;&gt;"")))),"")&amp;"   "&amp;IFERROR(_xlfn.XLOOKUP(J54,ETANCHEITE!X$22:X$167,ETANCHEITE!$B$22:$B$167),"")&amp;IFERROR(_xlfn.XLOOKUP(J54,ETANCHEITE!X$22:X$167,ETANCHEITE!$C$22:$C$167),"")&amp;IFERROR(_xlfn.XLOOKUP(J54,ETANCHEITE!X$22:X$167,ETANCHEITE!$D$22:$D$167),"")&amp;IFERROR(_xlfn.XLOOKUP(J54,ETANCHEITE!X$22:X$167,ETANCHEITE!#REF!),"")&amp;IFERROR(_xlfn.XLOOKUP(J54,ETANCHEITE!X$22:X$167,ETANCHEITE!#REF!),"")</f>
        <v xml:space="preserve">   </v>
      </c>
      <c r="O54" s="155" t="str">
        <f>IFERROR(VLOOKUP(J54,ETANCHEITE!X$22:Z$167,2,FALSE),"")&amp;" "&amp;IFERROR(VLOOKUP(J54,ETANCHEITE!X$22:Z$167,3,FALSE),"")</f>
        <v xml:space="preserve"> </v>
      </c>
      <c r="P54" s="148" t="str">
        <f>IF(O54&lt;&gt;" ",'Feuille de Donnée'!$C$3,"")</f>
        <v/>
      </c>
      <c r="Q54" s="162" t="str" cm="1">
        <f t="array" aca="1" ref="Q54" ca="1">IFERROR(IF(_xlfn.XLOOKUP(J54,ETANCHEITE!X$22:X$92,ETANCHEITE!V$22:V$92,"")&lt;&gt;"",_xlfn.XLOOKUP(J54,ETANCHEITE!X$22:X$92,ETANCHEITE!V$22:V$92,""),    INDEX(ETANCHEITE!V:V,MAX(_xlfn._xlws.FILTER(ROW(ETANCHEITE!V$22:INDIRECT("'PEINTURE'!O" &amp; M54-1)),ETANCHEITE!V$22:INDIRECT("'PEINTURE'!O" &amp; M54-1)&lt;&gt;"")))),"")</f>
        <v/>
      </c>
      <c r="R54" s="163" t="str" cm="1">
        <f t="array" aca="1" ref="R54" ca="1">IFERROR(IF(_xlfn.XLOOKUP(J54,ETANCHEITE!X$22:X$92,ETANCHEITE!W$22:W$92,"")&lt;&gt;"",_xlfn.XLOOKUP(J54,ETANCHEITE!X$22:X$92,ETANCHEITE!W$22:W$92,""),    INDEX(ETANCHEITE!W:W,MAX(_xlfn._xlws.FILTER(ROW(ETANCHEITE!W$22:INDIRECT("'PEINTURE'!P" &amp; M54-1)),ETANCHEITE!W$22:INDIRECT("'PEINTURE'!P" &amp; M54-1)&lt;&gt;"")))),"")</f>
        <v/>
      </c>
      <c r="S54" s="145">
        <v>52</v>
      </c>
      <c r="T54" s="154" t="str">
        <f>IF(X54&lt;&gt;" ",ETANCHEITE!$D$5,"")</f>
        <v/>
      </c>
      <c r="U54" s="154" t="str">
        <f>IF(X54&lt;&gt;" ",ETANCHEITE!$D$8,"")</f>
        <v/>
      </c>
      <c r="V54" s="146" t="str">
        <f>IFERROR(MATCH(S54,ETANCHEITE!AG$22:AG$167,0)+18,"")</f>
        <v/>
      </c>
      <c r="W54" s="147" t="str" cm="1">
        <f t="array" aca="1" ref="W54" ca="1">IFERROR(IF(_xlfn.XLOOKUP(S54,ETANCHEITE!AG$22:AG$167,ETANCHEITE!$A$22:$A$167,"")&lt;&gt;"",_xlfn.XLOOKUP(S54,ETANCHEITE!AG$22:AG$167,ETANCHEITE!$A$22:$A$167,""),    INDEX(ETANCHEITE!$A:$A,MAX(_xlfn._xlws.FILTER(ROW(ETANCHEITE!$A$22:INDIRECT("'MENUISERIES EXTERIEURES'!$A" &amp; V54-1)),ETANCHEITE!$A$22:INDIRECT("'MENUISERIES EXTERIEURES'!$A" &amp; V54-1)&lt;&gt;"")))),"")&amp;"   "&amp;IFERROR(_xlfn.XLOOKUP(S54,ETANCHEITE!AG$22:AG$167,ETANCHEITE!$B$22:$B$167),"")&amp;IFERROR(_xlfn.XLOOKUP(S54,ETANCHEITE!AG$22:AG$167,ETANCHEITE!$C$22:$C$167),"")&amp;IFERROR(_xlfn.XLOOKUP(S54,ETANCHEITE!AG$22:AG$167,ETANCHEITE!$D$22:$D$167),"")&amp;IFERROR(_xlfn.XLOOKUP(S54,ETANCHEITE!AG$22:AG$167,ETANCHEITE!#REF!),"")&amp;IFERROR(_xlfn.XLOOKUP(S54,ETANCHEITE!AG$22:AG$167,ETANCHEITE!#REF!),"")</f>
        <v xml:space="preserve">   </v>
      </c>
      <c r="X54" s="155" t="str">
        <f>IFERROR(VLOOKUP(S54,ETANCHEITE!AG$22:AI$167,2,FALSE),"")&amp;" "&amp;IFERROR(VLOOKUP(S54,ETANCHEITE!AG$22:AI$167,3,FALSE),"")</f>
        <v xml:space="preserve"> </v>
      </c>
      <c r="Y54" s="148" t="str">
        <f>IF(X54&lt;&gt;" ",'Feuille de Donnée'!$C$3,"")</f>
        <v/>
      </c>
      <c r="Z54" s="162" t="str" cm="1">
        <f t="array" aca="1" ref="Z54" ca="1">IFERROR(IF(_xlfn.XLOOKUP(S54,ETANCHEITE!AG$22:AG$92,ETANCHEITE!AE$22:AE$92,"")&lt;&gt;"",_xlfn.XLOOKUP(S54,ETANCHEITE!AG$22:AG$92,ETANCHEITE!AE$22:AE$92,""),    INDEX(ETANCHEITE!AE:AE,MAX(_xlfn._xlws.FILTER(ROW(ETANCHEITE!AE$22:INDIRECT("'PEINTURE'!O" &amp; V54-1)),ETANCHEITE!AE$22:INDIRECT("'PEINTURE'!O" &amp; V54-1)&lt;&gt;"")))),"")</f>
        <v/>
      </c>
      <c r="AA54" s="163" t="str" cm="1">
        <f t="array" aca="1" ref="AA54" ca="1">IFERROR(IF(_xlfn.XLOOKUP(S54,ETANCHEITE!AG$22:AG$92,ETANCHEITE!AF$22:AF$92,"")&lt;&gt;"",_xlfn.XLOOKUP(S54,ETANCHEITE!AG$22:AG$92,ETANCHEITE!AF$22:AF$92,""),    INDEX(ETANCHEITE!AF:AF,MAX(_xlfn._xlws.FILTER(ROW(ETANCHEITE!AF$22:INDIRECT("'PEINTURE'!P" &amp; V54-1)),ETANCHEITE!AF$22:INDIRECT("'PEINTURE'!P" &amp; V54-1)&lt;&gt;"")))),"")</f>
        <v/>
      </c>
      <c r="AB54" s="145">
        <v>52</v>
      </c>
      <c r="AC54" s="154" t="str">
        <f>IF(AG54&lt;&gt;" ",ETANCHEITE!$D$5,"")</f>
        <v/>
      </c>
      <c r="AD54" s="154" t="str">
        <f>IF(AG54&lt;&gt;" ",ETANCHEITE!$D$8,"")</f>
        <v/>
      </c>
      <c r="AE54" s="146" t="str">
        <f>IFERROR(MATCH(AB54,ETANCHEITE!AP$22:AP$167,0)+18,"")</f>
        <v/>
      </c>
      <c r="AF54" s="147" t="str" cm="1">
        <f t="array" aca="1" ref="AF54" ca="1">IFERROR(IF(_xlfn.XLOOKUP(AB54,ETANCHEITE!AP$22:AP$167,ETANCHEITE!$A$22:$A$167,"")&lt;&gt;"",_xlfn.XLOOKUP(AB54,ETANCHEITE!AP$22:AP$167,ETANCHEITE!$A$22:$A$167,""),    INDEX(ETANCHEITE!$A:$A,MAX(_xlfn._xlws.FILTER(ROW(ETANCHEITE!$A$22:INDIRECT("'MENUISERIES EXTERIEURES'!$A" &amp; AE54-1)),ETANCHEITE!$A$22:INDIRECT("'MENUISERIES EXTERIEURES'!$A" &amp; AE54-1)&lt;&gt;"")))),"")&amp;"   "&amp;IFERROR(_xlfn.XLOOKUP(AB54,ETANCHEITE!AP$22:AP$167,ETANCHEITE!$B$22:$B$167),"")&amp;IFERROR(_xlfn.XLOOKUP(AB54,ETANCHEITE!AP$22:AP$167,ETANCHEITE!$C$22:$C$167),"")&amp;IFERROR(_xlfn.XLOOKUP(AB54,ETANCHEITE!AP$22:AP$167,ETANCHEITE!$D$22:$D$167),"")&amp;IFERROR(_xlfn.XLOOKUP(AB54,ETANCHEITE!AP$22:AP$167,ETANCHEITE!#REF!),"")&amp;IFERROR(_xlfn.XLOOKUP(AB54,ETANCHEITE!AP$22:AP$167,ETANCHEITE!#REF!),"")</f>
        <v xml:space="preserve">   </v>
      </c>
      <c r="AG54" s="155" t="str">
        <f>IFERROR(VLOOKUP(AB54,ETANCHEITE!AP$22:AR$167,2,FALSE),"")&amp;" "&amp;IFERROR(VLOOKUP(AB54,ETANCHEITE!AP$22:AR$167,3,FALSE),"")</f>
        <v xml:space="preserve"> </v>
      </c>
      <c r="AH54" s="148" t="str">
        <f>IF(AG54&lt;&gt;" ",'Feuille de Donnée'!$C$3,"")</f>
        <v/>
      </c>
      <c r="AI54" s="162" t="str" cm="1">
        <f t="array" aca="1" ref="AI54" ca="1">IFERROR(IF(_xlfn.XLOOKUP(AB54,ETANCHEITE!AP$22:AP$92,ETANCHEITE!AN$22:AN$92,"")&lt;&gt;"",_xlfn.XLOOKUP(AB54,ETANCHEITE!AP$22:AP$92,ETANCHEITE!AN$22:AN$92,""),    INDEX(ETANCHEITE!AN:AN,MAX(_xlfn._xlws.FILTER(ROW(ETANCHEITE!AN$22:INDIRECT("'PEINTURE'!O" &amp; AE54-1)),ETANCHEITE!AN$22:INDIRECT("'PEINTURE'!O" &amp; AE54-1)&lt;&gt;"")))),"")</f>
        <v/>
      </c>
      <c r="AJ54" s="163" t="str" cm="1">
        <f t="array" aca="1" ref="AJ54" ca="1">IFERROR(IF(_xlfn.XLOOKUP(AB54,ETANCHEITE!AP$22:AP$92,ETANCHEITE!AO$22:AO$92,"")&lt;&gt;"",_xlfn.XLOOKUP(AB54,ETANCHEITE!AP$22:AP$92,ETANCHEITE!AO$22:AO$92,""),    INDEX(ETANCHEITE!AO:AO,MAX(_xlfn._xlws.FILTER(ROW(ETANCHEITE!AO$22:INDIRECT("'PEINTURE'!P" &amp; AE54-1)),ETANCHEITE!AO$22:INDIRECT("'PEINTURE'!P" &amp; AE54-1)&lt;&gt;"")))),"")</f>
        <v/>
      </c>
      <c r="AK54" s="145">
        <v>52</v>
      </c>
      <c r="AL54" s="154" t="str">
        <f>IF(AP54&lt;&gt;" ",ETANCHEITE!$D$5,"")</f>
        <v/>
      </c>
      <c r="AM54" s="154" t="str">
        <f>IF(AP54&lt;&gt;" ",ETANCHEITE!$D$8,"")</f>
        <v/>
      </c>
      <c r="AN54" s="146" t="str">
        <f>IFERROR(MATCH(AK54,ETANCHEITE!AY$22:AY$167,0)+18,"")</f>
        <v/>
      </c>
      <c r="AO54" s="147" t="str" cm="1">
        <f t="array" aca="1" ref="AO54" ca="1">IFERROR(IF(_xlfn.XLOOKUP(AK54,ETANCHEITE!AY$22:AY$167,ETANCHEITE!$A$22:$A$167,"")&lt;&gt;"",_xlfn.XLOOKUP(AK54,ETANCHEITE!AY$22:AY$167,ETANCHEITE!$A$22:$A$167,""),    INDEX(ETANCHEITE!$A:$A,MAX(_xlfn._xlws.FILTER(ROW(ETANCHEITE!$A$22:INDIRECT("'MENUISERIES EXTERIEURES'!$A" &amp; AN54-1)),ETANCHEITE!$A$22:INDIRECT("'MENUISERIES EXTERIEURES'!$A" &amp; AN54-1)&lt;&gt;"")))),"")&amp;"   "&amp;IFERROR(_xlfn.XLOOKUP(AK54,ETANCHEITE!AY$22:AY$167,ETANCHEITE!$B$22:$B$167),"")&amp;IFERROR(_xlfn.XLOOKUP(AK54,ETANCHEITE!AY$22:AY$167,ETANCHEITE!$C$22:$C$167),"")&amp;IFERROR(_xlfn.XLOOKUP(AK54,ETANCHEITE!AY$22:AY$167,ETANCHEITE!$D$22:$D$167),"")&amp;IFERROR(_xlfn.XLOOKUP(AK54,ETANCHEITE!AY$22:AY$167,ETANCHEITE!#REF!),"")&amp;IFERROR(_xlfn.XLOOKUP(AK54,ETANCHEITE!AY$22:AY$167,ETANCHEITE!#REF!),"")</f>
        <v xml:space="preserve">   </v>
      </c>
      <c r="AP54" s="155" t="str">
        <f>IFERROR(VLOOKUP(AK54,ETANCHEITE!AY$22:BA$167,2,FALSE),"")&amp;" "&amp;IFERROR(VLOOKUP(AK54,ETANCHEITE!AY$22:BA$167,3,FALSE),"")</f>
        <v xml:space="preserve"> </v>
      </c>
      <c r="AQ54" s="148" t="str">
        <f>IF(AP54&lt;&gt;" ",'Feuille de Donnée'!$C$3,"")</f>
        <v/>
      </c>
      <c r="AR54" s="162" t="str" cm="1">
        <f t="array" aca="1" ref="AR54" ca="1">IFERROR(IF(_xlfn.XLOOKUP(AK54,ETANCHEITE!AY$22:AY$92,ETANCHEITE!AW$22:AW$92,"")&lt;&gt;"",_xlfn.XLOOKUP(AK54,ETANCHEITE!AY$22:AY$92,ETANCHEITE!AW$22:AW$92,""),    INDEX(ETANCHEITE!AW:AW,MAX(_xlfn._xlws.FILTER(ROW(ETANCHEITE!AW$22:INDIRECT("'PEINTURE'!O" &amp; AN54-1)),ETANCHEITE!AW$22:INDIRECT("'PEINTURE'!O" &amp; AN54-1)&lt;&gt;"")))),"")</f>
        <v/>
      </c>
      <c r="AS54" s="163" t="str" cm="1">
        <f t="array" aca="1" ref="AS54" ca="1">IFERROR(IF(_xlfn.XLOOKUP(AK54,ETANCHEITE!AY$22:AY$92,ETANCHEITE!AX$22:AX$92,"")&lt;&gt;"",_xlfn.XLOOKUP(AK54,ETANCHEITE!AY$22:AY$92,ETANCHEITE!AX$22:AX$92,""),    INDEX(ETANCHEITE!AX:AX,MAX(_xlfn._xlws.FILTER(ROW(ETANCHEITE!AX$22:INDIRECT("'PEINTURE'!P" &amp; AN54-1)),ETANCHEITE!AX$22:INDIRECT("'PEINTURE'!P" &amp; AN54-1)&lt;&gt;"")))),"")</f>
        <v/>
      </c>
      <c r="AT54" s="145">
        <v>52</v>
      </c>
      <c r="AU54" s="154" t="str">
        <f>IF(AY54&lt;&gt;" ",ETANCHEITE!$D$5,"")</f>
        <v/>
      </c>
      <c r="AV54" s="154" t="str">
        <f>IF(AY54&lt;&gt;" ",ETANCHEITE!$D$8,"")</f>
        <v/>
      </c>
      <c r="AW54" s="146" t="str">
        <f>IFERROR(MATCH(AT54,ETANCHEITE!BH$22:BH$167,0)+18,"")</f>
        <v/>
      </c>
      <c r="AX54" s="147" t="str" cm="1">
        <f t="array" aca="1" ref="AX54" ca="1">IFERROR(IF(_xlfn.XLOOKUP(AT54,ETANCHEITE!BH$22:BH$167,ETANCHEITE!$A$22:$A$167,"")&lt;&gt;"",_xlfn.XLOOKUP(AT54,ETANCHEITE!BH$22:BH$167,ETANCHEITE!$A$22:$A$167,""),    INDEX(ETANCHEITE!$A:$A,MAX(_xlfn._xlws.FILTER(ROW(ETANCHEITE!$A$22:INDIRECT("'MENUISERIES EXTERIEURES'!$A" &amp; AW54-1)),ETANCHEITE!$A$22:INDIRECT("'MENUISERIES EXTERIEURES'!$A" &amp; AW54-1)&lt;&gt;"")))),"")&amp;"   "&amp;IFERROR(_xlfn.XLOOKUP(AT54,ETANCHEITE!BH$22:BH$167,ETANCHEITE!$B$22:$B$167),"")&amp;IFERROR(_xlfn.XLOOKUP(AT54,ETANCHEITE!BH$22:BH$167,ETANCHEITE!$C$22:$C$167),"")&amp;IFERROR(_xlfn.XLOOKUP(AT54,ETANCHEITE!BH$22:BH$167,ETANCHEITE!$D$22:$D$167),"")&amp;IFERROR(_xlfn.XLOOKUP(AT54,ETANCHEITE!BH$22:BH$167,ETANCHEITE!#REF!),"")&amp;IFERROR(_xlfn.XLOOKUP(AT54,ETANCHEITE!BH$22:BH$167,ETANCHEITE!#REF!),"")</f>
        <v xml:space="preserve">   </v>
      </c>
      <c r="AY54" s="155" t="str">
        <f>IFERROR(VLOOKUP(AT54,ETANCHEITE!BH$22:BJ$167,2,FALSE),"")&amp;" "&amp;IFERROR(VLOOKUP(AT54,ETANCHEITE!BH$22:BJ$167,3,FALSE),"")</f>
        <v xml:space="preserve"> </v>
      </c>
      <c r="AZ54" s="148" t="str">
        <f>IF(AY54&lt;&gt;" ",'Feuille de Donnée'!$C$3,"")</f>
        <v/>
      </c>
      <c r="BA54" s="162" t="str" cm="1">
        <f t="array" aca="1" ref="BA54" ca="1">IFERROR(IF(_xlfn.XLOOKUP(AT54,ETANCHEITE!BH$22:BH$92,ETANCHEITE!BF$22:BF$92,"")&lt;&gt;"",_xlfn.XLOOKUP(AT54,ETANCHEITE!BH$22:BH$92,ETANCHEITE!BF$22:BF$92,""),    INDEX(ETANCHEITE!BF:BF,MAX(_xlfn._xlws.FILTER(ROW(ETANCHEITE!BF$22:INDIRECT("'PEINTURE'!O" &amp; AW54-1)),ETANCHEITE!BF$22:INDIRECT("'PEINTURE'!O" &amp; AW54-1)&lt;&gt;"")))),"")</f>
        <v/>
      </c>
      <c r="BB54" s="163" t="str" cm="1">
        <f t="array" aca="1" ref="BB54" ca="1">IFERROR(IF(_xlfn.XLOOKUP(AT54,ETANCHEITE!BH$22:BH$92,ETANCHEITE!BG$22:BG$92,"")&lt;&gt;"",_xlfn.XLOOKUP(AT54,ETANCHEITE!BH$22:BH$92,ETANCHEITE!BG$22:BG$92,""),    INDEX(ETANCHEITE!BG:BG,MAX(_xlfn._xlws.FILTER(ROW(ETANCHEITE!BG$22:INDIRECT("'PEINTURE'!P" &amp; AW54-1)),ETANCHEITE!BG$22:INDIRECT("'PEINTURE'!P" &amp; AW54-1)&lt;&gt;"")))),"")</f>
        <v/>
      </c>
    </row>
    <row r="55" spans="1:54" x14ac:dyDescent="0.3">
      <c r="A55" s="145">
        <v>53</v>
      </c>
      <c r="B55" s="154" t="str">
        <f>IF(F55&lt;&gt;" ",ETANCHEITE!$D$5,"")</f>
        <v/>
      </c>
      <c r="C55" s="154" t="str">
        <f>IF(F55&lt;&gt;" ",ETANCHEITE!$D$8,"")</f>
        <v/>
      </c>
      <c r="D55" s="146" t="str">
        <f>IFERROR(MATCH(A55,ETANCHEITE!O$22:O$167,0)+18,"")</f>
        <v/>
      </c>
      <c r="E55" s="147" t="str" cm="1">
        <f t="array" aca="1" ref="E55" ca="1">IFERROR(IF(_xlfn.XLOOKUP(A55,ETANCHEITE!O$22:O$167,ETANCHEITE!$A$22:$A$167,"")&lt;&gt;"",_xlfn.XLOOKUP(A55,ETANCHEITE!O$22:O$167,ETANCHEITE!$A$22:$A$167,""),    INDEX(ETANCHEITE!$A:$A,MAX(_xlfn._xlws.FILTER(ROW(ETANCHEITE!$A$22:INDIRECT("'MENUISERIES EXTERIEURES'!$A" &amp; D55-1)),ETANCHEITE!$A$22:INDIRECT("'MENUISERIES EXTERIEURES'!$A" &amp; D55-1)&lt;&gt;"")))),"")&amp;"   "&amp;IFERROR(_xlfn.XLOOKUP(A55,ETANCHEITE!O$22:O$167,ETANCHEITE!$B$22:$B$167),"")&amp;IFERROR(_xlfn.XLOOKUP(A55,ETANCHEITE!O$22:O$167,ETANCHEITE!$C$22:$C$167),"")&amp;IFERROR(_xlfn.XLOOKUP(A55,ETANCHEITE!O$22:O$167,ETANCHEITE!$D$22:$D$167),"")&amp;IFERROR(_xlfn.XLOOKUP(A55,ETANCHEITE!O$22:O$167,ETANCHEITE!#REF!),"")&amp;IFERROR(_xlfn.XLOOKUP(A55,ETANCHEITE!O$22:O$167,ETANCHEITE!#REF!),"")</f>
        <v xml:space="preserve">   </v>
      </c>
      <c r="F55" s="155" t="str">
        <f>IFERROR(VLOOKUP(A55,ETANCHEITE!O$22:Q$167,2,FALSE),"")&amp;" "&amp;IFERROR(VLOOKUP(A55,ETANCHEITE!O$22:Q$167,3,FALSE),"")</f>
        <v xml:space="preserve"> </v>
      </c>
      <c r="G55" s="148" t="str">
        <f>IF(F55&lt;&gt;" ",'Feuille de Donnée'!$C$3,"")</f>
        <v/>
      </c>
      <c r="H55" s="162" t="str" cm="1">
        <f t="array" aca="1" ref="H55" ca="1">IFERROR(IF(_xlfn.XLOOKUP(A55,ETANCHEITE!O$22:O$92,ETANCHEITE!M$22:M$92,"")&lt;&gt;"",_xlfn.XLOOKUP(A55,ETANCHEITE!O$22:O$92,ETANCHEITE!M$22:M$92,""),    INDEX(ETANCHEITE!M:M,MAX(_xlfn._xlws.FILTER(ROW(ETANCHEITE!M$22:INDIRECT("'PEINTURE'!O" &amp; D55-1)),ETANCHEITE!M$22:INDIRECT("'PEINTURE'!O" &amp; D55-1)&lt;&gt;"")))),"")</f>
        <v/>
      </c>
      <c r="I55" s="163" t="str" cm="1">
        <f t="array" aca="1" ref="I55" ca="1">IFERROR(IF(_xlfn.XLOOKUP(A55,ETANCHEITE!O$22:O$92,ETANCHEITE!N$22:N$92,"")&lt;&gt;"",_xlfn.XLOOKUP(A55,ETANCHEITE!O$22:O$92,ETANCHEITE!N$22:N$92,""),    INDEX(ETANCHEITE!N:N,MAX(_xlfn._xlws.FILTER(ROW(ETANCHEITE!N$22:INDIRECT("'PEINTURE'!P" &amp; D55-1)),ETANCHEITE!N$22:INDIRECT("'PEINTURE'!P" &amp; D55-1)&lt;&gt;"")))),"")</f>
        <v/>
      </c>
      <c r="J55" s="145">
        <v>53</v>
      </c>
      <c r="K55" s="154" t="str">
        <f>IF(O55&lt;&gt;" ",ETANCHEITE!$D$5,"")</f>
        <v/>
      </c>
      <c r="L55" s="154" t="str">
        <f>IF(O55&lt;&gt;" ",ETANCHEITE!$D$8,"")</f>
        <v/>
      </c>
      <c r="M55" s="146" t="str">
        <f>IFERROR(MATCH(J55,ETANCHEITE!X$22:X$167,0)+18,"")</f>
        <v/>
      </c>
      <c r="N55" s="147" t="str" cm="1">
        <f t="array" aca="1" ref="N55" ca="1">IFERROR(IF(_xlfn.XLOOKUP(J55,ETANCHEITE!X$22:X$167,ETANCHEITE!$A$22:$A$167,"")&lt;&gt;"",_xlfn.XLOOKUP(J55,ETANCHEITE!X$22:X$167,ETANCHEITE!$A$22:$A$167,""),    INDEX(ETANCHEITE!$A:$A,MAX(_xlfn._xlws.FILTER(ROW(ETANCHEITE!$A$22:INDIRECT("'MENUISERIES EXTERIEURES'!$A" &amp; M55-1)),ETANCHEITE!$A$22:INDIRECT("'MENUISERIES EXTERIEURES'!$A" &amp; M55-1)&lt;&gt;"")))),"")&amp;"   "&amp;IFERROR(_xlfn.XLOOKUP(J55,ETANCHEITE!X$22:X$167,ETANCHEITE!$B$22:$B$167),"")&amp;IFERROR(_xlfn.XLOOKUP(J55,ETANCHEITE!X$22:X$167,ETANCHEITE!$C$22:$C$167),"")&amp;IFERROR(_xlfn.XLOOKUP(J55,ETANCHEITE!X$22:X$167,ETANCHEITE!$D$22:$D$167),"")&amp;IFERROR(_xlfn.XLOOKUP(J55,ETANCHEITE!X$22:X$167,ETANCHEITE!#REF!),"")&amp;IFERROR(_xlfn.XLOOKUP(J55,ETANCHEITE!X$22:X$167,ETANCHEITE!#REF!),"")</f>
        <v xml:space="preserve">   </v>
      </c>
      <c r="O55" s="155" t="str">
        <f>IFERROR(VLOOKUP(J55,ETANCHEITE!X$22:Z$167,2,FALSE),"")&amp;" "&amp;IFERROR(VLOOKUP(J55,ETANCHEITE!X$22:Z$167,3,FALSE),"")</f>
        <v xml:space="preserve"> </v>
      </c>
      <c r="P55" s="148" t="str">
        <f>IF(O55&lt;&gt;" ",'Feuille de Donnée'!$C$3,"")</f>
        <v/>
      </c>
      <c r="Q55" s="162" t="str" cm="1">
        <f t="array" aca="1" ref="Q55" ca="1">IFERROR(IF(_xlfn.XLOOKUP(J55,ETANCHEITE!X$22:X$92,ETANCHEITE!V$22:V$92,"")&lt;&gt;"",_xlfn.XLOOKUP(J55,ETANCHEITE!X$22:X$92,ETANCHEITE!V$22:V$92,""),    INDEX(ETANCHEITE!V:V,MAX(_xlfn._xlws.FILTER(ROW(ETANCHEITE!V$22:INDIRECT("'PEINTURE'!O" &amp; M55-1)),ETANCHEITE!V$22:INDIRECT("'PEINTURE'!O" &amp; M55-1)&lt;&gt;"")))),"")</f>
        <v/>
      </c>
      <c r="R55" s="163" t="str" cm="1">
        <f t="array" aca="1" ref="R55" ca="1">IFERROR(IF(_xlfn.XLOOKUP(J55,ETANCHEITE!X$22:X$92,ETANCHEITE!W$22:W$92,"")&lt;&gt;"",_xlfn.XLOOKUP(J55,ETANCHEITE!X$22:X$92,ETANCHEITE!W$22:W$92,""),    INDEX(ETANCHEITE!W:W,MAX(_xlfn._xlws.FILTER(ROW(ETANCHEITE!W$22:INDIRECT("'PEINTURE'!P" &amp; M55-1)),ETANCHEITE!W$22:INDIRECT("'PEINTURE'!P" &amp; M55-1)&lt;&gt;"")))),"")</f>
        <v/>
      </c>
      <c r="S55" s="145">
        <v>53</v>
      </c>
      <c r="T55" s="154" t="str">
        <f>IF(X55&lt;&gt;" ",ETANCHEITE!$D$5,"")</f>
        <v/>
      </c>
      <c r="U55" s="154" t="str">
        <f>IF(X55&lt;&gt;" ",ETANCHEITE!$D$8,"")</f>
        <v/>
      </c>
      <c r="V55" s="146" t="str">
        <f>IFERROR(MATCH(S55,ETANCHEITE!AG$22:AG$167,0)+18,"")</f>
        <v/>
      </c>
      <c r="W55" s="147" t="str" cm="1">
        <f t="array" aca="1" ref="W55" ca="1">IFERROR(IF(_xlfn.XLOOKUP(S55,ETANCHEITE!AG$22:AG$167,ETANCHEITE!$A$22:$A$167,"")&lt;&gt;"",_xlfn.XLOOKUP(S55,ETANCHEITE!AG$22:AG$167,ETANCHEITE!$A$22:$A$167,""),    INDEX(ETANCHEITE!$A:$A,MAX(_xlfn._xlws.FILTER(ROW(ETANCHEITE!$A$22:INDIRECT("'MENUISERIES EXTERIEURES'!$A" &amp; V55-1)),ETANCHEITE!$A$22:INDIRECT("'MENUISERIES EXTERIEURES'!$A" &amp; V55-1)&lt;&gt;"")))),"")&amp;"   "&amp;IFERROR(_xlfn.XLOOKUP(S55,ETANCHEITE!AG$22:AG$167,ETANCHEITE!$B$22:$B$167),"")&amp;IFERROR(_xlfn.XLOOKUP(S55,ETANCHEITE!AG$22:AG$167,ETANCHEITE!$C$22:$C$167),"")&amp;IFERROR(_xlfn.XLOOKUP(S55,ETANCHEITE!AG$22:AG$167,ETANCHEITE!$D$22:$D$167),"")&amp;IFERROR(_xlfn.XLOOKUP(S55,ETANCHEITE!AG$22:AG$167,ETANCHEITE!#REF!),"")&amp;IFERROR(_xlfn.XLOOKUP(S55,ETANCHEITE!AG$22:AG$167,ETANCHEITE!#REF!),"")</f>
        <v xml:space="preserve">   </v>
      </c>
      <c r="X55" s="155" t="str">
        <f>IFERROR(VLOOKUP(S55,ETANCHEITE!AG$22:AI$167,2,FALSE),"")&amp;" "&amp;IFERROR(VLOOKUP(S55,ETANCHEITE!AG$22:AI$167,3,FALSE),"")</f>
        <v xml:space="preserve"> </v>
      </c>
      <c r="Y55" s="148" t="str">
        <f>IF(X55&lt;&gt;" ",'Feuille de Donnée'!$C$3,"")</f>
        <v/>
      </c>
      <c r="Z55" s="162" t="str" cm="1">
        <f t="array" aca="1" ref="Z55" ca="1">IFERROR(IF(_xlfn.XLOOKUP(S55,ETANCHEITE!AG$22:AG$92,ETANCHEITE!AE$22:AE$92,"")&lt;&gt;"",_xlfn.XLOOKUP(S55,ETANCHEITE!AG$22:AG$92,ETANCHEITE!AE$22:AE$92,""),    INDEX(ETANCHEITE!AE:AE,MAX(_xlfn._xlws.FILTER(ROW(ETANCHEITE!AE$22:INDIRECT("'PEINTURE'!O" &amp; V55-1)),ETANCHEITE!AE$22:INDIRECT("'PEINTURE'!O" &amp; V55-1)&lt;&gt;"")))),"")</f>
        <v/>
      </c>
      <c r="AA55" s="163" t="str" cm="1">
        <f t="array" aca="1" ref="AA55" ca="1">IFERROR(IF(_xlfn.XLOOKUP(S55,ETANCHEITE!AG$22:AG$92,ETANCHEITE!AF$22:AF$92,"")&lt;&gt;"",_xlfn.XLOOKUP(S55,ETANCHEITE!AG$22:AG$92,ETANCHEITE!AF$22:AF$92,""),    INDEX(ETANCHEITE!AF:AF,MAX(_xlfn._xlws.FILTER(ROW(ETANCHEITE!AF$22:INDIRECT("'PEINTURE'!P" &amp; V55-1)),ETANCHEITE!AF$22:INDIRECT("'PEINTURE'!P" &amp; V55-1)&lt;&gt;"")))),"")</f>
        <v/>
      </c>
      <c r="AB55" s="145">
        <v>53</v>
      </c>
      <c r="AC55" s="154" t="str">
        <f>IF(AG55&lt;&gt;" ",ETANCHEITE!$D$5,"")</f>
        <v/>
      </c>
      <c r="AD55" s="154" t="str">
        <f>IF(AG55&lt;&gt;" ",ETANCHEITE!$D$8,"")</f>
        <v/>
      </c>
      <c r="AE55" s="146" t="str">
        <f>IFERROR(MATCH(AB55,ETANCHEITE!AP$22:AP$167,0)+18,"")</f>
        <v/>
      </c>
      <c r="AF55" s="147" t="str" cm="1">
        <f t="array" aca="1" ref="AF55" ca="1">IFERROR(IF(_xlfn.XLOOKUP(AB55,ETANCHEITE!AP$22:AP$167,ETANCHEITE!$A$22:$A$167,"")&lt;&gt;"",_xlfn.XLOOKUP(AB55,ETANCHEITE!AP$22:AP$167,ETANCHEITE!$A$22:$A$167,""),    INDEX(ETANCHEITE!$A:$A,MAX(_xlfn._xlws.FILTER(ROW(ETANCHEITE!$A$22:INDIRECT("'MENUISERIES EXTERIEURES'!$A" &amp; AE55-1)),ETANCHEITE!$A$22:INDIRECT("'MENUISERIES EXTERIEURES'!$A" &amp; AE55-1)&lt;&gt;"")))),"")&amp;"   "&amp;IFERROR(_xlfn.XLOOKUP(AB55,ETANCHEITE!AP$22:AP$167,ETANCHEITE!$B$22:$B$167),"")&amp;IFERROR(_xlfn.XLOOKUP(AB55,ETANCHEITE!AP$22:AP$167,ETANCHEITE!$C$22:$C$167),"")&amp;IFERROR(_xlfn.XLOOKUP(AB55,ETANCHEITE!AP$22:AP$167,ETANCHEITE!$D$22:$D$167),"")&amp;IFERROR(_xlfn.XLOOKUP(AB55,ETANCHEITE!AP$22:AP$167,ETANCHEITE!#REF!),"")&amp;IFERROR(_xlfn.XLOOKUP(AB55,ETANCHEITE!AP$22:AP$167,ETANCHEITE!#REF!),"")</f>
        <v xml:space="preserve">   </v>
      </c>
      <c r="AG55" s="155" t="str">
        <f>IFERROR(VLOOKUP(AB55,ETANCHEITE!AP$22:AR$167,2,FALSE),"")&amp;" "&amp;IFERROR(VLOOKUP(AB55,ETANCHEITE!AP$22:AR$167,3,FALSE),"")</f>
        <v xml:space="preserve"> </v>
      </c>
      <c r="AH55" s="148" t="str">
        <f>IF(AG55&lt;&gt;" ",'Feuille de Donnée'!$C$3,"")</f>
        <v/>
      </c>
      <c r="AI55" s="162" t="str" cm="1">
        <f t="array" aca="1" ref="AI55" ca="1">IFERROR(IF(_xlfn.XLOOKUP(AB55,ETANCHEITE!AP$22:AP$92,ETANCHEITE!AN$22:AN$92,"")&lt;&gt;"",_xlfn.XLOOKUP(AB55,ETANCHEITE!AP$22:AP$92,ETANCHEITE!AN$22:AN$92,""),    INDEX(ETANCHEITE!AN:AN,MAX(_xlfn._xlws.FILTER(ROW(ETANCHEITE!AN$22:INDIRECT("'PEINTURE'!O" &amp; AE55-1)),ETANCHEITE!AN$22:INDIRECT("'PEINTURE'!O" &amp; AE55-1)&lt;&gt;"")))),"")</f>
        <v/>
      </c>
      <c r="AJ55" s="163" t="str" cm="1">
        <f t="array" aca="1" ref="AJ55" ca="1">IFERROR(IF(_xlfn.XLOOKUP(AB55,ETANCHEITE!AP$22:AP$92,ETANCHEITE!AO$22:AO$92,"")&lt;&gt;"",_xlfn.XLOOKUP(AB55,ETANCHEITE!AP$22:AP$92,ETANCHEITE!AO$22:AO$92,""),    INDEX(ETANCHEITE!AO:AO,MAX(_xlfn._xlws.FILTER(ROW(ETANCHEITE!AO$22:INDIRECT("'PEINTURE'!P" &amp; AE55-1)),ETANCHEITE!AO$22:INDIRECT("'PEINTURE'!P" &amp; AE55-1)&lt;&gt;"")))),"")</f>
        <v/>
      </c>
      <c r="AK55" s="145">
        <v>53</v>
      </c>
      <c r="AL55" s="154" t="str">
        <f>IF(AP55&lt;&gt;" ",ETANCHEITE!$D$5,"")</f>
        <v/>
      </c>
      <c r="AM55" s="154" t="str">
        <f>IF(AP55&lt;&gt;" ",ETANCHEITE!$D$8,"")</f>
        <v/>
      </c>
      <c r="AN55" s="146" t="str">
        <f>IFERROR(MATCH(AK55,ETANCHEITE!AY$22:AY$167,0)+18,"")</f>
        <v/>
      </c>
      <c r="AO55" s="147" t="str" cm="1">
        <f t="array" aca="1" ref="AO55" ca="1">IFERROR(IF(_xlfn.XLOOKUP(AK55,ETANCHEITE!AY$22:AY$167,ETANCHEITE!$A$22:$A$167,"")&lt;&gt;"",_xlfn.XLOOKUP(AK55,ETANCHEITE!AY$22:AY$167,ETANCHEITE!$A$22:$A$167,""),    INDEX(ETANCHEITE!$A:$A,MAX(_xlfn._xlws.FILTER(ROW(ETANCHEITE!$A$22:INDIRECT("'MENUISERIES EXTERIEURES'!$A" &amp; AN55-1)),ETANCHEITE!$A$22:INDIRECT("'MENUISERIES EXTERIEURES'!$A" &amp; AN55-1)&lt;&gt;"")))),"")&amp;"   "&amp;IFERROR(_xlfn.XLOOKUP(AK55,ETANCHEITE!AY$22:AY$167,ETANCHEITE!$B$22:$B$167),"")&amp;IFERROR(_xlfn.XLOOKUP(AK55,ETANCHEITE!AY$22:AY$167,ETANCHEITE!$C$22:$C$167),"")&amp;IFERROR(_xlfn.XLOOKUP(AK55,ETANCHEITE!AY$22:AY$167,ETANCHEITE!$D$22:$D$167),"")&amp;IFERROR(_xlfn.XLOOKUP(AK55,ETANCHEITE!AY$22:AY$167,ETANCHEITE!#REF!),"")&amp;IFERROR(_xlfn.XLOOKUP(AK55,ETANCHEITE!AY$22:AY$167,ETANCHEITE!#REF!),"")</f>
        <v xml:space="preserve">   </v>
      </c>
      <c r="AP55" s="155" t="str">
        <f>IFERROR(VLOOKUP(AK55,ETANCHEITE!AY$22:BA$167,2,FALSE),"")&amp;" "&amp;IFERROR(VLOOKUP(AK55,ETANCHEITE!AY$22:BA$167,3,FALSE),"")</f>
        <v xml:space="preserve"> </v>
      </c>
      <c r="AQ55" s="148" t="str">
        <f>IF(AP55&lt;&gt;" ",'Feuille de Donnée'!$C$3,"")</f>
        <v/>
      </c>
      <c r="AR55" s="162" t="str" cm="1">
        <f t="array" aca="1" ref="AR55" ca="1">IFERROR(IF(_xlfn.XLOOKUP(AK55,ETANCHEITE!AY$22:AY$92,ETANCHEITE!AW$22:AW$92,"")&lt;&gt;"",_xlfn.XLOOKUP(AK55,ETANCHEITE!AY$22:AY$92,ETANCHEITE!AW$22:AW$92,""),    INDEX(ETANCHEITE!AW:AW,MAX(_xlfn._xlws.FILTER(ROW(ETANCHEITE!AW$22:INDIRECT("'PEINTURE'!O" &amp; AN55-1)),ETANCHEITE!AW$22:INDIRECT("'PEINTURE'!O" &amp; AN55-1)&lt;&gt;"")))),"")</f>
        <v/>
      </c>
      <c r="AS55" s="163" t="str" cm="1">
        <f t="array" aca="1" ref="AS55" ca="1">IFERROR(IF(_xlfn.XLOOKUP(AK55,ETANCHEITE!AY$22:AY$92,ETANCHEITE!AX$22:AX$92,"")&lt;&gt;"",_xlfn.XLOOKUP(AK55,ETANCHEITE!AY$22:AY$92,ETANCHEITE!AX$22:AX$92,""),    INDEX(ETANCHEITE!AX:AX,MAX(_xlfn._xlws.FILTER(ROW(ETANCHEITE!AX$22:INDIRECT("'PEINTURE'!P" &amp; AN55-1)),ETANCHEITE!AX$22:INDIRECT("'PEINTURE'!P" &amp; AN55-1)&lt;&gt;"")))),"")</f>
        <v/>
      </c>
      <c r="AT55" s="145">
        <v>53</v>
      </c>
      <c r="AU55" s="154" t="str">
        <f>IF(AY55&lt;&gt;" ",ETANCHEITE!$D$5,"")</f>
        <v/>
      </c>
      <c r="AV55" s="154" t="str">
        <f>IF(AY55&lt;&gt;" ",ETANCHEITE!$D$8,"")</f>
        <v/>
      </c>
      <c r="AW55" s="146" t="str">
        <f>IFERROR(MATCH(AT55,ETANCHEITE!BH$22:BH$167,0)+18,"")</f>
        <v/>
      </c>
      <c r="AX55" s="147" t="str" cm="1">
        <f t="array" aca="1" ref="AX55" ca="1">IFERROR(IF(_xlfn.XLOOKUP(AT55,ETANCHEITE!BH$22:BH$167,ETANCHEITE!$A$22:$A$167,"")&lt;&gt;"",_xlfn.XLOOKUP(AT55,ETANCHEITE!BH$22:BH$167,ETANCHEITE!$A$22:$A$167,""),    INDEX(ETANCHEITE!$A:$A,MAX(_xlfn._xlws.FILTER(ROW(ETANCHEITE!$A$22:INDIRECT("'MENUISERIES EXTERIEURES'!$A" &amp; AW55-1)),ETANCHEITE!$A$22:INDIRECT("'MENUISERIES EXTERIEURES'!$A" &amp; AW55-1)&lt;&gt;"")))),"")&amp;"   "&amp;IFERROR(_xlfn.XLOOKUP(AT55,ETANCHEITE!BH$22:BH$167,ETANCHEITE!$B$22:$B$167),"")&amp;IFERROR(_xlfn.XLOOKUP(AT55,ETANCHEITE!BH$22:BH$167,ETANCHEITE!$C$22:$C$167),"")&amp;IFERROR(_xlfn.XLOOKUP(AT55,ETANCHEITE!BH$22:BH$167,ETANCHEITE!$D$22:$D$167),"")&amp;IFERROR(_xlfn.XLOOKUP(AT55,ETANCHEITE!BH$22:BH$167,ETANCHEITE!#REF!),"")&amp;IFERROR(_xlfn.XLOOKUP(AT55,ETANCHEITE!BH$22:BH$167,ETANCHEITE!#REF!),"")</f>
        <v xml:space="preserve">   </v>
      </c>
      <c r="AY55" s="155" t="str">
        <f>IFERROR(VLOOKUP(AT55,ETANCHEITE!BH$22:BJ$167,2,FALSE),"")&amp;" "&amp;IFERROR(VLOOKUP(AT55,ETANCHEITE!BH$22:BJ$167,3,FALSE),"")</f>
        <v xml:space="preserve"> </v>
      </c>
      <c r="AZ55" s="148" t="str">
        <f>IF(AY55&lt;&gt;" ",'Feuille de Donnée'!$C$3,"")</f>
        <v/>
      </c>
      <c r="BA55" s="162" t="str" cm="1">
        <f t="array" aca="1" ref="BA55" ca="1">IFERROR(IF(_xlfn.XLOOKUP(AT55,ETANCHEITE!BH$22:BH$92,ETANCHEITE!BF$22:BF$92,"")&lt;&gt;"",_xlfn.XLOOKUP(AT55,ETANCHEITE!BH$22:BH$92,ETANCHEITE!BF$22:BF$92,""),    INDEX(ETANCHEITE!BF:BF,MAX(_xlfn._xlws.FILTER(ROW(ETANCHEITE!BF$22:INDIRECT("'PEINTURE'!O" &amp; AW55-1)),ETANCHEITE!BF$22:INDIRECT("'PEINTURE'!O" &amp; AW55-1)&lt;&gt;"")))),"")</f>
        <v/>
      </c>
      <c r="BB55" s="163" t="str" cm="1">
        <f t="array" aca="1" ref="BB55" ca="1">IFERROR(IF(_xlfn.XLOOKUP(AT55,ETANCHEITE!BH$22:BH$92,ETANCHEITE!BG$22:BG$92,"")&lt;&gt;"",_xlfn.XLOOKUP(AT55,ETANCHEITE!BH$22:BH$92,ETANCHEITE!BG$22:BG$92,""),    INDEX(ETANCHEITE!BG:BG,MAX(_xlfn._xlws.FILTER(ROW(ETANCHEITE!BG$22:INDIRECT("'PEINTURE'!P" &amp; AW55-1)),ETANCHEITE!BG$22:INDIRECT("'PEINTURE'!P" &amp; AW55-1)&lt;&gt;"")))),"")</f>
        <v/>
      </c>
    </row>
    <row r="56" spans="1:54" x14ac:dyDescent="0.3">
      <c r="A56" s="145">
        <v>54</v>
      </c>
      <c r="B56" s="154" t="str">
        <f>IF(F56&lt;&gt;" ",ETANCHEITE!$D$5,"")</f>
        <v/>
      </c>
      <c r="C56" s="154" t="str">
        <f>IF(F56&lt;&gt;" ",ETANCHEITE!$D$8,"")</f>
        <v/>
      </c>
      <c r="D56" s="146" t="str">
        <f>IFERROR(MATCH(A56,ETANCHEITE!O$22:O$167,0)+18,"")</f>
        <v/>
      </c>
      <c r="E56" s="147" t="str" cm="1">
        <f t="array" aca="1" ref="E56" ca="1">IFERROR(IF(_xlfn.XLOOKUP(A56,ETANCHEITE!O$22:O$167,ETANCHEITE!$A$22:$A$167,"")&lt;&gt;"",_xlfn.XLOOKUP(A56,ETANCHEITE!O$22:O$167,ETANCHEITE!$A$22:$A$167,""),    INDEX(ETANCHEITE!$A:$A,MAX(_xlfn._xlws.FILTER(ROW(ETANCHEITE!$A$22:INDIRECT("'MENUISERIES EXTERIEURES'!$A" &amp; D56-1)),ETANCHEITE!$A$22:INDIRECT("'MENUISERIES EXTERIEURES'!$A" &amp; D56-1)&lt;&gt;"")))),"")&amp;"   "&amp;IFERROR(_xlfn.XLOOKUP(A56,ETANCHEITE!O$22:O$167,ETANCHEITE!$B$22:$B$167),"")&amp;IFERROR(_xlfn.XLOOKUP(A56,ETANCHEITE!O$22:O$167,ETANCHEITE!$C$22:$C$167),"")&amp;IFERROR(_xlfn.XLOOKUP(A56,ETANCHEITE!O$22:O$167,ETANCHEITE!$D$22:$D$167),"")&amp;IFERROR(_xlfn.XLOOKUP(A56,ETANCHEITE!O$22:O$167,ETANCHEITE!#REF!),"")&amp;IFERROR(_xlfn.XLOOKUP(A56,ETANCHEITE!O$22:O$167,ETANCHEITE!#REF!),"")</f>
        <v xml:space="preserve">   </v>
      </c>
      <c r="F56" s="155" t="str">
        <f>IFERROR(VLOOKUP(A56,ETANCHEITE!O$22:Q$167,2,FALSE),"")&amp;" "&amp;IFERROR(VLOOKUP(A56,ETANCHEITE!O$22:Q$167,3,FALSE),"")</f>
        <v xml:space="preserve"> </v>
      </c>
      <c r="G56" s="148" t="str">
        <f>IF(F56&lt;&gt;" ",'Feuille de Donnée'!$C$3,"")</f>
        <v/>
      </c>
      <c r="H56" s="162" t="str" cm="1">
        <f t="array" aca="1" ref="H56" ca="1">IFERROR(IF(_xlfn.XLOOKUP(A56,ETANCHEITE!O$22:O$92,ETANCHEITE!M$22:M$92,"")&lt;&gt;"",_xlfn.XLOOKUP(A56,ETANCHEITE!O$22:O$92,ETANCHEITE!M$22:M$92,""),    INDEX(ETANCHEITE!M:M,MAX(_xlfn._xlws.FILTER(ROW(ETANCHEITE!M$22:INDIRECT("'PEINTURE'!O" &amp; D56-1)),ETANCHEITE!M$22:INDIRECT("'PEINTURE'!O" &amp; D56-1)&lt;&gt;"")))),"")</f>
        <v/>
      </c>
      <c r="I56" s="163" t="str" cm="1">
        <f t="array" aca="1" ref="I56" ca="1">IFERROR(IF(_xlfn.XLOOKUP(A56,ETANCHEITE!O$22:O$92,ETANCHEITE!N$22:N$92,"")&lt;&gt;"",_xlfn.XLOOKUP(A56,ETANCHEITE!O$22:O$92,ETANCHEITE!N$22:N$92,""),    INDEX(ETANCHEITE!N:N,MAX(_xlfn._xlws.FILTER(ROW(ETANCHEITE!N$22:INDIRECT("'PEINTURE'!P" &amp; D56-1)),ETANCHEITE!N$22:INDIRECT("'PEINTURE'!P" &amp; D56-1)&lt;&gt;"")))),"")</f>
        <v/>
      </c>
      <c r="J56" s="145">
        <v>54</v>
      </c>
      <c r="K56" s="154" t="str">
        <f>IF(O56&lt;&gt;" ",ETANCHEITE!$D$5,"")</f>
        <v/>
      </c>
      <c r="L56" s="154" t="str">
        <f>IF(O56&lt;&gt;" ",ETANCHEITE!$D$8,"")</f>
        <v/>
      </c>
      <c r="M56" s="146" t="str">
        <f>IFERROR(MATCH(J56,ETANCHEITE!X$22:X$167,0)+18,"")</f>
        <v/>
      </c>
      <c r="N56" s="147" t="str" cm="1">
        <f t="array" aca="1" ref="N56" ca="1">IFERROR(IF(_xlfn.XLOOKUP(J56,ETANCHEITE!X$22:X$167,ETANCHEITE!$A$22:$A$167,"")&lt;&gt;"",_xlfn.XLOOKUP(J56,ETANCHEITE!X$22:X$167,ETANCHEITE!$A$22:$A$167,""),    INDEX(ETANCHEITE!$A:$A,MAX(_xlfn._xlws.FILTER(ROW(ETANCHEITE!$A$22:INDIRECT("'MENUISERIES EXTERIEURES'!$A" &amp; M56-1)),ETANCHEITE!$A$22:INDIRECT("'MENUISERIES EXTERIEURES'!$A" &amp; M56-1)&lt;&gt;"")))),"")&amp;"   "&amp;IFERROR(_xlfn.XLOOKUP(J56,ETANCHEITE!X$22:X$167,ETANCHEITE!$B$22:$B$167),"")&amp;IFERROR(_xlfn.XLOOKUP(J56,ETANCHEITE!X$22:X$167,ETANCHEITE!$C$22:$C$167),"")&amp;IFERROR(_xlfn.XLOOKUP(J56,ETANCHEITE!X$22:X$167,ETANCHEITE!$D$22:$D$167),"")&amp;IFERROR(_xlfn.XLOOKUP(J56,ETANCHEITE!X$22:X$167,ETANCHEITE!#REF!),"")&amp;IFERROR(_xlfn.XLOOKUP(J56,ETANCHEITE!X$22:X$167,ETANCHEITE!#REF!),"")</f>
        <v xml:space="preserve">   </v>
      </c>
      <c r="O56" s="155" t="str">
        <f>IFERROR(VLOOKUP(J56,ETANCHEITE!X$22:Z$167,2,FALSE),"")&amp;" "&amp;IFERROR(VLOOKUP(J56,ETANCHEITE!X$22:Z$167,3,FALSE),"")</f>
        <v xml:space="preserve"> </v>
      </c>
      <c r="P56" s="148" t="str">
        <f>IF(O56&lt;&gt;" ",'Feuille de Donnée'!$C$3,"")</f>
        <v/>
      </c>
      <c r="Q56" s="162" t="str" cm="1">
        <f t="array" aca="1" ref="Q56" ca="1">IFERROR(IF(_xlfn.XLOOKUP(J56,ETANCHEITE!X$22:X$92,ETANCHEITE!V$22:V$92,"")&lt;&gt;"",_xlfn.XLOOKUP(J56,ETANCHEITE!X$22:X$92,ETANCHEITE!V$22:V$92,""),    INDEX(ETANCHEITE!V:V,MAX(_xlfn._xlws.FILTER(ROW(ETANCHEITE!V$22:INDIRECT("'PEINTURE'!O" &amp; M56-1)),ETANCHEITE!V$22:INDIRECT("'PEINTURE'!O" &amp; M56-1)&lt;&gt;"")))),"")</f>
        <v/>
      </c>
      <c r="R56" s="163" t="str" cm="1">
        <f t="array" aca="1" ref="R56" ca="1">IFERROR(IF(_xlfn.XLOOKUP(J56,ETANCHEITE!X$22:X$92,ETANCHEITE!W$22:W$92,"")&lt;&gt;"",_xlfn.XLOOKUP(J56,ETANCHEITE!X$22:X$92,ETANCHEITE!W$22:W$92,""),    INDEX(ETANCHEITE!W:W,MAX(_xlfn._xlws.FILTER(ROW(ETANCHEITE!W$22:INDIRECT("'PEINTURE'!P" &amp; M56-1)),ETANCHEITE!W$22:INDIRECT("'PEINTURE'!P" &amp; M56-1)&lt;&gt;"")))),"")</f>
        <v/>
      </c>
      <c r="S56" s="145">
        <v>54</v>
      </c>
      <c r="T56" s="154" t="str">
        <f>IF(X56&lt;&gt;" ",ETANCHEITE!$D$5,"")</f>
        <v/>
      </c>
      <c r="U56" s="154" t="str">
        <f>IF(X56&lt;&gt;" ",ETANCHEITE!$D$8,"")</f>
        <v/>
      </c>
      <c r="V56" s="146" t="str">
        <f>IFERROR(MATCH(S56,ETANCHEITE!AG$22:AG$167,0)+18,"")</f>
        <v/>
      </c>
      <c r="W56" s="147" t="str" cm="1">
        <f t="array" aca="1" ref="W56" ca="1">IFERROR(IF(_xlfn.XLOOKUP(S56,ETANCHEITE!AG$22:AG$167,ETANCHEITE!$A$22:$A$167,"")&lt;&gt;"",_xlfn.XLOOKUP(S56,ETANCHEITE!AG$22:AG$167,ETANCHEITE!$A$22:$A$167,""),    INDEX(ETANCHEITE!$A:$A,MAX(_xlfn._xlws.FILTER(ROW(ETANCHEITE!$A$22:INDIRECT("'MENUISERIES EXTERIEURES'!$A" &amp; V56-1)),ETANCHEITE!$A$22:INDIRECT("'MENUISERIES EXTERIEURES'!$A" &amp; V56-1)&lt;&gt;"")))),"")&amp;"   "&amp;IFERROR(_xlfn.XLOOKUP(S56,ETANCHEITE!AG$22:AG$167,ETANCHEITE!$B$22:$B$167),"")&amp;IFERROR(_xlfn.XLOOKUP(S56,ETANCHEITE!AG$22:AG$167,ETANCHEITE!$C$22:$C$167),"")&amp;IFERROR(_xlfn.XLOOKUP(S56,ETANCHEITE!AG$22:AG$167,ETANCHEITE!$D$22:$D$167),"")&amp;IFERROR(_xlfn.XLOOKUP(S56,ETANCHEITE!AG$22:AG$167,ETANCHEITE!#REF!),"")&amp;IFERROR(_xlfn.XLOOKUP(S56,ETANCHEITE!AG$22:AG$167,ETANCHEITE!#REF!),"")</f>
        <v xml:space="preserve">   </v>
      </c>
      <c r="X56" s="155" t="str">
        <f>IFERROR(VLOOKUP(S56,ETANCHEITE!AG$22:AI$167,2,FALSE),"")&amp;" "&amp;IFERROR(VLOOKUP(S56,ETANCHEITE!AG$22:AI$167,3,FALSE),"")</f>
        <v xml:space="preserve"> </v>
      </c>
      <c r="Y56" s="148" t="str">
        <f>IF(X56&lt;&gt;" ",'Feuille de Donnée'!$C$3,"")</f>
        <v/>
      </c>
      <c r="Z56" s="162" t="str" cm="1">
        <f t="array" aca="1" ref="Z56" ca="1">IFERROR(IF(_xlfn.XLOOKUP(S56,ETANCHEITE!AG$22:AG$92,ETANCHEITE!AE$22:AE$92,"")&lt;&gt;"",_xlfn.XLOOKUP(S56,ETANCHEITE!AG$22:AG$92,ETANCHEITE!AE$22:AE$92,""),    INDEX(ETANCHEITE!AE:AE,MAX(_xlfn._xlws.FILTER(ROW(ETANCHEITE!AE$22:INDIRECT("'PEINTURE'!O" &amp; V56-1)),ETANCHEITE!AE$22:INDIRECT("'PEINTURE'!O" &amp; V56-1)&lt;&gt;"")))),"")</f>
        <v/>
      </c>
      <c r="AA56" s="163" t="str" cm="1">
        <f t="array" aca="1" ref="AA56" ca="1">IFERROR(IF(_xlfn.XLOOKUP(S56,ETANCHEITE!AG$22:AG$92,ETANCHEITE!AF$22:AF$92,"")&lt;&gt;"",_xlfn.XLOOKUP(S56,ETANCHEITE!AG$22:AG$92,ETANCHEITE!AF$22:AF$92,""),    INDEX(ETANCHEITE!AF:AF,MAX(_xlfn._xlws.FILTER(ROW(ETANCHEITE!AF$22:INDIRECT("'PEINTURE'!P" &amp; V56-1)),ETANCHEITE!AF$22:INDIRECT("'PEINTURE'!P" &amp; V56-1)&lt;&gt;"")))),"")</f>
        <v/>
      </c>
      <c r="AB56" s="145">
        <v>54</v>
      </c>
      <c r="AC56" s="154" t="str">
        <f>IF(AG56&lt;&gt;" ",ETANCHEITE!$D$5,"")</f>
        <v/>
      </c>
      <c r="AD56" s="154" t="str">
        <f>IF(AG56&lt;&gt;" ",ETANCHEITE!$D$8,"")</f>
        <v/>
      </c>
      <c r="AE56" s="146" t="str">
        <f>IFERROR(MATCH(AB56,ETANCHEITE!AP$22:AP$167,0)+18,"")</f>
        <v/>
      </c>
      <c r="AF56" s="147" t="str" cm="1">
        <f t="array" aca="1" ref="AF56" ca="1">IFERROR(IF(_xlfn.XLOOKUP(AB56,ETANCHEITE!AP$22:AP$167,ETANCHEITE!$A$22:$A$167,"")&lt;&gt;"",_xlfn.XLOOKUP(AB56,ETANCHEITE!AP$22:AP$167,ETANCHEITE!$A$22:$A$167,""),    INDEX(ETANCHEITE!$A:$A,MAX(_xlfn._xlws.FILTER(ROW(ETANCHEITE!$A$22:INDIRECT("'MENUISERIES EXTERIEURES'!$A" &amp; AE56-1)),ETANCHEITE!$A$22:INDIRECT("'MENUISERIES EXTERIEURES'!$A" &amp; AE56-1)&lt;&gt;"")))),"")&amp;"   "&amp;IFERROR(_xlfn.XLOOKUP(AB56,ETANCHEITE!AP$22:AP$167,ETANCHEITE!$B$22:$B$167),"")&amp;IFERROR(_xlfn.XLOOKUP(AB56,ETANCHEITE!AP$22:AP$167,ETANCHEITE!$C$22:$C$167),"")&amp;IFERROR(_xlfn.XLOOKUP(AB56,ETANCHEITE!AP$22:AP$167,ETANCHEITE!$D$22:$D$167),"")&amp;IFERROR(_xlfn.XLOOKUP(AB56,ETANCHEITE!AP$22:AP$167,ETANCHEITE!#REF!),"")&amp;IFERROR(_xlfn.XLOOKUP(AB56,ETANCHEITE!AP$22:AP$167,ETANCHEITE!#REF!),"")</f>
        <v xml:space="preserve">   </v>
      </c>
      <c r="AG56" s="155" t="str">
        <f>IFERROR(VLOOKUP(AB56,ETANCHEITE!AP$22:AR$167,2,FALSE),"")&amp;" "&amp;IFERROR(VLOOKUP(AB56,ETANCHEITE!AP$22:AR$167,3,FALSE),"")</f>
        <v xml:space="preserve"> </v>
      </c>
      <c r="AH56" s="148" t="str">
        <f>IF(AG56&lt;&gt;" ",'Feuille de Donnée'!$C$3,"")</f>
        <v/>
      </c>
      <c r="AI56" s="162" t="str" cm="1">
        <f t="array" aca="1" ref="AI56" ca="1">IFERROR(IF(_xlfn.XLOOKUP(AB56,ETANCHEITE!AP$22:AP$92,ETANCHEITE!AN$22:AN$92,"")&lt;&gt;"",_xlfn.XLOOKUP(AB56,ETANCHEITE!AP$22:AP$92,ETANCHEITE!AN$22:AN$92,""),    INDEX(ETANCHEITE!AN:AN,MAX(_xlfn._xlws.FILTER(ROW(ETANCHEITE!AN$22:INDIRECT("'PEINTURE'!O" &amp; AE56-1)),ETANCHEITE!AN$22:INDIRECT("'PEINTURE'!O" &amp; AE56-1)&lt;&gt;"")))),"")</f>
        <v/>
      </c>
      <c r="AJ56" s="163" t="str" cm="1">
        <f t="array" aca="1" ref="AJ56" ca="1">IFERROR(IF(_xlfn.XLOOKUP(AB56,ETANCHEITE!AP$22:AP$92,ETANCHEITE!AO$22:AO$92,"")&lt;&gt;"",_xlfn.XLOOKUP(AB56,ETANCHEITE!AP$22:AP$92,ETANCHEITE!AO$22:AO$92,""),    INDEX(ETANCHEITE!AO:AO,MAX(_xlfn._xlws.FILTER(ROW(ETANCHEITE!AO$22:INDIRECT("'PEINTURE'!P" &amp; AE56-1)),ETANCHEITE!AO$22:INDIRECT("'PEINTURE'!P" &amp; AE56-1)&lt;&gt;"")))),"")</f>
        <v/>
      </c>
      <c r="AK56" s="145">
        <v>54</v>
      </c>
      <c r="AL56" s="154" t="str">
        <f>IF(AP56&lt;&gt;" ",ETANCHEITE!$D$5,"")</f>
        <v/>
      </c>
      <c r="AM56" s="154" t="str">
        <f>IF(AP56&lt;&gt;" ",ETANCHEITE!$D$8,"")</f>
        <v/>
      </c>
      <c r="AN56" s="146" t="str">
        <f>IFERROR(MATCH(AK56,ETANCHEITE!AY$22:AY$167,0)+18,"")</f>
        <v/>
      </c>
      <c r="AO56" s="147" t="str" cm="1">
        <f t="array" aca="1" ref="AO56" ca="1">IFERROR(IF(_xlfn.XLOOKUP(AK56,ETANCHEITE!AY$22:AY$167,ETANCHEITE!$A$22:$A$167,"")&lt;&gt;"",_xlfn.XLOOKUP(AK56,ETANCHEITE!AY$22:AY$167,ETANCHEITE!$A$22:$A$167,""),    INDEX(ETANCHEITE!$A:$A,MAX(_xlfn._xlws.FILTER(ROW(ETANCHEITE!$A$22:INDIRECT("'MENUISERIES EXTERIEURES'!$A" &amp; AN56-1)),ETANCHEITE!$A$22:INDIRECT("'MENUISERIES EXTERIEURES'!$A" &amp; AN56-1)&lt;&gt;"")))),"")&amp;"   "&amp;IFERROR(_xlfn.XLOOKUP(AK56,ETANCHEITE!AY$22:AY$167,ETANCHEITE!$B$22:$B$167),"")&amp;IFERROR(_xlfn.XLOOKUP(AK56,ETANCHEITE!AY$22:AY$167,ETANCHEITE!$C$22:$C$167),"")&amp;IFERROR(_xlfn.XLOOKUP(AK56,ETANCHEITE!AY$22:AY$167,ETANCHEITE!$D$22:$D$167),"")&amp;IFERROR(_xlfn.XLOOKUP(AK56,ETANCHEITE!AY$22:AY$167,ETANCHEITE!#REF!),"")&amp;IFERROR(_xlfn.XLOOKUP(AK56,ETANCHEITE!AY$22:AY$167,ETANCHEITE!#REF!),"")</f>
        <v xml:space="preserve">   </v>
      </c>
      <c r="AP56" s="155" t="str">
        <f>IFERROR(VLOOKUP(AK56,ETANCHEITE!AY$22:BA$167,2,FALSE),"")&amp;" "&amp;IFERROR(VLOOKUP(AK56,ETANCHEITE!AY$22:BA$167,3,FALSE),"")</f>
        <v xml:space="preserve"> </v>
      </c>
      <c r="AQ56" s="148" t="str">
        <f>IF(AP56&lt;&gt;" ",'Feuille de Donnée'!$C$3,"")</f>
        <v/>
      </c>
      <c r="AR56" s="162" t="str" cm="1">
        <f t="array" aca="1" ref="AR56" ca="1">IFERROR(IF(_xlfn.XLOOKUP(AK56,ETANCHEITE!AY$22:AY$92,ETANCHEITE!AW$22:AW$92,"")&lt;&gt;"",_xlfn.XLOOKUP(AK56,ETANCHEITE!AY$22:AY$92,ETANCHEITE!AW$22:AW$92,""),    INDEX(ETANCHEITE!AW:AW,MAX(_xlfn._xlws.FILTER(ROW(ETANCHEITE!AW$22:INDIRECT("'PEINTURE'!O" &amp; AN56-1)),ETANCHEITE!AW$22:INDIRECT("'PEINTURE'!O" &amp; AN56-1)&lt;&gt;"")))),"")</f>
        <v/>
      </c>
      <c r="AS56" s="163" t="str" cm="1">
        <f t="array" aca="1" ref="AS56" ca="1">IFERROR(IF(_xlfn.XLOOKUP(AK56,ETANCHEITE!AY$22:AY$92,ETANCHEITE!AX$22:AX$92,"")&lt;&gt;"",_xlfn.XLOOKUP(AK56,ETANCHEITE!AY$22:AY$92,ETANCHEITE!AX$22:AX$92,""),    INDEX(ETANCHEITE!AX:AX,MAX(_xlfn._xlws.FILTER(ROW(ETANCHEITE!AX$22:INDIRECT("'PEINTURE'!P" &amp; AN56-1)),ETANCHEITE!AX$22:INDIRECT("'PEINTURE'!P" &amp; AN56-1)&lt;&gt;"")))),"")</f>
        <v/>
      </c>
      <c r="AT56" s="145">
        <v>54</v>
      </c>
      <c r="AU56" s="154" t="str">
        <f>IF(AY56&lt;&gt;" ",ETANCHEITE!$D$5,"")</f>
        <v/>
      </c>
      <c r="AV56" s="154" t="str">
        <f>IF(AY56&lt;&gt;" ",ETANCHEITE!$D$8,"")</f>
        <v/>
      </c>
      <c r="AW56" s="146" t="str">
        <f>IFERROR(MATCH(AT56,ETANCHEITE!BH$22:BH$167,0)+18,"")</f>
        <v/>
      </c>
      <c r="AX56" s="147" t="str" cm="1">
        <f t="array" aca="1" ref="AX56" ca="1">IFERROR(IF(_xlfn.XLOOKUP(AT56,ETANCHEITE!BH$22:BH$167,ETANCHEITE!$A$22:$A$167,"")&lt;&gt;"",_xlfn.XLOOKUP(AT56,ETANCHEITE!BH$22:BH$167,ETANCHEITE!$A$22:$A$167,""),    INDEX(ETANCHEITE!$A:$A,MAX(_xlfn._xlws.FILTER(ROW(ETANCHEITE!$A$22:INDIRECT("'MENUISERIES EXTERIEURES'!$A" &amp; AW56-1)),ETANCHEITE!$A$22:INDIRECT("'MENUISERIES EXTERIEURES'!$A" &amp; AW56-1)&lt;&gt;"")))),"")&amp;"   "&amp;IFERROR(_xlfn.XLOOKUP(AT56,ETANCHEITE!BH$22:BH$167,ETANCHEITE!$B$22:$B$167),"")&amp;IFERROR(_xlfn.XLOOKUP(AT56,ETANCHEITE!BH$22:BH$167,ETANCHEITE!$C$22:$C$167),"")&amp;IFERROR(_xlfn.XLOOKUP(AT56,ETANCHEITE!BH$22:BH$167,ETANCHEITE!$D$22:$D$167),"")&amp;IFERROR(_xlfn.XLOOKUP(AT56,ETANCHEITE!BH$22:BH$167,ETANCHEITE!#REF!),"")&amp;IFERROR(_xlfn.XLOOKUP(AT56,ETANCHEITE!BH$22:BH$167,ETANCHEITE!#REF!),"")</f>
        <v xml:space="preserve">   </v>
      </c>
      <c r="AY56" s="155" t="str">
        <f>IFERROR(VLOOKUP(AT56,ETANCHEITE!BH$22:BJ$167,2,FALSE),"")&amp;" "&amp;IFERROR(VLOOKUP(AT56,ETANCHEITE!BH$22:BJ$167,3,FALSE),"")</f>
        <v xml:space="preserve"> </v>
      </c>
      <c r="AZ56" s="148" t="str">
        <f>IF(AY56&lt;&gt;" ",'Feuille de Donnée'!$C$3,"")</f>
        <v/>
      </c>
      <c r="BA56" s="162" t="str" cm="1">
        <f t="array" aca="1" ref="BA56" ca="1">IFERROR(IF(_xlfn.XLOOKUP(AT56,ETANCHEITE!BH$22:BH$92,ETANCHEITE!BF$22:BF$92,"")&lt;&gt;"",_xlfn.XLOOKUP(AT56,ETANCHEITE!BH$22:BH$92,ETANCHEITE!BF$22:BF$92,""),    INDEX(ETANCHEITE!BF:BF,MAX(_xlfn._xlws.FILTER(ROW(ETANCHEITE!BF$22:INDIRECT("'PEINTURE'!O" &amp; AW56-1)),ETANCHEITE!BF$22:INDIRECT("'PEINTURE'!O" &amp; AW56-1)&lt;&gt;"")))),"")</f>
        <v/>
      </c>
      <c r="BB56" s="163" t="str" cm="1">
        <f t="array" aca="1" ref="BB56" ca="1">IFERROR(IF(_xlfn.XLOOKUP(AT56,ETANCHEITE!BH$22:BH$92,ETANCHEITE!BG$22:BG$92,"")&lt;&gt;"",_xlfn.XLOOKUP(AT56,ETANCHEITE!BH$22:BH$92,ETANCHEITE!BG$22:BG$92,""),    INDEX(ETANCHEITE!BG:BG,MAX(_xlfn._xlws.FILTER(ROW(ETANCHEITE!BG$22:INDIRECT("'PEINTURE'!P" &amp; AW56-1)),ETANCHEITE!BG$22:INDIRECT("'PEINTURE'!P" &amp; AW56-1)&lt;&gt;"")))),"")</f>
        <v/>
      </c>
    </row>
    <row r="57" spans="1:54" x14ac:dyDescent="0.3">
      <c r="A57" s="145">
        <v>55</v>
      </c>
      <c r="B57" s="154" t="str">
        <f>IF(F57&lt;&gt;" ",ETANCHEITE!$D$5,"")</f>
        <v/>
      </c>
      <c r="C57" s="154" t="str">
        <f>IF(F57&lt;&gt;" ",ETANCHEITE!$D$8,"")</f>
        <v/>
      </c>
      <c r="D57" s="146" t="str">
        <f>IFERROR(MATCH(A57,ETANCHEITE!O$22:O$167,0)+18,"")</f>
        <v/>
      </c>
      <c r="E57" s="147" t="str" cm="1">
        <f t="array" aca="1" ref="E57" ca="1">IFERROR(IF(_xlfn.XLOOKUP(A57,ETANCHEITE!O$22:O$167,ETANCHEITE!$A$22:$A$167,"")&lt;&gt;"",_xlfn.XLOOKUP(A57,ETANCHEITE!O$22:O$167,ETANCHEITE!$A$22:$A$167,""),    INDEX(ETANCHEITE!$A:$A,MAX(_xlfn._xlws.FILTER(ROW(ETANCHEITE!$A$22:INDIRECT("'MENUISERIES EXTERIEURES'!$A" &amp; D57-1)),ETANCHEITE!$A$22:INDIRECT("'MENUISERIES EXTERIEURES'!$A" &amp; D57-1)&lt;&gt;"")))),"")&amp;"   "&amp;IFERROR(_xlfn.XLOOKUP(A57,ETANCHEITE!O$22:O$167,ETANCHEITE!$B$22:$B$167),"")&amp;IFERROR(_xlfn.XLOOKUP(A57,ETANCHEITE!O$22:O$167,ETANCHEITE!$C$22:$C$167),"")&amp;IFERROR(_xlfn.XLOOKUP(A57,ETANCHEITE!O$22:O$167,ETANCHEITE!$D$22:$D$167),"")&amp;IFERROR(_xlfn.XLOOKUP(A57,ETANCHEITE!O$22:O$167,ETANCHEITE!#REF!),"")&amp;IFERROR(_xlfn.XLOOKUP(A57,ETANCHEITE!O$22:O$167,ETANCHEITE!#REF!),"")</f>
        <v xml:space="preserve">   </v>
      </c>
      <c r="F57" s="155" t="str">
        <f>IFERROR(VLOOKUP(A57,ETANCHEITE!O$22:Q$167,2,FALSE),"")&amp;" "&amp;IFERROR(VLOOKUP(A57,ETANCHEITE!O$22:Q$167,3,FALSE),"")</f>
        <v xml:space="preserve"> </v>
      </c>
      <c r="G57" s="148" t="str">
        <f>IF(F57&lt;&gt;" ",'Feuille de Donnée'!$C$3,"")</f>
        <v/>
      </c>
      <c r="H57" s="162" t="str" cm="1">
        <f t="array" aca="1" ref="H57" ca="1">IFERROR(IF(_xlfn.XLOOKUP(A57,ETANCHEITE!O$22:O$92,ETANCHEITE!M$22:M$92,"")&lt;&gt;"",_xlfn.XLOOKUP(A57,ETANCHEITE!O$22:O$92,ETANCHEITE!M$22:M$92,""),    INDEX(ETANCHEITE!M:M,MAX(_xlfn._xlws.FILTER(ROW(ETANCHEITE!M$22:INDIRECT("'PEINTURE'!O" &amp; D57-1)),ETANCHEITE!M$22:INDIRECT("'PEINTURE'!O" &amp; D57-1)&lt;&gt;"")))),"")</f>
        <v/>
      </c>
      <c r="I57" s="163" t="str" cm="1">
        <f t="array" aca="1" ref="I57" ca="1">IFERROR(IF(_xlfn.XLOOKUP(A57,ETANCHEITE!O$22:O$92,ETANCHEITE!N$22:N$92,"")&lt;&gt;"",_xlfn.XLOOKUP(A57,ETANCHEITE!O$22:O$92,ETANCHEITE!N$22:N$92,""),    INDEX(ETANCHEITE!N:N,MAX(_xlfn._xlws.FILTER(ROW(ETANCHEITE!N$22:INDIRECT("'PEINTURE'!P" &amp; D57-1)),ETANCHEITE!N$22:INDIRECT("'PEINTURE'!P" &amp; D57-1)&lt;&gt;"")))),"")</f>
        <v/>
      </c>
      <c r="J57" s="145">
        <v>55</v>
      </c>
      <c r="K57" s="154" t="str">
        <f>IF(O57&lt;&gt;" ",ETANCHEITE!$D$5,"")</f>
        <v/>
      </c>
      <c r="L57" s="154" t="str">
        <f>IF(O57&lt;&gt;" ",ETANCHEITE!$D$8,"")</f>
        <v/>
      </c>
      <c r="M57" s="146" t="str">
        <f>IFERROR(MATCH(J57,ETANCHEITE!X$22:X$167,0)+18,"")</f>
        <v/>
      </c>
      <c r="N57" s="147" t="str" cm="1">
        <f t="array" aca="1" ref="N57" ca="1">IFERROR(IF(_xlfn.XLOOKUP(J57,ETANCHEITE!X$22:X$167,ETANCHEITE!$A$22:$A$167,"")&lt;&gt;"",_xlfn.XLOOKUP(J57,ETANCHEITE!X$22:X$167,ETANCHEITE!$A$22:$A$167,""),    INDEX(ETANCHEITE!$A:$A,MAX(_xlfn._xlws.FILTER(ROW(ETANCHEITE!$A$22:INDIRECT("'MENUISERIES EXTERIEURES'!$A" &amp; M57-1)),ETANCHEITE!$A$22:INDIRECT("'MENUISERIES EXTERIEURES'!$A" &amp; M57-1)&lt;&gt;"")))),"")&amp;"   "&amp;IFERROR(_xlfn.XLOOKUP(J57,ETANCHEITE!X$22:X$167,ETANCHEITE!$B$22:$B$167),"")&amp;IFERROR(_xlfn.XLOOKUP(J57,ETANCHEITE!X$22:X$167,ETANCHEITE!$C$22:$C$167),"")&amp;IFERROR(_xlfn.XLOOKUP(J57,ETANCHEITE!X$22:X$167,ETANCHEITE!$D$22:$D$167),"")&amp;IFERROR(_xlfn.XLOOKUP(J57,ETANCHEITE!X$22:X$167,ETANCHEITE!#REF!),"")&amp;IFERROR(_xlfn.XLOOKUP(J57,ETANCHEITE!X$22:X$167,ETANCHEITE!#REF!),"")</f>
        <v xml:space="preserve">   </v>
      </c>
      <c r="O57" s="155" t="str">
        <f>IFERROR(VLOOKUP(J57,ETANCHEITE!X$22:Z$167,2,FALSE),"")&amp;" "&amp;IFERROR(VLOOKUP(J57,ETANCHEITE!X$22:Z$167,3,FALSE),"")</f>
        <v xml:space="preserve"> </v>
      </c>
      <c r="P57" s="148" t="str">
        <f>IF(O57&lt;&gt;" ",'Feuille de Donnée'!$C$3,"")</f>
        <v/>
      </c>
      <c r="Q57" s="162" t="str" cm="1">
        <f t="array" aca="1" ref="Q57" ca="1">IFERROR(IF(_xlfn.XLOOKUP(J57,ETANCHEITE!X$22:X$92,ETANCHEITE!V$22:V$92,"")&lt;&gt;"",_xlfn.XLOOKUP(J57,ETANCHEITE!X$22:X$92,ETANCHEITE!V$22:V$92,""),    INDEX(ETANCHEITE!V:V,MAX(_xlfn._xlws.FILTER(ROW(ETANCHEITE!V$22:INDIRECT("'PEINTURE'!O" &amp; M57-1)),ETANCHEITE!V$22:INDIRECT("'PEINTURE'!O" &amp; M57-1)&lt;&gt;"")))),"")</f>
        <v/>
      </c>
      <c r="R57" s="163" t="str" cm="1">
        <f t="array" aca="1" ref="R57" ca="1">IFERROR(IF(_xlfn.XLOOKUP(J57,ETANCHEITE!X$22:X$92,ETANCHEITE!W$22:W$92,"")&lt;&gt;"",_xlfn.XLOOKUP(J57,ETANCHEITE!X$22:X$92,ETANCHEITE!W$22:W$92,""),    INDEX(ETANCHEITE!W:W,MAX(_xlfn._xlws.FILTER(ROW(ETANCHEITE!W$22:INDIRECT("'PEINTURE'!P" &amp; M57-1)),ETANCHEITE!W$22:INDIRECT("'PEINTURE'!P" &amp; M57-1)&lt;&gt;"")))),"")</f>
        <v/>
      </c>
      <c r="S57" s="145">
        <v>55</v>
      </c>
      <c r="T57" s="154" t="str">
        <f>IF(X57&lt;&gt;" ",ETANCHEITE!$D$5,"")</f>
        <v/>
      </c>
      <c r="U57" s="154" t="str">
        <f>IF(X57&lt;&gt;" ",ETANCHEITE!$D$8,"")</f>
        <v/>
      </c>
      <c r="V57" s="146" t="str">
        <f>IFERROR(MATCH(S57,ETANCHEITE!AG$22:AG$167,0)+18,"")</f>
        <v/>
      </c>
      <c r="W57" s="147" t="str" cm="1">
        <f t="array" aca="1" ref="W57" ca="1">IFERROR(IF(_xlfn.XLOOKUP(S57,ETANCHEITE!AG$22:AG$167,ETANCHEITE!$A$22:$A$167,"")&lt;&gt;"",_xlfn.XLOOKUP(S57,ETANCHEITE!AG$22:AG$167,ETANCHEITE!$A$22:$A$167,""),    INDEX(ETANCHEITE!$A:$A,MAX(_xlfn._xlws.FILTER(ROW(ETANCHEITE!$A$22:INDIRECT("'MENUISERIES EXTERIEURES'!$A" &amp; V57-1)),ETANCHEITE!$A$22:INDIRECT("'MENUISERIES EXTERIEURES'!$A" &amp; V57-1)&lt;&gt;"")))),"")&amp;"   "&amp;IFERROR(_xlfn.XLOOKUP(S57,ETANCHEITE!AG$22:AG$167,ETANCHEITE!$B$22:$B$167),"")&amp;IFERROR(_xlfn.XLOOKUP(S57,ETANCHEITE!AG$22:AG$167,ETANCHEITE!$C$22:$C$167),"")&amp;IFERROR(_xlfn.XLOOKUP(S57,ETANCHEITE!AG$22:AG$167,ETANCHEITE!$D$22:$D$167),"")&amp;IFERROR(_xlfn.XLOOKUP(S57,ETANCHEITE!AG$22:AG$167,ETANCHEITE!#REF!),"")&amp;IFERROR(_xlfn.XLOOKUP(S57,ETANCHEITE!AG$22:AG$167,ETANCHEITE!#REF!),"")</f>
        <v xml:space="preserve">   </v>
      </c>
      <c r="X57" s="155" t="str">
        <f>IFERROR(VLOOKUP(S57,ETANCHEITE!AG$22:AI$167,2,FALSE),"")&amp;" "&amp;IFERROR(VLOOKUP(S57,ETANCHEITE!AG$22:AI$167,3,FALSE),"")</f>
        <v xml:space="preserve"> </v>
      </c>
      <c r="Y57" s="148" t="str">
        <f>IF(X57&lt;&gt;" ",'Feuille de Donnée'!$C$3,"")</f>
        <v/>
      </c>
      <c r="Z57" s="162" t="str" cm="1">
        <f t="array" aca="1" ref="Z57" ca="1">IFERROR(IF(_xlfn.XLOOKUP(S57,ETANCHEITE!AG$22:AG$92,ETANCHEITE!AE$22:AE$92,"")&lt;&gt;"",_xlfn.XLOOKUP(S57,ETANCHEITE!AG$22:AG$92,ETANCHEITE!AE$22:AE$92,""),    INDEX(ETANCHEITE!AE:AE,MAX(_xlfn._xlws.FILTER(ROW(ETANCHEITE!AE$22:INDIRECT("'PEINTURE'!O" &amp; V57-1)),ETANCHEITE!AE$22:INDIRECT("'PEINTURE'!O" &amp; V57-1)&lt;&gt;"")))),"")</f>
        <v/>
      </c>
      <c r="AA57" s="163" t="str" cm="1">
        <f t="array" aca="1" ref="AA57" ca="1">IFERROR(IF(_xlfn.XLOOKUP(S57,ETANCHEITE!AG$22:AG$92,ETANCHEITE!AF$22:AF$92,"")&lt;&gt;"",_xlfn.XLOOKUP(S57,ETANCHEITE!AG$22:AG$92,ETANCHEITE!AF$22:AF$92,""),    INDEX(ETANCHEITE!AF:AF,MAX(_xlfn._xlws.FILTER(ROW(ETANCHEITE!AF$22:INDIRECT("'PEINTURE'!P" &amp; V57-1)),ETANCHEITE!AF$22:INDIRECT("'PEINTURE'!P" &amp; V57-1)&lt;&gt;"")))),"")</f>
        <v/>
      </c>
      <c r="AB57" s="145">
        <v>55</v>
      </c>
      <c r="AC57" s="154" t="str">
        <f>IF(AG57&lt;&gt;" ",ETANCHEITE!$D$5,"")</f>
        <v/>
      </c>
      <c r="AD57" s="154" t="str">
        <f>IF(AG57&lt;&gt;" ",ETANCHEITE!$D$8,"")</f>
        <v/>
      </c>
      <c r="AE57" s="146" t="str">
        <f>IFERROR(MATCH(AB57,ETANCHEITE!AP$22:AP$167,0)+18,"")</f>
        <v/>
      </c>
      <c r="AF57" s="147" t="str" cm="1">
        <f t="array" aca="1" ref="AF57" ca="1">IFERROR(IF(_xlfn.XLOOKUP(AB57,ETANCHEITE!AP$22:AP$167,ETANCHEITE!$A$22:$A$167,"")&lt;&gt;"",_xlfn.XLOOKUP(AB57,ETANCHEITE!AP$22:AP$167,ETANCHEITE!$A$22:$A$167,""),    INDEX(ETANCHEITE!$A:$A,MAX(_xlfn._xlws.FILTER(ROW(ETANCHEITE!$A$22:INDIRECT("'MENUISERIES EXTERIEURES'!$A" &amp; AE57-1)),ETANCHEITE!$A$22:INDIRECT("'MENUISERIES EXTERIEURES'!$A" &amp; AE57-1)&lt;&gt;"")))),"")&amp;"   "&amp;IFERROR(_xlfn.XLOOKUP(AB57,ETANCHEITE!AP$22:AP$167,ETANCHEITE!$B$22:$B$167),"")&amp;IFERROR(_xlfn.XLOOKUP(AB57,ETANCHEITE!AP$22:AP$167,ETANCHEITE!$C$22:$C$167),"")&amp;IFERROR(_xlfn.XLOOKUP(AB57,ETANCHEITE!AP$22:AP$167,ETANCHEITE!$D$22:$D$167),"")&amp;IFERROR(_xlfn.XLOOKUP(AB57,ETANCHEITE!AP$22:AP$167,ETANCHEITE!#REF!),"")&amp;IFERROR(_xlfn.XLOOKUP(AB57,ETANCHEITE!AP$22:AP$167,ETANCHEITE!#REF!),"")</f>
        <v xml:space="preserve">   </v>
      </c>
      <c r="AG57" s="155" t="str">
        <f>IFERROR(VLOOKUP(AB57,ETANCHEITE!AP$22:AR$167,2,FALSE),"")&amp;" "&amp;IFERROR(VLOOKUP(AB57,ETANCHEITE!AP$22:AR$167,3,FALSE),"")</f>
        <v xml:space="preserve"> </v>
      </c>
      <c r="AH57" s="148" t="str">
        <f>IF(AG57&lt;&gt;" ",'Feuille de Donnée'!$C$3,"")</f>
        <v/>
      </c>
      <c r="AI57" s="162" t="str" cm="1">
        <f t="array" aca="1" ref="AI57" ca="1">IFERROR(IF(_xlfn.XLOOKUP(AB57,ETANCHEITE!AP$22:AP$92,ETANCHEITE!AN$22:AN$92,"")&lt;&gt;"",_xlfn.XLOOKUP(AB57,ETANCHEITE!AP$22:AP$92,ETANCHEITE!AN$22:AN$92,""),    INDEX(ETANCHEITE!AN:AN,MAX(_xlfn._xlws.FILTER(ROW(ETANCHEITE!AN$22:INDIRECT("'PEINTURE'!O" &amp; AE57-1)),ETANCHEITE!AN$22:INDIRECT("'PEINTURE'!O" &amp; AE57-1)&lt;&gt;"")))),"")</f>
        <v/>
      </c>
      <c r="AJ57" s="163" t="str" cm="1">
        <f t="array" aca="1" ref="AJ57" ca="1">IFERROR(IF(_xlfn.XLOOKUP(AB57,ETANCHEITE!AP$22:AP$92,ETANCHEITE!AO$22:AO$92,"")&lt;&gt;"",_xlfn.XLOOKUP(AB57,ETANCHEITE!AP$22:AP$92,ETANCHEITE!AO$22:AO$92,""),    INDEX(ETANCHEITE!AO:AO,MAX(_xlfn._xlws.FILTER(ROW(ETANCHEITE!AO$22:INDIRECT("'PEINTURE'!P" &amp; AE57-1)),ETANCHEITE!AO$22:INDIRECT("'PEINTURE'!P" &amp; AE57-1)&lt;&gt;"")))),"")</f>
        <v/>
      </c>
      <c r="AK57" s="145">
        <v>55</v>
      </c>
      <c r="AL57" s="154" t="str">
        <f>IF(AP57&lt;&gt;" ",ETANCHEITE!$D$5,"")</f>
        <v/>
      </c>
      <c r="AM57" s="154" t="str">
        <f>IF(AP57&lt;&gt;" ",ETANCHEITE!$D$8,"")</f>
        <v/>
      </c>
      <c r="AN57" s="146" t="str">
        <f>IFERROR(MATCH(AK57,ETANCHEITE!AY$22:AY$167,0)+18,"")</f>
        <v/>
      </c>
      <c r="AO57" s="147" t="str" cm="1">
        <f t="array" aca="1" ref="AO57" ca="1">IFERROR(IF(_xlfn.XLOOKUP(AK57,ETANCHEITE!AY$22:AY$167,ETANCHEITE!$A$22:$A$167,"")&lt;&gt;"",_xlfn.XLOOKUP(AK57,ETANCHEITE!AY$22:AY$167,ETANCHEITE!$A$22:$A$167,""),    INDEX(ETANCHEITE!$A:$A,MAX(_xlfn._xlws.FILTER(ROW(ETANCHEITE!$A$22:INDIRECT("'MENUISERIES EXTERIEURES'!$A" &amp; AN57-1)),ETANCHEITE!$A$22:INDIRECT("'MENUISERIES EXTERIEURES'!$A" &amp; AN57-1)&lt;&gt;"")))),"")&amp;"   "&amp;IFERROR(_xlfn.XLOOKUP(AK57,ETANCHEITE!AY$22:AY$167,ETANCHEITE!$B$22:$B$167),"")&amp;IFERROR(_xlfn.XLOOKUP(AK57,ETANCHEITE!AY$22:AY$167,ETANCHEITE!$C$22:$C$167),"")&amp;IFERROR(_xlfn.XLOOKUP(AK57,ETANCHEITE!AY$22:AY$167,ETANCHEITE!$D$22:$D$167),"")&amp;IFERROR(_xlfn.XLOOKUP(AK57,ETANCHEITE!AY$22:AY$167,ETANCHEITE!#REF!),"")&amp;IFERROR(_xlfn.XLOOKUP(AK57,ETANCHEITE!AY$22:AY$167,ETANCHEITE!#REF!),"")</f>
        <v xml:space="preserve">   </v>
      </c>
      <c r="AP57" s="155" t="str">
        <f>IFERROR(VLOOKUP(AK57,ETANCHEITE!AY$22:BA$167,2,FALSE),"")&amp;" "&amp;IFERROR(VLOOKUP(AK57,ETANCHEITE!AY$22:BA$167,3,FALSE),"")</f>
        <v xml:space="preserve"> </v>
      </c>
      <c r="AQ57" s="148" t="str">
        <f>IF(AP57&lt;&gt;" ",'Feuille de Donnée'!$C$3,"")</f>
        <v/>
      </c>
      <c r="AR57" s="162" t="str" cm="1">
        <f t="array" aca="1" ref="AR57" ca="1">IFERROR(IF(_xlfn.XLOOKUP(AK57,ETANCHEITE!AY$22:AY$92,ETANCHEITE!AW$22:AW$92,"")&lt;&gt;"",_xlfn.XLOOKUP(AK57,ETANCHEITE!AY$22:AY$92,ETANCHEITE!AW$22:AW$92,""),    INDEX(ETANCHEITE!AW:AW,MAX(_xlfn._xlws.FILTER(ROW(ETANCHEITE!AW$22:INDIRECT("'PEINTURE'!O" &amp; AN57-1)),ETANCHEITE!AW$22:INDIRECT("'PEINTURE'!O" &amp; AN57-1)&lt;&gt;"")))),"")</f>
        <v/>
      </c>
      <c r="AS57" s="163" t="str" cm="1">
        <f t="array" aca="1" ref="AS57" ca="1">IFERROR(IF(_xlfn.XLOOKUP(AK57,ETANCHEITE!AY$22:AY$92,ETANCHEITE!AX$22:AX$92,"")&lt;&gt;"",_xlfn.XLOOKUP(AK57,ETANCHEITE!AY$22:AY$92,ETANCHEITE!AX$22:AX$92,""),    INDEX(ETANCHEITE!AX:AX,MAX(_xlfn._xlws.FILTER(ROW(ETANCHEITE!AX$22:INDIRECT("'PEINTURE'!P" &amp; AN57-1)),ETANCHEITE!AX$22:INDIRECT("'PEINTURE'!P" &amp; AN57-1)&lt;&gt;"")))),"")</f>
        <v/>
      </c>
      <c r="AT57" s="145">
        <v>55</v>
      </c>
      <c r="AU57" s="154" t="str">
        <f>IF(AY57&lt;&gt;" ",ETANCHEITE!$D$5,"")</f>
        <v/>
      </c>
      <c r="AV57" s="154" t="str">
        <f>IF(AY57&lt;&gt;" ",ETANCHEITE!$D$8,"")</f>
        <v/>
      </c>
      <c r="AW57" s="146" t="str">
        <f>IFERROR(MATCH(AT57,ETANCHEITE!BH$22:BH$167,0)+18,"")</f>
        <v/>
      </c>
      <c r="AX57" s="147" t="str" cm="1">
        <f t="array" aca="1" ref="AX57" ca="1">IFERROR(IF(_xlfn.XLOOKUP(AT57,ETANCHEITE!BH$22:BH$167,ETANCHEITE!$A$22:$A$167,"")&lt;&gt;"",_xlfn.XLOOKUP(AT57,ETANCHEITE!BH$22:BH$167,ETANCHEITE!$A$22:$A$167,""),    INDEX(ETANCHEITE!$A:$A,MAX(_xlfn._xlws.FILTER(ROW(ETANCHEITE!$A$22:INDIRECT("'MENUISERIES EXTERIEURES'!$A" &amp; AW57-1)),ETANCHEITE!$A$22:INDIRECT("'MENUISERIES EXTERIEURES'!$A" &amp; AW57-1)&lt;&gt;"")))),"")&amp;"   "&amp;IFERROR(_xlfn.XLOOKUP(AT57,ETANCHEITE!BH$22:BH$167,ETANCHEITE!$B$22:$B$167),"")&amp;IFERROR(_xlfn.XLOOKUP(AT57,ETANCHEITE!BH$22:BH$167,ETANCHEITE!$C$22:$C$167),"")&amp;IFERROR(_xlfn.XLOOKUP(AT57,ETANCHEITE!BH$22:BH$167,ETANCHEITE!$D$22:$D$167),"")&amp;IFERROR(_xlfn.XLOOKUP(AT57,ETANCHEITE!BH$22:BH$167,ETANCHEITE!#REF!),"")&amp;IFERROR(_xlfn.XLOOKUP(AT57,ETANCHEITE!BH$22:BH$167,ETANCHEITE!#REF!),"")</f>
        <v xml:space="preserve">   </v>
      </c>
      <c r="AY57" s="155" t="str">
        <f>IFERROR(VLOOKUP(AT57,ETANCHEITE!BH$22:BJ$167,2,FALSE),"")&amp;" "&amp;IFERROR(VLOOKUP(AT57,ETANCHEITE!BH$22:BJ$167,3,FALSE),"")</f>
        <v xml:space="preserve"> </v>
      </c>
      <c r="AZ57" s="148" t="str">
        <f>IF(AY57&lt;&gt;" ",'Feuille de Donnée'!$C$3,"")</f>
        <v/>
      </c>
      <c r="BA57" s="162" t="str" cm="1">
        <f t="array" aca="1" ref="BA57" ca="1">IFERROR(IF(_xlfn.XLOOKUP(AT57,ETANCHEITE!BH$22:BH$92,ETANCHEITE!BF$22:BF$92,"")&lt;&gt;"",_xlfn.XLOOKUP(AT57,ETANCHEITE!BH$22:BH$92,ETANCHEITE!BF$22:BF$92,""),    INDEX(ETANCHEITE!BF:BF,MAX(_xlfn._xlws.FILTER(ROW(ETANCHEITE!BF$22:INDIRECT("'PEINTURE'!O" &amp; AW57-1)),ETANCHEITE!BF$22:INDIRECT("'PEINTURE'!O" &amp; AW57-1)&lt;&gt;"")))),"")</f>
        <v/>
      </c>
      <c r="BB57" s="163" t="str" cm="1">
        <f t="array" aca="1" ref="BB57" ca="1">IFERROR(IF(_xlfn.XLOOKUP(AT57,ETANCHEITE!BH$22:BH$92,ETANCHEITE!BG$22:BG$92,"")&lt;&gt;"",_xlfn.XLOOKUP(AT57,ETANCHEITE!BH$22:BH$92,ETANCHEITE!BG$22:BG$92,""),    INDEX(ETANCHEITE!BG:BG,MAX(_xlfn._xlws.FILTER(ROW(ETANCHEITE!BG$22:INDIRECT("'PEINTURE'!P" &amp; AW57-1)),ETANCHEITE!BG$22:INDIRECT("'PEINTURE'!P" &amp; AW57-1)&lt;&gt;"")))),"")</f>
        <v/>
      </c>
    </row>
    <row r="58" spans="1:54" x14ac:dyDescent="0.3">
      <c r="A58" s="145">
        <v>56</v>
      </c>
      <c r="B58" s="154" t="str">
        <f>IF(F58&lt;&gt;" ",ETANCHEITE!$D$5,"")</f>
        <v/>
      </c>
      <c r="C58" s="154" t="str">
        <f>IF(F58&lt;&gt;" ",ETANCHEITE!$D$8,"")</f>
        <v/>
      </c>
      <c r="D58" s="146" t="str">
        <f>IFERROR(MATCH(A58,ETANCHEITE!O$22:O$167,0)+18,"")</f>
        <v/>
      </c>
      <c r="E58" s="147" t="str" cm="1">
        <f t="array" aca="1" ref="E58" ca="1">IFERROR(IF(_xlfn.XLOOKUP(A58,ETANCHEITE!O$22:O$167,ETANCHEITE!$A$22:$A$167,"")&lt;&gt;"",_xlfn.XLOOKUP(A58,ETANCHEITE!O$22:O$167,ETANCHEITE!$A$22:$A$167,""),    INDEX(ETANCHEITE!$A:$A,MAX(_xlfn._xlws.FILTER(ROW(ETANCHEITE!$A$22:INDIRECT("'MENUISERIES EXTERIEURES'!$A" &amp; D58-1)),ETANCHEITE!$A$22:INDIRECT("'MENUISERIES EXTERIEURES'!$A" &amp; D58-1)&lt;&gt;"")))),"")&amp;"   "&amp;IFERROR(_xlfn.XLOOKUP(A58,ETANCHEITE!O$22:O$167,ETANCHEITE!$B$22:$B$167),"")&amp;IFERROR(_xlfn.XLOOKUP(A58,ETANCHEITE!O$22:O$167,ETANCHEITE!$C$22:$C$167),"")&amp;IFERROR(_xlfn.XLOOKUP(A58,ETANCHEITE!O$22:O$167,ETANCHEITE!$D$22:$D$167),"")&amp;IFERROR(_xlfn.XLOOKUP(A58,ETANCHEITE!O$22:O$167,ETANCHEITE!#REF!),"")&amp;IFERROR(_xlfn.XLOOKUP(A58,ETANCHEITE!O$22:O$167,ETANCHEITE!#REF!),"")</f>
        <v xml:space="preserve">   </v>
      </c>
      <c r="F58" s="155" t="str">
        <f>IFERROR(VLOOKUP(A58,ETANCHEITE!O$22:Q$167,2,FALSE),"")&amp;" "&amp;IFERROR(VLOOKUP(A58,ETANCHEITE!O$22:Q$167,3,FALSE),"")</f>
        <v xml:space="preserve"> </v>
      </c>
      <c r="G58" s="148" t="str">
        <f>IF(F58&lt;&gt;" ",'Feuille de Donnée'!$C$3,"")</f>
        <v/>
      </c>
      <c r="H58" s="162" t="str" cm="1">
        <f t="array" aca="1" ref="H58" ca="1">IFERROR(IF(_xlfn.XLOOKUP(A58,ETANCHEITE!O$22:O$92,ETANCHEITE!M$22:M$92,"")&lt;&gt;"",_xlfn.XLOOKUP(A58,ETANCHEITE!O$22:O$92,ETANCHEITE!M$22:M$92,""),    INDEX(ETANCHEITE!M:M,MAX(_xlfn._xlws.FILTER(ROW(ETANCHEITE!M$22:INDIRECT("'PEINTURE'!O" &amp; D58-1)),ETANCHEITE!M$22:INDIRECT("'PEINTURE'!O" &amp; D58-1)&lt;&gt;"")))),"")</f>
        <v/>
      </c>
      <c r="I58" s="163" t="str" cm="1">
        <f t="array" aca="1" ref="I58" ca="1">IFERROR(IF(_xlfn.XLOOKUP(A58,ETANCHEITE!O$22:O$92,ETANCHEITE!N$22:N$92,"")&lt;&gt;"",_xlfn.XLOOKUP(A58,ETANCHEITE!O$22:O$92,ETANCHEITE!N$22:N$92,""),    INDEX(ETANCHEITE!N:N,MAX(_xlfn._xlws.FILTER(ROW(ETANCHEITE!N$22:INDIRECT("'PEINTURE'!P" &amp; D58-1)),ETANCHEITE!N$22:INDIRECT("'PEINTURE'!P" &amp; D58-1)&lt;&gt;"")))),"")</f>
        <v/>
      </c>
      <c r="J58" s="145">
        <v>56</v>
      </c>
      <c r="K58" s="154" t="str">
        <f>IF(O58&lt;&gt;" ",ETANCHEITE!$D$5,"")</f>
        <v/>
      </c>
      <c r="L58" s="154" t="str">
        <f>IF(O58&lt;&gt;" ",ETANCHEITE!$D$8,"")</f>
        <v/>
      </c>
      <c r="M58" s="146" t="str">
        <f>IFERROR(MATCH(J58,ETANCHEITE!X$22:X$167,0)+18,"")</f>
        <v/>
      </c>
      <c r="N58" s="147" t="str" cm="1">
        <f t="array" aca="1" ref="N58" ca="1">IFERROR(IF(_xlfn.XLOOKUP(J58,ETANCHEITE!X$22:X$167,ETANCHEITE!$A$22:$A$167,"")&lt;&gt;"",_xlfn.XLOOKUP(J58,ETANCHEITE!X$22:X$167,ETANCHEITE!$A$22:$A$167,""),    INDEX(ETANCHEITE!$A:$A,MAX(_xlfn._xlws.FILTER(ROW(ETANCHEITE!$A$22:INDIRECT("'MENUISERIES EXTERIEURES'!$A" &amp; M58-1)),ETANCHEITE!$A$22:INDIRECT("'MENUISERIES EXTERIEURES'!$A" &amp; M58-1)&lt;&gt;"")))),"")&amp;"   "&amp;IFERROR(_xlfn.XLOOKUP(J58,ETANCHEITE!X$22:X$167,ETANCHEITE!$B$22:$B$167),"")&amp;IFERROR(_xlfn.XLOOKUP(J58,ETANCHEITE!X$22:X$167,ETANCHEITE!$C$22:$C$167),"")&amp;IFERROR(_xlfn.XLOOKUP(J58,ETANCHEITE!X$22:X$167,ETANCHEITE!$D$22:$D$167),"")&amp;IFERROR(_xlfn.XLOOKUP(J58,ETANCHEITE!X$22:X$167,ETANCHEITE!#REF!),"")&amp;IFERROR(_xlfn.XLOOKUP(J58,ETANCHEITE!X$22:X$167,ETANCHEITE!#REF!),"")</f>
        <v xml:space="preserve">   </v>
      </c>
      <c r="O58" s="155" t="str">
        <f>IFERROR(VLOOKUP(J58,ETANCHEITE!X$22:Z$167,2,FALSE),"")&amp;" "&amp;IFERROR(VLOOKUP(J58,ETANCHEITE!X$22:Z$167,3,FALSE),"")</f>
        <v xml:space="preserve"> </v>
      </c>
      <c r="P58" s="148" t="str">
        <f>IF(O58&lt;&gt;" ",'Feuille de Donnée'!$C$3,"")</f>
        <v/>
      </c>
      <c r="Q58" s="162" t="str" cm="1">
        <f t="array" aca="1" ref="Q58" ca="1">IFERROR(IF(_xlfn.XLOOKUP(J58,ETANCHEITE!X$22:X$92,ETANCHEITE!V$22:V$92,"")&lt;&gt;"",_xlfn.XLOOKUP(J58,ETANCHEITE!X$22:X$92,ETANCHEITE!V$22:V$92,""),    INDEX(ETANCHEITE!V:V,MAX(_xlfn._xlws.FILTER(ROW(ETANCHEITE!V$22:INDIRECT("'PEINTURE'!O" &amp; M58-1)),ETANCHEITE!V$22:INDIRECT("'PEINTURE'!O" &amp; M58-1)&lt;&gt;"")))),"")</f>
        <v/>
      </c>
      <c r="R58" s="163" t="str" cm="1">
        <f t="array" aca="1" ref="R58" ca="1">IFERROR(IF(_xlfn.XLOOKUP(J58,ETANCHEITE!X$22:X$92,ETANCHEITE!W$22:W$92,"")&lt;&gt;"",_xlfn.XLOOKUP(J58,ETANCHEITE!X$22:X$92,ETANCHEITE!W$22:W$92,""),    INDEX(ETANCHEITE!W:W,MAX(_xlfn._xlws.FILTER(ROW(ETANCHEITE!W$22:INDIRECT("'PEINTURE'!P" &amp; M58-1)),ETANCHEITE!W$22:INDIRECT("'PEINTURE'!P" &amp; M58-1)&lt;&gt;"")))),"")</f>
        <v/>
      </c>
      <c r="S58" s="145">
        <v>56</v>
      </c>
      <c r="T58" s="154" t="str">
        <f>IF(X58&lt;&gt;" ",ETANCHEITE!$D$5,"")</f>
        <v/>
      </c>
      <c r="U58" s="154" t="str">
        <f>IF(X58&lt;&gt;" ",ETANCHEITE!$D$8,"")</f>
        <v/>
      </c>
      <c r="V58" s="146" t="str">
        <f>IFERROR(MATCH(S58,ETANCHEITE!AG$22:AG$167,0)+18,"")</f>
        <v/>
      </c>
      <c r="W58" s="147" t="str" cm="1">
        <f t="array" aca="1" ref="W58" ca="1">IFERROR(IF(_xlfn.XLOOKUP(S58,ETANCHEITE!AG$22:AG$167,ETANCHEITE!$A$22:$A$167,"")&lt;&gt;"",_xlfn.XLOOKUP(S58,ETANCHEITE!AG$22:AG$167,ETANCHEITE!$A$22:$A$167,""),    INDEX(ETANCHEITE!$A:$A,MAX(_xlfn._xlws.FILTER(ROW(ETANCHEITE!$A$22:INDIRECT("'MENUISERIES EXTERIEURES'!$A" &amp; V58-1)),ETANCHEITE!$A$22:INDIRECT("'MENUISERIES EXTERIEURES'!$A" &amp; V58-1)&lt;&gt;"")))),"")&amp;"   "&amp;IFERROR(_xlfn.XLOOKUP(S58,ETANCHEITE!AG$22:AG$167,ETANCHEITE!$B$22:$B$167),"")&amp;IFERROR(_xlfn.XLOOKUP(S58,ETANCHEITE!AG$22:AG$167,ETANCHEITE!$C$22:$C$167),"")&amp;IFERROR(_xlfn.XLOOKUP(S58,ETANCHEITE!AG$22:AG$167,ETANCHEITE!$D$22:$D$167),"")&amp;IFERROR(_xlfn.XLOOKUP(S58,ETANCHEITE!AG$22:AG$167,ETANCHEITE!#REF!),"")&amp;IFERROR(_xlfn.XLOOKUP(S58,ETANCHEITE!AG$22:AG$167,ETANCHEITE!#REF!),"")</f>
        <v xml:space="preserve">   </v>
      </c>
      <c r="X58" s="155" t="str">
        <f>IFERROR(VLOOKUP(S58,ETANCHEITE!AG$22:AI$167,2,FALSE),"")&amp;" "&amp;IFERROR(VLOOKUP(S58,ETANCHEITE!AG$22:AI$167,3,FALSE),"")</f>
        <v xml:space="preserve"> </v>
      </c>
      <c r="Y58" s="148" t="str">
        <f>IF(X58&lt;&gt;" ",'Feuille de Donnée'!$C$3,"")</f>
        <v/>
      </c>
      <c r="Z58" s="162" t="str" cm="1">
        <f t="array" aca="1" ref="Z58" ca="1">IFERROR(IF(_xlfn.XLOOKUP(S58,ETANCHEITE!AG$22:AG$92,ETANCHEITE!AE$22:AE$92,"")&lt;&gt;"",_xlfn.XLOOKUP(S58,ETANCHEITE!AG$22:AG$92,ETANCHEITE!AE$22:AE$92,""),    INDEX(ETANCHEITE!AE:AE,MAX(_xlfn._xlws.FILTER(ROW(ETANCHEITE!AE$22:INDIRECT("'PEINTURE'!O" &amp; V58-1)),ETANCHEITE!AE$22:INDIRECT("'PEINTURE'!O" &amp; V58-1)&lt;&gt;"")))),"")</f>
        <v/>
      </c>
      <c r="AA58" s="163" t="str" cm="1">
        <f t="array" aca="1" ref="AA58" ca="1">IFERROR(IF(_xlfn.XLOOKUP(S58,ETANCHEITE!AG$22:AG$92,ETANCHEITE!AF$22:AF$92,"")&lt;&gt;"",_xlfn.XLOOKUP(S58,ETANCHEITE!AG$22:AG$92,ETANCHEITE!AF$22:AF$92,""),    INDEX(ETANCHEITE!AF:AF,MAX(_xlfn._xlws.FILTER(ROW(ETANCHEITE!AF$22:INDIRECT("'PEINTURE'!P" &amp; V58-1)),ETANCHEITE!AF$22:INDIRECT("'PEINTURE'!P" &amp; V58-1)&lt;&gt;"")))),"")</f>
        <v/>
      </c>
      <c r="AB58" s="145">
        <v>56</v>
      </c>
      <c r="AC58" s="154" t="str">
        <f>IF(AG58&lt;&gt;" ",ETANCHEITE!$D$5,"")</f>
        <v/>
      </c>
      <c r="AD58" s="154" t="str">
        <f>IF(AG58&lt;&gt;" ",ETANCHEITE!$D$8,"")</f>
        <v/>
      </c>
      <c r="AE58" s="146" t="str">
        <f>IFERROR(MATCH(AB58,ETANCHEITE!AP$22:AP$167,0)+18,"")</f>
        <v/>
      </c>
      <c r="AF58" s="147" t="str" cm="1">
        <f t="array" aca="1" ref="AF58" ca="1">IFERROR(IF(_xlfn.XLOOKUP(AB58,ETANCHEITE!AP$22:AP$167,ETANCHEITE!$A$22:$A$167,"")&lt;&gt;"",_xlfn.XLOOKUP(AB58,ETANCHEITE!AP$22:AP$167,ETANCHEITE!$A$22:$A$167,""),    INDEX(ETANCHEITE!$A:$A,MAX(_xlfn._xlws.FILTER(ROW(ETANCHEITE!$A$22:INDIRECT("'MENUISERIES EXTERIEURES'!$A" &amp; AE58-1)),ETANCHEITE!$A$22:INDIRECT("'MENUISERIES EXTERIEURES'!$A" &amp; AE58-1)&lt;&gt;"")))),"")&amp;"   "&amp;IFERROR(_xlfn.XLOOKUP(AB58,ETANCHEITE!AP$22:AP$167,ETANCHEITE!$B$22:$B$167),"")&amp;IFERROR(_xlfn.XLOOKUP(AB58,ETANCHEITE!AP$22:AP$167,ETANCHEITE!$C$22:$C$167),"")&amp;IFERROR(_xlfn.XLOOKUP(AB58,ETANCHEITE!AP$22:AP$167,ETANCHEITE!$D$22:$D$167),"")&amp;IFERROR(_xlfn.XLOOKUP(AB58,ETANCHEITE!AP$22:AP$167,ETANCHEITE!#REF!),"")&amp;IFERROR(_xlfn.XLOOKUP(AB58,ETANCHEITE!AP$22:AP$167,ETANCHEITE!#REF!),"")</f>
        <v xml:space="preserve">   </v>
      </c>
      <c r="AG58" s="155" t="str">
        <f>IFERROR(VLOOKUP(AB58,ETANCHEITE!AP$22:AR$167,2,FALSE),"")&amp;" "&amp;IFERROR(VLOOKUP(AB58,ETANCHEITE!AP$22:AR$167,3,FALSE),"")</f>
        <v xml:space="preserve"> </v>
      </c>
      <c r="AH58" s="148" t="str">
        <f>IF(AG58&lt;&gt;" ",'Feuille de Donnée'!$C$3,"")</f>
        <v/>
      </c>
      <c r="AI58" s="162" t="str" cm="1">
        <f t="array" aca="1" ref="AI58" ca="1">IFERROR(IF(_xlfn.XLOOKUP(AB58,ETANCHEITE!AP$22:AP$92,ETANCHEITE!AN$22:AN$92,"")&lt;&gt;"",_xlfn.XLOOKUP(AB58,ETANCHEITE!AP$22:AP$92,ETANCHEITE!AN$22:AN$92,""),    INDEX(ETANCHEITE!AN:AN,MAX(_xlfn._xlws.FILTER(ROW(ETANCHEITE!AN$22:INDIRECT("'PEINTURE'!O" &amp; AE58-1)),ETANCHEITE!AN$22:INDIRECT("'PEINTURE'!O" &amp; AE58-1)&lt;&gt;"")))),"")</f>
        <v/>
      </c>
      <c r="AJ58" s="163" t="str" cm="1">
        <f t="array" aca="1" ref="AJ58" ca="1">IFERROR(IF(_xlfn.XLOOKUP(AB58,ETANCHEITE!AP$22:AP$92,ETANCHEITE!AO$22:AO$92,"")&lt;&gt;"",_xlfn.XLOOKUP(AB58,ETANCHEITE!AP$22:AP$92,ETANCHEITE!AO$22:AO$92,""),    INDEX(ETANCHEITE!AO:AO,MAX(_xlfn._xlws.FILTER(ROW(ETANCHEITE!AO$22:INDIRECT("'PEINTURE'!P" &amp; AE58-1)),ETANCHEITE!AO$22:INDIRECT("'PEINTURE'!P" &amp; AE58-1)&lt;&gt;"")))),"")</f>
        <v/>
      </c>
      <c r="AK58" s="145">
        <v>56</v>
      </c>
      <c r="AL58" s="154" t="str">
        <f>IF(AP58&lt;&gt;" ",ETANCHEITE!$D$5,"")</f>
        <v/>
      </c>
      <c r="AM58" s="154" t="str">
        <f>IF(AP58&lt;&gt;" ",ETANCHEITE!$D$8,"")</f>
        <v/>
      </c>
      <c r="AN58" s="146" t="str">
        <f>IFERROR(MATCH(AK58,ETANCHEITE!AY$22:AY$167,0)+18,"")</f>
        <v/>
      </c>
      <c r="AO58" s="147" t="str" cm="1">
        <f t="array" aca="1" ref="AO58" ca="1">IFERROR(IF(_xlfn.XLOOKUP(AK58,ETANCHEITE!AY$22:AY$167,ETANCHEITE!$A$22:$A$167,"")&lt;&gt;"",_xlfn.XLOOKUP(AK58,ETANCHEITE!AY$22:AY$167,ETANCHEITE!$A$22:$A$167,""),    INDEX(ETANCHEITE!$A:$A,MAX(_xlfn._xlws.FILTER(ROW(ETANCHEITE!$A$22:INDIRECT("'MENUISERIES EXTERIEURES'!$A" &amp; AN58-1)),ETANCHEITE!$A$22:INDIRECT("'MENUISERIES EXTERIEURES'!$A" &amp; AN58-1)&lt;&gt;"")))),"")&amp;"   "&amp;IFERROR(_xlfn.XLOOKUP(AK58,ETANCHEITE!AY$22:AY$167,ETANCHEITE!$B$22:$B$167),"")&amp;IFERROR(_xlfn.XLOOKUP(AK58,ETANCHEITE!AY$22:AY$167,ETANCHEITE!$C$22:$C$167),"")&amp;IFERROR(_xlfn.XLOOKUP(AK58,ETANCHEITE!AY$22:AY$167,ETANCHEITE!$D$22:$D$167),"")&amp;IFERROR(_xlfn.XLOOKUP(AK58,ETANCHEITE!AY$22:AY$167,ETANCHEITE!#REF!),"")&amp;IFERROR(_xlfn.XLOOKUP(AK58,ETANCHEITE!AY$22:AY$167,ETANCHEITE!#REF!),"")</f>
        <v xml:space="preserve">   </v>
      </c>
      <c r="AP58" s="155" t="str">
        <f>IFERROR(VLOOKUP(AK58,ETANCHEITE!AY$22:BA$167,2,FALSE),"")&amp;" "&amp;IFERROR(VLOOKUP(AK58,ETANCHEITE!AY$22:BA$167,3,FALSE),"")</f>
        <v xml:space="preserve"> </v>
      </c>
      <c r="AQ58" s="148" t="str">
        <f>IF(AP58&lt;&gt;" ",'Feuille de Donnée'!$C$3,"")</f>
        <v/>
      </c>
      <c r="AR58" s="162" t="str" cm="1">
        <f t="array" aca="1" ref="AR58" ca="1">IFERROR(IF(_xlfn.XLOOKUP(AK58,ETANCHEITE!AY$22:AY$92,ETANCHEITE!AW$22:AW$92,"")&lt;&gt;"",_xlfn.XLOOKUP(AK58,ETANCHEITE!AY$22:AY$92,ETANCHEITE!AW$22:AW$92,""),    INDEX(ETANCHEITE!AW:AW,MAX(_xlfn._xlws.FILTER(ROW(ETANCHEITE!AW$22:INDIRECT("'PEINTURE'!O" &amp; AN58-1)),ETANCHEITE!AW$22:INDIRECT("'PEINTURE'!O" &amp; AN58-1)&lt;&gt;"")))),"")</f>
        <v/>
      </c>
      <c r="AS58" s="163" t="str" cm="1">
        <f t="array" aca="1" ref="AS58" ca="1">IFERROR(IF(_xlfn.XLOOKUP(AK58,ETANCHEITE!AY$22:AY$92,ETANCHEITE!AX$22:AX$92,"")&lt;&gt;"",_xlfn.XLOOKUP(AK58,ETANCHEITE!AY$22:AY$92,ETANCHEITE!AX$22:AX$92,""),    INDEX(ETANCHEITE!AX:AX,MAX(_xlfn._xlws.FILTER(ROW(ETANCHEITE!AX$22:INDIRECT("'PEINTURE'!P" &amp; AN58-1)),ETANCHEITE!AX$22:INDIRECT("'PEINTURE'!P" &amp; AN58-1)&lt;&gt;"")))),"")</f>
        <v/>
      </c>
      <c r="AT58" s="145">
        <v>56</v>
      </c>
      <c r="AU58" s="154" t="str">
        <f>IF(AY58&lt;&gt;" ",ETANCHEITE!$D$5,"")</f>
        <v/>
      </c>
      <c r="AV58" s="154" t="str">
        <f>IF(AY58&lt;&gt;" ",ETANCHEITE!$D$8,"")</f>
        <v/>
      </c>
      <c r="AW58" s="146" t="str">
        <f>IFERROR(MATCH(AT58,ETANCHEITE!BH$22:BH$167,0)+18,"")</f>
        <v/>
      </c>
      <c r="AX58" s="147" t="str" cm="1">
        <f t="array" aca="1" ref="AX58" ca="1">IFERROR(IF(_xlfn.XLOOKUP(AT58,ETANCHEITE!BH$22:BH$167,ETANCHEITE!$A$22:$A$167,"")&lt;&gt;"",_xlfn.XLOOKUP(AT58,ETANCHEITE!BH$22:BH$167,ETANCHEITE!$A$22:$A$167,""),    INDEX(ETANCHEITE!$A:$A,MAX(_xlfn._xlws.FILTER(ROW(ETANCHEITE!$A$22:INDIRECT("'MENUISERIES EXTERIEURES'!$A" &amp; AW58-1)),ETANCHEITE!$A$22:INDIRECT("'MENUISERIES EXTERIEURES'!$A" &amp; AW58-1)&lt;&gt;"")))),"")&amp;"   "&amp;IFERROR(_xlfn.XLOOKUP(AT58,ETANCHEITE!BH$22:BH$167,ETANCHEITE!$B$22:$B$167),"")&amp;IFERROR(_xlfn.XLOOKUP(AT58,ETANCHEITE!BH$22:BH$167,ETANCHEITE!$C$22:$C$167),"")&amp;IFERROR(_xlfn.XLOOKUP(AT58,ETANCHEITE!BH$22:BH$167,ETANCHEITE!$D$22:$D$167),"")&amp;IFERROR(_xlfn.XLOOKUP(AT58,ETANCHEITE!BH$22:BH$167,ETANCHEITE!#REF!),"")&amp;IFERROR(_xlfn.XLOOKUP(AT58,ETANCHEITE!BH$22:BH$167,ETANCHEITE!#REF!),"")</f>
        <v xml:space="preserve">   </v>
      </c>
      <c r="AY58" s="155" t="str">
        <f>IFERROR(VLOOKUP(AT58,ETANCHEITE!BH$22:BJ$167,2,FALSE),"")&amp;" "&amp;IFERROR(VLOOKUP(AT58,ETANCHEITE!BH$22:BJ$167,3,FALSE),"")</f>
        <v xml:space="preserve"> </v>
      </c>
      <c r="AZ58" s="148" t="str">
        <f>IF(AY58&lt;&gt;" ",'Feuille de Donnée'!$C$3,"")</f>
        <v/>
      </c>
      <c r="BA58" s="162" t="str" cm="1">
        <f t="array" aca="1" ref="BA58" ca="1">IFERROR(IF(_xlfn.XLOOKUP(AT58,ETANCHEITE!BH$22:BH$92,ETANCHEITE!BF$22:BF$92,"")&lt;&gt;"",_xlfn.XLOOKUP(AT58,ETANCHEITE!BH$22:BH$92,ETANCHEITE!BF$22:BF$92,""),    INDEX(ETANCHEITE!BF:BF,MAX(_xlfn._xlws.FILTER(ROW(ETANCHEITE!BF$22:INDIRECT("'PEINTURE'!O" &amp; AW58-1)),ETANCHEITE!BF$22:INDIRECT("'PEINTURE'!O" &amp; AW58-1)&lt;&gt;"")))),"")</f>
        <v/>
      </c>
      <c r="BB58" s="163" t="str" cm="1">
        <f t="array" aca="1" ref="BB58" ca="1">IFERROR(IF(_xlfn.XLOOKUP(AT58,ETANCHEITE!BH$22:BH$92,ETANCHEITE!BG$22:BG$92,"")&lt;&gt;"",_xlfn.XLOOKUP(AT58,ETANCHEITE!BH$22:BH$92,ETANCHEITE!BG$22:BG$92,""),    INDEX(ETANCHEITE!BG:BG,MAX(_xlfn._xlws.FILTER(ROW(ETANCHEITE!BG$22:INDIRECT("'PEINTURE'!P" &amp; AW58-1)),ETANCHEITE!BG$22:INDIRECT("'PEINTURE'!P" &amp; AW58-1)&lt;&gt;"")))),"")</f>
        <v/>
      </c>
    </row>
    <row r="59" spans="1:54" x14ac:dyDescent="0.3">
      <c r="A59" s="145">
        <v>57</v>
      </c>
      <c r="B59" s="154" t="str">
        <f>IF(F59&lt;&gt;" ",ETANCHEITE!$D$5,"")</f>
        <v/>
      </c>
      <c r="C59" s="154" t="str">
        <f>IF(F59&lt;&gt;" ",ETANCHEITE!$D$8,"")</f>
        <v/>
      </c>
      <c r="D59" s="146" t="str">
        <f>IFERROR(MATCH(A59,ETANCHEITE!O$22:O$167,0)+18,"")</f>
        <v/>
      </c>
      <c r="E59" s="147" t="str" cm="1">
        <f t="array" aca="1" ref="E59" ca="1">IFERROR(IF(_xlfn.XLOOKUP(A59,ETANCHEITE!O$22:O$167,ETANCHEITE!$A$22:$A$167,"")&lt;&gt;"",_xlfn.XLOOKUP(A59,ETANCHEITE!O$22:O$167,ETANCHEITE!$A$22:$A$167,""),    INDEX(ETANCHEITE!$A:$A,MAX(_xlfn._xlws.FILTER(ROW(ETANCHEITE!$A$22:INDIRECT("'MENUISERIES EXTERIEURES'!$A" &amp; D59-1)),ETANCHEITE!$A$22:INDIRECT("'MENUISERIES EXTERIEURES'!$A" &amp; D59-1)&lt;&gt;"")))),"")&amp;"   "&amp;IFERROR(_xlfn.XLOOKUP(A59,ETANCHEITE!O$22:O$167,ETANCHEITE!$B$22:$B$167),"")&amp;IFERROR(_xlfn.XLOOKUP(A59,ETANCHEITE!O$22:O$167,ETANCHEITE!$C$22:$C$167),"")&amp;IFERROR(_xlfn.XLOOKUP(A59,ETANCHEITE!O$22:O$167,ETANCHEITE!$D$22:$D$167),"")&amp;IFERROR(_xlfn.XLOOKUP(A59,ETANCHEITE!O$22:O$167,ETANCHEITE!#REF!),"")&amp;IFERROR(_xlfn.XLOOKUP(A59,ETANCHEITE!O$22:O$167,ETANCHEITE!#REF!),"")</f>
        <v xml:space="preserve">   </v>
      </c>
      <c r="F59" s="155" t="str">
        <f>IFERROR(VLOOKUP(A59,ETANCHEITE!O$22:Q$167,2,FALSE),"")&amp;" "&amp;IFERROR(VLOOKUP(A59,ETANCHEITE!O$22:Q$167,3,FALSE),"")</f>
        <v xml:space="preserve"> </v>
      </c>
      <c r="G59" s="148" t="str">
        <f>IF(F59&lt;&gt;" ",'Feuille de Donnée'!$C$3,"")</f>
        <v/>
      </c>
      <c r="H59" s="162" t="str" cm="1">
        <f t="array" aca="1" ref="H59" ca="1">IFERROR(IF(_xlfn.XLOOKUP(A59,ETANCHEITE!O$22:O$92,ETANCHEITE!M$22:M$92,"")&lt;&gt;"",_xlfn.XLOOKUP(A59,ETANCHEITE!O$22:O$92,ETANCHEITE!M$22:M$92,""),    INDEX(ETANCHEITE!M:M,MAX(_xlfn._xlws.FILTER(ROW(ETANCHEITE!M$22:INDIRECT("'PEINTURE'!O" &amp; D59-1)),ETANCHEITE!M$22:INDIRECT("'PEINTURE'!O" &amp; D59-1)&lt;&gt;"")))),"")</f>
        <v/>
      </c>
      <c r="I59" s="163" t="str" cm="1">
        <f t="array" aca="1" ref="I59" ca="1">IFERROR(IF(_xlfn.XLOOKUP(A59,ETANCHEITE!O$22:O$92,ETANCHEITE!N$22:N$92,"")&lt;&gt;"",_xlfn.XLOOKUP(A59,ETANCHEITE!O$22:O$92,ETANCHEITE!N$22:N$92,""),    INDEX(ETANCHEITE!N:N,MAX(_xlfn._xlws.FILTER(ROW(ETANCHEITE!N$22:INDIRECT("'PEINTURE'!P" &amp; D59-1)),ETANCHEITE!N$22:INDIRECT("'PEINTURE'!P" &amp; D59-1)&lt;&gt;"")))),"")</f>
        <v/>
      </c>
      <c r="J59" s="145">
        <v>57</v>
      </c>
      <c r="K59" s="154" t="str">
        <f>IF(O59&lt;&gt;" ",ETANCHEITE!$D$5,"")</f>
        <v/>
      </c>
      <c r="L59" s="154" t="str">
        <f>IF(O59&lt;&gt;" ",ETANCHEITE!$D$8,"")</f>
        <v/>
      </c>
      <c r="M59" s="146" t="str">
        <f>IFERROR(MATCH(J59,ETANCHEITE!X$22:X$167,0)+18,"")</f>
        <v/>
      </c>
      <c r="N59" s="147" t="str" cm="1">
        <f t="array" aca="1" ref="N59" ca="1">IFERROR(IF(_xlfn.XLOOKUP(J59,ETANCHEITE!X$22:X$167,ETANCHEITE!$A$22:$A$167,"")&lt;&gt;"",_xlfn.XLOOKUP(J59,ETANCHEITE!X$22:X$167,ETANCHEITE!$A$22:$A$167,""),    INDEX(ETANCHEITE!$A:$A,MAX(_xlfn._xlws.FILTER(ROW(ETANCHEITE!$A$22:INDIRECT("'MENUISERIES EXTERIEURES'!$A" &amp; M59-1)),ETANCHEITE!$A$22:INDIRECT("'MENUISERIES EXTERIEURES'!$A" &amp; M59-1)&lt;&gt;"")))),"")&amp;"   "&amp;IFERROR(_xlfn.XLOOKUP(J59,ETANCHEITE!X$22:X$167,ETANCHEITE!$B$22:$B$167),"")&amp;IFERROR(_xlfn.XLOOKUP(J59,ETANCHEITE!X$22:X$167,ETANCHEITE!$C$22:$C$167),"")&amp;IFERROR(_xlfn.XLOOKUP(J59,ETANCHEITE!X$22:X$167,ETANCHEITE!$D$22:$D$167),"")&amp;IFERROR(_xlfn.XLOOKUP(J59,ETANCHEITE!X$22:X$167,ETANCHEITE!#REF!),"")&amp;IFERROR(_xlfn.XLOOKUP(J59,ETANCHEITE!X$22:X$167,ETANCHEITE!#REF!),"")</f>
        <v xml:space="preserve">   </v>
      </c>
      <c r="O59" s="155" t="str">
        <f>IFERROR(VLOOKUP(J59,ETANCHEITE!X$22:Z$167,2,FALSE),"")&amp;" "&amp;IFERROR(VLOOKUP(J59,ETANCHEITE!X$22:Z$167,3,FALSE),"")</f>
        <v xml:space="preserve"> </v>
      </c>
      <c r="P59" s="148" t="str">
        <f>IF(O59&lt;&gt;" ",'Feuille de Donnée'!$C$3,"")</f>
        <v/>
      </c>
      <c r="Q59" s="162" t="str" cm="1">
        <f t="array" aca="1" ref="Q59" ca="1">IFERROR(IF(_xlfn.XLOOKUP(J59,ETANCHEITE!X$22:X$92,ETANCHEITE!V$22:V$92,"")&lt;&gt;"",_xlfn.XLOOKUP(J59,ETANCHEITE!X$22:X$92,ETANCHEITE!V$22:V$92,""),    INDEX(ETANCHEITE!V:V,MAX(_xlfn._xlws.FILTER(ROW(ETANCHEITE!V$22:INDIRECT("'PEINTURE'!O" &amp; M59-1)),ETANCHEITE!V$22:INDIRECT("'PEINTURE'!O" &amp; M59-1)&lt;&gt;"")))),"")</f>
        <v/>
      </c>
      <c r="R59" s="163" t="str" cm="1">
        <f t="array" aca="1" ref="R59" ca="1">IFERROR(IF(_xlfn.XLOOKUP(J59,ETANCHEITE!X$22:X$92,ETANCHEITE!W$22:W$92,"")&lt;&gt;"",_xlfn.XLOOKUP(J59,ETANCHEITE!X$22:X$92,ETANCHEITE!W$22:W$92,""),    INDEX(ETANCHEITE!W:W,MAX(_xlfn._xlws.FILTER(ROW(ETANCHEITE!W$22:INDIRECT("'PEINTURE'!P" &amp; M59-1)),ETANCHEITE!W$22:INDIRECT("'PEINTURE'!P" &amp; M59-1)&lt;&gt;"")))),"")</f>
        <v/>
      </c>
      <c r="S59" s="145">
        <v>57</v>
      </c>
      <c r="T59" s="154" t="str">
        <f>IF(X59&lt;&gt;" ",ETANCHEITE!$D$5,"")</f>
        <v/>
      </c>
      <c r="U59" s="154" t="str">
        <f>IF(X59&lt;&gt;" ",ETANCHEITE!$D$8,"")</f>
        <v/>
      </c>
      <c r="V59" s="146" t="str">
        <f>IFERROR(MATCH(S59,ETANCHEITE!AG$22:AG$167,0)+18,"")</f>
        <v/>
      </c>
      <c r="W59" s="147" t="str" cm="1">
        <f t="array" aca="1" ref="W59" ca="1">IFERROR(IF(_xlfn.XLOOKUP(S59,ETANCHEITE!AG$22:AG$167,ETANCHEITE!$A$22:$A$167,"")&lt;&gt;"",_xlfn.XLOOKUP(S59,ETANCHEITE!AG$22:AG$167,ETANCHEITE!$A$22:$A$167,""),    INDEX(ETANCHEITE!$A:$A,MAX(_xlfn._xlws.FILTER(ROW(ETANCHEITE!$A$22:INDIRECT("'MENUISERIES EXTERIEURES'!$A" &amp; V59-1)),ETANCHEITE!$A$22:INDIRECT("'MENUISERIES EXTERIEURES'!$A" &amp; V59-1)&lt;&gt;"")))),"")&amp;"   "&amp;IFERROR(_xlfn.XLOOKUP(S59,ETANCHEITE!AG$22:AG$167,ETANCHEITE!$B$22:$B$167),"")&amp;IFERROR(_xlfn.XLOOKUP(S59,ETANCHEITE!AG$22:AG$167,ETANCHEITE!$C$22:$C$167),"")&amp;IFERROR(_xlfn.XLOOKUP(S59,ETANCHEITE!AG$22:AG$167,ETANCHEITE!$D$22:$D$167),"")&amp;IFERROR(_xlfn.XLOOKUP(S59,ETANCHEITE!AG$22:AG$167,ETANCHEITE!#REF!),"")&amp;IFERROR(_xlfn.XLOOKUP(S59,ETANCHEITE!AG$22:AG$167,ETANCHEITE!#REF!),"")</f>
        <v xml:space="preserve">   </v>
      </c>
      <c r="X59" s="155" t="str">
        <f>IFERROR(VLOOKUP(S59,ETANCHEITE!AG$22:AI$167,2,FALSE),"")&amp;" "&amp;IFERROR(VLOOKUP(S59,ETANCHEITE!AG$22:AI$167,3,FALSE),"")</f>
        <v xml:space="preserve"> </v>
      </c>
      <c r="Y59" s="148" t="str">
        <f>IF(X59&lt;&gt;" ",'Feuille de Donnée'!$C$3,"")</f>
        <v/>
      </c>
      <c r="Z59" s="162" t="str" cm="1">
        <f t="array" aca="1" ref="Z59" ca="1">IFERROR(IF(_xlfn.XLOOKUP(S59,ETANCHEITE!AG$22:AG$92,ETANCHEITE!AE$22:AE$92,"")&lt;&gt;"",_xlfn.XLOOKUP(S59,ETANCHEITE!AG$22:AG$92,ETANCHEITE!AE$22:AE$92,""),    INDEX(ETANCHEITE!AE:AE,MAX(_xlfn._xlws.FILTER(ROW(ETANCHEITE!AE$22:INDIRECT("'PEINTURE'!O" &amp; V59-1)),ETANCHEITE!AE$22:INDIRECT("'PEINTURE'!O" &amp; V59-1)&lt;&gt;"")))),"")</f>
        <v/>
      </c>
      <c r="AA59" s="163" t="str" cm="1">
        <f t="array" aca="1" ref="AA59" ca="1">IFERROR(IF(_xlfn.XLOOKUP(S59,ETANCHEITE!AG$22:AG$92,ETANCHEITE!AF$22:AF$92,"")&lt;&gt;"",_xlfn.XLOOKUP(S59,ETANCHEITE!AG$22:AG$92,ETANCHEITE!AF$22:AF$92,""),    INDEX(ETANCHEITE!AF:AF,MAX(_xlfn._xlws.FILTER(ROW(ETANCHEITE!AF$22:INDIRECT("'PEINTURE'!P" &amp; V59-1)),ETANCHEITE!AF$22:INDIRECT("'PEINTURE'!P" &amp; V59-1)&lt;&gt;"")))),"")</f>
        <v/>
      </c>
      <c r="AB59" s="145">
        <v>57</v>
      </c>
      <c r="AC59" s="154" t="str">
        <f>IF(AG59&lt;&gt;" ",ETANCHEITE!$D$5,"")</f>
        <v/>
      </c>
      <c r="AD59" s="154" t="str">
        <f>IF(AG59&lt;&gt;" ",ETANCHEITE!$D$8,"")</f>
        <v/>
      </c>
      <c r="AE59" s="146" t="str">
        <f>IFERROR(MATCH(AB59,ETANCHEITE!AP$22:AP$167,0)+18,"")</f>
        <v/>
      </c>
      <c r="AF59" s="147" t="str" cm="1">
        <f t="array" aca="1" ref="AF59" ca="1">IFERROR(IF(_xlfn.XLOOKUP(AB59,ETANCHEITE!AP$22:AP$167,ETANCHEITE!$A$22:$A$167,"")&lt;&gt;"",_xlfn.XLOOKUP(AB59,ETANCHEITE!AP$22:AP$167,ETANCHEITE!$A$22:$A$167,""),    INDEX(ETANCHEITE!$A:$A,MAX(_xlfn._xlws.FILTER(ROW(ETANCHEITE!$A$22:INDIRECT("'MENUISERIES EXTERIEURES'!$A" &amp; AE59-1)),ETANCHEITE!$A$22:INDIRECT("'MENUISERIES EXTERIEURES'!$A" &amp; AE59-1)&lt;&gt;"")))),"")&amp;"   "&amp;IFERROR(_xlfn.XLOOKUP(AB59,ETANCHEITE!AP$22:AP$167,ETANCHEITE!$B$22:$B$167),"")&amp;IFERROR(_xlfn.XLOOKUP(AB59,ETANCHEITE!AP$22:AP$167,ETANCHEITE!$C$22:$C$167),"")&amp;IFERROR(_xlfn.XLOOKUP(AB59,ETANCHEITE!AP$22:AP$167,ETANCHEITE!$D$22:$D$167),"")&amp;IFERROR(_xlfn.XLOOKUP(AB59,ETANCHEITE!AP$22:AP$167,ETANCHEITE!#REF!),"")&amp;IFERROR(_xlfn.XLOOKUP(AB59,ETANCHEITE!AP$22:AP$167,ETANCHEITE!#REF!),"")</f>
        <v xml:space="preserve">   </v>
      </c>
      <c r="AG59" s="155" t="str">
        <f>IFERROR(VLOOKUP(AB59,ETANCHEITE!AP$22:AR$167,2,FALSE),"")&amp;" "&amp;IFERROR(VLOOKUP(AB59,ETANCHEITE!AP$22:AR$167,3,FALSE),"")</f>
        <v xml:space="preserve"> </v>
      </c>
      <c r="AH59" s="148" t="str">
        <f>IF(AG59&lt;&gt;" ",'Feuille de Donnée'!$C$3,"")</f>
        <v/>
      </c>
      <c r="AI59" s="162" t="str" cm="1">
        <f t="array" aca="1" ref="AI59" ca="1">IFERROR(IF(_xlfn.XLOOKUP(AB59,ETANCHEITE!AP$22:AP$92,ETANCHEITE!AN$22:AN$92,"")&lt;&gt;"",_xlfn.XLOOKUP(AB59,ETANCHEITE!AP$22:AP$92,ETANCHEITE!AN$22:AN$92,""),    INDEX(ETANCHEITE!AN:AN,MAX(_xlfn._xlws.FILTER(ROW(ETANCHEITE!AN$22:INDIRECT("'PEINTURE'!O" &amp; AE59-1)),ETANCHEITE!AN$22:INDIRECT("'PEINTURE'!O" &amp; AE59-1)&lt;&gt;"")))),"")</f>
        <v/>
      </c>
      <c r="AJ59" s="163" t="str" cm="1">
        <f t="array" aca="1" ref="AJ59" ca="1">IFERROR(IF(_xlfn.XLOOKUP(AB59,ETANCHEITE!AP$22:AP$92,ETANCHEITE!AO$22:AO$92,"")&lt;&gt;"",_xlfn.XLOOKUP(AB59,ETANCHEITE!AP$22:AP$92,ETANCHEITE!AO$22:AO$92,""),    INDEX(ETANCHEITE!AO:AO,MAX(_xlfn._xlws.FILTER(ROW(ETANCHEITE!AO$22:INDIRECT("'PEINTURE'!P" &amp; AE59-1)),ETANCHEITE!AO$22:INDIRECT("'PEINTURE'!P" &amp; AE59-1)&lt;&gt;"")))),"")</f>
        <v/>
      </c>
      <c r="AK59" s="145">
        <v>57</v>
      </c>
      <c r="AL59" s="154" t="str">
        <f>IF(AP59&lt;&gt;" ",ETANCHEITE!$D$5,"")</f>
        <v/>
      </c>
      <c r="AM59" s="154" t="str">
        <f>IF(AP59&lt;&gt;" ",ETANCHEITE!$D$8,"")</f>
        <v/>
      </c>
      <c r="AN59" s="146" t="str">
        <f>IFERROR(MATCH(AK59,ETANCHEITE!AY$22:AY$167,0)+18,"")</f>
        <v/>
      </c>
      <c r="AO59" s="147" t="str" cm="1">
        <f t="array" aca="1" ref="AO59" ca="1">IFERROR(IF(_xlfn.XLOOKUP(AK59,ETANCHEITE!AY$22:AY$167,ETANCHEITE!$A$22:$A$167,"")&lt;&gt;"",_xlfn.XLOOKUP(AK59,ETANCHEITE!AY$22:AY$167,ETANCHEITE!$A$22:$A$167,""),    INDEX(ETANCHEITE!$A:$A,MAX(_xlfn._xlws.FILTER(ROW(ETANCHEITE!$A$22:INDIRECT("'MENUISERIES EXTERIEURES'!$A" &amp; AN59-1)),ETANCHEITE!$A$22:INDIRECT("'MENUISERIES EXTERIEURES'!$A" &amp; AN59-1)&lt;&gt;"")))),"")&amp;"   "&amp;IFERROR(_xlfn.XLOOKUP(AK59,ETANCHEITE!AY$22:AY$167,ETANCHEITE!$B$22:$B$167),"")&amp;IFERROR(_xlfn.XLOOKUP(AK59,ETANCHEITE!AY$22:AY$167,ETANCHEITE!$C$22:$C$167),"")&amp;IFERROR(_xlfn.XLOOKUP(AK59,ETANCHEITE!AY$22:AY$167,ETANCHEITE!$D$22:$D$167),"")&amp;IFERROR(_xlfn.XLOOKUP(AK59,ETANCHEITE!AY$22:AY$167,ETANCHEITE!#REF!),"")&amp;IFERROR(_xlfn.XLOOKUP(AK59,ETANCHEITE!AY$22:AY$167,ETANCHEITE!#REF!),"")</f>
        <v xml:space="preserve">   </v>
      </c>
      <c r="AP59" s="155" t="str">
        <f>IFERROR(VLOOKUP(AK59,ETANCHEITE!AY$22:BA$167,2,FALSE),"")&amp;" "&amp;IFERROR(VLOOKUP(AK59,ETANCHEITE!AY$22:BA$167,3,FALSE),"")</f>
        <v xml:space="preserve"> </v>
      </c>
      <c r="AQ59" s="148" t="str">
        <f>IF(AP59&lt;&gt;" ",'Feuille de Donnée'!$C$3,"")</f>
        <v/>
      </c>
      <c r="AR59" s="162" t="str" cm="1">
        <f t="array" aca="1" ref="AR59" ca="1">IFERROR(IF(_xlfn.XLOOKUP(AK59,ETANCHEITE!AY$22:AY$92,ETANCHEITE!AW$22:AW$92,"")&lt;&gt;"",_xlfn.XLOOKUP(AK59,ETANCHEITE!AY$22:AY$92,ETANCHEITE!AW$22:AW$92,""),    INDEX(ETANCHEITE!AW:AW,MAX(_xlfn._xlws.FILTER(ROW(ETANCHEITE!AW$22:INDIRECT("'PEINTURE'!O" &amp; AN59-1)),ETANCHEITE!AW$22:INDIRECT("'PEINTURE'!O" &amp; AN59-1)&lt;&gt;"")))),"")</f>
        <v/>
      </c>
      <c r="AS59" s="163" t="str" cm="1">
        <f t="array" aca="1" ref="AS59" ca="1">IFERROR(IF(_xlfn.XLOOKUP(AK59,ETANCHEITE!AY$22:AY$92,ETANCHEITE!AX$22:AX$92,"")&lt;&gt;"",_xlfn.XLOOKUP(AK59,ETANCHEITE!AY$22:AY$92,ETANCHEITE!AX$22:AX$92,""),    INDEX(ETANCHEITE!AX:AX,MAX(_xlfn._xlws.FILTER(ROW(ETANCHEITE!AX$22:INDIRECT("'PEINTURE'!P" &amp; AN59-1)),ETANCHEITE!AX$22:INDIRECT("'PEINTURE'!P" &amp; AN59-1)&lt;&gt;"")))),"")</f>
        <v/>
      </c>
      <c r="AT59" s="145">
        <v>57</v>
      </c>
      <c r="AU59" s="154" t="str">
        <f>IF(AY59&lt;&gt;" ",ETANCHEITE!$D$5,"")</f>
        <v/>
      </c>
      <c r="AV59" s="154" t="str">
        <f>IF(AY59&lt;&gt;" ",ETANCHEITE!$D$8,"")</f>
        <v/>
      </c>
      <c r="AW59" s="146" t="str">
        <f>IFERROR(MATCH(AT59,ETANCHEITE!BH$22:BH$167,0)+18,"")</f>
        <v/>
      </c>
      <c r="AX59" s="147" t="str" cm="1">
        <f t="array" aca="1" ref="AX59" ca="1">IFERROR(IF(_xlfn.XLOOKUP(AT59,ETANCHEITE!BH$22:BH$167,ETANCHEITE!$A$22:$A$167,"")&lt;&gt;"",_xlfn.XLOOKUP(AT59,ETANCHEITE!BH$22:BH$167,ETANCHEITE!$A$22:$A$167,""),    INDEX(ETANCHEITE!$A:$A,MAX(_xlfn._xlws.FILTER(ROW(ETANCHEITE!$A$22:INDIRECT("'MENUISERIES EXTERIEURES'!$A" &amp; AW59-1)),ETANCHEITE!$A$22:INDIRECT("'MENUISERIES EXTERIEURES'!$A" &amp; AW59-1)&lt;&gt;"")))),"")&amp;"   "&amp;IFERROR(_xlfn.XLOOKUP(AT59,ETANCHEITE!BH$22:BH$167,ETANCHEITE!$B$22:$B$167),"")&amp;IFERROR(_xlfn.XLOOKUP(AT59,ETANCHEITE!BH$22:BH$167,ETANCHEITE!$C$22:$C$167),"")&amp;IFERROR(_xlfn.XLOOKUP(AT59,ETANCHEITE!BH$22:BH$167,ETANCHEITE!$D$22:$D$167),"")&amp;IFERROR(_xlfn.XLOOKUP(AT59,ETANCHEITE!BH$22:BH$167,ETANCHEITE!#REF!),"")&amp;IFERROR(_xlfn.XLOOKUP(AT59,ETANCHEITE!BH$22:BH$167,ETANCHEITE!#REF!),"")</f>
        <v xml:space="preserve">   </v>
      </c>
      <c r="AY59" s="155" t="str">
        <f>IFERROR(VLOOKUP(AT59,ETANCHEITE!BH$22:BJ$167,2,FALSE),"")&amp;" "&amp;IFERROR(VLOOKUP(AT59,ETANCHEITE!BH$22:BJ$167,3,FALSE),"")</f>
        <v xml:space="preserve"> </v>
      </c>
      <c r="AZ59" s="148" t="str">
        <f>IF(AY59&lt;&gt;" ",'Feuille de Donnée'!$C$3,"")</f>
        <v/>
      </c>
      <c r="BA59" s="162" t="str" cm="1">
        <f t="array" aca="1" ref="BA59" ca="1">IFERROR(IF(_xlfn.XLOOKUP(AT59,ETANCHEITE!BH$22:BH$92,ETANCHEITE!BF$22:BF$92,"")&lt;&gt;"",_xlfn.XLOOKUP(AT59,ETANCHEITE!BH$22:BH$92,ETANCHEITE!BF$22:BF$92,""),    INDEX(ETANCHEITE!BF:BF,MAX(_xlfn._xlws.FILTER(ROW(ETANCHEITE!BF$22:INDIRECT("'PEINTURE'!O" &amp; AW59-1)),ETANCHEITE!BF$22:INDIRECT("'PEINTURE'!O" &amp; AW59-1)&lt;&gt;"")))),"")</f>
        <v/>
      </c>
      <c r="BB59" s="163" t="str" cm="1">
        <f t="array" aca="1" ref="BB59" ca="1">IFERROR(IF(_xlfn.XLOOKUP(AT59,ETANCHEITE!BH$22:BH$92,ETANCHEITE!BG$22:BG$92,"")&lt;&gt;"",_xlfn.XLOOKUP(AT59,ETANCHEITE!BH$22:BH$92,ETANCHEITE!BG$22:BG$92,""),    INDEX(ETANCHEITE!BG:BG,MAX(_xlfn._xlws.FILTER(ROW(ETANCHEITE!BG$22:INDIRECT("'PEINTURE'!P" &amp; AW59-1)),ETANCHEITE!BG$22:INDIRECT("'PEINTURE'!P" &amp; AW59-1)&lt;&gt;"")))),"")</f>
        <v/>
      </c>
    </row>
    <row r="60" spans="1:54" x14ac:dyDescent="0.3">
      <c r="A60" s="145">
        <v>58</v>
      </c>
      <c r="B60" s="154" t="str">
        <f>IF(F60&lt;&gt;" ",ETANCHEITE!$D$5,"")</f>
        <v/>
      </c>
      <c r="C60" s="154" t="str">
        <f>IF(F60&lt;&gt;" ",ETANCHEITE!$D$8,"")</f>
        <v/>
      </c>
      <c r="D60" s="146" t="str">
        <f>IFERROR(MATCH(A60,ETANCHEITE!O$22:O$167,0)+18,"")</f>
        <v/>
      </c>
      <c r="E60" s="147" t="str" cm="1">
        <f t="array" aca="1" ref="E60" ca="1">IFERROR(IF(_xlfn.XLOOKUP(A60,ETANCHEITE!O$22:O$167,ETANCHEITE!$A$22:$A$167,"")&lt;&gt;"",_xlfn.XLOOKUP(A60,ETANCHEITE!O$22:O$167,ETANCHEITE!$A$22:$A$167,""),    INDEX(ETANCHEITE!$A:$A,MAX(_xlfn._xlws.FILTER(ROW(ETANCHEITE!$A$22:INDIRECT("'MENUISERIES EXTERIEURES'!$A" &amp; D60-1)),ETANCHEITE!$A$22:INDIRECT("'MENUISERIES EXTERIEURES'!$A" &amp; D60-1)&lt;&gt;"")))),"")&amp;"   "&amp;IFERROR(_xlfn.XLOOKUP(A60,ETANCHEITE!O$22:O$167,ETANCHEITE!$B$22:$B$167),"")&amp;IFERROR(_xlfn.XLOOKUP(A60,ETANCHEITE!O$22:O$167,ETANCHEITE!$C$22:$C$167),"")&amp;IFERROR(_xlfn.XLOOKUP(A60,ETANCHEITE!O$22:O$167,ETANCHEITE!$D$22:$D$167),"")&amp;IFERROR(_xlfn.XLOOKUP(A60,ETANCHEITE!O$22:O$167,ETANCHEITE!#REF!),"")&amp;IFERROR(_xlfn.XLOOKUP(A60,ETANCHEITE!O$22:O$167,ETANCHEITE!#REF!),"")</f>
        <v xml:space="preserve">   </v>
      </c>
      <c r="F60" s="155" t="str">
        <f>IFERROR(VLOOKUP(A60,ETANCHEITE!O$22:Q$167,2,FALSE),"")&amp;" "&amp;IFERROR(VLOOKUP(A60,ETANCHEITE!O$22:Q$167,3,FALSE),"")</f>
        <v xml:space="preserve"> </v>
      </c>
      <c r="G60" s="148" t="str">
        <f>IF(F60&lt;&gt;" ",'Feuille de Donnée'!$C$3,"")</f>
        <v/>
      </c>
      <c r="H60" s="162" t="str" cm="1">
        <f t="array" aca="1" ref="H60" ca="1">IFERROR(IF(_xlfn.XLOOKUP(A60,ETANCHEITE!O$22:O$92,ETANCHEITE!M$22:M$92,"")&lt;&gt;"",_xlfn.XLOOKUP(A60,ETANCHEITE!O$22:O$92,ETANCHEITE!M$22:M$92,""),    INDEX(ETANCHEITE!M:M,MAX(_xlfn._xlws.FILTER(ROW(ETANCHEITE!M$22:INDIRECT("'PEINTURE'!O" &amp; D60-1)),ETANCHEITE!M$22:INDIRECT("'PEINTURE'!O" &amp; D60-1)&lt;&gt;"")))),"")</f>
        <v/>
      </c>
      <c r="I60" s="163" t="str" cm="1">
        <f t="array" aca="1" ref="I60" ca="1">IFERROR(IF(_xlfn.XLOOKUP(A60,ETANCHEITE!O$22:O$92,ETANCHEITE!N$22:N$92,"")&lt;&gt;"",_xlfn.XLOOKUP(A60,ETANCHEITE!O$22:O$92,ETANCHEITE!N$22:N$92,""),    INDEX(ETANCHEITE!N:N,MAX(_xlfn._xlws.FILTER(ROW(ETANCHEITE!N$22:INDIRECT("'PEINTURE'!P" &amp; D60-1)),ETANCHEITE!N$22:INDIRECT("'PEINTURE'!P" &amp; D60-1)&lt;&gt;"")))),"")</f>
        <v/>
      </c>
      <c r="J60" s="145">
        <v>58</v>
      </c>
      <c r="K60" s="154" t="str">
        <f>IF(O60&lt;&gt;" ",ETANCHEITE!$D$5,"")</f>
        <v/>
      </c>
      <c r="L60" s="154" t="str">
        <f>IF(O60&lt;&gt;" ",ETANCHEITE!$D$8,"")</f>
        <v/>
      </c>
      <c r="M60" s="146" t="str">
        <f>IFERROR(MATCH(J60,ETANCHEITE!X$22:X$167,0)+18,"")</f>
        <v/>
      </c>
      <c r="N60" s="147" t="str" cm="1">
        <f t="array" aca="1" ref="N60" ca="1">IFERROR(IF(_xlfn.XLOOKUP(J60,ETANCHEITE!X$22:X$167,ETANCHEITE!$A$22:$A$167,"")&lt;&gt;"",_xlfn.XLOOKUP(J60,ETANCHEITE!X$22:X$167,ETANCHEITE!$A$22:$A$167,""),    INDEX(ETANCHEITE!$A:$A,MAX(_xlfn._xlws.FILTER(ROW(ETANCHEITE!$A$22:INDIRECT("'MENUISERIES EXTERIEURES'!$A" &amp; M60-1)),ETANCHEITE!$A$22:INDIRECT("'MENUISERIES EXTERIEURES'!$A" &amp; M60-1)&lt;&gt;"")))),"")&amp;"   "&amp;IFERROR(_xlfn.XLOOKUP(J60,ETANCHEITE!X$22:X$167,ETANCHEITE!$B$22:$B$167),"")&amp;IFERROR(_xlfn.XLOOKUP(J60,ETANCHEITE!X$22:X$167,ETANCHEITE!$C$22:$C$167),"")&amp;IFERROR(_xlfn.XLOOKUP(J60,ETANCHEITE!X$22:X$167,ETANCHEITE!$D$22:$D$167),"")&amp;IFERROR(_xlfn.XLOOKUP(J60,ETANCHEITE!X$22:X$167,ETANCHEITE!#REF!),"")&amp;IFERROR(_xlfn.XLOOKUP(J60,ETANCHEITE!X$22:X$167,ETANCHEITE!#REF!),"")</f>
        <v xml:space="preserve">   </v>
      </c>
      <c r="O60" s="155" t="str">
        <f>IFERROR(VLOOKUP(J60,ETANCHEITE!X$22:Z$167,2,FALSE),"")&amp;" "&amp;IFERROR(VLOOKUP(J60,ETANCHEITE!X$22:Z$167,3,FALSE),"")</f>
        <v xml:space="preserve"> </v>
      </c>
      <c r="P60" s="148" t="str">
        <f>IF(O60&lt;&gt;" ",'Feuille de Donnée'!$C$3,"")</f>
        <v/>
      </c>
      <c r="Q60" s="162" t="str" cm="1">
        <f t="array" aca="1" ref="Q60" ca="1">IFERROR(IF(_xlfn.XLOOKUP(J60,ETANCHEITE!X$22:X$92,ETANCHEITE!V$22:V$92,"")&lt;&gt;"",_xlfn.XLOOKUP(J60,ETANCHEITE!X$22:X$92,ETANCHEITE!V$22:V$92,""),    INDEX(ETANCHEITE!V:V,MAX(_xlfn._xlws.FILTER(ROW(ETANCHEITE!V$22:INDIRECT("'PEINTURE'!O" &amp; M60-1)),ETANCHEITE!V$22:INDIRECT("'PEINTURE'!O" &amp; M60-1)&lt;&gt;"")))),"")</f>
        <v/>
      </c>
      <c r="R60" s="163" t="str" cm="1">
        <f t="array" aca="1" ref="R60" ca="1">IFERROR(IF(_xlfn.XLOOKUP(J60,ETANCHEITE!X$22:X$92,ETANCHEITE!W$22:W$92,"")&lt;&gt;"",_xlfn.XLOOKUP(J60,ETANCHEITE!X$22:X$92,ETANCHEITE!W$22:W$92,""),    INDEX(ETANCHEITE!W:W,MAX(_xlfn._xlws.FILTER(ROW(ETANCHEITE!W$22:INDIRECT("'PEINTURE'!P" &amp; M60-1)),ETANCHEITE!W$22:INDIRECT("'PEINTURE'!P" &amp; M60-1)&lt;&gt;"")))),"")</f>
        <v/>
      </c>
      <c r="S60" s="145">
        <v>58</v>
      </c>
      <c r="T60" s="154" t="str">
        <f>IF(X60&lt;&gt;" ",ETANCHEITE!$D$5,"")</f>
        <v/>
      </c>
      <c r="U60" s="154" t="str">
        <f>IF(X60&lt;&gt;" ",ETANCHEITE!$D$8,"")</f>
        <v/>
      </c>
      <c r="V60" s="146" t="str">
        <f>IFERROR(MATCH(S60,ETANCHEITE!AG$22:AG$167,0)+18,"")</f>
        <v/>
      </c>
      <c r="W60" s="147" t="str" cm="1">
        <f t="array" aca="1" ref="W60" ca="1">IFERROR(IF(_xlfn.XLOOKUP(S60,ETANCHEITE!AG$22:AG$167,ETANCHEITE!$A$22:$A$167,"")&lt;&gt;"",_xlfn.XLOOKUP(S60,ETANCHEITE!AG$22:AG$167,ETANCHEITE!$A$22:$A$167,""),    INDEX(ETANCHEITE!$A:$A,MAX(_xlfn._xlws.FILTER(ROW(ETANCHEITE!$A$22:INDIRECT("'MENUISERIES EXTERIEURES'!$A" &amp; V60-1)),ETANCHEITE!$A$22:INDIRECT("'MENUISERIES EXTERIEURES'!$A" &amp; V60-1)&lt;&gt;"")))),"")&amp;"   "&amp;IFERROR(_xlfn.XLOOKUP(S60,ETANCHEITE!AG$22:AG$167,ETANCHEITE!$B$22:$B$167),"")&amp;IFERROR(_xlfn.XLOOKUP(S60,ETANCHEITE!AG$22:AG$167,ETANCHEITE!$C$22:$C$167),"")&amp;IFERROR(_xlfn.XLOOKUP(S60,ETANCHEITE!AG$22:AG$167,ETANCHEITE!$D$22:$D$167),"")&amp;IFERROR(_xlfn.XLOOKUP(S60,ETANCHEITE!AG$22:AG$167,ETANCHEITE!#REF!),"")&amp;IFERROR(_xlfn.XLOOKUP(S60,ETANCHEITE!AG$22:AG$167,ETANCHEITE!#REF!),"")</f>
        <v xml:space="preserve">   </v>
      </c>
      <c r="X60" s="155" t="str">
        <f>IFERROR(VLOOKUP(S60,ETANCHEITE!AG$22:AI$167,2,FALSE),"")&amp;" "&amp;IFERROR(VLOOKUP(S60,ETANCHEITE!AG$22:AI$167,3,FALSE),"")</f>
        <v xml:space="preserve"> </v>
      </c>
      <c r="Y60" s="148" t="str">
        <f>IF(X60&lt;&gt;" ",'Feuille de Donnée'!$C$3,"")</f>
        <v/>
      </c>
      <c r="Z60" s="162" t="str" cm="1">
        <f t="array" aca="1" ref="Z60" ca="1">IFERROR(IF(_xlfn.XLOOKUP(S60,ETANCHEITE!AG$22:AG$92,ETANCHEITE!AE$22:AE$92,"")&lt;&gt;"",_xlfn.XLOOKUP(S60,ETANCHEITE!AG$22:AG$92,ETANCHEITE!AE$22:AE$92,""),    INDEX(ETANCHEITE!AE:AE,MAX(_xlfn._xlws.FILTER(ROW(ETANCHEITE!AE$22:INDIRECT("'PEINTURE'!O" &amp; V60-1)),ETANCHEITE!AE$22:INDIRECT("'PEINTURE'!O" &amp; V60-1)&lt;&gt;"")))),"")</f>
        <v/>
      </c>
      <c r="AA60" s="163" t="str" cm="1">
        <f t="array" aca="1" ref="AA60" ca="1">IFERROR(IF(_xlfn.XLOOKUP(S60,ETANCHEITE!AG$22:AG$92,ETANCHEITE!AF$22:AF$92,"")&lt;&gt;"",_xlfn.XLOOKUP(S60,ETANCHEITE!AG$22:AG$92,ETANCHEITE!AF$22:AF$92,""),    INDEX(ETANCHEITE!AF:AF,MAX(_xlfn._xlws.FILTER(ROW(ETANCHEITE!AF$22:INDIRECT("'PEINTURE'!P" &amp; V60-1)),ETANCHEITE!AF$22:INDIRECT("'PEINTURE'!P" &amp; V60-1)&lt;&gt;"")))),"")</f>
        <v/>
      </c>
      <c r="AB60" s="145">
        <v>58</v>
      </c>
      <c r="AC60" s="154" t="str">
        <f>IF(AG60&lt;&gt;" ",ETANCHEITE!$D$5,"")</f>
        <v/>
      </c>
      <c r="AD60" s="154" t="str">
        <f>IF(AG60&lt;&gt;" ",ETANCHEITE!$D$8,"")</f>
        <v/>
      </c>
      <c r="AE60" s="146" t="str">
        <f>IFERROR(MATCH(AB60,ETANCHEITE!AP$22:AP$167,0)+18,"")</f>
        <v/>
      </c>
      <c r="AF60" s="147" t="str" cm="1">
        <f t="array" aca="1" ref="AF60" ca="1">IFERROR(IF(_xlfn.XLOOKUP(AB60,ETANCHEITE!AP$22:AP$167,ETANCHEITE!$A$22:$A$167,"")&lt;&gt;"",_xlfn.XLOOKUP(AB60,ETANCHEITE!AP$22:AP$167,ETANCHEITE!$A$22:$A$167,""),    INDEX(ETANCHEITE!$A:$A,MAX(_xlfn._xlws.FILTER(ROW(ETANCHEITE!$A$22:INDIRECT("'MENUISERIES EXTERIEURES'!$A" &amp; AE60-1)),ETANCHEITE!$A$22:INDIRECT("'MENUISERIES EXTERIEURES'!$A" &amp; AE60-1)&lt;&gt;"")))),"")&amp;"   "&amp;IFERROR(_xlfn.XLOOKUP(AB60,ETANCHEITE!AP$22:AP$167,ETANCHEITE!$B$22:$B$167),"")&amp;IFERROR(_xlfn.XLOOKUP(AB60,ETANCHEITE!AP$22:AP$167,ETANCHEITE!$C$22:$C$167),"")&amp;IFERROR(_xlfn.XLOOKUP(AB60,ETANCHEITE!AP$22:AP$167,ETANCHEITE!$D$22:$D$167),"")&amp;IFERROR(_xlfn.XLOOKUP(AB60,ETANCHEITE!AP$22:AP$167,ETANCHEITE!#REF!),"")&amp;IFERROR(_xlfn.XLOOKUP(AB60,ETANCHEITE!AP$22:AP$167,ETANCHEITE!#REF!),"")</f>
        <v xml:space="preserve">   </v>
      </c>
      <c r="AG60" s="155" t="str">
        <f>IFERROR(VLOOKUP(AB60,ETANCHEITE!AP$22:AR$167,2,FALSE),"")&amp;" "&amp;IFERROR(VLOOKUP(AB60,ETANCHEITE!AP$22:AR$167,3,FALSE),"")</f>
        <v xml:space="preserve"> </v>
      </c>
      <c r="AH60" s="148" t="str">
        <f>IF(AG60&lt;&gt;" ",'Feuille de Donnée'!$C$3,"")</f>
        <v/>
      </c>
      <c r="AI60" s="162" t="str" cm="1">
        <f t="array" aca="1" ref="AI60" ca="1">IFERROR(IF(_xlfn.XLOOKUP(AB60,ETANCHEITE!AP$22:AP$92,ETANCHEITE!AN$22:AN$92,"")&lt;&gt;"",_xlfn.XLOOKUP(AB60,ETANCHEITE!AP$22:AP$92,ETANCHEITE!AN$22:AN$92,""),    INDEX(ETANCHEITE!AN:AN,MAX(_xlfn._xlws.FILTER(ROW(ETANCHEITE!AN$22:INDIRECT("'PEINTURE'!O" &amp; AE60-1)),ETANCHEITE!AN$22:INDIRECT("'PEINTURE'!O" &amp; AE60-1)&lt;&gt;"")))),"")</f>
        <v/>
      </c>
      <c r="AJ60" s="163" t="str" cm="1">
        <f t="array" aca="1" ref="AJ60" ca="1">IFERROR(IF(_xlfn.XLOOKUP(AB60,ETANCHEITE!AP$22:AP$92,ETANCHEITE!AO$22:AO$92,"")&lt;&gt;"",_xlfn.XLOOKUP(AB60,ETANCHEITE!AP$22:AP$92,ETANCHEITE!AO$22:AO$92,""),    INDEX(ETANCHEITE!AO:AO,MAX(_xlfn._xlws.FILTER(ROW(ETANCHEITE!AO$22:INDIRECT("'PEINTURE'!P" &amp; AE60-1)),ETANCHEITE!AO$22:INDIRECT("'PEINTURE'!P" &amp; AE60-1)&lt;&gt;"")))),"")</f>
        <v/>
      </c>
      <c r="AK60" s="145">
        <v>58</v>
      </c>
      <c r="AL60" s="154" t="str">
        <f>IF(AP60&lt;&gt;" ",ETANCHEITE!$D$5,"")</f>
        <v/>
      </c>
      <c r="AM60" s="154" t="str">
        <f>IF(AP60&lt;&gt;" ",ETANCHEITE!$D$8,"")</f>
        <v/>
      </c>
      <c r="AN60" s="146" t="str">
        <f>IFERROR(MATCH(AK60,ETANCHEITE!AY$22:AY$167,0)+18,"")</f>
        <v/>
      </c>
      <c r="AO60" s="147" t="str" cm="1">
        <f t="array" aca="1" ref="AO60" ca="1">IFERROR(IF(_xlfn.XLOOKUP(AK60,ETANCHEITE!AY$22:AY$167,ETANCHEITE!$A$22:$A$167,"")&lt;&gt;"",_xlfn.XLOOKUP(AK60,ETANCHEITE!AY$22:AY$167,ETANCHEITE!$A$22:$A$167,""),    INDEX(ETANCHEITE!$A:$A,MAX(_xlfn._xlws.FILTER(ROW(ETANCHEITE!$A$22:INDIRECT("'MENUISERIES EXTERIEURES'!$A" &amp; AN60-1)),ETANCHEITE!$A$22:INDIRECT("'MENUISERIES EXTERIEURES'!$A" &amp; AN60-1)&lt;&gt;"")))),"")&amp;"   "&amp;IFERROR(_xlfn.XLOOKUP(AK60,ETANCHEITE!AY$22:AY$167,ETANCHEITE!$B$22:$B$167),"")&amp;IFERROR(_xlfn.XLOOKUP(AK60,ETANCHEITE!AY$22:AY$167,ETANCHEITE!$C$22:$C$167),"")&amp;IFERROR(_xlfn.XLOOKUP(AK60,ETANCHEITE!AY$22:AY$167,ETANCHEITE!$D$22:$D$167),"")&amp;IFERROR(_xlfn.XLOOKUP(AK60,ETANCHEITE!AY$22:AY$167,ETANCHEITE!#REF!),"")&amp;IFERROR(_xlfn.XLOOKUP(AK60,ETANCHEITE!AY$22:AY$167,ETANCHEITE!#REF!),"")</f>
        <v xml:space="preserve">   </v>
      </c>
      <c r="AP60" s="155" t="str">
        <f>IFERROR(VLOOKUP(AK60,ETANCHEITE!AY$22:BA$167,2,FALSE),"")&amp;" "&amp;IFERROR(VLOOKUP(AK60,ETANCHEITE!AY$22:BA$167,3,FALSE),"")</f>
        <v xml:space="preserve"> </v>
      </c>
      <c r="AQ60" s="148" t="str">
        <f>IF(AP60&lt;&gt;" ",'Feuille de Donnée'!$C$3,"")</f>
        <v/>
      </c>
      <c r="AR60" s="162" t="str" cm="1">
        <f t="array" aca="1" ref="AR60" ca="1">IFERROR(IF(_xlfn.XLOOKUP(AK60,ETANCHEITE!AY$22:AY$92,ETANCHEITE!AW$22:AW$92,"")&lt;&gt;"",_xlfn.XLOOKUP(AK60,ETANCHEITE!AY$22:AY$92,ETANCHEITE!AW$22:AW$92,""),    INDEX(ETANCHEITE!AW:AW,MAX(_xlfn._xlws.FILTER(ROW(ETANCHEITE!AW$22:INDIRECT("'PEINTURE'!O" &amp; AN60-1)),ETANCHEITE!AW$22:INDIRECT("'PEINTURE'!O" &amp; AN60-1)&lt;&gt;"")))),"")</f>
        <v/>
      </c>
      <c r="AS60" s="163" t="str" cm="1">
        <f t="array" aca="1" ref="AS60" ca="1">IFERROR(IF(_xlfn.XLOOKUP(AK60,ETANCHEITE!AY$22:AY$92,ETANCHEITE!AX$22:AX$92,"")&lt;&gt;"",_xlfn.XLOOKUP(AK60,ETANCHEITE!AY$22:AY$92,ETANCHEITE!AX$22:AX$92,""),    INDEX(ETANCHEITE!AX:AX,MAX(_xlfn._xlws.FILTER(ROW(ETANCHEITE!AX$22:INDIRECT("'PEINTURE'!P" &amp; AN60-1)),ETANCHEITE!AX$22:INDIRECT("'PEINTURE'!P" &amp; AN60-1)&lt;&gt;"")))),"")</f>
        <v/>
      </c>
      <c r="AT60" s="145">
        <v>58</v>
      </c>
      <c r="AU60" s="154" t="str">
        <f>IF(AY60&lt;&gt;" ",ETANCHEITE!$D$5,"")</f>
        <v/>
      </c>
      <c r="AV60" s="154" t="str">
        <f>IF(AY60&lt;&gt;" ",ETANCHEITE!$D$8,"")</f>
        <v/>
      </c>
      <c r="AW60" s="146" t="str">
        <f>IFERROR(MATCH(AT60,ETANCHEITE!BH$22:BH$167,0)+18,"")</f>
        <v/>
      </c>
      <c r="AX60" s="147" t="str" cm="1">
        <f t="array" aca="1" ref="AX60" ca="1">IFERROR(IF(_xlfn.XLOOKUP(AT60,ETANCHEITE!BH$22:BH$167,ETANCHEITE!$A$22:$A$167,"")&lt;&gt;"",_xlfn.XLOOKUP(AT60,ETANCHEITE!BH$22:BH$167,ETANCHEITE!$A$22:$A$167,""),    INDEX(ETANCHEITE!$A:$A,MAX(_xlfn._xlws.FILTER(ROW(ETANCHEITE!$A$22:INDIRECT("'MENUISERIES EXTERIEURES'!$A" &amp; AW60-1)),ETANCHEITE!$A$22:INDIRECT("'MENUISERIES EXTERIEURES'!$A" &amp; AW60-1)&lt;&gt;"")))),"")&amp;"   "&amp;IFERROR(_xlfn.XLOOKUP(AT60,ETANCHEITE!BH$22:BH$167,ETANCHEITE!$B$22:$B$167),"")&amp;IFERROR(_xlfn.XLOOKUP(AT60,ETANCHEITE!BH$22:BH$167,ETANCHEITE!$C$22:$C$167),"")&amp;IFERROR(_xlfn.XLOOKUP(AT60,ETANCHEITE!BH$22:BH$167,ETANCHEITE!$D$22:$D$167),"")&amp;IFERROR(_xlfn.XLOOKUP(AT60,ETANCHEITE!BH$22:BH$167,ETANCHEITE!#REF!),"")&amp;IFERROR(_xlfn.XLOOKUP(AT60,ETANCHEITE!BH$22:BH$167,ETANCHEITE!#REF!),"")</f>
        <v xml:space="preserve">   </v>
      </c>
      <c r="AY60" s="155" t="str">
        <f>IFERROR(VLOOKUP(AT60,ETANCHEITE!BH$22:BJ$167,2,FALSE),"")&amp;" "&amp;IFERROR(VLOOKUP(AT60,ETANCHEITE!BH$22:BJ$167,3,FALSE),"")</f>
        <v xml:space="preserve"> </v>
      </c>
      <c r="AZ60" s="148" t="str">
        <f>IF(AY60&lt;&gt;" ",'Feuille de Donnée'!$C$3,"")</f>
        <v/>
      </c>
      <c r="BA60" s="162" t="str" cm="1">
        <f t="array" aca="1" ref="BA60" ca="1">IFERROR(IF(_xlfn.XLOOKUP(AT60,ETANCHEITE!BH$22:BH$92,ETANCHEITE!BF$22:BF$92,"")&lt;&gt;"",_xlfn.XLOOKUP(AT60,ETANCHEITE!BH$22:BH$92,ETANCHEITE!BF$22:BF$92,""),    INDEX(ETANCHEITE!BF:BF,MAX(_xlfn._xlws.FILTER(ROW(ETANCHEITE!BF$22:INDIRECT("'PEINTURE'!O" &amp; AW60-1)),ETANCHEITE!BF$22:INDIRECT("'PEINTURE'!O" &amp; AW60-1)&lt;&gt;"")))),"")</f>
        <v/>
      </c>
      <c r="BB60" s="163" t="str" cm="1">
        <f t="array" aca="1" ref="BB60" ca="1">IFERROR(IF(_xlfn.XLOOKUP(AT60,ETANCHEITE!BH$22:BH$92,ETANCHEITE!BG$22:BG$92,"")&lt;&gt;"",_xlfn.XLOOKUP(AT60,ETANCHEITE!BH$22:BH$92,ETANCHEITE!BG$22:BG$92,""),    INDEX(ETANCHEITE!BG:BG,MAX(_xlfn._xlws.FILTER(ROW(ETANCHEITE!BG$22:INDIRECT("'PEINTURE'!P" &amp; AW60-1)),ETANCHEITE!BG$22:INDIRECT("'PEINTURE'!P" &amp; AW60-1)&lt;&gt;"")))),"")</f>
        <v/>
      </c>
    </row>
    <row r="61" spans="1:54" x14ac:dyDescent="0.3">
      <c r="A61" s="145">
        <v>59</v>
      </c>
      <c r="B61" s="154" t="str">
        <f>IF(F61&lt;&gt;" ",ETANCHEITE!$D$5,"")</f>
        <v/>
      </c>
      <c r="C61" s="154" t="str">
        <f>IF(F61&lt;&gt;" ",ETANCHEITE!$D$8,"")</f>
        <v/>
      </c>
      <c r="D61" s="146" t="str">
        <f>IFERROR(MATCH(A61,ETANCHEITE!O$22:O$167,0)+18,"")</f>
        <v/>
      </c>
      <c r="E61" s="147" t="str" cm="1">
        <f t="array" aca="1" ref="E61" ca="1">IFERROR(IF(_xlfn.XLOOKUP(A61,ETANCHEITE!O$22:O$167,ETANCHEITE!$A$22:$A$167,"")&lt;&gt;"",_xlfn.XLOOKUP(A61,ETANCHEITE!O$22:O$167,ETANCHEITE!$A$22:$A$167,""),    INDEX(ETANCHEITE!$A:$A,MAX(_xlfn._xlws.FILTER(ROW(ETANCHEITE!$A$22:INDIRECT("'MENUISERIES EXTERIEURES'!$A" &amp; D61-1)),ETANCHEITE!$A$22:INDIRECT("'MENUISERIES EXTERIEURES'!$A" &amp; D61-1)&lt;&gt;"")))),"")&amp;"   "&amp;IFERROR(_xlfn.XLOOKUP(A61,ETANCHEITE!O$22:O$167,ETANCHEITE!$B$22:$B$167),"")&amp;IFERROR(_xlfn.XLOOKUP(A61,ETANCHEITE!O$22:O$167,ETANCHEITE!$C$22:$C$167),"")&amp;IFERROR(_xlfn.XLOOKUP(A61,ETANCHEITE!O$22:O$167,ETANCHEITE!$D$22:$D$167),"")&amp;IFERROR(_xlfn.XLOOKUP(A61,ETANCHEITE!O$22:O$167,ETANCHEITE!#REF!),"")&amp;IFERROR(_xlfn.XLOOKUP(A61,ETANCHEITE!O$22:O$167,ETANCHEITE!#REF!),"")</f>
        <v xml:space="preserve">   </v>
      </c>
      <c r="F61" s="155" t="str">
        <f>IFERROR(VLOOKUP(A61,ETANCHEITE!O$22:Q$167,2,FALSE),"")&amp;" "&amp;IFERROR(VLOOKUP(A61,ETANCHEITE!O$22:Q$167,3,FALSE),"")</f>
        <v xml:space="preserve"> </v>
      </c>
      <c r="G61" s="148" t="str">
        <f>IF(F61&lt;&gt;" ",'Feuille de Donnée'!$C$3,"")</f>
        <v/>
      </c>
      <c r="H61" s="162" t="str" cm="1">
        <f t="array" aca="1" ref="H61" ca="1">IFERROR(IF(_xlfn.XLOOKUP(A61,ETANCHEITE!O$22:O$92,ETANCHEITE!M$22:M$92,"")&lt;&gt;"",_xlfn.XLOOKUP(A61,ETANCHEITE!O$22:O$92,ETANCHEITE!M$22:M$92,""),    INDEX(ETANCHEITE!M:M,MAX(_xlfn._xlws.FILTER(ROW(ETANCHEITE!M$22:INDIRECT("'PEINTURE'!O" &amp; D61-1)),ETANCHEITE!M$22:INDIRECT("'PEINTURE'!O" &amp; D61-1)&lt;&gt;"")))),"")</f>
        <v/>
      </c>
      <c r="I61" s="163" t="str" cm="1">
        <f t="array" aca="1" ref="I61" ca="1">IFERROR(IF(_xlfn.XLOOKUP(A61,ETANCHEITE!O$22:O$92,ETANCHEITE!N$22:N$92,"")&lt;&gt;"",_xlfn.XLOOKUP(A61,ETANCHEITE!O$22:O$92,ETANCHEITE!N$22:N$92,""),    INDEX(ETANCHEITE!N:N,MAX(_xlfn._xlws.FILTER(ROW(ETANCHEITE!N$22:INDIRECT("'PEINTURE'!P" &amp; D61-1)),ETANCHEITE!N$22:INDIRECT("'PEINTURE'!P" &amp; D61-1)&lt;&gt;"")))),"")</f>
        <v/>
      </c>
      <c r="J61" s="145">
        <v>59</v>
      </c>
      <c r="K61" s="154" t="str">
        <f>IF(O61&lt;&gt;" ",ETANCHEITE!$D$5,"")</f>
        <v/>
      </c>
      <c r="L61" s="154" t="str">
        <f>IF(O61&lt;&gt;" ",ETANCHEITE!$D$8,"")</f>
        <v/>
      </c>
      <c r="M61" s="146" t="str">
        <f>IFERROR(MATCH(J61,ETANCHEITE!X$22:X$167,0)+18,"")</f>
        <v/>
      </c>
      <c r="N61" s="147" t="str" cm="1">
        <f t="array" aca="1" ref="N61" ca="1">IFERROR(IF(_xlfn.XLOOKUP(J61,ETANCHEITE!X$22:X$167,ETANCHEITE!$A$22:$A$167,"")&lt;&gt;"",_xlfn.XLOOKUP(J61,ETANCHEITE!X$22:X$167,ETANCHEITE!$A$22:$A$167,""),    INDEX(ETANCHEITE!$A:$A,MAX(_xlfn._xlws.FILTER(ROW(ETANCHEITE!$A$22:INDIRECT("'MENUISERIES EXTERIEURES'!$A" &amp; M61-1)),ETANCHEITE!$A$22:INDIRECT("'MENUISERIES EXTERIEURES'!$A" &amp; M61-1)&lt;&gt;"")))),"")&amp;"   "&amp;IFERROR(_xlfn.XLOOKUP(J61,ETANCHEITE!X$22:X$167,ETANCHEITE!$B$22:$B$167),"")&amp;IFERROR(_xlfn.XLOOKUP(J61,ETANCHEITE!X$22:X$167,ETANCHEITE!$C$22:$C$167),"")&amp;IFERROR(_xlfn.XLOOKUP(J61,ETANCHEITE!X$22:X$167,ETANCHEITE!$D$22:$D$167),"")&amp;IFERROR(_xlfn.XLOOKUP(J61,ETANCHEITE!X$22:X$167,ETANCHEITE!#REF!),"")&amp;IFERROR(_xlfn.XLOOKUP(J61,ETANCHEITE!X$22:X$167,ETANCHEITE!#REF!),"")</f>
        <v xml:space="preserve">   </v>
      </c>
      <c r="O61" s="155" t="str">
        <f>IFERROR(VLOOKUP(J61,ETANCHEITE!X$22:Z$167,2,FALSE),"")&amp;" "&amp;IFERROR(VLOOKUP(J61,ETANCHEITE!X$22:Z$167,3,FALSE),"")</f>
        <v xml:space="preserve"> </v>
      </c>
      <c r="P61" s="148" t="str">
        <f>IF(O61&lt;&gt;" ",'Feuille de Donnée'!$C$3,"")</f>
        <v/>
      </c>
      <c r="Q61" s="162" t="str" cm="1">
        <f t="array" aca="1" ref="Q61" ca="1">IFERROR(IF(_xlfn.XLOOKUP(J61,ETANCHEITE!X$22:X$92,ETANCHEITE!V$22:V$92,"")&lt;&gt;"",_xlfn.XLOOKUP(J61,ETANCHEITE!X$22:X$92,ETANCHEITE!V$22:V$92,""),    INDEX(ETANCHEITE!V:V,MAX(_xlfn._xlws.FILTER(ROW(ETANCHEITE!V$22:INDIRECT("'PEINTURE'!O" &amp; M61-1)),ETANCHEITE!V$22:INDIRECT("'PEINTURE'!O" &amp; M61-1)&lt;&gt;"")))),"")</f>
        <v/>
      </c>
      <c r="R61" s="163" t="str" cm="1">
        <f t="array" aca="1" ref="R61" ca="1">IFERROR(IF(_xlfn.XLOOKUP(J61,ETANCHEITE!X$22:X$92,ETANCHEITE!W$22:W$92,"")&lt;&gt;"",_xlfn.XLOOKUP(J61,ETANCHEITE!X$22:X$92,ETANCHEITE!W$22:W$92,""),    INDEX(ETANCHEITE!W:W,MAX(_xlfn._xlws.FILTER(ROW(ETANCHEITE!W$22:INDIRECT("'PEINTURE'!P" &amp; M61-1)),ETANCHEITE!W$22:INDIRECT("'PEINTURE'!P" &amp; M61-1)&lt;&gt;"")))),"")</f>
        <v/>
      </c>
      <c r="S61" s="145">
        <v>59</v>
      </c>
      <c r="T61" s="154" t="str">
        <f>IF(X61&lt;&gt;" ",ETANCHEITE!$D$5,"")</f>
        <v/>
      </c>
      <c r="U61" s="154" t="str">
        <f>IF(X61&lt;&gt;" ",ETANCHEITE!$D$8,"")</f>
        <v/>
      </c>
      <c r="V61" s="146" t="str">
        <f>IFERROR(MATCH(S61,ETANCHEITE!AG$22:AG$167,0)+18,"")</f>
        <v/>
      </c>
      <c r="W61" s="147" t="str" cm="1">
        <f t="array" aca="1" ref="W61" ca="1">IFERROR(IF(_xlfn.XLOOKUP(S61,ETANCHEITE!AG$22:AG$167,ETANCHEITE!$A$22:$A$167,"")&lt;&gt;"",_xlfn.XLOOKUP(S61,ETANCHEITE!AG$22:AG$167,ETANCHEITE!$A$22:$A$167,""),    INDEX(ETANCHEITE!$A:$A,MAX(_xlfn._xlws.FILTER(ROW(ETANCHEITE!$A$22:INDIRECT("'MENUISERIES EXTERIEURES'!$A" &amp; V61-1)),ETANCHEITE!$A$22:INDIRECT("'MENUISERIES EXTERIEURES'!$A" &amp; V61-1)&lt;&gt;"")))),"")&amp;"   "&amp;IFERROR(_xlfn.XLOOKUP(S61,ETANCHEITE!AG$22:AG$167,ETANCHEITE!$B$22:$B$167),"")&amp;IFERROR(_xlfn.XLOOKUP(S61,ETANCHEITE!AG$22:AG$167,ETANCHEITE!$C$22:$C$167),"")&amp;IFERROR(_xlfn.XLOOKUP(S61,ETANCHEITE!AG$22:AG$167,ETANCHEITE!$D$22:$D$167),"")&amp;IFERROR(_xlfn.XLOOKUP(S61,ETANCHEITE!AG$22:AG$167,ETANCHEITE!#REF!),"")&amp;IFERROR(_xlfn.XLOOKUP(S61,ETANCHEITE!AG$22:AG$167,ETANCHEITE!#REF!),"")</f>
        <v xml:space="preserve">   </v>
      </c>
      <c r="X61" s="155" t="str">
        <f>IFERROR(VLOOKUP(S61,ETANCHEITE!AG$22:AI$167,2,FALSE),"")&amp;" "&amp;IFERROR(VLOOKUP(S61,ETANCHEITE!AG$22:AI$167,3,FALSE),"")</f>
        <v xml:space="preserve"> </v>
      </c>
      <c r="Y61" s="148" t="str">
        <f>IF(X61&lt;&gt;" ",'Feuille de Donnée'!$C$3,"")</f>
        <v/>
      </c>
      <c r="Z61" s="162" t="str" cm="1">
        <f t="array" aca="1" ref="Z61" ca="1">IFERROR(IF(_xlfn.XLOOKUP(S61,ETANCHEITE!AG$22:AG$92,ETANCHEITE!AE$22:AE$92,"")&lt;&gt;"",_xlfn.XLOOKUP(S61,ETANCHEITE!AG$22:AG$92,ETANCHEITE!AE$22:AE$92,""),    INDEX(ETANCHEITE!AE:AE,MAX(_xlfn._xlws.FILTER(ROW(ETANCHEITE!AE$22:INDIRECT("'PEINTURE'!O" &amp; V61-1)),ETANCHEITE!AE$22:INDIRECT("'PEINTURE'!O" &amp; V61-1)&lt;&gt;"")))),"")</f>
        <v/>
      </c>
      <c r="AA61" s="163" t="str" cm="1">
        <f t="array" aca="1" ref="AA61" ca="1">IFERROR(IF(_xlfn.XLOOKUP(S61,ETANCHEITE!AG$22:AG$92,ETANCHEITE!AF$22:AF$92,"")&lt;&gt;"",_xlfn.XLOOKUP(S61,ETANCHEITE!AG$22:AG$92,ETANCHEITE!AF$22:AF$92,""),    INDEX(ETANCHEITE!AF:AF,MAX(_xlfn._xlws.FILTER(ROW(ETANCHEITE!AF$22:INDIRECT("'PEINTURE'!P" &amp; V61-1)),ETANCHEITE!AF$22:INDIRECT("'PEINTURE'!P" &amp; V61-1)&lt;&gt;"")))),"")</f>
        <v/>
      </c>
      <c r="AB61" s="145">
        <v>59</v>
      </c>
      <c r="AC61" s="154" t="str">
        <f>IF(AG61&lt;&gt;" ",ETANCHEITE!$D$5,"")</f>
        <v/>
      </c>
      <c r="AD61" s="154" t="str">
        <f>IF(AG61&lt;&gt;" ",ETANCHEITE!$D$8,"")</f>
        <v/>
      </c>
      <c r="AE61" s="146" t="str">
        <f>IFERROR(MATCH(AB61,ETANCHEITE!AP$22:AP$167,0)+18,"")</f>
        <v/>
      </c>
      <c r="AF61" s="147" t="str" cm="1">
        <f t="array" aca="1" ref="AF61" ca="1">IFERROR(IF(_xlfn.XLOOKUP(AB61,ETANCHEITE!AP$22:AP$167,ETANCHEITE!$A$22:$A$167,"")&lt;&gt;"",_xlfn.XLOOKUP(AB61,ETANCHEITE!AP$22:AP$167,ETANCHEITE!$A$22:$A$167,""),    INDEX(ETANCHEITE!$A:$A,MAX(_xlfn._xlws.FILTER(ROW(ETANCHEITE!$A$22:INDIRECT("'MENUISERIES EXTERIEURES'!$A" &amp; AE61-1)),ETANCHEITE!$A$22:INDIRECT("'MENUISERIES EXTERIEURES'!$A" &amp; AE61-1)&lt;&gt;"")))),"")&amp;"   "&amp;IFERROR(_xlfn.XLOOKUP(AB61,ETANCHEITE!AP$22:AP$167,ETANCHEITE!$B$22:$B$167),"")&amp;IFERROR(_xlfn.XLOOKUP(AB61,ETANCHEITE!AP$22:AP$167,ETANCHEITE!$C$22:$C$167),"")&amp;IFERROR(_xlfn.XLOOKUP(AB61,ETANCHEITE!AP$22:AP$167,ETANCHEITE!$D$22:$D$167),"")&amp;IFERROR(_xlfn.XLOOKUP(AB61,ETANCHEITE!AP$22:AP$167,ETANCHEITE!#REF!),"")&amp;IFERROR(_xlfn.XLOOKUP(AB61,ETANCHEITE!AP$22:AP$167,ETANCHEITE!#REF!),"")</f>
        <v xml:space="preserve">   </v>
      </c>
      <c r="AG61" s="155" t="str">
        <f>IFERROR(VLOOKUP(AB61,ETANCHEITE!AP$22:AR$167,2,FALSE),"")&amp;" "&amp;IFERROR(VLOOKUP(AB61,ETANCHEITE!AP$22:AR$167,3,FALSE),"")</f>
        <v xml:space="preserve"> </v>
      </c>
      <c r="AH61" s="148" t="str">
        <f>IF(AG61&lt;&gt;" ",'Feuille de Donnée'!$C$3,"")</f>
        <v/>
      </c>
      <c r="AI61" s="162" t="str" cm="1">
        <f t="array" aca="1" ref="AI61" ca="1">IFERROR(IF(_xlfn.XLOOKUP(AB61,ETANCHEITE!AP$22:AP$92,ETANCHEITE!AN$22:AN$92,"")&lt;&gt;"",_xlfn.XLOOKUP(AB61,ETANCHEITE!AP$22:AP$92,ETANCHEITE!AN$22:AN$92,""),    INDEX(ETANCHEITE!AN:AN,MAX(_xlfn._xlws.FILTER(ROW(ETANCHEITE!AN$22:INDIRECT("'PEINTURE'!O" &amp; AE61-1)),ETANCHEITE!AN$22:INDIRECT("'PEINTURE'!O" &amp; AE61-1)&lt;&gt;"")))),"")</f>
        <v/>
      </c>
      <c r="AJ61" s="163" t="str" cm="1">
        <f t="array" aca="1" ref="AJ61" ca="1">IFERROR(IF(_xlfn.XLOOKUP(AB61,ETANCHEITE!AP$22:AP$92,ETANCHEITE!AO$22:AO$92,"")&lt;&gt;"",_xlfn.XLOOKUP(AB61,ETANCHEITE!AP$22:AP$92,ETANCHEITE!AO$22:AO$92,""),    INDEX(ETANCHEITE!AO:AO,MAX(_xlfn._xlws.FILTER(ROW(ETANCHEITE!AO$22:INDIRECT("'PEINTURE'!P" &amp; AE61-1)),ETANCHEITE!AO$22:INDIRECT("'PEINTURE'!P" &amp; AE61-1)&lt;&gt;"")))),"")</f>
        <v/>
      </c>
      <c r="AK61" s="145">
        <v>59</v>
      </c>
      <c r="AL61" s="154" t="str">
        <f>IF(AP61&lt;&gt;" ",ETANCHEITE!$D$5,"")</f>
        <v/>
      </c>
      <c r="AM61" s="154" t="str">
        <f>IF(AP61&lt;&gt;" ",ETANCHEITE!$D$8,"")</f>
        <v/>
      </c>
      <c r="AN61" s="146" t="str">
        <f>IFERROR(MATCH(AK61,ETANCHEITE!AY$22:AY$167,0)+18,"")</f>
        <v/>
      </c>
      <c r="AO61" s="147" t="str" cm="1">
        <f t="array" aca="1" ref="AO61" ca="1">IFERROR(IF(_xlfn.XLOOKUP(AK61,ETANCHEITE!AY$22:AY$167,ETANCHEITE!$A$22:$A$167,"")&lt;&gt;"",_xlfn.XLOOKUP(AK61,ETANCHEITE!AY$22:AY$167,ETANCHEITE!$A$22:$A$167,""),    INDEX(ETANCHEITE!$A:$A,MAX(_xlfn._xlws.FILTER(ROW(ETANCHEITE!$A$22:INDIRECT("'MENUISERIES EXTERIEURES'!$A" &amp; AN61-1)),ETANCHEITE!$A$22:INDIRECT("'MENUISERIES EXTERIEURES'!$A" &amp; AN61-1)&lt;&gt;"")))),"")&amp;"   "&amp;IFERROR(_xlfn.XLOOKUP(AK61,ETANCHEITE!AY$22:AY$167,ETANCHEITE!$B$22:$B$167),"")&amp;IFERROR(_xlfn.XLOOKUP(AK61,ETANCHEITE!AY$22:AY$167,ETANCHEITE!$C$22:$C$167),"")&amp;IFERROR(_xlfn.XLOOKUP(AK61,ETANCHEITE!AY$22:AY$167,ETANCHEITE!$D$22:$D$167),"")&amp;IFERROR(_xlfn.XLOOKUP(AK61,ETANCHEITE!AY$22:AY$167,ETANCHEITE!#REF!),"")&amp;IFERROR(_xlfn.XLOOKUP(AK61,ETANCHEITE!AY$22:AY$167,ETANCHEITE!#REF!),"")</f>
        <v xml:space="preserve">   </v>
      </c>
      <c r="AP61" s="155" t="str">
        <f>IFERROR(VLOOKUP(AK61,ETANCHEITE!AY$22:BA$167,2,FALSE),"")&amp;" "&amp;IFERROR(VLOOKUP(AK61,ETANCHEITE!AY$22:BA$167,3,FALSE),"")</f>
        <v xml:space="preserve"> </v>
      </c>
      <c r="AQ61" s="148" t="str">
        <f>IF(AP61&lt;&gt;" ",'Feuille de Donnée'!$C$3,"")</f>
        <v/>
      </c>
      <c r="AR61" s="162" t="str" cm="1">
        <f t="array" aca="1" ref="AR61" ca="1">IFERROR(IF(_xlfn.XLOOKUP(AK61,ETANCHEITE!AY$22:AY$92,ETANCHEITE!AW$22:AW$92,"")&lt;&gt;"",_xlfn.XLOOKUP(AK61,ETANCHEITE!AY$22:AY$92,ETANCHEITE!AW$22:AW$92,""),    INDEX(ETANCHEITE!AW:AW,MAX(_xlfn._xlws.FILTER(ROW(ETANCHEITE!AW$22:INDIRECT("'PEINTURE'!O" &amp; AN61-1)),ETANCHEITE!AW$22:INDIRECT("'PEINTURE'!O" &amp; AN61-1)&lt;&gt;"")))),"")</f>
        <v/>
      </c>
      <c r="AS61" s="163" t="str" cm="1">
        <f t="array" aca="1" ref="AS61" ca="1">IFERROR(IF(_xlfn.XLOOKUP(AK61,ETANCHEITE!AY$22:AY$92,ETANCHEITE!AX$22:AX$92,"")&lt;&gt;"",_xlfn.XLOOKUP(AK61,ETANCHEITE!AY$22:AY$92,ETANCHEITE!AX$22:AX$92,""),    INDEX(ETANCHEITE!AX:AX,MAX(_xlfn._xlws.FILTER(ROW(ETANCHEITE!AX$22:INDIRECT("'PEINTURE'!P" &amp; AN61-1)),ETANCHEITE!AX$22:INDIRECT("'PEINTURE'!P" &amp; AN61-1)&lt;&gt;"")))),"")</f>
        <v/>
      </c>
      <c r="AT61" s="145">
        <v>59</v>
      </c>
      <c r="AU61" s="154" t="str">
        <f>IF(AY61&lt;&gt;" ",ETANCHEITE!$D$5,"")</f>
        <v/>
      </c>
      <c r="AV61" s="154" t="str">
        <f>IF(AY61&lt;&gt;" ",ETANCHEITE!$D$8,"")</f>
        <v/>
      </c>
      <c r="AW61" s="146" t="str">
        <f>IFERROR(MATCH(AT61,ETANCHEITE!BH$22:BH$167,0)+18,"")</f>
        <v/>
      </c>
      <c r="AX61" s="147" t="str" cm="1">
        <f t="array" aca="1" ref="AX61" ca="1">IFERROR(IF(_xlfn.XLOOKUP(AT61,ETANCHEITE!BH$22:BH$167,ETANCHEITE!$A$22:$A$167,"")&lt;&gt;"",_xlfn.XLOOKUP(AT61,ETANCHEITE!BH$22:BH$167,ETANCHEITE!$A$22:$A$167,""),    INDEX(ETANCHEITE!$A:$A,MAX(_xlfn._xlws.FILTER(ROW(ETANCHEITE!$A$22:INDIRECT("'MENUISERIES EXTERIEURES'!$A" &amp; AW61-1)),ETANCHEITE!$A$22:INDIRECT("'MENUISERIES EXTERIEURES'!$A" &amp; AW61-1)&lt;&gt;"")))),"")&amp;"   "&amp;IFERROR(_xlfn.XLOOKUP(AT61,ETANCHEITE!BH$22:BH$167,ETANCHEITE!$B$22:$B$167),"")&amp;IFERROR(_xlfn.XLOOKUP(AT61,ETANCHEITE!BH$22:BH$167,ETANCHEITE!$C$22:$C$167),"")&amp;IFERROR(_xlfn.XLOOKUP(AT61,ETANCHEITE!BH$22:BH$167,ETANCHEITE!$D$22:$D$167),"")&amp;IFERROR(_xlfn.XLOOKUP(AT61,ETANCHEITE!BH$22:BH$167,ETANCHEITE!#REF!),"")&amp;IFERROR(_xlfn.XLOOKUP(AT61,ETANCHEITE!BH$22:BH$167,ETANCHEITE!#REF!),"")</f>
        <v xml:space="preserve">   </v>
      </c>
      <c r="AY61" s="155" t="str">
        <f>IFERROR(VLOOKUP(AT61,ETANCHEITE!BH$22:BJ$167,2,FALSE),"")&amp;" "&amp;IFERROR(VLOOKUP(AT61,ETANCHEITE!BH$22:BJ$167,3,FALSE),"")</f>
        <v xml:space="preserve"> </v>
      </c>
      <c r="AZ61" s="148" t="str">
        <f>IF(AY61&lt;&gt;" ",'Feuille de Donnée'!$C$3,"")</f>
        <v/>
      </c>
      <c r="BA61" s="162" t="str" cm="1">
        <f t="array" aca="1" ref="BA61" ca="1">IFERROR(IF(_xlfn.XLOOKUP(AT61,ETANCHEITE!BH$22:BH$92,ETANCHEITE!BF$22:BF$92,"")&lt;&gt;"",_xlfn.XLOOKUP(AT61,ETANCHEITE!BH$22:BH$92,ETANCHEITE!BF$22:BF$92,""),    INDEX(ETANCHEITE!BF:BF,MAX(_xlfn._xlws.FILTER(ROW(ETANCHEITE!BF$22:INDIRECT("'PEINTURE'!O" &amp; AW61-1)),ETANCHEITE!BF$22:INDIRECT("'PEINTURE'!O" &amp; AW61-1)&lt;&gt;"")))),"")</f>
        <v/>
      </c>
      <c r="BB61" s="163" t="str" cm="1">
        <f t="array" aca="1" ref="BB61" ca="1">IFERROR(IF(_xlfn.XLOOKUP(AT61,ETANCHEITE!BH$22:BH$92,ETANCHEITE!BG$22:BG$92,"")&lt;&gt;"",_xlfn.XLOOKUP(AT61,ETANCHEITE!BH$22:BH$92,ETANCHEITE!BG$22:BG$92,""),    INDEX(ETANCHEITE!BG:BG,MAX(_xlfn._xlws.FILTER(ROW(ETANCHEITE!BG$22:INDIRECT("'PEINTURE'!P" &amp; AW61-1)),ETANCHEITE!BG$22:INDIRECT("'PEINTURE'!P" &amp; AW61-1)&lt;&gt;"")))),"")</f>
        <v/>
      </c>
    </row>
    <row r="62" spans="1:54" x14ac:dyDescent="0.3">
      <c r="A62" s="145">
        <v>60</v>
      </c>
      <c r="B62" s="154" t="str">
        <f>IF(F62&lt;&gt;" ",ETANCHEITE!$D$5,"")</f>
        <v/>
      </c>
      <c r="C62" s="154" t="str">
        <f>IF(F62&lt;&gt;" ",ETANCHEITE!$D$8,"")</f>
        <v/>
      </c>
      <c r="D62" s="146" t="str">
        <f>IFERROR(MATCH(A62,ETANCHEITE!O$22:O$167,0)+18,"")</f>
        <v/>
      </c>
      <c r="E62" s="147" t="str" cm="1">
        <f t="array" aca="1" ref="E62" ca="1">IFERROR(IF(_xlfn.XLOOKUP(A62,ETANCHEITE!O$22:O$167,ETANCHEITE!$A$22:$A$167,"")&lt;&gt;"",_xlfn.XLOOKUP(A62,ETANCHEITE!O$22:O$167,ETANCHEITE!$A$22:$A$167,""),    INDEX(ETANCHEITE!$A:$A,MAX(_xlfn._xlws.FILTER(ROW(ETANCHEITE!$A$22:INDIRECT("'MENUISERIES EXTERIEURES'!$A" &amp; D62-1)),ETANCHEITE!$A$22:INDIRECT("'MENUISERIES EXTERIEURES'!$A" &amp; D62-1)&lt;&gt;"")))),"")&amp;"   "&amp;IFERROR(_xlfn.XLOOKUP(A62,ETANCHEITE!O$22:O$167,ETANCHEITE!$B$22:$B$167),"")&amp;IFERROR(_xlfn.XLOOKUP(A62,ETANCHEITE!O$22:O$167,ETANCHEITE!$C$22:$C$167),"")&amp;IFERROR(_xlfn.XLOOKUP(A62,ETANCHEITE!O$22:O$167,ETANCHEITE!$D$22:$D$167),"")&amp;IFERROR(_xlfn.XLOOKUP(A62,ETANCHEITE!O$22:O$167,ETANCHEITE!#REF!),"")&amp;IFERROR(_xlfn.XLOOKUP(A62,ETANCHEITE!O$22:O$167,ETANCHEITE!#REF!),"")</f>
        <v xml:space="preserve">   </v>
      </c>
      <c r="F62" s="155" t="str">
        <f>IFERROR(VLOOKUP(A62,ETANCHEITE!O$22:Q$167,2,FALSE),"")&amp;" "&amp;IFERROR(VLOOKUP(A62,ETANCHEITE!O$22:Q$167,3,FALSE),"")</f>
        <v xml:space="preserve"> </v>
      </c>
      <c r="G62" s="148" t="str">
        <f>IF(F62&lt;&gt;" ",'Feuille de Donnée'!$C$3,"")</f>
        <v/>
      </c>
      <c r="H62" s="162" t="str" cm="1">
        <f t="array" aca="1" ref="H62" ca="1">IFERROR(IF(_xlfn.XLOOKUP(A62,ETANCHEITE!O$22:O$92,ETANCHEITE!M$22:M$92,"")&lt;&gt;"",_xlfn.XLOOKUP(A62,ETANCHEITE!O$22:O$92,ETANCHEITE!M$22:M$92,""),    INDEX(ETANCHEITE!M:M,MAX(_xlfn._xlws.FILTER(ROW(ETANCHEITE!M$22:INDIRECT("'PEINTURE'!O" &amp; D62-1)),ETANCHEITE!M$22:INDIRECT("'PEINTURE'!O" &amp; D62-1)&lt;&gt;"")))),"")</f>
        <v/>
      </c>
      <c r="I62" s="163" t="str" cm="1">
        <f t="array" aca="1" ref="I62" ca="1">IFERROR(IF(_xlfn.XLOOKUP(A62,ETANCHEITE!O$22:O$92,ETANCHEITE!N$22:N$92,"")&lt;&gt;"",_xlfn.XLOOKUP(A62,ETANCHEITE!O$22:O$92,ETANCHEITE!N$22:N$92,""),    INDEX(ETANCHEITE!N:N,MAX(_xlfn._xlws.FILTER(ROW(ETANCHEITE!N$22:INDIRECT("'PEINTURE'!P" &amp; D62-1)),ETANCHEITE!N$22:INDIRECT("'PEINTURE'!P" &amp; D62-1)&lt;&gt;"")))),"")</f>
        <v/>
      </c>
      <c r="J62" s="145">
        <v>60</v>
      </c>
      <c r="K62" s="154" t="str">
        <f>IF(O62&lt;&gt;" ",ETANCHEITE!$D$5,"")</f>
        <v/>
      </c>
      <c r="L62" s="154" t="str">
        <f>IF(O62&lt;&gt;" ",ETANCHEITE!$D$8,"")</f>
        <v/>
      </c>
      <c r="M62" s="146" t="str">
        <f>IFERROR(MATCH(J62,ETANCHEITE!X$22:X$167,0)+18,"")</f>
        <v/>
      </c>
      <c r="N62" s="147" t="str" cm="1">
        <f t="array" aca="1" ref="N62" ca="1">IFERROR(IF(_xlfn.XLOOKUP(J62,ETANCHEITE!X$22:X$167,ETANCHEITE!$A$22:$A$167,"")&lt;&gt;"",_xlfn.XLOOKUP(J62,ETANCHEITE!X$22:X$167,ETANCHEITE!$A$22:$A$167,""),    INDEX(ETANCHEITE!$A:$A,MAX(_xlfn._xlws.FILTER(ROW(ETANCHEITE!$A$22:INDIRECT("'MENUISERIES EXTERIEURES'!$A" &amp; M62-1)),ETANCHEITE!$A$22:INDIRECT("'MENUISERIES EXTERIEURES'!$A" &amp; M62-1)&lt;&gt;"")))),"")&amp;"   "&amp;IFERROR(_xlfn.XLOOKUP(J62,ETANCHEITE!X$22:X$167,ETANCHEITE!$B$22:$B$167),"")&amp;IFERROR(_xlfn.XLOOKUP(J62,ETANCHEITE!X$22:X$167,ETANCHEITE!$C$22:$C$167),"")&amp;IFERROR(_xlfn.XLOOKUP(J62,ETANCHEITE!X$22:X$167,ETANCHEITE!$D$22:$D$167),"")&amp;IFERROR(_xlfn.XLOOKUP(J62,ETANCHEITE!X$22:X$167,ETANCHEITE!#REF!),"")&amp;IFERROR(_xlfn.XLOOKUP(J62,ETANCHEITE!X$22:X$167,ETANCHEITE!#REF!),"")</f>
        <v xml:space="preserve">   </v>
      </c>
      <c r="O62" s="155" t="str">
        <f>IFERROR(VLOOKUP(J62,ETANCHEITE!X$22:Z$167,2,FALSE),"")&amp;" "&amp;IFERROR(VLOOKUP(J62,ETANCHEITE!X$22:Z$167,3,FALSE),"")</f>
        <v xml:space="preserve"> </v>
      </c>
      <c r="P62" s="148" t="str">
        <f>IF(O62&lt;&gt;" ",'Feuille de Donnée'!$C$3,"")</f>
        <v/>
      </c>
      <c r="Q62" s="162" t="str" cm="1">
        <f t="array" aca="1" ref="Q62" ca="1">IFERROR(IF(_xlfn.XLOOKUP(J62,ETANCHEITE!X$22:X$92,ETANCHEITE!V$22:V$92,"")&lt;&gt;"",_xlfn.XLOOKUP(J62,ETANCHEITE!X$22:X$92,ETANCHEITE!V$22:V$92,""),    INDEX(ETANCHEITE!V:V,MAX(_xlfn._xlws.FILTER(ROW(ETANCHEITE!V$22:INDIRECT("'PEINTURE'!O" &amp; M62-1)),ETANCHEITE!V$22:INDIRECT("'PEINTURE'!O" &amp; M62-1)&lt;&gt;"")))),"")</f>
        <v/>
      </c>
      <c r="R62" s="163" t="str" cm="1">
        <f t="array" aca="1" ref="R62" ca="1">IFERROR(IF(_xlfn.XLOOKUP(J62,ETANCHEITE!X$22:X$92,ETANCHEITE!W$22:W$92,"")&lt;&gt;"",_xlfn.XLOOKUP(J62,ETANCHEITE!X$22:X$92,ETANCHEITE!W$22:W$92,""),    INDEX(ETANCHEITE!W:W,MAX(_xlfn._xlws.FILTER(ROW(ETANCHEITE!W$22:INDIRECT("'PEINTURE'!P" &amp; M62-1)),ETANCHEITE!W$22:INDIRECT("'PEINTURE'!P" &amp; M62-1)&lt;&gt;"")))),"")</f>
        <v/>
      </c>
      <c r="S62" s="145">
        <v>60</v>
      </c>
      <c r="T62" s="154" t="str">
        <f>IF(X62&lt;&gt;" ",ETANCHEITE!$D$5,"")</f>
        <v/>
      </c>
      <c r="U62" s="154" t="str">
        <f>IF(X62&lt;&gt;" ",ETANCHEITE!$D$8,"")</f>
        <v/>
      </c>
      <c r="V62" s="146" t="str">
        <f>IFERROR(MATCH(S62,ETANCHEITE!AG$22:AG$167,0)+18,"")</f>
        <v/>
      </c>
      <c r="W62" s="147" t="str" cm="1">
        <f t="array" aca="1" ref="W62" ca="1">IFERROR(IF(_xlfn.XLOOKUP(S62,ETANCHEITE!AG$22:AG$167,ETANCHEITE!$A$22:$A$167,"")&lt;&gt;"",_xlfn.XLOOKUP(S62,ETANCHEITE!AG$22:AG$167,ETANCHEITE!$A$22:$A$167,""),    INDEX(ETANCHEITE!$A:$A,MAX(_xlfn._xlws.FILTER(ROW(ETANCHEITE!$A$22:INDIRECT("'MENUISERIES EXTERIEURES'!$A" &amp; V62-1)),ETANCHEITE!$A$22:INDIRECT("'MENUISERIES EXTERIEURES'!$A" &amp; V62-1)&lt;&gt;"")))),"")&amp;"   "&amp;IFERROR(_xlfn.XLOOKUP(S62,ETANCHEITE!AG$22:AG$167,ETANCHEITE!$B$22:$B$167),"")&amp;IFERROR(_xlfn.XLOOKUP(S62,ETANCHEITE!AG$22:AG$167,ETANCHEITE!$C$22:$C$167),"")&amp;IFERROR(_xlfn.XLOOKUP(S62,ETANCHEITE!AG$22:AG$167,ETANCHEITE!$D$22:$D$167),"")&amp;IFERROR(_xlfn.XLOOKUP(S62,ETANCHEITE!AG$22:AG$167,ETANCHEITE!#REF!),"")&amp;IFERROR(_xlfn.XLOOKUP(S62,ETANCHEITE!AG$22:AG$167,ETANCHEITE!#REF!),"")</f>
        <v xml:space="preserve">   </v>
      </c>
      <c r="X62" s="155" t="str">
        <f>IFERROR(VLOOKUP(S62,ETANCHEITE!AG$22:AI$167,2,FALSE),"")&amp;" "&amp;IFERROR(VLOOKUP(S62,ETANCHEITE!AG$22:AI$167,3,FALSE),"")</f>
        <v xml:space="preserve"> </v>
      </c>
      <c r="Y62" s="148" t="str">
        <f>IF(X62&lt;&gt;" ",'Feuille de Donnée'!$C$3,"")</f>
        <v/>
      </c>
      <c r="Z62" s="162" t="str" cm="1">
        <f t="array" aca="1" ref="Z62" ca="1">IFERROR(IF(_xlfn.XLOOKUP(S62,ETANCHEITE!AG$22:AG$92,ETANCHEITE!AE$22:AE$92,"")&lt;&gt;"",_xlfn.XLOOKUP(S62,ETANCHEITE!AG$22:AG$92,ETANCHEITE!AE$22:AE$92,""),    INDEX(ETANCHEITE!AE:AE,MAX(_xlfn._xlws.FILTER(ROW(ETANCHEITE!AE$22:INDIRECT("'PEINTURE'!O" &amp; V62-1)),ETANCHEITE!AE$22:INDIRECT("'PEINTURE'!O" &amp; V62-1)&lt;&gt;"")))),"")</f>
        <v/>
      </c>
      <c r="AA62" s="163" t="str" cm="1">
        <f t="array" aca="1" ref="AA62" ca="1">IFERROR(IF(_xlfn.XLOOKUP(S62,ETANCHEITE!AG$22:AG$92,ETANCHEITE!AF$22:AF$92,"")&lt;&gt;"",_xlfn.XLOOKUP(S62,ETANCHEITE!AG$22:AG$92,ETANCHEITE!AF$22:AF$92,""),    INDEX(ETANCHEITE!AF:AF,MAX(_xlfn._xlws.FILTER(ROW(ETANCHEITE!AF$22:INDIRECT("'PEINTURE'!P" &amp; V62-1)),ETANCHEITE!AF$22:INDIRECT("'PEINTURE'!P" &amp; V62-1)&lt;&gt;"")))),"")</f>
        <v/>
      </c>
      <c r="AB62" s="145">
        <v>60</v>
      </c>
      <c r="AC62" s="154" t="str">
        <f>IF(AG62&lt;&gt;" ",ETANCHEITE!$D$5,"")</f>
        <v/>
      </c>
      <c r="AD62" s="154" t="str">
        <f>IF(AG62&lt;&gt;" ",ETANCHEITE!$D$8,"")</f>
        <v/>
      </c>
      <c r="AE62" s="146" t="str">
        <f>IFERROR(MATCH(AB62,ETANCHEITE!AP$22:AP$167,0)+18,"")</f>
        <v/>
      </c>
      <c r="AF62" s="147" t="str" cm="1">
        <f t="array" aca="1" ref="AF62" ca="1">IFERROR(IF(_xlfn.XLOOKUP(AB62,ETANCHEITE!AP$22:AP$167,ETANCHEITE!$A$22:$A$167,"")&lt;&gt;"",_xlfn.XLOOKUP(AB62,ETANCHEITE!AP$22:AP$167,ETANCHEITE!$A$22:$A$167,""),    INDEX(ETANCHEITE!$A:$A,MAX(_xlfn._xlws.FILTER(ROW(ETANCHEITE!$A$22:INDIRECT("'MENUISERIES EXTERIEURES'!$A" &amp; AE62-1)),ETANCHEITE!$A$22:INDIRECT("'MENUISERIES EXTERIEURES'!$A" &amp; AE62-1)&lt;&gt;"")))),"")&amp;"   "&amp;IFERROR(_xlfn.XLOOKUP(AB62,ETANCHEITE!AP$22:AP$167,ETANCHEITE!$B$22:$B$167),"")&amp;IFERROR(_xlfn.XLOOKUP(AB62,ETANCHEITE!AP$22:AP$167,ETANCHEITE!$C$22:$C$167),"")&amp;IFERROR(_xlfn.XLOOKUP(AB62,ETANCHEITE!AP$22:AP$167,ETANCHEITE!$D$22:$D$167),"")&amp;IFERROR(_xlfn.XLOOKUP(AB62,ETANCHEITE!AP$22:AP$167,ETANCHEITE!#REF!),"")&amp;IFERROR(_xlfn.XLOOKUP(AB62,ETANCHEITE!AP$22:AP$167,ETANCHEITE!#REF!),"")</f>
        <v xml:space="preserve">   </v>
      </c>
      <c r="AG62" s="155" t="str">
        <f>IFERROR(VLOOKUP(AB62,ETANCHEITE!AP$22:AR$167,2,FALSE),"")&amp;" "&amp;IFERROR(VLOOKUP(AB62,ETANCHEITE!AP$22:AR$167,3,FALSE),"")</f>
        <v xml:space="preserve"> </v>
      </c>
      <c r="AH62" s="148" t="str">
        <f>IF(AG62&lt;&gt;" ",'Feuille de Donnée'!$C$3,"")</f>
        <v/>
      </c>
      <c r="AI62" s="162" t="str" cm="1">
        <f t="array" aca="1" ref="AI62" ca="1">IFERROR(IF(_xlfn.XLOOKUP(AB62,ETANCHEITE!AP$22:AP$92,ETANCHEITE!AN$22:AN$92,"")&lt;&gt;"",_xlfn.XLOOKUP(AB62,ETANCHEITE!AP$22:AP$92,ETANCHEITE!AN$22:AN$92,""),    INDEX(ETANCHEITE!AN:AN,MAX(_xlfn._xlws.FILTER(ROW(ETANCHEITE!AN$22:INDIRECT("'PEINTURE'!O" &amp; AE62-1)),ETANCHEITE!AN$22:INDIRECT("'PEINTURE'!O" &amp; AE62-1)&lt;&gt;"")))),"")</f>
        <v/>
      </c>
      <c r="AJ62" s="163" t="str" cm="1">
        <f t="array" aca="1" ref="AJ62" ca="1">IFERROR(IF(_xlfn.XLOOKUP(AB62,ETANCHEITE!AP$22:AP$92,ETANCHEITE!AO$22:AO$92,"")&lt;&gt;"",_xlfn.XLOOKUP(AB62,ETANCHEITE!AP$22:AP$92,ETANCHEITE!AO$22:AO$92,""),    INDEX(ETANCHEITE!AO:AO,MAX(_xlfn._xlws.FILTER(ROW(ETANCHEITE!AO$22:INDIRECT("'PEINTURE'!P" &amp; AE62-1)),ETANCHEITE!AO$22:INDIRECT("'PEINTURE'!P" &amp; AE62-1)&lt;&gt;"")))),"")</f>
        <v/>
      </c>
      <c r="AK62" s="145">
        <v>60</v>
      </c>
      <c r="AL62" s="154" t="str">
        <f>IF(AP62&lt;&gt;" ",ETANCHEITE!$D$5,"")</f>
        <v/>
      </c>
      <c r="AM62" s="154" t="str">
        <f>IF(AP62&lt;&gt;" ",ETANCHEITE!$D$8,"")</f>
        <v/>
      </c>
      <c r="AN62" s="146" t="str">
        <f>IFERROR(MATCH(AK62,ETANCHEITE!AY$22:AY$167,0)+18,"")</f>
        <v/>
      </c>
      <c r="AO62" s="147" t="str" cm="1">
        <f t="array" aca="1" ref="AO62" ca="1">IFERROR(IF(_xlfn.XLOOKUP(AK62,ETANCHEITE!AY$22:AY$167,ETANCHEITE!$A$22:$A$167,"")&lt;&gt;"",_xlfn.XLOOKUP(AK62,ETANCHEITE!AY$22:AY$167,ETANCHEITE!$A$22:$A$167,""),    INDEX(ETANCHEITE!$A:$A,MAX(_xlfn._xlws.FILTER(ROW(ETANCHEITE!$A$22:INDIRECT("'MENUISERIES EXTERIEURES'!$A" &amp; AN62-1)),ETANCHEITE!$A$22:INDIRECT("'MENUISERIES EXTERIEURES'!$A" &amp; AN62-1)&lt;&gt;"")))),"")&amp;"   "&amp;IFERROR(_xlfn.XLOOKUP(AK62,ETANCHEITE!AY$22:AY$167,ETANCHEITE!$B$22:$B$167),"")&amp;IFERROR(_xlfn.XLOOKUP(AK62,ETANCHEITE!AY$22:AY$167,ETANCHEITE!$C$22:$C$167),"")&amp;IFERROR(_xlfn.XLOOKUP(AK62,ETANCHEITE!AY$22:AY$167,ETANCHEITE!$D$22:$D$167),"")&amp;IFERROR(_xlfn.XLOOKUP(AK62,ETANCHEITE!AY$22:AY$167,ETANCHEITE!#REF!),"")&amp;IFERROR(_xlfn.XLOOKUP(AK62,ETANCHEITE!AY$22:AY$167,ETANCHEITE!#REF!),"")</f>
        <v xml:space="preserve">   </v>
      </c>
      <c r="AP62" s="155" t="str">
        <f>IFERROR(VLOOKUP(AK62,ETANCHEITE!AY$22:BA$167,2,FALSE),"")&amp;" "&amp;IFERROR(VLOOKUP(AK62,ETANCHEITE!AY$22:BA$167,3,FALSE),"")</f>
        <v xml:space="preserve"> </v>
      </c>
      <c r="AQ62" s="148" t="str">
        <f>IF(AP62&lt;&gt;" ",'Feuille de Donnée'!$C$3,"")</f>
        <v/>
      </c>
      <c r="AR62" s="162" t="str" cm="1">
        <f t="array" aca="1" ref="AR62" ca="1">IFERROR(IF(_xlfn.XLOOKUP(AK62,ETANCHEITE!AY$22:AY$92,ETANCHEITE!AW$22:AW$92,"")&lt;&gt;"",_xlfn.XLOOKUP(AK62,ETANCHEITE!AY$22:AY$92,ETANCHEITE!AW$22:AW$92,""),    INDEX(ETANCHEITE!AW:AW,MAX(_xlfn._xlws.FILTER(ROW(ETANCHEITE!AW$22:INDIRECT("'PEINTURE'!O" &amp; AN62-1)),ETANCHEITE!AW$22:INDIRECT("'PEINTURE'!O" &amp; AN62-1)&lt;&gt;"")))),"")</f>
        <v/>
      </c>
      <c r="AS62" s="163" t="str" cm="1">
        <f t="array" aca="1" ref="AS62" ca="1">IFERROR(IF(_xlfn.XLOOKUP(AK62,ETANCHEITE!AY$22:AY$92,ETANCHEITE!AX$22:AX$92,"")&lt;&gt;"",_xlfn.XLOOKUP(AK62,ETANCHEITE!AY$22:AY$92,ETANCHEITE!AX$22:AX$92,""),    INDEX(ETANCHEITE!AX:AX,MAX(_xlfn._xlws.FILTER(ROW(ETANCHEITE!AX$22:INDIRECT("'PEINTURE'!P" &amp; AN62-1)),ETANCHEITE!AX$22:INDIRECT("'PEINTURE'!P" &amp; AN62-1)&lt;&gt;"")))),"")</f>
        <v/>
      </c>
      <c r="AT62" s="145">
        <v>60</v>
      </c>
      <c r="AU62" s="154" t="str">
        <f>IF(AY62&lt;&gt;" ",ETANCHEITE!$D$5,"")</f>
        <v/>
      </c>
      <c r="AV62" s="154" t="str">
        <f>IF(AY62&lt;&gt;" ",ETANCHEITE!$D$8,"")</f>
        <v/>
      </c>
      <c r="AW62" s="146" t="str">
        <f>IFERROR(MATCH(AT62,ETANCHEITE!BH$22:BH$167,0)+18,"")</f>
        <v/>
      </c>
      <c r="AX62" s="147" t="str" cm="1">
        <f t="array" aca="1" ref="AX62" ca="1">IFERROR(IF(_xlfn.XLOOKUP(AT62,ETANCHEITE!BH$22:BH$167,ETANCHEITE!$A$22:$A$167,"")&lt;&gt;"",_xlfn.XLOOKUP(AT62,ETANCHEITE!BH$22:BH$167,ETANCHEITE!$A$22:$A$167,""),    INDEX(ETANCHEITE!$A:$A,MAX(_xlfn._xlws.FILTER(ROW(ETANCHEITE!$A$22:INDIRECT("'MENUISERIES EXTERIEURES'!$A" &amp; AW62-1)),ETANCHEITE!$A$22:INDIRECT("'MENUISERIES EXTERIEURES'!$A" &amp; AW62-1)&lt;&gt;"")))),"")&amp;"   "&amp;IFERROR(_xlfn.XLOOKUP(AT62,ETANCHEITE!BH$22:BH$167,ETANCHEITE!$B$22:$B$167),"")&amp;IFERROR(_xlfn.XLOOKUP(AT62,ETANCHEITE!BH$22:BH$167,ETANCHEITE!$C$22:$C$167),"")&amp;IFERROR(_xlfn.XLOOKUP(AT62,ETANCHEITE!BH$22:BH$167,ETANCHEITE!$D$22:$D$167),"")&amp;IFERROR(_xlfn.XLOOKUP(AT62,ETANCHEITE!BH$22:BH$167,ETANCHEITE!#REF!),"")&amp;IFERROR(_xlfn.XLOOKUP(AT62,ETANCHEITE!BH$22:BH$167,ETANCHEITE!#REF!),"")</f>
        <v xml:space="preserve">   </v>
      </c>
      <c r="AY62" s="155" t="str">
        <f>IFERROR(VLOOKUP(AT62,ETANCHEITE!BH$22:BJ$167,2,FALSE),"")&amp;" "&amp;IFERROR(VLOOKUP(AT62,ETANCHEITE!BH$22:BJ$167,3,FALSE),"")</f>
        <v xml:space="preserve"> </v>
      </c>
      <c r="AZ62" s="148" t="str">
        <f>IF(AY62&lt;&gt;" ",'Feuille de Donnée'!$C$3,"")</f>
        <v/>
      </c>
      <c r="BA62" s="162" t="str" cm="1">
        <f t="array" aca="1" ref="BA62" ca="1">IFERROR(IF(_xlfn.XLOOKUP(AT62,ETANCHEITE!BH$22:BH$92,ETANCHEITE!BF$22:BF$92,"")&lt;&gt;"",_xlfn.XLOOKUP(AT62,ETANCHEITE!BH$22:BH$92,ETANCHEITE!BF$22:BF$92,""),    INDEX(ETANCHEITE!BF:BF,MAX(_xlfn._xlws.FILTER(ROW(ETANCHEITE!BF$22:INDIRECT("'PEINTURE'!O" &amp; AW62-1)),ETANCHEITE!BF$22:INDIRECT("'PEINTURE'!O" &amp; AW62-1)&lt;&gt;"")))),"")</f>
        <v/>
      </c>
      <c r="BB62" s="163" t="str" cm="1">
        <f t="array" aca="1" ref="BB62" ca="1">IFERROR(IF(_xlfn.XLOOKUP(AT62,ETANCHEITE!BH$22:BH$92,ETANCHEITE!BG$22:BG$92,"")&lt;&gt;"",_xlfn.XLOOKUP(AT62,ETANCHEITE!BH$22:BH$92,ETANCHEITE!BG$22:BG$92,""),    INDEX(ETANCHEITE!BG:BG,MAX(_xlfn._xlws.FILTER(ROW(ETANCHEITE!BG$22:INDIRECT("'PEINTURE'!P" &amp; AW62-1)),ETANCHEITE!BG$22:INDIRECT("'PEINTURE'!P" &amp; AW62-1)&lt;&gt;"")))),"")</f>
        <v/>
      </c>
    </row>
    <row r="63" spans="1:54" x14ac:dyDescent="0.3">
      <c r="A63" s="145">
        <v>61</v>
      </c>
      <c r="B63" s="154" t="str">
        <f>IF(F63&lt;&gt;" ",ETANCHEITE!$D$5,"")</f>
        <v/>
      </c>
      <c r="C63" s="154" t="str">
        <f>IF(F63&lt;&gt;" ",ETANCHEITE!$D$8,"")</f>
        <v/>
      </c>
      <c r="D63" s="146" t="str">
        <f>IFERROR(MATCH(A63,ETANCHEITE!O$22:O$167,0)+18,"")</f>
        <v/>
      </c>
      <c r="E63" s="147" t="str" cm="1">
        <f t="array" aca="1" ref="E63" ca="1">IFERROR(IF(_xlfn.XLOOKUP(A63,ETANCHEITE!O$22:O$167,ETANCHEITE!$A$22:$A$167,"")&lt;&gt;"",_xlfn.XLOOKUP(A63,ETANCHEITE!O$22:O$167,ETANCHEITE!$A$22:$A$167,""),    INDEX(ETANCHEITE!$A:$A,MAX(_xlfn._xlws.FILTER(ROW(ETANCHEITE!$A$22:INDIRECT("'MENUISERIES EXTERIEURES'!$A" &amp; D63-1)),ETANCHEITE!$A$22:INDIRECT("'MENUISERIES EXTERIEURES'!$A" &amp; D63-1)&lt;&gt;"")))),"")&amp;"   "&amp;IFERROR(_xlfn.XLOOKUP(A63,ETANCHEITE!O$22:O$167,ETANCHEITE!$B$22:$B$167),"")&amp;IFERROR(_xlfn.XLOOKUP(A63,ETANCHEITE!O$22:O$167,ETANCHEITE!$C$22:$C$167),"")&amp;IFERROR(_xlfn.XLOOKUP(A63,ETANCHEITE!O$22:O$167,ETANCHEITE!$D$22:$D$167),"")&amp;IFERROR(_xlfn.XLOOKUP(A63,ETANCHEITE!O$22:O$167,ETANCHEITE!#REF!),"")&amp;IFERROR(_xlfn.XLOOKUP(A63,ETANCHEITE!O$22:O$167,ETANCHEITE!#REF!),"")</f>
        <v xml:space="preserve">   </v>
      </c>
      <c r="F63" s="155" t="str">
        <f>IFERROR(VLOOKUP(A63,ETANCHEITE!O$22:Q$167,2,FALSE),"")&amp;" "&amp;IFERROR(VLOOKUP(A63,ETANCHEITE!O$22:Q$167,3,FALSE),"")</f>
        <v xml:space="preserve"> </v>
      </c>
      <c r="G63" s="148" t="str">
        <f>IF(F63&lt;&gt;" ",'Feuille de Donnée'!$C$3,"")</f>
        <v/>
      </c>
      <c r="H63" s="162" t="str" cm="1">
        <f t="array" aca="1" ref="H63" ca="1">IFERROR(IF(_xlfn.XLOOKUP(A63,ETANCHEITE!O$22:O$92,ETANCHEITE!M$22:M$92,"")&lt;&gt;"",_xlfn.XLOOKUP(A63,ETANCHEITE!O$22:O$92,ETANCHEITE!M$22:M$92,""),    INDEX(ETANCHEITE!M:M,MAX(_xlfn._xlws.FILTER(ROW(ETANCHEITE!M$22:INDIRECT("'PEINTURE'!O" &amp; D63-1)),ETANCHEITE!M$22:INDIRECT("'PEINTURE'!O" &amp; D63-1)&lt;&gt;"")))),"")</f>
        <v/>
      </c>
      <c r="I63" s="163" t="str" cm="1">
        <f t="array" aca="1" ref="I63" ca="1">IFERROR(IF(_xlfn.XLOOKUP(A63,ETANCHEITE!O$22:O$92,ETANCHEITE!N$22:N$92,"")&lt;&gt;"",_xlfn.XLOOKUP(A63,ETANCHEITE!O$22:O$92,ETANCHEITE!N$22:N$92,""),    INDEX(ETANCHEITE!N:N,MAX(_xlfn._xlws.FILTER(ROW(ETANCHEITE!N$22:INDIRECT("'PEINTURE'!P" &amp; D63-1)),ETANCHEITE!N$22:INDIRECT("'PEINTURE'!P" &amp; D63-1)&lt;&gt;"")))),"")</f>
        <v/>
      </c>
      <c r="J63" s="145">
        <v>61</v>
      </c>
      <c r="K63" s="154" t="str">
        <f>IF(O63&lt;&gt;" ",ETANCHEITE!$D$5,"")</f>
        <v/>
      </c>
      <c r="L63" s="154" t="str">
        <f>IF(O63&lt;&gt;" ",ETANCHEITE!$D$8,"")</f>
        <v/>
      </c>
      <c r="M63" s="146" t="str">
        <f>IFERROR(MATCH(J63,ETANCHEITE!X$22:X$167,0)+18,"")</f>
        <v/>
      </c>
      <c r="N63" s="147" t="str" cm="1">
        <f t="array" aca="1" ref="N63" ca="1">IFERROR(IF(_xlfn.XLOOKUP(J63,ETANCHEITE!X$22:X$167,ETANCHEITE!$A$22:$A$167,"")&lt;&gt;"",_xlfn.XLOOKUP(J63,ETANCHEITE!X$22:X$167,ETANCHEITE!$A$22:$A$167,""),    INDEX(ETANCHEITE!$A:$A,MAX(_xlfn._xlws.FILTER(ROW(ETANCHEITE!$A$22:INDIRECT("'MENUISERIES EXTERIEURES'!$A" &amp; M63-1)),ETANCHEITE!$A$22:INDIRECT("'MENUISERIES EXTERIEURES'!$A" &amp; M63-1)&lt;&gt;"")))),"")&amp;"   "&amp;IFERROR(_xlfn.XLOOKUP(J63,ETANCHEITE!X$22:X$167,ETANCHEITE!$B$22:$B$167),"")&amp;IFERROR(_xlfn.XLOOKUP(J63,ETANCHEITE!X$22:X$167,ETANCHEITE!$C$22:$C$167),"")&amp;IFERROR(_xlfn.XLOOKUP(J63,ETANCHEITE!X$22:X$167,ETANCHEITE!$D$22:$D$167),"")&amp;IFERROR(_xlfn.XLOOKUP(J63,ETANCHEITE!X$22:X$167,ETANCHEITE!#REF!),"")&amp;IFERROR(_xlfn.XLOOKUP(J63,ETANCHEITE!X$22:X$167,ETANCHEITE!#REF!),"")</f>
        <v xml:space="preserve">   </v>
      </c>
      <c r="O63" s="155" t="str">
        <f>IFERROR(VLOOKUP(J63,ETANCHEITE!X$22:Z$167,2,FALSE),"")&amp;" "&amp;IFERROR(VLOOKUP(J63,ETANCHEITE!X$22:Z$167,3,FALSE),"")</f>
        <v xml:space="preserve"> </v>
      </c>
      <c r="P63" s="148" t="str">
        <f>IF(O63&lt;&gt;" ",'Feuille de Donnée'!$C$3,"")</f>
        <v/>
      </c>
      <c r="Q63" s="162" t="str" cm="1">
        <f t="array" aca="1" ref="Q63" ca="1">IFERROR(IF(_xlfn.XLOOKUP(J63,ETANCHEITE!X$22:X$92,ETANCHEITE!V$22:V$92,"")&lt;&gt;"",_xlfn.XLOOKUP(J63,ETANCHEITE!X$22:X$92,ETANCHEITE!V$22:V$92,""),    INDEX(ETANCHEITE!V:V,MAX(_xlfn._xlws.FILTER(ROW(ETANCHEITE!V$22:INDIRECT("'PEINTURE'!O" &amp; M63-1)),ETANCHEITE!V$22:INDIRECT("'PEINTURE'!O" &amp; M63-1)&lt;&gt;"")))),"")</f>
        <v/>
      </c>
      <c r="R63" s="163" t="str" cm="1">
        <f t="array" aca="1" ref="R63" ca="1">IFERROR(IF(_xlfn.XLOOKUP(J63,ETANCHEITE!X$22:X$92,ETANCHEITE!W$22:W$92,"")&lt;&gt;"",_xlfn.XLOOKUP(J63,ETANCHEITE!X$22:X$92,ETANCHEITE!W$22:W$92,""),    INDEX(ETANCHEITE!W:W,MAX(_xlfn._xlws.FILTER(ROW(ETANCHEITE!W$22:INDIRECT("'PEINTURE'!P" &amp; M63-1)),ETANCHEITE!W$22:INDIRECT("'PEINTURE'!P" &amp; M63-1)&lt;&gt;"")))),"")</f>
        <v/>
      </c>
      <c r="S63" s="145">
        <v>61</v>
      </c>
      <c r="T63" s="154" t="str">
        <f>IF(X63&lt;&gt;" ",ETANCHEITE!$D$5,"")</f>
        <v/>
      </c>
      <c r="U63" s="154" t="str">
        <f>IF(X63&lt;&gt;" ",ETANCHEITE!$D$8,"")</f>
        <v/>
      </c>
      <c r="V63" s="146" t="str">
        <f>IFERROR(MATCH(S63,ETANCHEITE!AG$22:AG$167,0)+18,"")</f>
        <v/>
      </c>
      <c r="W63" s="147" t="str" cm="1">
        <f t="array" aca="1" ref="W63" ca="1">IFERROR(IF(_xlfn.XLOOKUP(S63,ETANCHEITE!AG$22:AG$167,ETANCHEITE!$A$22:$A$167,"")&lt;&gt;"",_xlfn.XLOOKUP(S63,ETANCHEITE!AG$22:AG$167,ETANCHEITE!$A$22:$A$167,""),    INDEX(ETANCHEITE!$A:$A,MAX(_xlfn._xlws.FILTER(ROW(ETANCHEITE!$A$22:INDIRECT("'MENUISERIES EXTERIEURES'!$A" &amp; V63-1)),ETANCHEITE!$A$22:INDIRECT("'MENUISERIES EXTERIEURES'!$A" &amp; V63-1)&lt;&gt;"")))),"")&amp;"   "&amp;IFERROR(_xlfn.XLOOKUP(S63,ETANCHEITE!AG$22:AG$167,ETANCHEITE!$B$22:$B$167),"")&amp;IFERROR(_xlfn.XLOOKUP(S63,ETANCHEITE!AG$22:AG$167,ETANCHEITE!$C$22:$C$167),"")&amp;IFERROR(_xlfn.XLOOKUP(S63,ETANCHEITE!AG$22:AG$167,ETANCHEITE!$D$22:$D$167),"")&amp;IFERROR(_xlfn.XLOOKUP(S63,ETANCHEITE!AG$22:AG$167,ETANCHEITE!#REF!),"")&amp;IFERROR(_xlfn.XLOOKUP(S63,ETANCHEITE!AG$22:AG$167,ETANCHEITE!#REF!),"")</f>
        <v xml:space="preserve">   </v>
      </c>
      <c r="X63" s="155" t="str">
        <f>IFERROR(VLOOKUP(S63,ETANCHEITE!AG$22:AI$167,2,FALSE),"")&amp;" "&amp;IFERROR(VLOOKUP(S63,ETANCHEITE!AG$22:AI$167,3,FALSE),"")</f>
        <v xml:space="preserve"> </v>
      </c>
      <c r="Y63" s="148" t="str">
        <f>IF(X63&lt;&gt;" ",'Feuille de Donnée'!$C$3,"")</f>
        <v/>
      </c>
      <c r="Z63" s="162" t="str" cm="1">
        <f t="array" aca="1" ref="Z63" ca="1">IFERROR(IF(_xlfn.XLOOKUP(S63,ETANCHEITE!AG$22:AG$92,ETANCHEITE!AE$22:AE$92,"")&lt;&gt;"",_xlfn.XLOOKUP(S63,ETANCHEITE!AG$22:AG$92,ETANCHEITE!AE$22:AE$92,""),    INDEX(ETANCHEITE!AE:AE,MAX(_xlfn._xlws.FILTER(ROW(ETANCHEITE!AE$22:INDIRECT("'PEINTURE'!O" &amp; V63-1)),ETANCHEITE!AE$22:INDIRECT("'PEINTURE'!O" &amp; V63-1)&lt;&gt;"")))),"")</f>
        <v/>
      </c>
      <c r="AA63" s="163" t="str" cm="1">
        <f t="array" aca="1" ref="AA63" ca="1">IFERROR(IF(_xlfn.XLOOKUP(S63,ETANCHEITE!AG$22:AG$92,ETANCHEITE!AF$22:AF$92,"")&lt;&gt;"",_xlfn.XLOOKUP(S63,ETANCHEITE!AG$22:AG$92,ETANCHEITE!AF$22:AF$92,""),    INDEX(ETANCHEITE!AF:AF,MAX(_xlfn._xlws.FILTER(ROW(ETANCHEITE!AF$22:INDIRECT("'PEINTURE'!P" &amp; V63-1)),ETANCHEITE!AF$22:INDIRECT("'PEINTURE'!P" &amp; V63-1)&lt;&gt;"")))),"")</f>
        <v/>
      </c>
      <c r="AB63" s="145">
        <v>61</v>
      </c>
      <c r="AC63" s="154" t="str">
        <f>IF(AG63&lt;&gt;" ",ETANCHEITE!$D$5,"")</f>
        <v/>
      </c>
      <c r="AD63" s="154" t="str">
        <f>IF(AG63&lt;&gt;" ",ETANCHEITE!$D$8,"")</f>
        <v/>
      </c>
      <c r="AE63" s="146" t="str">
        <f>IFERROR(MATCH(AB63,ETANCHEITE!AP$22:AP$167,0)+18,"")</f>
        <v/>
      </c>
      <c r="AF63" s="147" t="str" cm="1">
        <f t="array" aca="1" ref="AF63" ca="1">IFERROR(IF(_xlfn.XLOOKUP(AB63,ETANCHEITE!AP$22:AP$167,ETANCHEITE!$A$22:$A$167,"")&lt;&gt;"",_xlfn.XLOOKUP(AB63,ETANCHEITE!AP$22:AP$167,ETANCHEITE!$A$22:$A$167,""),    INDEX(ETANCHEITE!$A:$A,MAX(_xlfn._xlws.FILTER(ROW(ETANCHEITE!$A$22:INDIRECT("'MENUISERIES EXTERIEURES'!$A" &amp; AE63-1)),ETANCHEITE!$A$22:INDIRECT("'MENUISERIES EXTERIEURES'!$A" &amp; AE63-1)&lt;&gt;"")))),"")&amp;"   "&amp;IFERROR(_xlfn.XLOOKUP(AB63,ETANCHEITE!AP$22:AP$167,ETANCHEITE!$B$22:$B$167),"")&amp;IFERROR(_xlfn.XLOOKUP(AB63,ETANCHEITE!AP$22:AP$167,ETANCHEITE!$C$22:$C$167),"")&amp;IFERROR(_xlfn.XLOOKUP(AB63,ETANCHEITE!AP$22:AP$167,ETANCHEITE!$D$22:$D$167),"")&amp;IFERROR(_xlfn.XLOOKUP(AB63,ETANCHEITE!AP$22:AP$167,ETANCHEITE!#REF!),"")&amp;IFERROR(_xlfn.XLOOKUP(AB63,ETANCHEITE!AP$22:AP$167,ETANCHEITE!#REF!),"")</f>
        <v xml:space="preserve">   </v>
      </c>
      <c r="AG63" s="155" t="str">
        <f>IFERROR(VLOOKUP(AB63,ETANCHEITE!AP$22:AR$167,2,FALSE),"")&amp;" "&amp;IFERROR(VLOOKUP(AB63,ETANCHEITE!AP$22:AR$167,3,FALSE),"")</f>
        <v xml:space="preserve"> </v>
      </c>
      <c r="AH63" s="148" t="str">
        <f>IF(AG63&lt;&gt;" ",'Feuille de Donnée'!$C$3,"")</f>
        <v/>
      </c>
      <c r="AI63" s="162" t="str" cm="1">
        <f t="array" aca="1" ref="AI63" ca="1">IFERROR(IF(_xlfn.XLOOKUP(AB63,ETANCHEITE!AP$22:AP$92,ETANCHEITE!AN$22:AN$92,"")&lt;&gt;"",_xlfn.XLOOKUP(AB63,ETANCHEITE!AP$22:AP$92,ETANCHEITE!AN$22:AN$92,""),    INDEX(ETANCHEITE!AN:AN,MAX(_xlfn._xlws.FILTER(ROW(ETANCHEITE!AN$22:INDIRECT("'PEINTURE'!O" &amp; AE63-1)),ETANCHEITE!AN$22:INDIRECT("'PEINTURE'!O" &amp; AE63-1)&lt;&gt;"")))),"")</f>
        <v/>
      </c>
      <c r="AJ63" s="163" t="str" cm="1">
        <f t="array" aca="1" ref="AJ63" ca="1">IFERROR(IF(_xlfn.XLOOKUP(AB63,ETANCHEITE!AP$22:AP$92,ETANCHEITE!AO$22:AO$92,"")&lt;&gt;"",_xlfn.XLOOKUP(AB63,ETANCHEITE!AP$22:AP$92,ETANCHEITE!AO$22:AO$92,""),    INDEX(ETANCHEITE!AO:AO,MAX(_xlfn._xlws.FILTER(ROW(ETANCHEITE!AO$22:INDIRECT("'PEINTURE'!P" &amp; AE63-1)),ETANCHEITE!AO$22:INDIRECT("'PEINTURE'!P" &amp; AE63-1)&lt;&gt;"")))),"")</f>
        <v/>
      </c>
      <c r="AK63" s="145">
        <v>61</v>
      </c>
      <c r="AL63" s="154" t="str">
        <f>IF(AP63&lt;&gt;" ",ETANCHEITE!$D$5,"")</f>
        <v/>
      </c>
      <c r="AM63" s="154" t="str">
        <f>IF(AP63&lt;&gt;" ",ETANCHEITE!$D$8,"")</f>
        <v/>
      </c>
      <c r="AN63" s="146" t="str">
        <f>IFERROR(MATCH(AK63,ETANCHEITE!AY$22:AY$167,0)+18,"")</f>
        <v/>
      </c>
      <c r="AO63" s="147" t="str" cm="1">
        <f t="array" aca="1" ref="AO63" ca="1">IFERROR(IF(_xlfn.XLOOKUP(AK63,ETANCHEITE!AY$22:AY$167,ETANCHEITE!$A$22:$A$167,"")&lt;&gt;"",_xlfn.XLOOKUP(AK63,ETANCHEITE!AY$22:AY$167,ETANCHEITE!$A$22:$A$167,""),    INDEX(ETANCHEITE!$A:$A,MAX(_xlfn._xlws.FILTER(ROW(ETANCHEITE!$A$22:INDIRECT("'MENUISERIES EXTERIEURES'!$A" &amp; AN63-1)),ETANCHEITE!$A$22:INDIRECT("'MENUISERIES EXTERIEURES'!$A" &amp; AN63-1)&lt;&gt;"")))),"")&amp;"   "&amp;IFERROR(_xlfn.XLOOKUP(AK63,ETANCHEITE!AY$22:AY$167,ETANCHEITE!$B$22:$B$167),"")&amp;IFERROR(_xlfn.XLOOKUP(AK63,ETANCHEITE!AY$22:AY$167,ETANCHEITE!$C$22:$C$167),"")&amp;IFERROR(_xlfn.XLOOKUP(AK63,ETANCHEITE!AY$22:AY$167,ETANCHEITE!$D$22:$D$167),"")&amp;IFERROR(_xlfn.XLOOKUP(AK63,ETANCHEITE!AY$22:AY$167,ETANCHEITE!#REF!),"")&amp;IFERROR(_xlfn.XLOOKUP(AK63,ETANCHEITE!AY$22:AY$167,ETANCHEITE!#REF!),"")</f>
        <v xml:space="preserve">   </v>
      </c>
      <c r="AP63" s="155" t="str">
        <f>IFERROR(VLOOKUP(AK63,ETANCHEITE!AY$22:BA$167,2,FALSE),"")&amp;" "&amp;IFERROR(VLOOKUP(AK63,ETANCHEITE!AY$22:BA$167,3,FALSE),"")</f>
        <v xml:space="preserve"> </v>
      </c>
      <c r="AQ63" s="148" t="str">
        <f>IF(AP63&lt;&gt;" ",'Feuille de Donnée'!$C$3,"")</f>
        <v/>
      </c>
      <c r="AR63" s="162" t="str" cm="1">
        <f t="array" aca="1" ref="AR63" ca="1">IFERROR(IF(_xlfn.XLOOKUP(AK63,ETANCHEITE!AY$22:AY$92,ETANCHEITE!AW$22:AW$92,"")&lt;&gt;"",_xlfn.XLOOKUP(AK63,ETANCHEITE!AY$22:AY$92,ETANCHEITE!AW$22:AW$92,""),    INDEX(ETANCHEITE!AW:AW,MAX(_xlfn._xlws.FILTER(ROW(ETANCHEITE!AW$22:INDIRECT("'PEINTURE'!O" &amp; AN63-1)),ETANCHEITE!AW$22:INDIRECT("'PEINTURE'!O" &amp; AN63-1)&lt;&gt;"")))),"")</f>
        <v/>
      </c>
      <c r="AS63" s="163" t="str" cm="1">
        <f t="array" aca="1" ref="AS63" ca="1">IFERROR(IF(_xlfn.XLOOKUP(AK63,ETANCHEITE!AY$22:AY$92,ETANCHEITE!AX$22:AX$92,"")&lt;&gt;"",_xlfn.XLOOKUP(AK63,ETANCHEITE!AY$22:AY$92,ETANCHEITE!AX$22:AX$92,""),    INDEX(ETANCHEITE!AX:AX,MAX(_xlfn._xlws.FILTER(ROW(ETANCHEITE!AX$22:INDIRECT("'PEINTURE'!P" &amp; AN63-1)),ETANCHEITE!AX$22:INDIRECT("'PEINTURE'!P" &amp; AN63-1)&lt;&gt;"")))),"")</f>
        <v/>
      </c>
      <c r="AT63" s="145">
        <v>61</v>
      </c>
      <c r="AU63" s="154" t="str">
        <f>IF(AY63&lt;&gt;" ",ETANCHEITE!$D$5,"")</f>
        <v/>
      </c>
      <c r="AV63" s="154" t="str">
        <f>IF(AY63&lt;&gt;" ",ETANCHEITE!$D$8,"")</f>
        <v/>
      </c>
      <c r="AW63" s="146" t="str">
        <f>IFERROR(MATCH(AT63,ETANCHEITE!BH$22:BH$167,0)+18,"")</f>
        <v/>
      </c>
      <c r="AX63" s="147" t="str" cm="1">
        <f t="array" aca="1" ref="AX63" ca="1">IFERROR(IF(_xlfn.XLOOKUP(AT63,ETANCHEITE!BH$22:BH$167,ETANCHEITE!$A$22:$A$167,"")&lt;&gt;"",_xlfn.XLOOKUP(AT63,ETANCHEITE!BH$22:BH$167,ETANCHEITE!$A$22:$A$167,""),    INDEX(ETANCHEITE!$A:$A,MAX(_xlfn._xlws.FILTER(ROW(ETANCHEITE!$A$22:INDIRECT("'MENUISERIES EXTERIEURES'!$A" &amp; AW63-1)),ETANCHEITE!$A$22:INDIRECT("'MENUISERIES EXTERIEURES'!$A" &amp; AW63-1)&lt;&gt;"")))),"")&amp;"   "&amp;IFERROR(_xlfn.XLOOKUP(AT63,ETANCHEITE!BH$22:BH$167,ETANCHEITE!$B$22:$B$167),"")&amp;IFERROR(_xlfn.XLOOKUP(AT63,ETANCHEITE!BH$22:BH$167,ETANCHEITE!$C$22:$C$167),"")&amp;IFERROR(_xlfn.XLOOKUP(AT63,ETANCHEITE!BH$22:BH$167,ETANCHEITE!$D$22:$D$167),"")&amp;IFERROR(_xlfn.XLOOKUP(AT63,ETANCHEITE!BH$22:BH$167,ETANCHEITE!#REF!),"")&amp;IFERROR(_xlfn.XLOOKUP(AT63,ETANCHEITE!BH$22:BH$167,ETANCHEITE!#REF!),"")</f>
        <v xml:space="preserve">   </v>
      </c>
      <c r="AY63" s="155" t="str">
        <f>IFERROR(VLOOKUP(AT63,ETANCHEITE!BH$22:BJ$167,2,FALSE),"")&amp;" "&amp;IFERROR(VLOOKUP(AT63,ETANCHEITE!BH$22:BJ$167,3,FALSE),"")</f>
        <v xml:space="preserve"> </v>
      </c>
      <c r="AZ63" s="148" t="str">
        <f>IF(AY63&lt;&gt;" ",'Feuille de Donnée'!$C$3,"")</f>
        <v/>
      </c>
      <c r="BA63" s="162" t="str" cm="1">
        <f t="array" aca="1" ref="BA63" ca="1">IFERROR(IF(_xlfn.XLOOKUP(AT63,ETANCHEITE!BH$22:BH$92,ETANCHEITE!BF$22:BF$92,"")&lt;&gt;"",_xlfn.XLOOKUP(AT63,ETANCHEITE!BH$22:BH$92,ETANCHEITE!BF$22:BF$92,""),    INDEX(ETANCHEITE!BF:BF,MAX(_xlfn._xlws.FILTER(ROW(ETANCHEITE!BF$22:INDIRECT("'PEINTURE'!O" &amp; AW63-1)),ETANCHEITE!BF$22:INDIRECT("'PEINTURE'!O" &amp; AW63-1)&lt;&gt;"")))),"")</f>
        <v/>
      </c>
      <c r="BB63" s="163" t="str" cm="1">
        <f t="array" aca="1" ref="BB63" ca="1">IFERROR(IF(_xlfn.XLOOKUP(AT63,ETANCHEITE!BH$22:BH$92,ETANCHEITE!BG$22:BG$92,"")&lt;&gt;"",_xlfn.XLOOKUP(AT63,ETANCHEITE!BH$22:BH$92,ETANCHEITE!BG$22:BG$92,""),    INDEX(ETANCHEITE!BG:BG,MAX(_xlfn._xlws.FILTER(ROW(ETANCHEITE!BG$22:INDIRECT("'PEINTURE'!P" &amp; AW63-1)),ETANCHEITE!BG$22:INDIRECT("'PEINTURE'!P" &amp; AW63-1)&lt;&gt;"")))),"")</f>
        <v/>
      </c>
    </row>
    <row r="64" spans="1:54" x14ac:dyDescent="0.3">
      <c r="A64" s="145">
        <v>62</v>
      </c>
      <c r="B64" s="154" t="str">
        <f>IF(F64&lt;&gt;" ",ETANCHEITE!$D$5,"")</f>
        <v/>
      </c>
      <c r="C64" s="154" t="str">
        <f>IF(F64&lt;&gt;" ",ETANCHEITE!$D$8,"")</f>
        <v/>
      </c>
      <c r="D64" s="146" t="str">
        <f>IFERROR(MATCH(A64,ETANCHEITE!O$22:O$167,0)+18,"")</f>
        <v/>
      </c>
      <c r="E64" s="147" t="str" cm="1">
        <f t="array" aca="1" ref="E64" ca="1">IFERROR(IF(_xlfn.XLOOKUP(A64,ETANCHEITE!O$22:O$167,ETANCHEITE!$A$22:$A$167,"")&lt;&gt;"",_xlfn.XLOOKUP(A64,ETANCHEITE!O$22:O$167,ETANCHEITE!$A$22:$A$167,""),    INDEX(ETANCHEITE!$A:$A,MAX(_xlfn._xlws.FILTER(ROW(ETANCHEITE!$A$22:INDIRECT("'MENUISERIES EXTERIEURES'!$A" &amp; D64-1)),ETANCHEITE!$A$22:INDIRECT("'MENUISERIES EXTERIEURES'!$A" &amp; D64-1)&lt;&gt;"")))),"")&amp;"   "&amp;IFERROR(_xlfn.XLOOKUP(A64,ETANCHEITE!O$22:O$167,ETANCHEITE!$B$22:$B$167),"")&amp;IFERROR(_xlfn.XLOOKUP(A64,ETANCHEITE!O$22:O$167,ETANCHEITE!$C$22:$C$167),"")&amp;IFERROR(_xlfn.XLOOKUP(A64,ETANCHEITE!O$22:O$167,ETANCHEITE!$D$22:$D$167),"")&amp;IFERROR(_xlfn.XLOOKUP(A64,ETANCHEITE!O$22:O$167,ETANCHEITE!#REF!),"")&amp;IFERROR(_xlfn.XLOOKUP(A64,ETANCHEITE!O$22:O$167,ETANCHEITE!#REF!),"")</f>
        <v xml:space="preserve">   </v>
      </c>
      <c r="F64" s="155" t="str">
        <f>IFERROR(VLOOKUP(A64,ETANCHEITE!O$22:Q$167,2,FALSE),"")&amp;" "&amp;IFERROR(VLOOKUP(A64,ETANCHEITE!O$22:Q$167,3,FALSE),"")</f>
        <v xml:space="preserve"> </v>
      </c>
      <c r="G64" s="148" t="str">
        <f>IF(F64&lt;&gt;" ",'Feuille de Donnée'!$C$3,"")</f>
        <v/>
      </c>
      <c r="H64" s="162" t="str" cm="1">
        <f t="array" aca="1" ref="H64" ca="1">IFERROR(IF(_xlfn.XLOOKUP(A64,ETANCHEITE!O$22:O$92,ETANCHEITE!M$22:M$92,"")&lt;&gt;"",_xlfn.XLOOKUP(A64,ETANCHEITE!O$22:O$92,ETANCHEITE!M$22:M$92,""),    INDEX(ETANCHEITE!M:M,MAX(_xlfn._xlws.FILTER(ROW(ETANCHEITE!M$22:INDIRECT("'PEINTURE'!O" &amp; D64-1)),ETANCHEITE!M$22:INDIRECT("'PEINTURE'!O" &amp; D64-1)&lt;&gt;"")))),"")</f>
        <v/>
      </c>
      <c r="I64" s="163" t="str" cm="1">
        <f t="array" aca="1" ref="I64" ca="1">IFERROR(IF(_xlfn.XLOOKUP(A64,ETANCHEITE!O$22:O$92,ETANCHEITE!N$22:N$92,"")&lt;&gt;"",_xlfn.XLOOKUP(A64,ETANCHEITE!O$22:O$92,ETANCHEITE!N$22:N$92,""),    INDEX(ETANCHEITE!N:N,MAX(_xlfn._xlws.FILTER(ROW(ETANCHEITE!N$22:INDIRECT("'PEINTURE'!P" &amp; D64-1)),ETANCHEITE!N$22:INDIRECT("'PEINTURE'!P" &amp; D64-1)&lt;&gt;"")))),"")</f>
        <v/>
      </c>
      <c r="J64" s="145">
        <v>62</v>
      </c>
      <c r="K64" s="154" t="str">
        <f>IF(O64&lt;&gt;" ",ETANCHEITE!$D$5,"")</f>
        <v/>
      </c>
      <c r="L64" s="154" t="str">
        <f>IF(O64&lt;&gt;" ",ETANCHEITE!$D$8,"")</f>
        <v/>
      </c>
      <c r="M64" s="146" t="str">
        <f>IFERROR(MATCH(J64,ETANCHEITE!X$22:X$167,0)+18,"")</f>
        <v/>
      </c>
      <c r="N64" s="147" t="str" cm="1">
        <f t="array" aca="1" ref="N64" ca="1">IFERROR(IF(_xlfn.XLOOKUP(J64,ETANCHEITE!X$22:X$167,ETANCHEITE!$A$22:$A$167,"")&lt;&gt;"",_xlfn.XLOOKUP(J64,ETANCHEITE!X$22:X$167,ETANCHEITE!$A$22:$A$167,""),    INDEX(ETANCHEITE!$A:$A,MAX(_xlfn._xlws.FILTER(ROW(ETANCHEITE!$A$22:INDIRECT("'MENUISERIES EXTERIEURES'!$A" &amp; M64-1)),ETANCHEITE!$A$22:INDIRECT("'MENUISERIES EXTERIEURES'!$A" &amp; M64-1)&lt;&gt;"")))),"")&amp;"   "&amp;IFERROR(_xlfn.XLOOKUP(J64,ETANCHEITE!X$22:X$167,ETANCHEITE!$B$22:$B$167),"")&amp;IFERROR(_xlfn.XLOOKUP(J64,ETANCHEITE!X$22:X$167,ETANCHEITE!$C$22:$C$167),"")&amp;IFERROR(_xlfn.XLOOKUP(J64,ETANCHEITE!X$22:X$167,ETANCHEITE!$D$22:$D$167),"")&amp;IFERROR(_xlfn.XLOOKUP(J64,ETANCHEITE!X$22:X$167,ETANCHEITE!#REF!),"")&amp;IFERROR(_xlfn.XLOOKUP(J64,ETANCHEITE!X$22:X$167,ETANCHEITE!#REF!),"")</f>
        <v xml:space="preserve">   </v>
      </c>
      <c r="O64" s="155" t="str">
        <f>IFERROR(VLOOKUP(J64,ETANCHEITE!X$22:Z$167,2,FALSE),"")&amp;" "&amp;IFERROR(VLOOKUP(J64,ETANCHEITE!X$22:Z$167,3,FALSE),"")</f>
        <v xml:space="preserve"> </v>
      </c>
      <c r="P64" s="148" t="str">
        <f>IF(O64&lt;&gt;" ",'Feuille de Donnée'!$C$3,"")</f>
        <v/>
      </c>
      <c r="Q64" s="162" t="str" cm="1">
        <f t="array" aca="1" ref="Q64" ca="1">IFERROR(IF(_xlfn.XLOOKUP(J64,ETANCHEITE!X$22:X$92,ETANCHEITE!V$22:V$92,"")&lt;&gt;"",_xlfn.XLOOKUP(J64,ETANCHEITE!X$22:X$92,ETANCHEITE!V$22:V$92,""),    INDEX(ETANCHEITE!V:V,MAX(_xlfn._xlws.FILTER(ROW(ETANCHEITE!V$22:INDIRECT("'PEINTURE'!O" &amp; M64-1)),ETANCHEITE!V$22:INDIRECT("'PEINTURE'!O" &amp; M64-1)&lt;&gt;"")))),"")</f>
        <v/>
      </c>
      <c r="R64" s="163" t="str" cm="1">
        <f t="array" aca="1" ref="R64" ca="1">IFERROR(IF(_xlfn.XLOOKUP(J64,ETANCHEITE!X$22:X$92,ETANCHEITE!W$22:W$92,"")&lt;&gt;"",_xlfn.XLOOKUP(J64,ETANCHEITE!X$22:X$92,ETANCHEITE!W$22:W$92,""),    INDEX(ETANCHEITE!W:W,MAX(_xlfn._xlws.FILTER(ROW(ETANCHEITE!W$22:INDIRECT("'PEINTURE'!P" &amp; M64-1)),ETANCHEITE!W$22:INDIRECT("'PEINTURE'!P" &amp; M64-1)&lt;&gt;"")))),"")</f>
        <v/>
      </c>
      <c r="S64" s="145">
        <v>62</v>
      </c>
      <c r="T64" s="154" t="str">
        <f>IF(X64&lt;&gt;" ",ETANCHEITE!$D$5,"")</f>
        <v/>
      </c>
      <c r="U64" s="154" t="str">
        <f>IF(X64&lt;&gt;" ",ETANCHEITE!$D$8,"")</f>
        <v/>
      </c>
      <c r="V64" s="146" t="str">
        <f>IFERROR(MATCH(S64,ETANCHEITE!AG$22:AG$167,0)+18,"")</f>
        <v/>
      </c>
      <c r="W64" s="147" t="str" cm="1">
        <f t="array" aca="1" ref="W64" ca="1">IFERROR(IF(_xlfn.XLOOKUP(S64,ETANCHEITE!AG$22:AG$167,ETANCHEITE!$A$22:$A$167,"")&lt;&gt;"",_xlfn.XLOOKUP(S64,ETANCHEITE!AG$22:AG$167,ETANCHEITE!$A$22:$A$167,""),    INDEX(ETANCHEITE!$A:$A,MAX(_xlfn._xlws.FILTER(ROW(ETANCHEITE!$A$22:INDIRECT("'MENUISERIES EXTERIEURES'!$A" &amp; V64-1)),ETANCHEITE!$A$22:INDIRECT("'MENUISERIES EXTERIEURES'!$A" &amp; V64-1)&lt;&gt;"")))),"")&amp;"   "&amp;IFERROR(_xlfn.XLOOKUP(S64,ETANCHEITE!AG$22:AG$167,ETANCHEITE!$B$22:$B$167),"")&amp;IFERROR(_xlfn.XLOOKUP(S64,ETANCHEITE!AG$22:AG$167,ETANCHEITE!$C$22:$C$167),"")&amp;IFERROR(_xlfn.XLOOKUP(S64,ETANCHEITE!AG$22:AG$167,ETANCHEITE!$D$22:$D$167),"")&amp;IFERROR(_xlfn.XLOOKUP(S64,ETANCHEITE!AG$22:AG$167,ETANCHEITE!#REF!),"")&amp;IFERROR(_xlfn.XLOOKUP(S64,ETANCHEITE!AG$22:AG$167,ETANCHEITE!#REF!),"")</f>
        <v xml:space="preserve">   </v>
      </c>
      <c r="X64" s="155" t="str">
        <f>IFERROR(VLOOKUP(S64,ETANCHEITE!AG$22:AI$167,2,FALSE),"")&amp;" "&amp;IFERROR(VLOOKUP(S64,ETANCHEITE!AG$22:AI$167,3,FALSE),"")</f>
        <v xml:space="preserve"> </v>
      </c>
      <c r="Y64" s="148" t="str">
        <f>IF(X64&lt;&gt;" ",'Feuille de Donnée'!$C$3,"")</f>
        <v/>
      </c>
      <c r="Z64" s="162" t="str" cm="1">
        <f t="array" aca="1" ref="Z64" ca="1">IFERROR(IF(_xlfn.XLOOKUP(S64,ETANCHEITE!AG$22:AG$92,ETANCHEITE!AE$22:AE$92,"")&lt;&gt;"",_xlfn.XLOOKUP(S64,ETANCHEITE!AG$22:AG$92,ETANCHEITE!AE$22:AE$92,""),    INDEX(ETANCHEITE!AE:AE,MAX(_xlfn._xlws.FILTER(ROW(ETANCHEITE!AE$22:INDIRECT("'PEINTURE'!O" &amp; V64-1)),ETANCHEITE!AE$22:INDIRECT("'PEINTURE'!O" &amp; V64-1)&lt;&gt;"")))),"")</f>
        <v/>
      </c>
      <c r="AA64" s="163" t="str" cm="1">
        <f t="array" aca="1" ref="AA64" ca="1">IFERROR(IF(_xlfn.XLOOKUP(S64,ETANCHEITE!AG$22:AG$92,ETANCHEITE!AF$22:AF$92,"")&lt;&gt;"",_xlfn.XLOOKUP(S64,ETANCHEITE!AG$22:AG$92,ETANCHEITE!AF$22:AF$92,""),    INDEX(ETANCHEITE!AF:AF,MAX(_xlfn._xlws.FILTER(ROW(ETANCHEITE!AF$22:INDIRECT("'PEINTURE'!P" &amp; V64-1)),ETANCHEITE!AF$22:INDIRECT("'PEINTURE'!P" &amp; V64-1)&lt;&gt;"")))),"")</f>
        <v/>
      </c>
      <c r="AB64" s="145">
        <v>62</v>
      </c>
      <c r="AC64" s="154" t="str">
        <f>IF(AG64&lt;&gt;" ",ETANCHEITE!$D$5,"")</f>
        <v/>
      </c>
      <c r="AD64" s="154" t="str">
        <f>IF(AG64&lt;&gt;" ",ETANCHEITE!$D$8,"")</f>
        <v/>
      </c>
      <c r="AE64" s="146" t="str">
        <f>IFERROR(MATCH(AB64,ETANCHEITE!AP$22:AP$167,0)+18,"")</f>
        <v/>
      </c>
      <c r="AF64" s="147" t="str" cm="1">
        <f t="array" aca="1" ref="AF64" ca="1">IFERROR(IF(_xlfn.XLOOKUP(AB64,ETANCHEITE!AP$22:AP$167,ETANCHEITE!$A$22:$A$167,"")&lt;&gt;"",_xlfn.XLOOKUP(AB64,ETANCHEITE!AP$22:AP$167,ETANCHEITE!$A$22:$A$167,""),    INDEX(ETANCHEITE!$A:$A,MAX(_xlfn._xlws.FILTER(ROW(ETANCHEITE!$A$22:INDIRECT("'MENUISERIES EXTERIEURES'!$A" &amp; AE64-1)),ETANCHEITE!$A$22:INDIRECT("'MENUISERIES EXTERIEURES'!$A" &amp; AE64-1)&lt;&gt;"")))),"")&amp;"   "&amp;IFERROR(_xlfn.XLOOKUP(AB64,ETANCHEITE!AP$22:AP$167,ETANCHEITE!$B$22:$B$167),"")&amp;IFERROR(_xlfn.XLOOKUP(AB64,ETANCHEITE!AP$22:AP$167,ETANCHEITE!$C$22:$C$167),"")&amp;IFERROR(_xlfn.XLOOKUP(AB64,ETANCHEITE!AP$22:AP$167,ETANCHEITE!$D$22:$D$167),"")&amp;IFERROR(_xlfn.XLOOKUP(AB64,ETANCHEITE!AP$22:AP$167,ETANCHEITE!#REF!),"")&amp;IFERROR(_xlfn.XLOOKUP(AB64,ETANCHEITE!AP$22:AP$167,ETANCHEITE!#REF!),"")</f>
        <v xml:space="preserve">   </v>
      </c>
      <c r="AG64" s="155" t="str">
        <f>IFERROR(VLOOKUP(AB64,ETANCHEITE!AP$22:AR$167,2,FALSE),"")&amp;" "&amp;IFERROR(VLOOKUP(AB64,ETANCHEITE!AP$22:AR$167,3,FALSE),"")</f>
        <v xml:space="preserve"> </v>
      </c>
      <c r="AH64" s="148" t="str">
        <f>IF(AG64&lt;&gt;" ",'Feuille de Donnée'!$C$3,"")</f>
        <v/>
      </c>
      <c r="AI64" s="162" t="str" cm="1">
        <f t="array" aca="1" ref="AI64" ca="1">IFERROR(IF(_xlfn.XLOOKUP(AB64,ETANCHEITE!AP$22:AP$92,ETANCHEITE!AN$22:AN$92,"")&lt;&gt;"",_xlfn.XLOOKUP(AB64,ETANCHEITE!AP$22:AP$92,ETANCHEITE!AN$22:AN$92,""),    INDEX(ETANCHEITE!AN:AN,MAX(_xlfn._xlws.FILTER(ROW(ETANCHEITE!AN$22:INDIRECT("'PEINTURE'!O" &amp; AE64-1)),ETANCHEITE!AN$22:INDIRECT("'PEINTURE'!O" &amp; AE64-1)&lt;&gt;"")))),"")</f>
        <v/>
      </c>
      <c r="AJ64" s="163" t="str" cm="1">
        <f t="array" aca="1" ref="AJ64" ca="1">IFERROR(IF(_xlfn.XLOOKUP(AB64,ETANCHEITE!AP$22:AP$92,ETANCHEITE!AO$22:AO$92,"")&lt;&gt;"",_xlfn.XLOOKUP(AB64,ETANCHEITE!AP$22:AP$92,ETANCHEITE!AO$22:AO$92,""),    INDEX(ETANCHEITE!AO:AO,MAX(_xlfn._xlws.FILTER(ROW(ETANCHEITE!AO$22:INDIRECT("'PEINTURE'!P" &amp; AE64-1)),ETANCHEITE!AO$22:INDIRECT("'PEINTURE'!P" &amp; AE64-1)&lt;&gt;"")))),"")</f>
        <v/>
      </c>
      <c r="AK64" s="145">
        <v>62</v>
      </c>
      <c r="AL64" s="154" t="str">
        <f>IF(AP64&lt;&gt;" ",ETANCHEITE!$D$5,"")</f>
        <v/>
      </c>
      <c r="AM64" s="154" t="str">
        <f>IF(AP64&lt;&gt;" ",ETANCHEITE!$D$8,"")</f>
        <v/>
      </c>
      <c r="AN64" s="146" t="str">
        <f>IFERROR(MATCH(AK64,ETANCHEITE!AY$22:AY$167,0)+18,"")</f>
        <v/>
      </c>
      <c r="AO64" s="147" t="str" cm="1">
        <f t="array" aca="1" ref="AO64" ca="1">IFERROR(IF(_xlfn.XLOOKUP(AK64,ETANCHEITE!AY$22:AY$167,ETANCHEITE!$A$22:$A$167,"")&lt;&gt;"",_xlfn.XLOOKUP(AK64,ETANCHEITE!AY$22:AY$167,ETANCHEITE!$A$22:$A$167,""),    INDEX(ETANCHEITE!$A:$A,MAX(_xlfn._xlws.FILTER(ROW(ETANCHEITE!$A$22:INDIRECT("'MENUISERIES EXTERIEURES'!$A" &amp; AN64-1)),ETANCHEITE!$A$22:INDIRECT("'MENUISERIES EXTERIEURES'!$A" &amp; AN64-1)&lt;&gt;"")))),"")&amp;"   "&amp;IFERROR(_xlfn.XLOOKUP(AK64,ETANCHEITE!AY$22:AY$167,ETANCHEITE!$B$22:$B$167),"")&amp;IFERROR(_xlfn.XLOOKUP(AK64,ETANCHEITE!AY$22:AY$167,ETANCHEITE!$C$22:$C$167),"")&amp;IFERROR(_xlfn.XLOOKUP(AK64,ETANCHEITE!AY$22:AY$167,ETANCHEITE!$D$22:$D$167),"")&amp;IFERROR(_xlfn.XLOOKUP(AK64,ETANCHEITE!AY$22:AY$167,ETANCHEITE!#REF!),"")&amp;IFERROR(_xlfn.XLOOKUP(AK64,ETANCHEITE!AY$22:AY$167,ETANCHEITE!#REF!),"")</f>
        <v xml:space="preserve">   </v>
      </c>
      <c r="AP64" s="155" t="str">
        <f>IFERROR(VLOOKUP(AK64,ETANCHEITE!AY$22:BA$167,2,FALSE),"")&amp;" "&amp;IFERROR(VLOOKUP(AK64,ETANCHEITE!AY$22:BA$167,3,FALSE),"")</f>
        <v xml:space="preserve"> </v>
      </c>
      <c r="AQ64" s="148" t="str">
        <f>IF(AP64&lt;&gt;" ",'Feuille de Donnée'!$C$3,"")</f>
        <v/>
      </c>
      <c r="AR64" s="162" t="str" cm="1">
        <f t="array" aca="1" ref="AR64" ca="1">IFERROR(IF(_xlfn.XLOOKUP(AK64,ETANCHEITE!AY$22:AY$92,ETANCHEITE!AW$22:AW$92,"")&lt;&gt;"",_xlfn.XLOOKUP(AK64,ETANCHEITE!AY$22:AY$92,ETANCHEITE!AW$22:AW$92,""),    INDEX(ETANCHEITE!AW:AW,MAX(_xlfn._xlws.FILTER(ROW(ETANCHEITE!AW$22:INDIRECT("'PEINTURE'!O" &amp; AN64-1)),ETANCHEITE!AW$22:INDIRECT("'PEINTURE'!O" &amp; AN64-1)&lt;&gt;"")))),"")</f>
        <v/>
      </c>
      <c r="AS64" s="163" t="str" cm="1">
        <f t="array" aca="1" ref="AS64" ca="1">IFERROR(IF(_xlfn.XLOOKUP(AK64,ETANCHEITE!AY$22:AY$92,ETANCHEITE!AX$22:AX$92,"")&lt;&gt;"",_xlfn.XLOOKUP(AK64,ETANCHEITE!AY$22:AY$92,ETANCHEITE!AX$22:AX$92,""),    INDEX(ETANCHEITE!AX:AX,MAX(_xlfn._xlws.FILTER(ROW(ETANCHEITE!AX$22:INDIRECT("'PEINTURE'!P" &amp; AN64-1)),ETANCHEITE!AX$22:INDIRECT("'PEINTURE'!P" &amp; AN64-1)&lt;&gt;"")))),"")</f>
        <v/>
      </c>
      <c r="AT64" s="145">
        <v>62</v>
      </c>
      <c r="AU64" s="154" t="str">
        <f>IF(AY64&lt;&gt;" ",ETANCHEITE!$D$5,"")</f>
        <v/>
      </c>
      <c r="AV64" s="154" t="str">
        <f>IF(AY64&lt;&gt;" ",ETANCHEITE!$D$8,"")</f>
        <v/>
      </c>
      <c r="AW64" s="146" t="str">
        <f>IFERROR(MATCH(AT64,ETANCHEITE!BH$22:BH$167,0)+18,"")</f>
        <v/>
      </c>
      <c r="AX64" s="147" t="str" cm="1">
        <f t="array" aca="1" ref="AX64" ca="1">IFERROR(IF(_xlfn.XLOOKUP(AT64,ETANCHEITE!BH$22:BH$167,ETANCHEITE!$A$22:$A$167,"")&lt;&gt;"",_xlfn.XLOOKUP(AT64,ETANCHEITE!BH$22:BH$167,ETANCHEITE!$A$22:$A$167,""),    INDEX(ETANCHEITE!$A:$A,MAX(_xlfn._xlws.FILTER(ROW(ETANCHEITE!$A$22:INDIRECT("'MENUISERIES EXTERIEURES'!$A" &amp; AW64-1)),ETANCHEITE!$A$22:INDIRECT("'MENUISERIES EXTERIEURES'!$A" &amp; AW64-1)&lt;&gt;"")))),"")&amp;"   "&amp;IFERROR(_xlfn.XLOOKUP(AT64,ETANCHEITE!BH$22:BH$167,ETANCHEITE!$B$22:$B$167),"")&amp;IFERROR(_xlfn.XLOOKUP(AT64,ETANCHEITE!BH$22:BH$167,ETANCHEITE!$C$22:$C$167),"")&amp;IFERROR(_xlfn.XLOOKUP(AT64,ETANCHEITE!BH$22:BH$167,ETANCHEITE!$D$22:$D$167),"")&amp;IFERROR(_xlfn.XLOOKUP(AT64,ETANCHEITE!BH$22:BH$167,ETANCHEITE!#REF!),"")&amp;IFERROR(_xlfn.XLOOKUP(AT64,ETANCHEITE!BH$22:BH$167,ETANCHEITE!#REF!),"")</f>
        <v xml:space="preserve">   </v>
      </c>
      <c r="AY64" s="155" t="str">
        <f>IFERROR(VLOOKUP(AT64,ETANCHEITE!BH$22:BJ$167,2,FALSE),"")&amp;" "&amp;IFERROR(VLOOKUP(AT64,ETANCHEITE!BH$22:BJ$167,3,FALSE),"")</f>
        <v xml:space="preserve"> </v>
      </c>
      <c r="AZ64" s="148" t="str">
        <f>IF(AY64&lt;&gt;" ",'Feuille de Donnée'!$C$3,"")</f>
        <v/>
      </c>
      <c r="BA64" s="162" t="str" cm="1">
        <f t="array" aca="1" ref="BA64" ca="1">IFERROR(IF(_xlfn.XLOOKUP(AT64,ETANCHEITE!BH$22:BH$92,ETANCHEITE!BF$22:BF$92,"")&lt;&gt;"",_xlfn.XLOOKUP(AT64,ETANCHEITE!BH$22:BH$92,ETANCHEITE!BF$22:BF$92,""),    INDEX(ETANCHEITE!BF:BF,MAX(_xlfn._xlws.FILTER(ROW(ETANCHEITE!BF$22:INDIRECT("'PEINTURE'!O" &amp; AW64-1)),ETANCHEITE!BF$22:INDIRECT("'PEINTURE'!O" &amp; AW64-1)&lt;&gt;"")))),"")</f>
        <v/>
      </c>
      <c r="BB64" s="163" t="str" cm="1">
        <f t="array" aca="1" ref="BB64" ca="1">IFERROR(IF(_xlfn.XLOOKUP(AT64,ETANCHEITE!BH$22:BH$92,ETANCHEITE!BG$22:BG$92,"")&lt;&gt;"",_xlfn.XLOOKUP(AT64,ETANCHEITE!BH$22:BH$92,ETANCHEITE!BG$22:BG$92,""),    INDEX(ETANCHEITE!BG:BG,MAX(_xlfn._xlws.FILTER(ROW(ETANCHEITE!BG$22:INDIRECT("'PEINTURE'!P" &amp; AW64-1)),ETANCHEITE!BG$22:INDIRECT("'PEINTURE'!P" &amp; AW64-1)&lt;&gt;"")))),"")</f>
        <v/>
      </c>
    </row>
    <row r="65" spans="1:54" x14ac:dyDescent="0.3">
      <c r="A65" s="145">
        <v>63</v>
      </c>
      <c r="B65" s="154" t="str">
        <f>IF(F65&lt;&gt;" ",ETANCHEITE!$D$5,"")</f>
        <v/>
      </c>
      <c r="C65" s="154" t="str">
        <f>IF(F65&lt;&gt;" ",ETANCHEITE!$D$8,"")</f>
        <v/>
      </c>
      <c r="D65" s="146" t="str">
        <f>IFERROR(MATCH(A65,ETANCHEITE!O$22:O$167,0)+18,"")</f>
        <v/>
      </c>
      <c r="E65" s="147" t="str" cm="1">
        <f t="array" aca="1" ref="E65" ca="1">IFERROR(IF(_xlfn.XLOOKUP(A65,ETANCHEITE!O$22:O$167,ETANCHEITE!$A$22:$A$167,"")&lt;&gt;"",_xlfn.XLOOKUP(A65,ETANCHEITE!O$22:O$167,ETANCHEITE!$A$22:$A$167,""),    INDEX(ETANCHEITE!$A:$A,MAX(_xlfn._xlws.FILTER(ROW(ETANCHEITE!$A$22:INDIRECT("'MENUISERIES EXTERIEURES'!$A" &amp; D65-1)),ETANCHEITE!$A$22:INDIRECT("'MENUISERIES EXTERIEURES'!$A" &amp; D65-1)&lt;&gt;"")))),"")&amp;"   "&amp;IFERROR(_xlfn.XLOOKUP(A65,ETANCHEITE!O$22:O$167,ETANCHEITE!$B$22:$B$167),"")&amp;IFERROR(_xlfn.XLOOKUP(A65,ETANCHEITE!O$22:O$167,ETANCHEITE!$C$22:$C$167),"")&amp;IFERROR(_xlfn.XLOOKUP(A65,ETANCHEITE!O$22:O$167,ETANCHEITE!$D$22:$D$167),"")&amp;IFERROR(_xlfn.XLOOKUP(A65,ETANCHEITE!O$22:O$167,ETANCHEITE!#REF!),"")&amp;IFERROR(_xlfn.XLOOKUP(A65,ETANCHEITE!O$22:O$167,ETANCHEITE!#REF!),"")</f>
        <v xml:space="preserve">   </v>
      </c>
      <c r="F65" s="155" t="str">
        <f>IFERROR(VLOOKUP(A65,ETANCHEITE!O$22:Q$167,2,FALSE),"")&amp;" "&amp;IFERROR(VLOOKUP(A65,ETANCHEITE!O$22:Q$167,3,FALSE),"")</f>
        <v xml:space="preserve"> </v>
      </c>
      <c r="G65" s="148" t="str">
        <f>IF(F65&lt;&gt;" ",'Feuille de Donnée'!$C$3,"")</f>
        <v/>
      </c>
      <c r="H65" s="162" t="str" cm="1">
        <f t="array" aca="1" ref="H65" ca="1">IFERROR(IF(_xlfn.XLOOKUP(A65,ETANCHEITE!O$22:O$92,ETANCHEITE!M$22:M$92,"")&lt;&gt;"",_xlfn.XLOOKUP(A65,ETANCHEITE!O$22:O$92,ETANCHEITE!M$22:M$92,""),    INDEX(ETANCHEITE!M:M,MAX(_xlfn._xlws.FILTER(ROW(ETANCHEITE!M$22:INDIRECT("'PEINTURE'!O" &amp; D65-1)),ETANCHEITE!M$22:INDIRECT("'PEINTURE'!O" &amp; D65-1)&lt;&gt;"")))),"")</f>
        <v/>
      </c>
      <c r="I65" s="163" t="str" cm="1">
        <f t="array" aca="1" ref="I65" ca="1">IFERROR(IF(_xlfn.XLOOKUP(A65,ETANCHEITE!O$22:O$92,ETANCHEITE!N$22:N$92,"")&lt;&gt;"",_xlfn.XLOOKUP(A65,ETANCHEITE!O$22:O$92,ETANCHEITE!N$22:N$92,""),    INDEX(ETANCHEITE!N:N,MAX(_xlfn._xlws.FILTER(ROW(ETANCHEITE!N$22:INDIRECT("'PEINTURE'!P" &amp; D65-1)),ETANCHEITE!N$22:INDIRECT("'PEINTURE'!P" &amp; D65-1)&lt;&gt;"")))),"")</f>
        <v/>
      </c>
      <c r="J65" s="145">
        <v>63</v>
      </c>
      <c r="K65" s="154" t="str">
        <f>IF(O65&lt;&gt;" ",ETANCHEITE!$D$5,"")</f>
        <v/>
      </c>
      <c r="L65" s="154" t="str">
        <f>IF(O65&lt;&gt;" ",ETANCHEITE!$D$8,"")</f>
        <v/>
      </c>
      <c r="M65" s="146" t="str">
        <f>IFERROR(MATCH(J65,ETANCHEITE!X$22:X$167,0)+18,"")</f>
        <v/>
      </c>
      <c r="N65" s="147" t="str" cm="1">
        <f t="array" aca="1" ref="N65" ca="1">IFERROR(IF(_xlfn.XLOOKUP(J65,ETANCHEITE!X$22:X$167,ETANCHEITE!$A$22:$A$167,"")&lt;&gt;"",_xlfn.XLOOKUP(J65,ETANCHEITE!X$22:X$167,ETANCHEITE!$A$22:$A$167,""),    INDEX(ETANCHEITE!$A:$A,MAX(_xlfn._xlws.FILTER(ROW(ETANCHEITE!$A$22:INDIRECT("'MENUISERIES EXTERIEURES'!$A" &amp; M65-1)),ETANCHEITE!$A$22:INDIRECT("'MENUISERIES EXTERIEURES'!$A" &amp; M65-1)&lt;&gt;"")))),"")&amp;"   "&amp;IFERROR(_xlfn.XLOOKUP(J65,ETANCHEITE!X$22:X$167,ETANCHEITE!$B$22:$B$167),"")&amp;IFERROR(_xlfn.XLOOKUP(J65,ETANCHEITE!X$22:X$167,ETANCHEITE!$C$22:$C$167),"")&amp;IFERROR(_xlfn.XLOOKUP(J65,ETANCHEITE!X$22:X$167,ETANCHEITE!$D$22:$D$167),"")&amp;IFERROR(_xlfn.XLOOKUP(J65,ETANCHEITE!X$22:X$167,ETANCHEITE!#REF!),"")&amp;IFERROR(_xlfn.XLOOKUP(J65,ETANCHEITE!X$22:X$167,ETANCHEITE!#REF!),"")</f>
        <v xml:space="preserve">   </v>
      </c>
      <c r="O65" s="155" t="str">
        <f>IFERROR(VLOOKUP(J65,ETANCHEITE!X$22:Z$167,2,FALSE),"")&amp;" "&amp;IFERROR(VLOOKUP(J65,ETANCHEITE!X$22:Z$167,3,FALSE),"")</f>
        <v xml:space="preserve"> </v>
      </c>
      <c r="P65" s="148" t="str">
        <f>IF(O65&lt;&gt;" ",'Feuille de Donnée'!$C$3,"")</f>
        <v/>
      </c>
      <c r="Q65" s="162" t="str" cm="1">
        <f t="array" aca="1" ref="Q65" ca="1">IFERROR(IF(_xlfn.XLOOKUP(J65,ETANCHEITE!X$22:X$92,ETANCHEITE!V$22:V$92,"")&lt;&gt;"",_xlfn.XLOOKUP(J65,ETANCHEITE!X$22:X$92,ETANCHEITE!V$22:V$92,""),    INDEX(ETANCHEITE!V:V,MAX(_xlfn._xlws.FILTER(ROW(ETANCHEITE!V$22:INDIRECT("'PEINTURE'!O" &amp; M65-1)),ETANCHEITE!V$22:INDIRECT("'PEINTURE'!O" &amp; M65-1)&lt;&gt;"")))),"")</f>
        <v/>
      </c>
      <c r="R65" s="163" t="str" cm="1">
        <f t="array" aca="1" ref="R65" ca="1">IFERROR(IF(_xlfn.XLOOKUP(J65,ETANCHEITE!X$22:X$92,ETANCHEITE!W$22:W$92,"")&lt;&gt;"",_xlfn.XLOOKUP(J65,ETANCHEITE!X$22:X$92,ETANCHEITE!W$22:W$92,""),    INDEX(ETANCHEITE!W:W,MAX(_xlfn._xlws.FILTER(ROW(ETANCHEITE!W$22:INDIRECT("'PEINTURE'!P" &amp; M65-1)),ETANCHEITE!W$22:INDIRECT("'PEINTURE'!P" &amp; M65-1)&lt;&gt;"")))),"")</f>
        <v/>
      </c>
      <c r="S65" s="145">
        <v>63</v>
      </c>
      <c r="T65" s="154" t="str">
        <f>IF(X65&lt;&gt;" ",ETANCHEITE!$D$5,"")</f>
        <v/>
      </c>
      <c r="U65" s="154" t="str">
        <f>IF(X65&lt;&gt;" ",ETANCHEITE!$D$8,"")</f>
        <v/>
      </c>
      <c r="V65" s="146" t="str">
        <f>IFERROR(MATCH(S65,ETANCHEITE!AG$22:AG$167,0)+18,"")</f>
        <v/>
      </c>
      <c r="W65" s="147" t="str" cm="1">
        <f t="array" aca="1" ref="W65" ca="1">IFERROR(IF(_xlfn.XLOOKUP(S65,ETANCHEITE!AG$22:AG$167,ETANCHEITE!$A$22:$A$167,"")&lt;&gt;"",_xlfn.XLOOKUP(S65,ETANCHEITE!AG$22:AG$167,ETANCHEITE!$A$22:$A$167,""),    INDEX(ETANCHEITE!$A:$A,MAX(_xlfn._xlws.FILTER(ROW(ETANCHEITE!$A$22:INDIRECT("'MENUISERIES EXTERIEURES'!$A" &amp; V65-1)),ETANCHEITE!$A$22:INDIRECT("'MENUISERIES EXTERIEURES'!$A" &amp; V65-1)&lt;&gt;"")))),"")&amp;"   "&amp;IFERROR(_xlfn.XLOOKUP(S65,ETANCHEITE!AG$22:AG$167,ETANCHEITE!$B$22:$B$167),"")&amp;IFERROR(_xlfn.XLOOKUP(S65,ETANCHEITE!AG$22:AG$167,ETANCHEITE!$C$22:$C$167),"")&amp;IFERROR(_xlfn.XLOOKUP(S65,ETANCHEITE!AG$22:AG$167,ETANCHEITE!$D$22:$D$167),"")&amp;IFERROR(_xlfn.XLOOKUP(S65,ETANCHEITE!AG$22:AG$167,ETANCHEITE!#REF!),"")&amp;IFERROR(_xlfn.XLOOKUP(S65,ETANCHEITE!AG$22:AG$167,ETANCHEITE!#REF!),"")</f>
        <v xml:space="preserve">   </v>
      </c>
      <c r="X65" s="155" t="str">
        <f>IFERROR(VLOOKUP(S65,ETANCHEITE!AG$22:AI$167,2,FALSE),"")&amp;" "&amp;IFERROR(VLOOKUP(S65,ETANCHEITE!AG$22:AI$167,3,FALSE),"")</f>
        <v xml:space="preserve"> </v>
      </c>
      <c r="Y65" s="148" t="str">
        <f>IF(X65&lt;&gt;" ",'Feuille de Donnée'!$C$3,"")</f>
        <v/>
      </c>
      <c r="Z65" s="162" t="str" cm="1">
        <f t="array" aca="1" ref="Z65" ca="1">IFERROR(IF(_xlfn.XLOOKUP(S65,ETANCHEITE!AG$22:AG$92,ETANCHEITE!AE$22:AE$92,"")&lt;&gt;"",_xlfn.XLOOKUP(S65,ETANCHEITE!AG$22:AG$92,ETANCHEITE!AE$22:AE$92,""),    INDEX(ETANCHEITE!AE:AE,MAX(_xlfn._xlws.FILTER(ROW(ETANCHEITE!AE$22:INDIRECT("'PEINTURE'!O" &amp; V65-1)),ETANCHEITE!AE$22:INDIRECT("'PEINTURE'!O" &amp; V65-1)&lt;&gt;"")))),"")</f>
        <v/>
      </c>
      <c r="AA65" s="163" t="str" cm="1">
        <f t="array" aca="1" ref="AA65" ca="1">IFERROR(IF(_xlfn.XLOOKUP(S65,ETANCHEITE!AG$22:AG$92,ETANCHEITE!AF$22:AF$92,"")&lt;&gt;"",_xlfn.XLOOKUP(S65,ETANCHEITE!AG$22:AG$92,ETANCHEITE!AF$22:AF$92,""),    INDEX(ETANCHEITE!AF:AF,MAX(_xlfn._xlws.FILTER(ROW(ETANCHEITE!AF$22:INDIRECT("'PEINTURE'!P" &amp; V65-1)),ETANCHEITE!AF$22:INDIRECT("'PEINTURE'!P" &amp; V65-1)&lt;&gt;"")))),"")</f>
        <v/>
      </c>
      <c r="AB65" s="145">
        <v>63</v>
      </c>
      <c r="AC65" s="154" t="str">
        <f>IF(AG65&lt;&gt;" ",ETANCHEITE!$D$5,"")</f>
        <v/>
      </c>
      <c r="AD65" s="154" t="str">
        <f>IF(AG65&lt;&gt;" ",ETANCHEITE!$D$8,"")</f>
        <v/>
      </c>
      <c r="AE65" s="146" t="str">
        <f>IFERROR(MATCH(AB65,ETANCHEITE!AP$22:AP$167,0)+18,"")</f>
        <v/>
      </c>
      <c r="AF65" s="147" t="str" cm="1">
        <f t="array" aca="1" ref="AF65" ca="1">IFERROR(IF(_xlfn.XLOOKUP(AB65,ETANCHEITE!AP$22:AP$167,ETANCHEITE!$A$22:$A$167,"")&lt;&gt;"",_xlfn.XLOOKUP(AB65,ETANCHEITE!AP$22:AP$167,ETANCHEITE!$A$22:$A$167,""),    INDEX(ETANCHEITE!$A:$A,MAX(_xlfn._xlws.FILTER(ROW(ETANCHEITE!$A$22:INDIRECT("'MENUISERIES EXTERIEURES'!$A" &amp; AE65-1)),ETANCHEITE!$A$22:INDIRECT("'MENUISERIES EXTERIEURES'!$A" &amp; AE65-1)&lt;&gt;"")))),"")&amp;"   "&amp;IFERROR(_xlfn.XLOOKUP(AB65,ETANCHEITE!AP$22:AP$167,ETANCHEITE!$B$22:$B$167),"")&amp;IFERROR(_xlfn.XLOOKUP(AB65,ETANCHEITE!AP$22:AP$167,ETANCHEITE!$C$22:$C$167),"")&amp;IFERROR(_xlfn.XLOOKUP(AB65,ETANCHEITE!AP$22:AP$167,ETANCHEITE!$D$22:$D$167),"")&amp;IFERROR(_xlfn.XLOOKUP(AB65,ETANCHEITE!AP$22:AP$167,ETANCHEITE!#REF!),"")&amp;IFERROR(_xlfn.XLOOKUP(AB65,ETANCHEITE!AP$22:AP$167,ETANCHEITE!#REF!),"")</f>
        <v xml:space="preserve">   </v>
      </c>
      <c r="AG65" s="155" t="str">
        <f>IFERROR(VLOOKUP(AB65,ETANCHEITE!AP$22:AR$167,2,FALSE),"")&amp;" "&amp;IFERROR(VLOOKUP(AB65,ETANCHEITE!AP$22:AR$167,3,FALSE),"")</f>
        <v xml:space="preserve"> </v>
      </c>
      <c r="AH65" s="148" t="str">
        <f>IF(AG65&lt;&gt;" ",'Feuille de Donnée'!$C$3,"")</f>
        <v/>
      </c>
      <c r="AI65" s="162" t="str" cm="1">
        <f t="array" aca="1" ref="AI65" ca="1">IFERROR(IF(_xlfn.XLOOKUP(AB65,ETANCHEITE!AP$22:AP$92,ETANCHEITE!AN$22:AN$92,"")&lt;&gt;"",_xlfn.XLOOKUP(AB65,ETANCHEITE!AP$22:AP$92,ETANCHEITE!AN$22:AN$92,""),    INDEX(ETANCHEITE!AN:AN,MAX(_xlfn._xlws.FILTER(ROW(ETANCHEITE!AN$22:INDIRECT("'PEINTURE'!O" &amp; AE65-1)),ETANCHEITE!AN$22:INDIRECT("'PEINTURE'!O" &amp; AE65-1)&lt;&gt;"")))),"")</f>
        <v/>
      </c>
      <c r="AJ65" s="163" t="str" cm="1">
        <f t="array" aca="1" ref="AJ65" ca="1">IFERROR(IF(_xlfn.XLOOKUP(AB65,ETANCHEITE!AP$22:AP$92,ETANCHEITE!AO$22:AO$92,"")&lt;&gt;"",_xlfn.XLOOKUP(AB65,ETANCHEITE!AP$22:AP$92,ETANCHEITE!AO$22:AO$92,""),    INDEX(ETANCHEITE!AO:AO,MAX(_xlfn._xlws.FILTER(ROW(ETANCHEITE!AO$22:INDIRECT("'PEINTURE'!P" &amp; AE65-1)),ETANCHEITE!AO$22:INDIRECT("'PEINTURE'!P" &amp; AE65-1)&lt;&gt;"")))),"")</f>
        <v/>
      </c>
      <c r="AK65" s="145">
        <v>63</v>
      </c>
      <c r="AL65" s="154" t="str">
        <f>IF(AP65&lt;&gt;" ",ETANCHEITE!$D$5,"")</f>
        <v/>
      </c>
      <c r="AM65" s="154" t="str">
        <f>IF(AP65&lt;&gt;" ",ETANCHEITE!$D$8,"")</f>
        <v/>
      </c>
      <c r="AN65" s="146" t="str">
        <f>IFERROR(MATCH(AK65,ETANCHEITE!AY$22:AY$167,0)+18,"")</f>
        <v/>
      </c>
      <c r="AO65" s="147" t="str" cm="1">
        <f t="array" aca="1" ref="AO65" ca="1">IFERROR(IF(_xlfn.XLOOKUP(AK65,ETANCHEITE!AY$22:AY$167,ETANCHEITE!$A$22:$A$167,"")&lt;&gt;"",_xlfn.XLOOKUP(AK65,ETANCHEITE!AY$22:AY$167,ETANCHEITE!$A$22:$A$167,""),    INDEX(ETANCHEITE!$A:$A,MAX(_xlfn._xlws.FILTER(ROW(ETANCHEITE!$A$22:INDIRECT("'MENUISERIES EXTERIEURES'!$A" &amp; AN65-1)),ETANCHEITE!$A$22:INDIRECT("'MENUISERIES EXTERIEURES'!$A" &amp; AN65-1)&lt;&gt;"")))),"")&amp;"   "&amp;IFERROR(_xlfn.XLOOKUP(AK65,ETANCHEITE!AY$22:AY$167,ETANCHEITE!$B$22:$B$167),"")&amp;IFERROR(_xlfn.XLOOKUP(AK65,ETANCHEITE!AY$22:AY$167,ETANCHEITE!$C$22:$C$167),"")&amp;IFERROR(_xlfn.XLOOKUP(AK65,ETANCHEITE!AY$22:AY$167,ETANCHEITE!$D$22:$D$167),"")&amp;IFERROR(_xlfn.XLOOKUP(AK65,ETANCHEITE!AY$22:AY$167,ETANCHEITE!#REF!),"")&amp;IFERROR(_xlfn.XLOOKUP(AK65,ETANCHEITE!AY$22:AY$167,ETANCHEITE!#REF!),"")</f>
        <v xml:space="preserve">   </v>
      </c>
      <c r="AP65" s="155" t="str">
        <f>IFERROR(VLOOKUP(AK65,ETANCHEITE!AY$22:BA$167,2,FALSE),"")&amp;" "&amp;IFERROR(VLOOKUP(AK65,ETANCHEITE!AY$22:BA$167,3,FALSE),"")</f>
        <v xml:space="preserve"> </v>
      </c>
      <c r="AQ65" s="148" t="str">
        <f>IF(AP65&lt;&gt;" ",'Feuille de Donnée'!$C$3,"")</f>
        <v/>
      </c>
      <c r="AR65" s="162" t="str" cm="1">
        <f t="array" aca="1" ref="AR65" ca="1">IFERROR(IF(_xlfn.XLOOKUP(AK65,ETANCHEITE!AY$22:AY$92,ETANCHEITE!AW$22:AW$92,"")&lt;&gt;"",_xlfn.XLOOKUP(AK65,ETANCHEITE!AY$22:AY$92,ETANCHEITE!AW$22:AW$92,""),    INDEX(ETANCHEITE!AW:AW,MAX(_xlfn._xlws.FILTER(ROW(ETANCHEITE!AW$22:INDIRECT("'PEINTURE'!O" &amp; AN65-1)),ETANCHEITE!AW$22:INDIRECT("'PEINTURE'!O" &amp; AN65-1)&lt;&gt;"")))),"")</f>
        <v/>
      </c>
      <c r="AS65" s="163" t="str" cm="1">
        <f t="array" aca="1" ref="AS65" ca="1">IFERROR(IF(_xlfn.XLOOKUP(AK65,ETANCHEITE!AY$22:AY$92,ETANCHEITE!AX$22:AX$92,"")&lt;&gt;"",_xlfn.XLOOKUP(AK65,ETANCHEITE!AY$22:AY$92,ETANCHEITE!AX$22:AX$92,""),    INDEX(ETANCHEITE!AX:AX,MAX(_xlfn._xlws.FILTER(ROW(ETANCHEITE!AX$22:INDIRECT("'PEINTURE'!P" &amp; AN65-1)),ETANCHEITE!AX$22:INDIRECT("'PEINTURE'!P" &amp; AN65-1)&lt;&gt;"")))),"")</f>
        <v/>
      </c>
      <c r="AT65" s="145">
        <v>63</v>
      </c>
      <c r="AU65" s="154" t="str">
        <f>IF(AY65&lt;&gt;" ",ETANCHEITE!$D$5,"")</f>
        <v/>
      </c>
      <c r="AV65" s="154" t="str">
        <f>IF(AY65&lt;&gt;" ",ETANCHEITE!$D$8,"")</f>
        <v/>
      </c>
      <c r="AW65" s="146" t="str">
        <f>IFERROR(MATCH(AT65,ETANCHEITE!BH$22:BH$167,0)+18,"")</f>
        <v/>
      </c>
      <c r="AX65" s="147" t="str" cm="1">
        <f t="array" aca="1" ref="AX65" ca="1">IFERROR(IF(_xlfn.XLOOKUP(AT65,ETANCHEITE!BH$22:BH$167,ETANCHEITE!$A$22:$A$167,"")&lt;&gt;"",_xlfn.XLOOKUP(AT65,ETANCHEITE!BH$22:BH$167,ETANCHEITE!$A$22:$A$167,""),    INDEX(ETANCHEITE!$A:$A,MAX(_xlfn._xlws.FILTER(ROW(ETANCHEITE!$A$22:INDIRECT("'MENUISERIES EXTERIEURES'!$A" &amp; AW65-1)),ETANCHEITE!$A$22:INDIRECT("'MENUISERIES EXTERIEURES'!$A" &amp; AW65-1)&lt;&gt;"")))),"")&amp;"   "&amp;IFERROR(_xlfn.XLOOKUP(AT65,ETANCHEITE!BH$22:BH$167,ETANCHEITE!$B$22:$B$167),"")&amp;IFERROR(_xlfn.XLOOKUP(AT65,ETANCHEITE!BH$22:BH$167,ETANCHEITE!$C$22:$C$167),"")&amp;IFERROR(_xlfn.XLOOKUP(AT65,ETANCHEITE!BH$22:BH$167,ETANCHEITE!$D$22:$D$167),"")&amp;IFERROR(_xlfn.XLOOKUP(AT65,ETANCHEITE!BH$22:BH$167,ETANCHEITE!#REF!),"")&amp;IFERROR(_xlfn.XLOOKUP(AT65,ETANCHEITE!BH$22:BH$167,ETANCHEITE!#REF!),"")</f>
        <v xml:space="preserve">   </v>
      </c>
      <c r="AY65" s="155" t="str">
        <f>IFERROR(VLOOKUP(AT65,ETANCHEITE!BH$22:BJ$167,2,FALSE),"")&amp;" "&amp;IFERROR(VLOOKUP(AT65,ETANCHEITE!BH$22:BJ$167,3,FALSE),"")</f>
        <v xml:space="preserve"> </v>
      </c>
      <c r="AZ65" s="148" t="str">
        <f>IF(AY65&lt;&gt;" ",'Feuille de Donnée'!$C$3,"")</f>
        <v/>
      </c>
      <c r="BA65" s="162" t="str" cm="1">
        <f t="array" aca="1" ref="BA65" ca="1">IFERROR(IF(_xlfn.XLOOKUP(AT65,ETANCHEITE!BH$22:BH$92,ETANCHEITE!BF$22:BF$92,"")&lt;&gt;"",_xlfn.XLOOKUP(AT65,ETANCHEITE!BH$22:BH$92,ETANCHEITE!BF$22:BF$92,""),    INDEX(ETANCHEITE!BF:BF,MAX(_xlfn._xlws.FILTER(ROW(ETANCHEITE!BF$22:INDIRECT("'PEINTURE'!O" &amp; AW65-1)),ETANCHEITE!BF$22:INDIRECT("'PEINTURE'!O" &amp; AW65-1)&lt;&gt;"")))),"")</f>
        <v/>
      </c>
      <c r="BB65" s="163" t="str" cm="1">
        <f t="array" aca="1" ref="BB65" ca="1">IFERROR(IF(_xlfn.XLOOKUP(AT65,ETANCHEITE!BH$22:BH$92,ETANCHEITE!BG$22:BG$92,"")&lt;&gt;"",_xlfn.XLOOKUP(AT65,ETANCHEITE!BH$22:BH$92,ETANCHEITE!BG$22:BG$92,""),    INDEX(ETANCHEITE!BG:BG,MAX(_xlfn._xlws.FILTER(ROW(ETANCHEITE!BG$22:INDIRECT("'PEINTURE'!P" &amp; AW65-1)),ETANCHEITE!BG$22:INDIRECT("'PEINTURE'!P" &amp; AW65-1)&lt;&gt;"")))),"")</f>
        <v/>
      </c>
    </row>
    <row r="66" spans="1:54" x14ac:dyDescent="0.3">
      <c r="A66" s="145">
        <v>64</v>
      </c>
      <c r="B66" s="154" t="str">
        <f>IF(F66&lt;&gt;" ",ETANCHEITE!$D$5,"")</f>
        <v/>
      </c>
      <c r="C66" s="154" t="str">
        <f>IF(F66&lt;&gt;" ",ETANCHEITE!$D$8,"")</f>
        <v/>
      </c>
      <c r="D66" s="146" t="str">
        <f>IFERROR(MATCH(A66,ETANCHEITE!O$22:O$167,0)+18,"")</f>
        <v/>
      </c>
      <c r="E66" s="147" t="str" cm="1">
        <f t="array" aca="1" ref="E66" ca="1">IFERROR(IF(_xlfn.XLOOKUP(A66,ETANCHEITE!O$22:O$167,ETANCHEITE!$A$22:$A$167,"")&lt;&gt;"",_xlfn.XLOOKUP(A66,ETANCHEITE!O$22:O$167,ETANCHEITE!$A$22:$A$167,""),    INDEX(ETANCHEITE!$A:$A,MAX(_xlfn._xlws.FILTER(ROW(ETANCHEITE!$A$22:INDIRECT("'MENUISERIES EXTERIEURES'!$A" &amp; D66-1)),ETANCHEITE!$A$22:INDIRECT("'MENUISERIES EXTERIEURES'!$A" &amp; D66-1)&lt;&gt;"")))),"")&amp;"   "&amp;IFERROR(_xlfn.XLOOKUP(A66,ETANCHEITE!O$22:O$167,ETANCHEITE!$B$22:$B$167),"")&amp;IFERROR(_xlfn.XLOOKUP(A66,ETANCHEITE!O$22:O$167,ETANCHEITE!$C$22:$C$167),"")&amp;IFERROR(_xlfn.XLOOKUP(A66,ETANCHEITE!O$22:O$167,ETANCHEITE!$D$22:$D$167),"")&amp;IFERROR(_xlfn.XLOOKUP(A66,ETANCHEITE!O$22:O$167,ETANCHEITE!#REF!),"")&amp;IFERROR(_xlfn.XLOOKUP(A66,ETANCHEITE!O$22:O$167,ETANCHEITE!#REF!),"")</f>
        <v xml:space="preserve">   </v>
      </c>
      <c r="F66" s="155" t="str">
        <f>IFERROR(VLOOKUP(A66,ETANCHEITE!O$22:Q$167,2,FALSE),"")&amp;" "&amp;IFERROR(VLOOKUP(A66,ETANCHEITE!O$22:Q$167,3,FALSE),"")</f>
        <v xml:space="preserve"> </v>
      </c>
      <c r="G66" s="148" t="str">
        <f>IF(F66&lt;&gt;" ",'Feuille de Donnée'!$C$3,"")</f>
        <v/>
      </c>
      <c r="H66" s="162" t="str" cm="1">
        <f t="array" aca="1" ref="H66" ca="1">IFERROR(IF(_xlfn.XLOOKUP(A66,ETANCHEITE!O$22:O$92,ETANCHEITE!M$22:M$92,"")&lt;&gt;"",_xlfn.XLOOKUP(A66,ETANCHEITE!O$22:O$92,ETANCHEITE!M$22:M$92,""),    INDEX(ETANCHEITE!M:M,MAX(_xlfn._xlws.FILTER(ROW(ETANCHEITE!M$22:INDIRECT("'PEINTURE'!O" &amp; D66-1)),ETANCHEITE!M$22:INDIRECT("'PEINTURE'!O" &amp; D66-1)&lt;&gt;"")))),"")</f>
        <v/>
      </c>
      <c r="I66" s="163" t="str" cm="1">
        <f t="array" aca="1" ref="I66" ca="1">IFERROR(IF(_xlfn.XLOOKUP(A66,ETANCHEITE!O$22:O$92,ETANCHEITE!N$22:N$92,"")&lt;&gt;"",_xlfn.XLOOKUP(A66,ETANCHEITE!O$22:O$92,ETANCHEITE!N$22:N$92,""),    INDEX(ETANCHEITE!N:N,MAX(_xlfn._xlws.FILTER(ROW(ETANCHEITE!N$22:INDIRECT("'PEINTURE'!P" &amp; D66-1)),ETANCHEITE!N$22:INDIRECT("'PEINTURE'!P" &amp; D66-1)&lt;&gt;"")))),"")</f>
        <v/>
      </c>
      <c r="J66" s="145">
        <v>64</v>
      </c>
      <c r="K66" s="154" t="str">
        <f>IF(O66&lt;&gt;" ",ETANCHEITE!$D$5,"")</f>
        <v/>
      </c>
      <c r="L66" s="154" t="str">
        <f>IF(O66&lt;&gt;" ",ETANCHEITE!$D$8,"")</f>
        <v/>
      </c>
      <c r="M66" s="146" t="str">
        <f>IFERROR(MATCH(J66,ETANCHEITE!X$22:X$167,0)+18,"")</f>
        <v/>
      </c>
      <c r="N66" s="147" t="str" cm="1">
        <f t="array" aca="1" ref="N66" ca="1">IFERROR(IF(_xlfn.XLOOKUP(J66,ETANCHEITE!X$22:X$167,ETANCHEITE!$A$22:$A$167,"")&lt;&gt;"",_xlfn.XLOOKUP(J66,ETANCHEITE!X$22:X$167,ETANCHEITE!$A$22:$A$167,""),    INDEX(ETANCHEITE!$A:$A,MAX(_xlfn._xlws.FILTER(ROW(ETANCHEITE!$A$22:INDIRECT("'MENUISERIES EXTERIEURES'!$A" &amp; M66-1)),ETANCHEITE!$A$22:INDIRECT("'MENUISERIES EXTERIEURES'!$A" &amp; M66-1)&lt;&gt;"")))),"")&amp;"   "&amp;IFERROR(_xlfn.XLOOKUP(J66,ETANCHEITE!X$22:X$167,ETANCHEITE!$B$22:$B$167),"")&amp;IFERROR(_xlfn.XLOOKUP(J66,ETANCHEITE!X$22:X$167,ETANCHEITE!$C$22:$C$167),"")&amp;IFERROR(_xlfn.XLOOKUP(J66,ETANCHEITE!X$22:X$167,ETANCHEITE!$D$22:$D$167),"")&amp;IFERROR(_xlfn.XLOOKUP(J66,ETANCHEITE!X$22:X$167,ETANCHEITE!#REF!),"")&amp;IFERROR(_xlfn.XLOOKUP(J66,ETANCHEITE!X$22:X$167,ETANCHEITE!#REF!),"")</f>
        <v xml:space="preserve">   </v>
      </c>
      <c r="O66" s="155" t="str">
        <f>IFERROR(VLOOKUP(J66,ETANCHEITE!X$22:Z$167,2,FALSE),"")&amp;" "&amp;IFERROR(VLOOKUP(J66,ETANCHEITE!X$22:Z$167,3,FALSE),"")</f>
        <v xml:space="preserve"> </v>
      </c>
      <c r="P66" s="148" t="str">
        <f>IF(O66&lt;&gt;" ",'Feuille de Donnée'!$C$3,"")</f>
        <v/>
      </c>
      <c r="Q66" s="162" t="str" cm="1">
        <f t="array" aca="1" ref="Q66" ca="1">IFERROR(IF(_xlfn.XLOOKUP(J66,ETANCHEITE!X$22:X$92,ETANCHEITE!V$22:V$92,"")&lt;&gt;"",_xlfn.XLOOKUP(J66,ETANCHEITE!X$22:X$92,ETANCHEITE!V$22:V$92,""),    INDEX(ETANCHEITE!V:V,MAX(_xlfn._xlws.FILTER(ROW(ETANCHEITE!V$22:INDIRECT("'PEINTURE'!O" &amp; M66-1)),ETANCHEITE!V$22:INDIRECT("'PEINTURE'!O" &amp; M66-1)&lt;&gt;"")))),"")</f>
        <v/>
      </c>
      <c r="R66" s="163" t="str" cm="1">
        <f t="array" aca="1" ref="R66" ca="1">IFERROR(IF(_xlfn.XLOOKUP(J66,ETANCHEITE!X$22:X$92,ETANCHEITE!W$22:W$92,"")&lt;&gt;"",_xlfn.XLOOKUP(J66,ETANCHEITE!X$22:X$92,ETANCHEITE!W$22:W$92,""),    INDEX(ETANCHEITE!W:W,MAX(_xlfn._xlws.FILTER(ROW(ETANCHEITE!W$22:INDIRECT("'PEINTURE'!P" &amp; M66-1)),ETANCHEITE!W$22:INDIRECT("'PEINTURE'!P" &amp; M66-1)&lt;&gt;"")))),"")</f>
        <v/>
      </c>
      <c r="S66" s="145">
        <v>64</v>
      </c>
      <c r="T66" s="154" t="str">
        <f>IF(X66&lt;&gt;" ",ETANCHEITE!$D$5,"")</f>
        <v/>
      </c>
      <c r="U66" s="154" t="str">
        <f>IF(X66&lt;&gt;" ",ETANCHEITE!$D$8,"")</f>
        <v/>
      </c>
      <c r="V66" s="146" t="str">
        <f>IFERROR(MATCH(S66,ETANCHEITE!AG$22:AG$167,0)+18,"")</f>
        <v/>
      </c>
      <c r="W66" s="147" t="str" cm="1">
        <f t="array" aca="1" ref="W66" ca="1">IFERROR(IF(_xlfn.XLOOKUP(S66,ETANCHEITE!AG$22:AG$167,ETANCHEITE!$A$22:$A$167,"")&lt;&gt;"",_xlfn.XLOOKUP(S66,ETANCHEITE!AG$22:AG$167,ETANCHEITE!$A$22:$A$167,""),    INDEX(ETANCHEITE!$A:$A,MAX(_xlfn._xlws.FILTER(ROW(ETANCHEITE!$A$22:INDIRECT("'MENUISERIES EXTERIEURES'!$A" &amp; V66-1)),ETANCHEITE!$A$22:INDIRECT("'MENUISERIES EXTERIEURES'!$A" &amp; V66-1)&lt;&gt;"")))),"")&amp;"   "&amp;IFERROR(_xlfn.XLOOKUP(S66,ETANCHEITE!AG$22:AG$167,ETANCHEITE!$B$22:$B$167),"")&amp;IFERROR(_xlfn.XLOOKUP(S66,ETANCHEITE!AG$22:AG$167,ETANCHEITE!$C$22:$C$167),"")&amp;IFERROR(_xlfn.XLOOKUP(S66,ETANCHEITE!AG$22:AG$167,ETANCHEITE!$D$22:$D$167),"")&amp;IFERROR(_xlfn.XLOOKUP(S66,ETANCHEITE!AG$22:AG$167,ETANCHEITE!#REF!),"")&amp;IFERROR(_xlfn.XLOOKUP(S66,ETANCHEITE!AG$22:AG$167,ETANCHEITE!#REF!),"")</f>
        <v xml:space="preserve">   </v>
      </c>
      <c r="X66" s="155" t="str">
        <f>IFERROR(VLOOKUP(S66,ETANCHEITE!AG$22:AI$167,2,FALSE),"")&amp;" "&amp;IFERROR(VLOOKUP(S66,ETANCHEITE!AG$22:AI$167,3,FALSE),"")</f>
        <v xml:space="preserve"> </v>
      </c>
      <c r="Y66" s="148" t="str">
        <f>IF(X66&lt;&gt;" ",'Feuille de Donnée'!$C$3,"")</f>
        <v/>
      </c>
      <c r="Z66" s="162" t="str" cm="1">
        <f t="array" aca="1" ref="Z66" ca="1">IFERROR(IF(_xlfn.XLOOKUP(S66,ETANCHEITE!AG$22:AG$92,ETANCHEITE!AE$22:AE$92,"")&lt;&gt;"",_xlfn.XLOOKUP(S66,ETANCHEITE!AG$22:AG$92,ETANCHEITE!AE$22:AE$92,""),    INDEX(ETANCHEITE!AE:AE,MAX(_xlfn._xlws.FILTER(ROW(ETANCHEITE!AE$22:INDIRECT("'PEINTURE'!O" &amp; V66-1)),ETANCHEITE!AE$22:INDIRECT("'PEINTURE'!O" &amp; V66-1)&lt;&gt;"")))),"")</f>
        <v/>
      </c>
      <c r="AA66" s="163" t="str" cm="1">
        <f t="array" aca="1" ref="AA66" ca="1">IFERROR(IF(_xlfn.XLOOKUP(S66,ETANCHEITE!AG$22:AG$92,ETANCHEITE!AF$22:AF$92,"")&lt;&gt;"",_xlfn.XLOOKUP(S66,ETANCHEITE!AG$22:AG$92,ETANCHEITE!AF$22:AF$92,""),    INDEX(ETANCHEITE!AF:AF,MAX(_xlfn._xlws.FILTER(ROW(ETANCHEITE!AF$22:INDIRECT("'PEINTURE'!P" &amp; V66-1)),ETANCHEITE!AF$22:INDIRECT("'PEINTURE'!P" &amp; V66-1)&lt;&gt;"")))),"")</f>
        <v/>
      </c>
      <c r="AB66" s="145">
        <v>64</v>
      </c>
      <c r="AC66" s="154" t="str">
        <f>IF(AG66&lt;&gt;" ",ETANCHEITE!$D$5,"")</f>
        <v/>
      </c>
      <c r="AD66" s="154" t="str">
        <f>IF(AG66&lt;&gt;" ",ETANCHEITE!$D$8,"")</f>
        <v/>
      </c>
      <c r="AE66" s="146" t="str">
        <f>IFERROR(MATCH(AB66,ETANCHEITE!AP$22:AP$167,0)+18,"")</f>
        <v/>
      </c>
      <c r="AF66" s="147" t="str" cm="1">
        <f t="array" aca="1" ref="AF66" ca="1">IFERROR(IF(_xlfn.XLOOKUP(AB66,ETANCHEITE!AP$22:AP$167,ETANCHEITE!$A$22:$A$167,"")&lt;&gt;"",_xlfn.XLOOKUP(AB66,ETANCHEITE!AP$22:AP$167,ETANCHEITE!$A$22:$A$167,""),    INDEX(ETANCHEITE!$A:$A,MAX(_xlfn._xlws.FILTER(ROW(ETANCHEITE!$A$22:INDIRECT("'MENUISERIES EXTERIEURES'!$A" &amp; AE66-1)),ETANCHEITE!$A$22:INDIRECT("'MENUISERIES EXTERIEURES'!$A" &amp; AE66-1)&lt;&gt;"")))),"")&amp;"   "&amp;IFERROR(_xlfn.XLOOKUP(AB66,ETANCHEITE!AP$22:AP$167,ETANCHEITE!$B$22:$B$167),"")&amp;IFERROR(_xlfn.XLOOKUP(AB66,ETANCHEITE!AP$22:AP$167,ETANCHEITE!$C$22:$C$167),"")&amp;IFERROR(_xlfn.XLOOKUP(AB66,ETANCHEITE!AP$22:AP$167,ETANCHEITE!$D$22:$D$167),"")&amp;IFERROR(_xlfn.XLOOKUP(AB66,ETANCHEITE!AP$22:AP$167,ETANCHEITE!#REF!),"")&amp;IFERROR(_xlfn.XLOOKUP(AB66,ETANCHEITE!AP$22:AP$167,ETANCHEITE!#REF!),"")</f>
        <v xml:space="preserve">   </v>
      </c>
      <c r="AG66" s="155" t="str">
        <f>IFERROR(VLOOKUP(AB66,ETANCHEITE!AP$22:AR$167,2,FALSE),"")&amp;" "&amp;IFERROR(VLOOKUP(AB66,ETANCHEITE!AP$22:AR$167,3,FALSE),"")</f>
        <v xml:space="preserve"> </v>
      </c>
      <c r="AH66" s="148" t="str">
        <f>IF(AG66&lt;&gt;" ",'Feuille de Donnée'!$C$3,"")</f>
        <v/>
      </c>
      <c r="AI66" s="162" t="str" cm="1">
        <f t="array" aca="1" ref="AI66" ca="1">IFERROR(IF(_xlfn.XLOOKUP(AB66,ETANCHEITE!AP$22:AP$92,ETANCHEITE!AN$22:AN$92,"")&lt;&gt;"",_xlfn.XLOOKUP(AB66,ETANCHEITE!AP$22:AP$92,ETANCHEITE!AN$22:AN$92,""),    INDEX(ETANCHEITE!AN:AN,MAX(_xlfn._xlws.FILTER(ROW(ETANCHEITE!AN$22:INDIRECT("'PEINTURE'!O" &amp; AE66-1)),ETANCHEITE!AN$22:INDIRECT("'PEINTURE'!O" &amp; AE66-1)&lt;&gt;"")))),"")</f>
        <v/>
      </c>
      <c r="AJ66" s="163" t="str" cm="1">
        <f t="array" aca="1" ref="AJ66" ca="1">IFERROR(IF(_xlfn.XLOOKUP(AB66,ETANCHEITE!AP$22:AP$92,ETANCHEITE!AO$22:AO$92,"")&lt;&gt;"",_xlfn.XLOOKUP(AB66,ETANCHEITE!AP$22:AP$92,ETANCHEITE!AO$22:AO$92,""),    INDEX(ETANCHEITE!AO:AO,MAX(_xlfn._xlws.FILTER(ROW(ETANCHEITE!AO$22:INDIRECT("'PEINTURE'!P" &amp; AE66-1)),ETANCHEITE!AO$22:INDIRECT("'PEINTURE'!P" &amp; AE66-1)&lt;&gt;"")))),"")</f>
        <v/>
      </c>
      <c r="AK66" s="145">
        <v>64</v>
      </c>
      <c r="AL66" s="154" t="str">
        <f>IF(AP66&lt;&gt;" ",ETANCHEITE!$D$5,"")</f>
        <v/>
      </c>
      <c r="AM66" s="154" t="str">
        <f>IF(AP66&lt;&gt;" ",ETANCHEITE!$D$8,"")</f>
        <v/>
      </c>
      <c r="AN66" s="146" t="str">
        <f>IFERROR(MATCH(AK66,ETANCHEITE!AY$22:AY$167,0)+18,"")</f>
        <v/>
      </c>
      <c r="AO66" s="147" t="str" cm="1">
        <f t="array" aca="1" ref="AO66" ca="1">IFERROR(IF(_xlfn.XLOOKUP(AK66,ETANCHEITE!AY$22:AY$167,ETANCHEITE!$A$22:$A$167,"")&lt;&gt;"",_xlfn.XLOOKUP(AK66,ETANCHEITE!AY$22:AY$167,ETANCHEITE!$A$22:$A$167,""),    INDEX(ETANCHEITE!$A:$A,MAX(_xlfn._xlws.FILTER(ROW(ETANCHEITE!$A$22:INDIRECT("'MENUISERIES EXTERIEURES'!$A" &amp; AN66-1)),ETANCHEITE!$A$22:INDIRECT("'MENUISERIES EXTERIEURES'!$A" &amp; AN66-1)&lt;&gt;"")))),"")&amp;"   "&amp;IFERROR(_xlfn.XLOOKUP(AK66,ETANCHEITE!AY$22:AY$167,ETANCHEITE!$B$22:$B$167),"")&amp;IFERROR(_xlfn.XLOOKUP(AK66,ETANCHEITE!AY$22:AY$167,ETANCHEITE!$C$22:$C$167),"")&amp;IFERROR(_xlfn.XLOOKUP(AK66,ETANCHEITE!AY$22:AY$167,ETANCHEITE!$D$22:$D$167),"")&amp;IFERROR(_xlfn.XLOOKUP(AK66,ETANCHEITE!AY$22:AY$167,ETANCHEITE!#REF!),"")&amp;IFERROR(_xlfn.XLOOKUP(AK66,ETANCHEITE!AY$22:AY$167,ETANCHEITE!#REF!),"")</f>
        <v xml:space="preserve">   </v>
      </c>
      <c r="AP66" s="155" t="str">
        <f>IFERROR(VLOOKUP(AK66,ETANCHEITE!AY$22:BA$167,2,FALSE),"")&amp;" "&amp;IFERROR(VLOOKUP(AK66,ETANCHEITE!AY$22:BA$167,3,FALSE),"")</f>
        <v xml:space="preserve"> </v>
      </c>
      <c r="AQ66" s="148" t="str">
        <f>IF(AP66&lt;&gt;" ",'Feuille de Donnée'!$C$3,"")</f>
        <v/>
      </c>
      <c r="AR66" s="162" t="str" cm="1">
        <f t="array" aca="1" ref="AR66" ca="1">IFERROR(IF(_xlfn.XLOOKUP(AK66,ETANCHEITE!AY$22:AY$92,ETANCHEITE!AW$22:AW$92,"")&lt;&gt;"",_xlfn.XLOOKUP(AK66,ETANCHEITE!AY$22:AY$92,ETANCHEITE!AW$22:AW$92,""),    INDEX(ETANCHEITE!AW:AW,MAX(_xlfn._xlws.FILTER(ROW(ETANCHEITE!AW$22:INDIRECT("'PEINTURE'!O" &amp; AN66-1)),ETANCHEITE!AW$22:INDIRECT("'PEINTURE'!O" &amp; AN66-1)&lt;&gt;"")))),"")</f>
        <v/>
      </c>
      <c r="AS66" s="163" t="str" cm="1">
        <f t="array" aca="1" ref="AS66" ca="1">IFERROR(IF(_xlfn.XLOOKUP(AK66,ETANCHEITE!AY$22:AY$92,ETANCHEITE!AX$22:AX$92,"")&lt;&gt;"",_xlfn.XLOOKUP(AK66,ETANCHEITE!AY$22:AY$92,ETANCHEITE!AX$22:AX$92,""),    INDEX(ETANCHEITE!AX:AX,MAX(_xlfn._xlws.FILTER(ROW(ETANCHEITE!AX$22:INDIRECT("'PEINTURE'!P" &amp; AN66-1)),ETANCHEITE!AX$22:INDIRECT("'PEINTURE'!P" &amp; AN66-1)&lt;&gt;"")))),"")</f>
        <v/>
      </c>
      <c r="AT66" s="145">
        <v>64</v>
      </c>
      <c r="AU66" s="154" t="str">
        <f>IF(AY66&lt;&gt;" ",ETANCHEITE!$D$5,"")</f>
        <v/>
      </c>
      <c r="AV66" s="154" t="str">
        <f>IF(AY66&lt;&gt;" ",ETANCHEITE!$D$8,"")</f>
        <v/>
      </c>
      <c r="AW66" s="146" t="str">
        <f>IFERROR(MATCH(AT66,ETANCHEITE!BH$22:BH$167,0)+18,"")</f>
        <v/>
      </c>
      <c r="AX66" s="147" t="str" cm="1">
        <f t="array" aca="1" ref="AX66" ca="1">IFERROR(IF(_xlfn.XLOOKUP(AT66,ETANCHEITE!BH$22:BH$167,ETANCHEITE!$A$22:$A$167,"")&lt;&gt;"",_xlfn.XLOOKUP(AT66,ETANCHEITE!BH$22:BH$167,ETANCHEITE!$A$22:$A$167,""),    INDEX(ETANCHEITE!$A:$A,MAX(_xlfn._xlws.FILTER(ROW(ETANCHEITE!$A$22:INDIRECT("'MENUISERIES EXTERIEURES'!$A" &amp; AW66-1)),ETANCHEITE!$A$22:INDIRECT("'MENUISERIES EXTERIEURES'!$A" &amp; AW66-1)&lt;&gt;"")))),"")&amp;"   "&amp;IFERROR(_xlfn.XLOOKUP(AT66,ETANCHEITE!BH$22:BH$167,ETANCHEITE!$B$22:$B$167),"")&amp;IFERROR(_xlfn.XLOOKUP(AT66,ETANCHEITE!BH$22:BH$167,ETANCHEITE!$C$22:$C$167),"")&amp;IFERROR(_xlfn.XLOOKUP(AT66,ETANCHEITE!BH$22:BH$167,ETANCHEITE!$D$22:$D$167),"")&amp;IFERROR(_xlfn.XLOOKUP(AT66,ETANCHEITE!BH$22:BH$167,ETANCHEITE!#REF!),"")&amp;IFERROR(_xlfn.XLOOKUP(AT66,ETANCHEITE!BH$22:BH$167,ETANCHEITE!#REF!),"")</f>
        <v xml:space="preserve">   </v>
      </c>
      <c r="AY66" s="155" t="str">
        <f>IFERROR(VLOOKUP(AT66,ETANCHEITE!BH$22:BJ$167,2,FALSE),"")&amp;" "&amp;IFERROR(VLOOKUP(AT66,ETANCHEITE!BH$22:BJ$167,3,FALSE),"")</f>
        <v xml:space="preserve"> </v>
      </c>
      <c r="AZ66" s="148" t="str">
        <f>IF(AY66&lt;&gt;" ",'Feuille de Donnée'!$C$3,"")</f>
        <v/>
      </c>
      <c r="BA66" s="162" t="str" cm="1">
        <f t="array" aca="1" ref="BA66" ca="1">IFERROR(IF(_xlfn.XLOOKUP(AT66,ETANCHEITE!BH$22:BH$92,ETANCHEITE!BF$22:BF$92,"")&lt;&gt;"",_xlfn.XLOOKUP(AT66,ETANCHEITE!BH$22:BH$92,ETANCHEITE!BF$22:BF$92,""),    INDEX(ETANCHEITE!BF:BF,MAX(_xlfn._xlws.FILTER(ROW(ETANCHEITE!BF$22:INDIRECT("'PEINTURE'!O" &amp; AW66-1)),ETANCHEITE!BF$22:INDIRECT("'PEINTURE'!O" &amp; AW66-1)&lt;&gt;"")))),"")</f>
        <v/>
      </c>
      <c r="BB66" s="163" t="str" cm="1">
        <f t="array" aca="1" ref="BB66" ca="1">IFERROR(IF(_xlfn.XLOOKUP(AT66,ETANCHEITE!BH$22:BH$92,ETANCHEITE!BG$22:BG$92,"")&lt;&gt;"",_xlfn.XLOOKUP(AT66,ETANCHEITE!BH$22:BH$92,ETANCHEITE!BG$22:BG$92,""),    INDEX(ETANCHEITE!BG:BG,MAX(_xlfn._xlws.FILTER(ROW(ETANCHEITE!BG$22:INDIRECT("'PEINTURE'!P" &amp; AW66-1)),ETANCHEITE!BG$22:INDIRECT("'PEINTURE'!P" &amp; AW66-1)&lt;&gt;"")))),"")</f>
        <v/>
      </c>
    </row>
    <row r="67" spans="1:54" x14ac:dyDescent="0.3">
      <c r="A67" s="145">
        <v>65</v>
      </c>
      <c r="B67" s="154" t="str">
        <f>IF(F67&lt;&gt;" ",ETANCHEITE!$D$5,"")</f>
        <v/>
      </c>
      <c r="C67" s="154" t="str">
        <f>IF(F67&lt;&gt;" ",ETANCHEITE!$D$8,"")</f>
        <v/>
      </c>
      <c r="D67" s="146" t="str">
        <f>IFERROR(MATCH(A67,ETANCHEITE!O$22:O$167,0)+18,"")</f>
        <v/>
      </c>
      <c r="E67" s="147" t="str" cm="1">
        <f t="array" aca="1" ref="E67" ca="1">IFERROR(IF(_xlfn.XLOOKUP(A67,ETANCHEITE!O$22:O$167,ETANCHEITE!$A$22:$A$167,"")&lt;&gt;"",_xlfn.XLOOKUP(A67,ETANCHEITE!O$22:O$167,ETANCHEITE!$A$22:$A$167,""),    INDEX(ETANCHEITE!$A:$A,MAX(_xlfn._xlws.FILTER(ROW(ETANCHEITE!$A$22:INDIRECT("'MENUISERIES EXTERIEURES'!$A" &amp; D67-1)),ETANCHEITE!$A$22:INDIRECT("'MENUISERIES EXTERIEURES'!$A" &amp; D67-1)&lt;&gt;"")))),"")&amp;"   "&amp;IFERROR(_xlfn.XLOOKUP(A67,ETANCHEITE!O$22:O$167,ETANCHEITE!$B$22:$B$167),"")&amp;IFERROR(_xlfn.XLOOKUP(A67,ETANCHEITE!O$22:O$167,ETANCHEITE!$C$22:$C$167),"")&amp;IFERROR(_xlfn.XLOOKUP(A67,ETANCHEITE!O$22:O$167,ETANCHEITE!$D$22:$D$167),"")&amp;IFERROR(_xlfn.XLOOKUP(A67,ETANCHEITE!O$22:O$167,ETANCHEITE!#REF!),"")&amp;IFERROR(_xlfn.XLOOKUP(A67,ETANCHEITE!O$22:O$167,ETANCHEITE!#REF!),"")</f>
        <v xml:space="preserve">   </v>
      </c>
      <c r="F67" s="155" t="str">
        <f>IFERROR(VLOOKUP(A67,ETANCHEITE!O$22:Q$167,2,FALSE),"")&amp;" "&amp;IFERROR(VLOOKUP(A67,ETANCHEITE!O$22:Q$167,3,FALSE),"")</f>
        <v xml:space="preserve"> </v>
      </c>
      <c r="G67" s="148" t="str">
        <f>IF(F67&lt;&gt;" ",'Feuille de Donnée'!$C$3,"")</f>
        <v/>
      </c>
      <c r="H67" s="162" t="str" cm="1">
        <f t="array" aca="1" ref="H67" ca="1">IFERROR(IF(_xlfn.XLOOKUP(A67,ETANCHEITE!O$22:O$92,ETANCHEITE!M$22:M$92,"")&lt;&gt;"",_xlfn.XLOOKUP(A67,ETANCHEITE!O$22:O$92,ETANCHEITE!M$22:M$92,""),    INDEX(ETANCHEITE!M:M,MAX(_xlfn._xlws.FILTER(ROW(ETANCHEITE!M$22:INDIRECT("'PEINTURE'!O" &amp; D67-1)),ETANCHEITE!M$22:INDIRECT("'PEINTURE'!O" &amp; D67-1)&lt;&gt;"")))),"")</f>
        <v/>
      </c>
      <c r="I67" s="163" t="str" cm="1">
        <f t="array" aca="1" ref="I67" ca="1">IFERROR(IF(_xlfn.XLOOKUP(A67,ETANCHEITE!O$22:O$92,ETANCHEITE!N$22:N$92,"")&lt;&gt;"",_xlfn.XLOOKUP(A67,ETANCHEITE!O$22:O$92,ETANCHEITE!N$22:N$92,""),    INDEX(ETANCHEITE!N:N,MAX(_xlfn._xlws.FILTER(ROW(ETANCHEITE!N$22:INDIRECT("'PEINTURE'!P" &amp; D67-1)),ETANCHEITE!N$22:INDIRECT("'PEINTURE'!P" &amp; D67-1)&lt;&gt;"")))),"")</f>
        <v/>
      </c>
      <c r="J67" s="145">
        <v>65</v>
      </c>
      <c r="K67" s="154" t="str">
        <f>IF(O67&lt;&gt;" ",ETANCHEITE!$D$5,"")</f>
        <v/>
      </c>
      <c r="L67" s="154" t="str">
        <f>IF(O67&lt;&gt;" ",ETANCHEITE!$D$8,"")</f>
        <v/>
      </c>
      <c r="M67" s="146" t="str">
        <f>IFERROR(MATCH(J67,ETANCHEITE!X$22:X$167,0)+18,"")</f>
        <v/>
      </c>
      <c r="N67" s="147" t="str" cm="1">
        <f t="array" aca="1" ref="N67" ca="1">IFERROR(IF(_xlfn.XLOOKUP(J67,ETANCHEITE!X$22:X$167,ETANCHEITE!$A$22:$A$167,"")&lt;&gt;"",_xlfn.XLOOKUP(J67,ETANCHEITE!X$22:X$167,ETANCHEITE!$A$22:$A$167,""),    INDEX(ETANCHEITE!$A:$A,MAX(_xlfn._xlws.FILTER(ROW(ETANCHEITE!$A$22:INDIRECT("'MENUISERIES EXTERIEURES'!$A" &amp; M67-1)),ETANCHEITE!$A$22:INDIRECT("'MENUISERIES EXTERIEURES'!$A" &amp; M67-1)&lt;&gt;"")))),"")&amp;"   "&amp;IFERROR(_xlfn.XLOOKUP(J67,ETANCHEITE!X$22:X$167,ETANCHEITE!$B$22:$B$167),"")&amp;IFERROR(_xlfn.XLOOKUP(J67,ETANCHEITE!X$22:X$167,ETANCHEITE!$C$22:$C$167),"")&amp;IFERROR(_xlfn.XLOOKUP(J67,ETANCHEITE!X$22:X$167,ETANCHEITE!$D$22:$D$167),"")&amp;IFERROR(_xlfn.XLOOKUP(J67,ETANCHEITE!X$22:X$167,ETANCHEITE!#REF!),"")&amp;IFERROR(_xlfn.XLOOKUP(J67,ETANCHEITE!X$22:X$167,ETANCHEITE!#REF!),"")</f>
        <v xml:space="preserve">   </v>
      </c>
      <c r="O67" s="155" t="str">
        <f>IFERROR(VLOOKUP(J67,ETANCHEITE!X$22:Z$167,2,FALSE),"")&amp;" "&amp;IFERROR(VLOOKUP(J67,ETANCHEITE!X$22:Z$167,3,FALSE),"")</f>
        <v xml:space="preserve"> </v>
      </c>
      <c r="P67" s="148" t="str">
        <f>IF(O67&lt;&gt;" ",'Feuille de Donnée'!$C$3,"")</f>
        <v/>
      </c>
      <c r="Q67" s="162" t="str" cm="1">
        <f t="array" aca="1" ref="Q67" ca="1">IFERROR(IF(_xlfn.XLOOKUP(J67,ETANCHEITE!X$22:X$92,ETANCHEITE!V$22:V$92,"")&lt;&gt;"",_xlfn.XLOOKUP(J67,ETANCHEITE!X$22:X$92,ETANCHEITE!V$22:V$92,""),    INDEX(ETANCHEITE!V:V,MAX(_xlfn._xlws.FILTER(ROW(ETANCHEITE!V$22:INDIRECT("'PEINTURE'!O" &amp; M67-1)),ETANCHEITE!V$22:INDIRECT("'PEINTURE'!O" &amp; M67-1)&lt;&gt;"")))),"")</f>
        <v/>
      </c>
      <c r="R67" s="163" t="str" cm="1">
        <f t="array" aca="1" ref="R67" ca="1">IFERROR(IF(_xlfn.XLOOKUP(J67,ETANCHEITE!X$22:X$92,ETANCHEITE!W$22:W$92,"")&lt;&gt;"",_xlfn.XLOOKUP(J67,ETANCHEITE!X$22:X$92,ETANCHEITE!W$22:W$92,""),    INDEX(ETANCHEITE!W:W,MAX(_xlfn._xlws.FILTER(ROW(ETANCHEITE!W$22:INDIRECT("'PEINTURE'!P" &amp; M67-1)),ETANCHEITE!W$22:INDIRECT("'PEINTURE'!P" &amp; M67-1)&lt;&gt;"")))),"")</f>
        <v/>
      </c>
      <c r="S67" s="145">
        <v>65</v>
      </c>
      <c r="T67" s="154" t="str">
        <f>IF(X67&lt;&gt;" ",ETANCHEITE!$D$5,"")</f>
        <v/>
      </c>
      <c r="U67" s="154" t="str">
        <f>IF(X67&lt;&gt;" ",ETANCHEITE!$D$8,"")</f>
        <v/>
      </c>
      <c r="V67" s="146" t="str">
        <f>IFERROR(MATCH(S67,ETANCHEITE!AG$22:AG$167,0)+18,"")</f>
        <v/>
      </c>
      <c r="W67" s="147" t="str" cm="1">
        <f t="array" aca="1" ref="W67" ca="1">IFERROR(IF(_xlfn.XLOOKUP(S67,ETANCHEITE!AG$22:AG$167,ETANCHEITE!$A$22:$A$167,"")&lt;&gt;"",_xlfn.XLOOKUP(S67,ETANCHEITE!AG$22:AG$167,ETANCHEITE!$A$22:$A$167,""),    INDEX(ETANCHEITE!$A:$A,MAX(_xlfn._xlws.FILTER(ROW(ETANCHEITE!$A$22:INDIRECT("'MENUISERIES EXTERIEURES'!$A" &amp; V67-1)),ETANCHEITE!$A$22:INDIRECT("'MENUISERIES EXTERIEURES'!$A" &amp; V67-1)&lt;&gt;"")))),"")&amp;"   "&amp;IFERROR(_xlfn.XLOOKUP(S67,ETANCHEITE!AG$22:AG$167,ETANCHEITE!$B$22:$B$167),"")&amp;IFERROR(_xlfn.XLOOKUP(S67,ETANCHEITE!AG$22:AG$167,ETANCHEITE!$C$22:$C$167),"")&amp;IFERROR(_xlfn.XLOOKUP(S67,ETANCHEITE!AG$22:AG$167,ETANCHEITE!$D$22:$D$167),"")&amp;IFERROR(_xlfn.XLOOKUP(S67,ETANCHEITE!AG$22:AG$167,ETANCHEITE!#REF!),"")&amp;IFERROR(_xlfn.XLOOKUP(S67,ETANCHEITE!AG$22:AG$167,ETANCHEITE!#REF!),"")</f>
        <v xml:space="preserve">   </v>
      </c>
      <c r="X67" s="155" t="str">
        <f>IFERROR(VLOOKUP(S67,ETANCHEITE!AG$22:AI$167,2,FALSE),"")&amp;" "&amp;IFERROR(VLOOKUP(S67,ETANCHEITE!AG$22:AI$167,3,FALSE),"")</f>
        <v xml:space="preserve"> </v>
      </c>
      <c r="Y67" s="148" t="str">
        <f>IF(X67&lt;&gt;" ",'Feuille de Donnée'!$C$3,"")</f>
        <v/>
      </c>
      <c r="Z67" s="162" t="str" cm="1">
        <f t="array" aca="1" ref="Z67" ca="1">IFERROR(IF(_xlfn.XLOOKUP(S67,ETANCHEITE!AG$22:AG$92,ETANCHEITE!AE$22:AE$92,"")&lt;&gt;"",_xlfn.XLOOKUP(S67,ETANCHEITE!AG$22:AG$92,ETANCHEITE!AE$22:AE$92,""),    INDEX(ETANCHEITE!AE:AE,MAX(_xlfn._xlws.FILTER(ROW(ETANCHEITE!AE$22:INDIRECT("'PEINTURE'!O" &amp; V67-1)),ETANCHEITE!AE$22:INDIRECT("'PEINTURE'!O" &amp; V67-1)&lt;&gt;"")))),"")</f>
        <v/>
      </c>
      <c r="AA67" s="163" t="str" cm="1">
        <f t="array" aca="1" ref="AA67" ca="1">IFERROR(IF(_xlfn.XLOOKUP(S67,ETANCHEITE!AG$22:AG$92,ETANCHEITE!AF$22:AF$92,"")&lt;&gt;"",_xlfn.XLOOKUP(S67,ETANCHEITE!AG$22:AG$92,ETANCHEITE!AF$22:AF$92,""),    INDEX(ETANCHEITE!AF:AF,MAX(_xlfn._xlws.FILTER(ROW(ETANCHEITE!AF$22:INDIRECT("'PEINTURE'!P" &amp; V67-1)),ETANCHEITE!AF$22:INDIRECT("'PEINTURE'!P" &amp; V67-1)&lt;&gt;"")))),"")</f>
        <v/>
      </c>
      <c r="AB67" s="145">
        <v>65</v>
      </c>
      <c r="AC67" s="154" t="str">
        <f>IF(AG67&lt;&gt;" ",ETANCHEITE!$D$5,"")</f>
        <v/>
      </c>
      <c r="AD67" s="154" t="str">
        <f>IF(AG67&lt;&gt;" ",ETANCHEITE!$D$8,"")</f>
        <v/>
      </c>
      <c r="AE67" s="146" t="str">
        <f>IFERROR(MATCH(AB67,ETANCHEITE!AP$22:AP$167,0)+18,"")</f>
        <v/>
      </c>
      <c r="AF67" s="147" t="str" cm="1">
        <f t="array" aca="1" ref="AF67" ca="1">IFERROR(IF(_xlfn.XLOOKUP(AB67,ETANCHEITE!AP$22:AP$167,ETANCHEITE!$A$22:$A$167,"")&lt;&gt;"",_xlfn.XLOOKUP(AB67,ETANCHEITE!AP$22:AP$167,ETANCHEITE!$A$22:$A$167,""),    INDEX(ETANCHEITE!$A:$A,MAX(_xlfn._xlws.FILTER(ROW(ETANCHEITE!$A$22:INDIRECT("'MENUISERIES EXTERIEURES'!$A" &amp; AE67-1)),ETANCHEITE!$A$22:INDIRECT("'MENUISERIES EXTERIEURES'!$A" &amp; AE67-1)&lt;&gt;"")))),"")&amp;"   "&amp;IFERROR(_xlfn.XLOOKUP(AB67,ETANCHEITE!AP$22:AP$167,ETANCHEITE!$B$22:$B$167),"")&amp;IFERROR(_xlfn.XLOOKUP(AB67,ETANCHEITE!AP$22:AP$167,ETANCHEITE!$C$22:$C$167),"")&amp;IFERROR(_xlfn.XLOOKUP(AB67,ETANCHEITE!AP$22:AP$167,ETANCHEITE!$D$22:$D$167),"")&amp;IFERROR(_xlfn.XLOOKUP(AB67,ETANCHEITE!AP$22:AP$167,ETANCHEITE!#REF!),"")&amp;IFERROR(_xlfn.XLOOKUP(AB67,ETANCHEITE!AP$22:AP$167,ETANCHEITE!#REF!),"")</f>
        <v xml:space="preserve">   </v>
      </c>
      <c r="AG67" s="155" t="str">
        <f>IFERROR(VLOOKUP(AB67,ETANCHEITE!AP$22:AR$167,2,FALSE),"")&amp;" "&amp;IFERROR(VLOOKUP(AB67,ETANCHEITE!AP$22:AR$167,3,FALSE),"")</f>
        <v xml:space="preserve"> </v>
      </c>
      <c r="AH67" s="148" t="str">
        <f>IF(AG67&lt;&gt;" ",'Feuille de Donnée'!$C$3,"")</f>
        <v/>
      </c>
      <c r="AI67" s="162" t="str" cm="1">
        <f t="array" aca="1" ref="AI67" ca="1">IFERROR(IF(_xlfn.XLOOKUP(AB67,ETANCHEITE!AP$22:AP$92,ETANCHEITE!AN$22:AN$92,"")&lt;&gt;"",_xlfn.XLOOKUP(AB67,ETANCHEITE!AP$22:AP$92,ETANCHEITE!AN$22:AN$92,""),    INDEX(ETANCHEITE!AN:AN,MAX(_xlfn._xlws.FILTER(ROW(ETANCHEITE!AN$22:INDIRECT("'PEINTURE'!O" &amp; AE67-1)),ETANCHEITE!AN$22:INDIRECT("'PEINTURE'!O" &amp; AE67-1)&lt;&gt;"")))),"")</f>
        <v/>
      </c>
      <c r="AJ67" s="163" t="str" cm="1">
        <f t="array" aca="1" ref="AJ67" ca="1">IFERROR(IF(_xlfn.XLOOKUP(AB67,ETANCHEITE!AP$22:AP$92,ETANCHEITE!AO$22:AO$92,"")&lt;&gt;"",_xlfn.XLOOKUP(AB67,ETANCHEITE!AP$22:AP$92,ETANCHEITE!AO$22:AO$92,""),    INDEX(ETANCHEITE!AO:AO,MAX(_xlfn._xlws.FILTER(ROW(ETANCHEITE!AO$22:INDIRECT("'PEINTURE'!P" &amp; AE67-1)),ETANCHEITE!AO$22:INDIRECT("'PEINTURE'!P" &amp; AE67-1)&lt;&gt;"")))),"")</f>
        <v/>
      </c>
      <c r="AK67" s="145">
        <v>65</v>
      </c>
      <c r="AL67" s="154" t="str">
        <f>IF(AP67&lt;&gt;" ",ETANCHEITE!$D$5,"")</f>
        <v/>
      </c>
      <c r="AM67" s="154" t="str">
        <f>IF(AP67&lt;&gt;" ",ETANCHEITE!$D$8,"")</f>
        <v/>
      </c>
      <c r="AN67" s="146" t="str">
        <f>IFERROR(MATCH(AK67,ETANCHEITE!AY$22:AY$167,0)+18,"")</f>
        <v/>
      </c>
      <c r="AO67" s="147" t="str" cm="1">
        <f t="array" aca="1" ref="AO67" ca="1">IFERROR(IF(_xlfn.XLOOKUP(AK67,ETANCHEITE!AY$22:AY$167,ETANCHEITE!$A$22:$A$167,"")&lt;&gt;"",_xlfn.XLOOKUP(AK67,ETANCHEITE!AY$22:AY$167,ETANCHEITE!$A$22:$A$167,""),    INDEX(ETANCHEITE!$A:$A,MAX(_xlfn._xlws.FILTER(ROW(ETANCHEITE!$A$22:INDIRECT("'MENUISERIES EXTERIEURES'!$A" &amp; AN67-1)),ETANCHEITE!$A$22:INDIRECT("'MENUISERIES EXTERIEURES'!$A" &amp; AN67-1)&lt;&gt;"")))),"")&amp;"   "&amp;IFERROR(_xlfn.XLOOKUP(AK67,ETANCHEITE!AY$22:AY$167,ETANCHEITE!$B$22:$B$167),"")&amp;IFERROR(_xlfn.XLOOKUP(AK67,ETANCHEITE!AY$22:AY$167,ETANCHEITE!$C$22:$C$167),"")&amp;IFERROR(_xlfn.XLOOKUP(AK67,ETANCHEITE!AY$22:AY$167,ETANCHEITE!$D$22:$D$167),"")&amp;IFERROR(_xlfn.XLOOKUP(AK67,ETANCHEITE!AY$22:AY$167,ETANCHEITE!#REF!),"")&amp;IFERROR(_xlfn.XLOOKUP(AK67,ETANCHEITE!AY$22:AY$167,ETANCHEITE!#REF!),"")</f>
        <v xml:space="preserve">   </v>
      </c>
      <c r="AP67" s="155" t="str">
        <f>IFERROR(VLOOKUP(AK67,ETANCHEITE!AY$22:BA$167,2,FALSE),"")&amp;" "&amp;IFERROR(VLOOKUP(AK67,ETANCHEITE!AY$22:BA$167,3,FALSE),"")</f>
        <v xml:space="preserve"> </v>
      </c>
      <c r="AQ67" s="148" t="str">
        <f>IF(AP67&lt;&gt;" ",'Feuille de Donnée'!$C$3,"")</f>
        <v/>
      </c>
      <c r="AR67" s="162" t="str" cm="1">
        <f t="array" aca="1" ref="AR67" ca="1">IFERROR(IF(_xlfn.XLOOKUP(AK67,ETANCHEITE!AY$22:AY$92,ETANCHEITE!AW$22:AW$92,"")&lt;&gt;"",_xlfn.XLOOKUP(AK67,ETANCHEITE!AY$22:AY$92,ETANCHEITE!AW$22:AW$92,""),    INDEX(ETANCHEITE!AW:AW,MAX(_xlfn._xlws.FILTER(ROW(ETANCHEITE!AW$22:INDIRECT("'PEINTURE'!O" &amp; AN67-1)),ETANCHEITE!AW$22:INDIRECT("'PEINTURE'!O" &amp; AN67-1)&lt;&gt;"")))),"")</f>
        <v/>
      </c>
      <c r="AS67" s="163" t="str" cm="1">
        <f t="array" aca="1" ref="AS67" ca="1">IFERROR(IF(_xlfn.XLOOKUP(AK67,ETANCHEITE!AY$22:AY$92,ETANCHEITE!AX$22:AX$92,"")&lt;&gt;"",_xlfn.XLOOKUP(AK67,ETANCHEITE!AY$22:AY$92,ETANCHEITE!AX$22:AX$92,""),    INDEX(ETANCHEITE!AX:AX,MAX(_xlfn._xlws.FILTER(ROW(ETANCHEITE!AX$22:INDIRECT("'PEINTURE'!P" &amp; AN67-1)),ETANCHEITE!AX$22:INDIRECT("'PEINTURE'!P" &amp; AN67-1)&lt;&gt;"")))),"")</f>
        <v/>
      </c>
      <c r="AT67" s="145">
        <v>65</v>
      </c>
      <c r="AU67" s="154" t="str">
        <f>IF(AY67&lt;&gt;" ",ETANCHEITE!$D$5,"")</f>
        <v/>
      </c>
      <c r="AV67" s="154" t="str">
        <f>IF(AY67&lt;&gt;" ",ETANCHEITE!$D$8,"")</f>
        <v/>
      </c>
      <c r="AW67" s="146" t="str">
        <f>IFERROR(MATCH(AT67,ETANCHEITE!BH$22:BH$167,0)+18,"")</f>
        <v/>
      </c>
      <c r="AX67" s="147" t="str" cm="1">
        <f t="array" aca="1" ref="AX67" ca="1">IFERROR(IF(_xlfn.XLOOKUP(AT67,ETANCHEITE!BH$22:BH$167,ETANCHEITE!$A$22:$A$167,"")&lt;&gt;"",_xlfn.XLOOKUP(AT67,ETANCHEITE!BH$22:BH$167,ETANCHEITE!$A$22:$A$167,""),    INDEX(ETANCHEITE!$A:$A,MAX(_xlfn._xlws.FILTER(ROW(ETANCHEITE!$A$22:INDIRECT("'MENUISERIES EXTERIEURES'!$A" &amp; AW67-1)),ETANCHEITE!$A$22:INDIRECT("'MENUISERIES EXTERIEURES'!$A" &amp; AW67-1)&lt;&gt;"")))),"")&amp;"   "&amp;IFERROR(_xlfn.XLOOKUP(AT67,ETANCHEITE!BH$22:BH$167,ETANCHEITE!$B$22:$B$167),"")&amp;IFERROR(_xlfn.XLOOKUP(AT67,ETANCHEITE!BH$22:BH$167,ETANCHEITE!$C$22:$C$167),"")&amp;IFERROR(_xlfn.XLOOKUP(AT67,ETANCHEITE!BH$22:BH$167,ETANCHEITE!$D$22:$D$167),"")&amp;IFERROR(_xlfn.XLOOKUP(AT67,ETANCHEITE!BH$22:BH$167,ETANCHEITE!#REF!),"")&amp;IFERROR(_xlfn.XLOOKUP(AT67,ETANCHEITE!BH$22:BH$167,ETANCHEITE!#REF!),"")</f>
        <v xml:space="preserve">   </v>
      </c>
      <c r="AY67" s="155" t="str">
        <f>IFERROR(VLOOKUP(AT67,ETANCHEITE!BH$22:BJ$167,2,FALSE),"")&amp;" "&amp;IFERROR(VLOOKUP(AT67,ETANCHEITE!BH$22:BJ$167,3,FALSE),"")</f>
        <v xml:space="preserve"> </v>
      </c>
      <c r="AZ67" s="148" t="str">
        <f>IF(AY67&lt;&gt;" ",'Feuille de Donnée'!$C$3,"")</f>
        <v/>
      </c>
      <c r="BA67" s="162" t="str" cm="1">
        <f t="array" aca="1" ref="BA67" ca="1">IFERROR(IF(_xlfn.XLOOKUP(AT67,ETANCHEITE!BH$22:BH$92,ETANCHEITE!BF$22:BF$92,"")&lt;&gt;"",_xlfn.XLOOKUP(AT67,ETANCHEITE!BH$22:BH$92,ETANCHEITE!BF$22:BF$92,""),    INDEX(ETANCHEITE!BF:BF,MAX(_xlfn._xlws.FILTER(ROW(ETANCHEITE!BF$22:INDIRECT("'PEINTURE'!O" &amp; AW67-1)),ETANCHEITE!BF$22:INDIRECT("'PEINTURE'!O" &amp; AW67-1)&lt;&gt;"")))),"")</f>
        <v/>
      </c>
      <c r="BB67" s="163" t="str" cm="1">
        <f t="array" aca="1" ref="BB67" ca="1">IFERROR(IF(_xlfn.XLOOKUP(AT67,ETANCHEITE!BH$22:BH$92,ETANCHEITE!BG$22:BG$92,"")&lt;&gt;"",_xlfn.XLOOKUP(AT67,ETANCHEITE!BH$22:BH$92,ETANCHEITE!BG$22:BG$92,""),    INDEX(ETANCHEITE!BG:BG,MAX(_xlfn._xlws.FILTER(ROW(ETANCHEITE!BG$22:INDIRECT("'PEINTURE'!P" &amp; AW67-1)),ETANCHEITE!BG$22:INDIRECT("'PEINTURE'!P" &amp; AW67-1)&lt;&gt;"")))),"")</f>
        <v/>
      </c>
    </row>
    <row r="68" spans="1:54" x14ac:dyDescent="0.3">
      <c r="A68" s="145">
        <v>66</v>
      </c>
      <c r="B68" s="154" t="str">
        <f>IF(F68&lt;&gt;" ",ETANCHEITE!$D$5,"")</f>
        <v/>
      </c>
      <c r="C68" s="154" t="str">
        <f>IF(F68&lt;&gt;" ",ETANCHEITE!$D$8,"")</f>
        <v/>
      </c>
      <c r="D68" s="146" t="str">
        <f>IFERROR(MATCH(A68,ETANCHEITE!O$22:O$167,0)+18,"")</f>
        <v/>
      </c>
      <c r="E68" s="147" t="str" cm="1">
        <f t="array" aca="1" ref="E68" ca="1">IFERROR(IF(_xlfn.XLOOKUP(A68,ETANCHEITE!O$22:O$167,ETANCHEITE!$A$22:$A$167,"")&lt;&gt;"",_xlfn.XLOOKUP(A68,ETANCHEITE!O$22:O$167,ETANCHEITE!$A$22:$A$167,""),    INDEX(ETANCHEITE!$A:$A,MAX(_xlfn._xlws.FILTER(ROW(ETANCHEITE!$A$22:INDIRECT("'MENUISERIES EXTERIEURES'!$A" &amp; D68-1)),ETANCHEITE!$A$22:INDIRECT("'MENUISERIES EXTERIEURES'!$A" &amp; D68-1)&lt;&gt;"")))),"")&amp;"   "&amp;IFERROR(_xlfn.XLOOKUP(A68,ETANCHEITE!O$22:O$167,ETANCHEITE!$B$22:$B$167),"")&amp;IFERROR(_xlfn.XLOOKUP(A68,ETANCHEITE!O$22:O$167,ETANCHEITE!$C$22:$C$167),"")&amp;IFERROR(_xlfn.XLOOKUP(A68,ETANCHEITE!O$22:O$167,ETANCHEITE!$D$22:$D$167),"")&amp;IFERROR(_xlfn.XLOOKUP(A68,ETANCHEITE!O$22:O$167,ETANCHEITE!#REF!),"")&amp;IFERROR(_xlfn.XLOOKUP(A68,ETANCHEITE!O$22:O$167,ETANCHEITE!#REF!),"")</f>
        <v xml:space="preserve">   </v>
      </c>
      <c r="F68" s="155" t="str">
        <f>IFERROR(VLOOKUP(A68,ETANCHEITE!O$22:Q$167,2,FALSE),"")&amp;" "&amp;IFERROR(VLOOKUP(A68,ETANCHEITE!O$22:Q$167,3,FALSE),"")</f>
        <v xml:space="preserve"> </v>
      </c>
      <c r="G68" s="148" t="str">
        <f>IF(F68&lt;&gt;" ",'Feuille de Donnée'!$C$3,"")</f>
        <v/>
      </c>
      <c r="H68" s="162" t="str" cm="1">
        <f t="array" aca="1" ref="H68" ca="1">IFERROR(IF(_xlfn.XLOOKUP(A68,ETANCHEITE!O$22:O$92,ETANCHEITE!M$22:M$92,"")&lt;&gt;"",_xlfn.XLOOKUP(A68,ETANCHEITE!O$22:O$92,ETANCHEITE!M$22:M$92,""),    INDEX(ETANCHEITE!M:M,MAX(_xlfn._xlws.FILTER(ROW(ETANCHEITE!M$22:INDIRECT("'PEINTURE'!O" &amp; D68-1)),ETANCHEITE!M$22:INDIRECT("'PEINTURE'!O" &amp; D68-1)&lt;&gt;"")))),"")</f>
        <v/>
      </c>
      <c r="I68" s="163" t="str" cm="1">
        <f t="array" aca="1" ref="I68" ca="1">IFERROR(IF(_xlfn.XLOOKUP(A68,ETANCHEITE!O$22:O$92,ETANCHEITE!N$22:N$92,"")&lt;&gt;"",_xlfn.XLOOKUP(A68,ETANCHEITE!O$22:O$92,ETANCHEITE!N$22:N$92,""),    INDEX(ETANCHEITE!N:N,MAX(_xlfn._xlws.FILTER(ROW(ETANCHEITE!N$22:INDIRECT("'PEINTURE'!P" &amp; D68-1)),ETANCHEITE!N$22:INDIRECT("'PEINTURE'!P" &amp; D68-1)&lt;&gt;"")))),"")</f>
        <v/>
      </c>
      <c r="J68" s="145">
        <v>66</v>
      </c>
      <c r="K68" s="154" t="str">
        <f>IF(O68&lt;&gt;" ",ETANCHEITE!$D$5,"")</f>
        <v/>
      </c>
      <c r="L68" s="154" t="str">
        <f>IF(O68&lt;&gt;" ",ETANCHEITE!$D$8,"")</f>
        <v/>
      </c>
      <c r="M68" s="146" t="str">
        <f>IFERROR(MATCH(J68,ETANCHEITE!X$22:X$167,0)+18,"")</f>
        <v/>
      </c>
      <c r="N68" s="147" t="str" cm="1">
        <f t="array" aca="1" ref="N68" ca="1">IFERROR(IF(_xlfn.XLOOKUP(J68,ETANCHEITE!X$22:X$167,ETANCHEITE!$A$22:$A$167,"")&lt;&gt;"",_xlfn.XLOOKUP(J68,ETANCHEITE!X$22:X$167,ETANCHEITE!$A$22:$A$167,""),    INDEX(ETANCHEITE!$A:$A,MAX(_xlfn._xlws.FILTER(ROW(ETANCHEITE!$A$22:INDIRECT("'MENUISERIES EXTERIEURES'!$A" &amp; M68-1)),ETANCHEITE!$A$22:INDIRECT("'MENUISERIES EXTERIEURES'!$A" &amp; M68-1)&lt;&gt;"")))),"")&amp;"   "&amp;IFERROR(_xlfn.XLOOKUP(J68,ETANCHEITE!X$22:X$167,ETANCHEITE!$B$22:$B$167),"")&amp;IFERROR(_xlfn.XLOOKUP(J68,ETANCHEITE!X$22:X$167,ETANCHEITE!$C$22:$C$167),"")&amp;IFERROR(_xlfn.XLOOKUP(J68,ETANCHEITE!X$22:X$167,ETANCHEITE!$D$22:$D$167),"")&amp;IFERROR(_xlfn.XLOOKUP(J68,ETANCHEITE!X$22:X$167,ETANCHEITE!#REF!),"")&amp;IFERROR(_xlfn.XLOOKUP(J68,ETANCHEITE!X$22:X$167,ETANCHEITE!#REF!),"")</f>
        <v xml:space="preserve">   </v>
      </c>
      <c r="O68" s="155" t="str">
        <f>IFERROR(VLOOKUP(J68,ETANCHEITE!X$22:Z$167,2,FALSE),"")&amp;" "&amp;IFERROR(VLOOKUP(J68,ETANCHEITE!X$22:Z$167,3,FALSE),"")</f>
        <v xml:space="preserve"> </v>
      </c>
      <c r="P68" s="148" t="str">
        <f>IF(O68&lt;&gt;" ",'Feuille de Donnée'!$C$3,"")</f>
        <v/>
      </c>
      <c r="Q68" s="162" t="str" cm="1">
        <f t="array" aca="1" ref="Q68" ca="1">IFERROR(IF(_xlfn.XLOOKUP(J68,ETANCHEITE!X$22:X$92,ETANCHEITE!V$22:V$92,"")&lt;&gt;"",_xlfn.XLOOKUP(J68,ETANCHEITE!X$22:X$92,ETANCHEITE!V$22:V$92,""),    INDEX(ETANCHEITE!V:V,MAX(_xlfn._xlws.FILTER(ROW(ETANCHEITE!V$22:INDIRECT("'PEINTURE'!O" &amp; M68-1)),ETANCHEITE!V$22:INDIRECT("'PEINTURE'!O" &amp; M68-1)&lt;&gt;"")))),"")</f>
        <v/>
      </c>
      <c r="R68" s="163" t="str" cm="1">
        <f t="array" aca="1" ref="R68" ca="1">IFERROR(IF(_xlfn.XLOOKUP(J68,ETANCHEITE!X$22:X$92,ETANCHEITE!W$22:W$92,"")&lt;&gt;"",_xlfn.XLOOKUP(J68,ETANCHEITE!X$22:X$92,ETANCHEITE!W$22:W$92,""),    INDEX(ETANCHEITE!W:W,MAX(_xlfn._xlws.FILTER(ROW(ETANCHEITE!W$22:INDIRECT("'PEINTURE'!P" &amp; M68-1)),ETANCHEITE!W$22:INDIRECT("'PEINTURE'!P" &amp; M68-1)&lt;&gt;"")))),"")</f>
        <v/>
      </c>
      <c r="S68" s="145">
        <v>66</v>
      </c>
      <c r="T68" s="154" t="str">
        <f>IF(X68&lt;&gt;" ",ETANCHEITE!$D$5,"")</f>
        <v/>
      </c>
      <c r="U68" s="154" t="str">
        <f>IF(X68&lt;&gt;" ",ETANCHEITE!$D$8,"")</f>
        <v/>
      </c>
      <c r="V68" s="146" t="str">
        <f>IFERROR(MATCH(S68,ETANCHEITE!AG$22:AG$167,0)+18,"")</f>
        <v/>
      </c>
      <c r="W68" s="147" t="str" cm="1">
        <f t="array" aca="1" ref="W68" ca="1">IFERROR(IF(_xlfn.XLOOKUP(S68,ETANCHEITE!AG$22:AG$167,ETANCHEITE!$A$22:$A$167,"")&lt;&gt;"",_xlfn.XLOOKUP(S68,ETANCHEITE!AG$22:AG$167,ETANCHEITE!$A$22:$A$167,""),    INDEX(ETANCHEITE!$A:$A,MAX(_xlfn._xlws.FILTER(ROW(ETANCHEITE!$A$22:INDIRECT("'MENUISERIES EXTERIEURES'!$A" &amp; V68-1)),ETANCHEITE!$A$22:INDIRECT("'MENUISERIES EXTERIEURES'!$A" &amp; V68-1)&lt;&gt;"")))),"")&amp;"   "&amp;IFERROR(_xlfn.XLOOKUP(S68,ETANCHEITE!AG$22:AG$167,ETANCHEITE!$B$22:$B$167),"")&amp;IFERROR(_xlfn.XLOOKUP(S68,ETANCHEITE!AG$22:AG$167,ETANCHEITE!$C$22:$C$167),"")&amp;IFERROR(_xlfn.XLOOKUP(S68,ETANCHEITE!AG$22:AG$167,ETANCHEITE!$D$22:$D$167),"")&amp;IFERROR(_xlfn.XLOOKUP(S68,ETANCHEITE!AG$22:AG$167,ETANCHEITE!#REF!),"")&amp;IFERROR(_xlfn.XLOOKUP(S68,ETANCHEITE!AG$22:AG$167,ETANCHEITE!#REF!),"")</f>
        <v xml:space="preserve">   </v>
      </c>
      <c r="X68" s="155" t="str">
        <f>IFERROR(VLOOKUP(S68,ETANCHEITE!AG$22:AI$167,2,FALSE),"")&amp;" "&amp;IFERROR(VLOOKUP(S68,ETANCHEITE!AG$22:AI$167,3,FALSE),"")</f>
        <v xml:space="preserve"> </v>
      </c>
      <c r="Y68" s="148" t="str">
        <f>IF(X68&lt;&gt;" ",'Feuille de Donnée'!$C$3,"")</f>
        <v/>
      </c>
      <c r="Z68" s="162" t="str" cm="1">
        <f t="array" aca="1" ref="Z68" ca="1">IFERROR(IF(_xlfn.XLOOKUP(S68,ETANCHEITE!AG$22:AG$92,ETANCHEITE!AE$22:AE$92,"")&lt;&gt;"",_xlfn.XLOOKUP(S68,ETANCHEITE!AG$22:AG$92,ETANCHEITE!AE$22:AE$92,""),    INDEX(ETANCHEITE!AE:AE,MAX(_xlfn._xlws.FILTER(ROW(ETANCHEITE!AE$22:INDIRECT("'PEINTURE'!O" &amp; V68-1)),ETANCHEITE!AE$22:INDIRECT("'PEINTURE'!O" &amp; V68-1)&lt;&gt;"")))),"")</f>
        <v/>
      </c>
      <c r="AA68" s="163" t="str" cm="1">
        <f t="array" aca="1" ref="AA68" ca="1">IFERROR(IF(_xlfn.XLOOKUP(S68,ETANCHEITE!AG$22:AG$92,ETANCHEITE!AF$22:AF$92,"")&lt;&gt;"",_xlfn.XLOOKUP(S68,ETANCHEITE!AG$22:AG$92,ETANCHEITE!AF$22:AF$92,""),    INDEX(ETANCHEITE!AF:AF,MAX(_xlfn._xlws.FILTER(ROW(ETANCHEITE!AF$22:INDIRECT("'PEINTURE'!P" &amp; V68-1)),ETANCHEITE!AF$22:INDIRECT("'PEINTURE'!P" &amp; V68-1)&lt;&gt;"")))),"")</f>
        <v/>
      </c>
      <c r="AB68" s="145">
        <v>66</v>
      </c>
      <c r="AC68" s="154" t="str">
        <f>IF(AG68&lt;&gt;" ",ETANCHEITE!$D$5,"")</f>
        <v/>
      </c>
      <c r="AD68" s="154" t="str">
        <f>IF(AG68&lt;&gt;" ",ETANCHEITE!$D$8,"")</f>
        <v/>
      </c>
      <c r="AE68" s="146" t="str">
        <f>IFERROR(MATCH(AB68,ETANCHEITE!AP$22:AP$167,0)+18,"")</f>
        <v/>
      </c>
      <c r="AF68" s="147" t="str" cm="1">
        <f t="array" aca="1" ref="AF68" ca="1">IFERROR(IF(_xlfn.XLOOKUP(AB68,ETANCHEITE!AP$22:AP$167,ETANCHEITE!$A$22:$A$167,"")&lt;&gt;"",_xlfn.XLOOKUP(AB68,ETANCHEITE!AP$22:AP$167,ETANCHEITE!$A$22:$A$167,""),    INDEX(ETANCHEITE!$A:$A,MAX(_xlfn._xlws.FILTER(ROW(ETANCHEITE!$A$22:INDIRECT("'MENUISERIES EXTERIEURES'!$A" &amp; AE68-1)),ETANCHEITE!$A$22:INDIRECT("'MENUISERIES EXTERIEURES'!$A" &amp; AE68-1)&lt;&gt;"")))),"")&amp;"   "&amp;IFERROR(_xlfn.XLOOKUP(AB68,ETANCHEITE!AP$22:AP$167,ETANCHEITE!$B$22:$B$167),"")&amp;IFERROR(_xlfn.XLOOKUP(AB68,ETANCHEITE!AP$22:AP$167,ETANCHEITE!$C$22:$C$167),"")&amp;IFERROR(_xlfn.XLOOKUP(AB68,ETANCHEITE!AP$22:AP$167,ETANCHEITE!$D$22:$D$167),"")&amp;IFERROR(_xlfn.XLOOKUP(AB68,ETANCHEITE!AP$22:AP$167,ETANCHEITE!#REF!),"")&amp;IFERROR(_xlfn.XLOOKUP(AB68,ETANCHEITE!AP$22:AP$167,ETANCHEITE!#REF!),"")</f>
        <v xml:space="preserve">   </v>
      </c>
      <c r="AG68" s="155" t="str">
        <f>IFERROR(VLOOKUP(AB68,ETANCHEITE!AP$22:AR$167,2,FALSE),"")&amp;" "&amp;IFERROR(VLOOKUP(AB68,ETANCHEITE!AP$22:AR$167,3,FALSE),"")</f>
        <v xml:space="preserve"> </v>
      </c>
      <c r="AH68" s="148" t="str">
        <f>IF(AG68&lt;&gt;" ",'Feuille de Donnée'!$C$3,"")</f>
        <v/>
      </c>
      <c r="AI68" s="162" t="str" cm="1">
        <f t="array" aca="1" ref="AI68" ca="1">IFERROR(IF(_xlfn.XLOOKUP(AB68,ETANCHEITE!AP$22:AP$92,ETANCHEITE!AN$22:AN$92,"")&lt;&gt;"",_xlfn.XLOOKUP(AB68,ETANCHEITE!AP$22:AP$92,ETANCHEITE!AN$22:AN$92,""),    INDEX(ETANCHEITE!AN:AN,MAX(_xlfn._xlws.FILTER(ROW(ETANCHEITE!AN$22:INDIRECT("'PEINTURE'!O" &amp; AE68-1)),ETANCHEITE!AN$22:INDIRECT("'PEINTURE'!O" &amp; AE68-1)&lt;&gt;"")))),"")</f>
        <v/>
      </c>
      <c r="AJ68" s="163" t="str" cm="1">
        <f t="array" aca="1" ref="AJ68" ca="1">IFERROR(IF(_xlfn.XLOOKUP(AB68,ETANCHEITE!AP$22:AP$92,ETANCHEITE!AO$22:AO$92,"")&lt;&gt;"",_xlfn.XLOOKUP(AB68,ETANCHEITE!AP$22:AP$92,ETANCHEITE!AO$22:AO$92,""),    INDEX(ETANCHEITE!AO:AO,MAX(_xlfn._xlws.FILTER(ROW(ETANCHEITE!AO$22:INDIRECT("'PEINTURE'!P" &amp; AE68-1)),ETANCHEITE!AO$22:INDIRECT("'PEINTURE'!P" &amp; AE68-1)&lt;&gt;"")))),"")</f>
        <v/>
      </c>
      <c r="AK68" s="145">
        <v>66</v>
      </c>
      <c r="AL68" s="154" t="str">
        <f>IF(AP68&lt;&gt;" ",ETANCHEITE!$D$5,"")</f>
        <v/>
      </c>
      <c r="AM68" s="154" t="str">
        <f>IF(AP68&lt;&gt;" ",ETANCHEITE!$D$8,"")</f>
        <v/>
      </c>
      <c r="AN68" s="146" t="str">
        <f>IFERROR(MATCH(AK68,ETANCHEITE!AY$22:AY$167,0)+18,"")</f>
        <v/>
      </c>
      <c r="AO68" s="147" t="str" cm="1">
        <f t="array" aca="1" ref="AO68" ca="1">IFERROR(IF(_xlfn.XLOOKUP(AK68,ETANCHEITE!AY$22:AY$167,ETANCHEITE!$A$22:$A$167,"")&lt;&gt;"",_xlfn.XLOOKUP(AK68,ETANCHEITE!AY$22:AY$167,ETANCHEITE!$A$22:$A$167,""),    INDEX(ETANCHEITE!$A:$A,MAX(_xlfn._xlws.FILTER(ROW(ETANCHEITE!$A$22:INDIRECT("'MENUISERIES EXTERIEURES'!$A" &amp; AN68-1)),ETANCHEITE!$A$22:INDIRECT("'MENUISERIES EXTERIEURES'!$A" &amp; AN68-1)&lt;&gt;"")))),"")&amp;"   "&amp;IFERROR(_xlfn.XLOOKUP(AK68,ETANCHEITE!AY$22:AY$167,ETANCHEITE!$B$22:$B$167),"")&amp;IFERROR(_xlfn.XLOOKUP(AK68,ETANCHEITE!AY$22:AY$167,ETANCHEITE!$C$22:$C$167),"")&amp;IFERROR(_xlfn.XLOOKUP(AK68,ETANCHEITE!AY$22:AY$167,ETANCHEITE!$D$22:$D$167),"")&amp;IFERROR(_xlfn.XLOOKUP(AK68,ETANCHEITE!AY$22:AY$167,ETANCHEITE!#REF!),"")&amp;IFERROR(_xlfn.XLOOKUP(AK68,ETANCHEITE!AY$22:AY$167,ETANCHEITE!#REF!),"")</f>
        <v xml:space="preserve">   </v>
      </c>
      <c r="AP68" s="155" t="str">
        <f>IFERROR(VLOOKUP(AK68,ETANCHEITE!AY$22:BA$167,2,FALSE),"")&amp;" "&amp;IFERROR(VLOOKUP(AK68,ETANCHEITE!AY$22:BA$167,3,FALSE),"")</f>
        <v xml:space="preserve"> </v>
      </c>
      <c r="AQ68" s="148" t="str">
        <f>IF(AP68&lt;&gt;" ",'Feuille de Donnée'!$C$3,"")</f>
        <v/>
      </c>
      <c r="AR68" s="162" t="str" cm="1">
        <f t="array" aca="1" ref="AR68" ca="1">IFERROR(IF(_xlfn.XLOOKUP(AK68,ETANCHEITE!AY$22:AY$92,ETANCHEITE!AW$22:AW$92,"")&lt;&gt;"",_xlfn.XLOOKUP(AK68,ETANCHEITE!AY$22:AY$92,ETANCHEITE!AW$22:AW$92,""),    INDEX(ETANCHEITE!AW:AW,MAX(_xlfn._xlws.FILTER(ROW(ETANCHEITE!AW$22:INDIRECT("'PEINTURE'!O" &amp; AN68-1)),ETANCHEITE!AW$22:INDIRECT("'PEINTURE'!O" &amp; AN68-1)&lt;&gt;"")))),"")</f>
        <v/>
      </c>
      <c r="AS68" s="163" t="str" cm="1">
        <f t="array" aca="1" ref="AS68" ca="1">IFERROR(IF(_xlfn.XLOOKUP(AK68,ETANCHEITE!AY$22:AY$92,ETANCHEITE!AX$22:AX$92,"")&lt;&gt;"",_xlfn.XLOOKUP(AK68,ETANCHEITE!AY$22:AY$92,ETANCHEITE!AX$22:AX$92,""),    INDEX(ETANCHEITE!AX:AX,MAX(_xlfn._xlws.FILTER(ROW(ETANCHEITE!AX$22:INDIRECT("'PEINTURE'!P" &amp; AN68-1)),ETANCHEITE!AX$22:INDIRECT("'PEINTURE'!P" &amp; AN68-1)&lt;&gt;"")))),"")</f>
        <v/>
      </c>
      <c r="AT68" s="145">
        <v>66</v>
      </c>
      <c r="AU68" s="154" t="str">
        <f>IF(AY68&lt;&gt;" ",ETANCHEITE!$D$5,"")</f>
        <v/>
      </c>
      <c r="AV68" s="154" t="str">
        <f>IF(AY68&lt;&gt;" ",ETANCHEITE!$D$8,"")</f>
        <v/>
      </c>
      <c r="AW68" s="146" t="str">
        <f>IFERROR(MATCH(AT68,ETANCHEITE!BH$22:BH$167,0)+18,"")</f>
        <v/>
      </c>
      <c r="AX68" s="147" t="str" cm="1">
        <f t="array" aca="1" ref="AX68" ca="1">IFERROR(IF(_xlfn.XLOOKUP(AT68,ETANCHEITE!BH$22:BH$167,ETANCHEITE!$A$22:$A$167,"")&lt;&gt;"",_xlfn.XLOOKUP(AT68,ETANCHEITE!BH$22:BH$167,ETANCHEITE!$A$22:$A$167,""),    INDEX(ETANCHEITE!$A:$A,MAX(_xlfn._xlws.FILTER(ROW(ETANCHEITE!$A$22:INDIRECT("'MENUISERIES EXTERIEURES'!$A" &amp; AW68-1)),ETANCHEITE!$A$22:INDIRECT("'MENUISERIES EXTERIEURES'!$A" &amp; AW68-1)&lt;&gt;"")))),"")&amp;"   "&amp;IFERROR(_xlfn.XLOOKUP(AT68,ETANCHEITE!BH$22:BH$167,ETANCHEITE!$B$22:$B$167),"")&amp;IFERROR(_xlfn.XLOOKUP(AT68,ETANCHEITE!BH$22:BH$167,ETANCHEITE!$C$22:$C$167),"")&amp;IFERROR(_xlfn.XLOOKUP(AT68,ETANCHEITE!BH$22:BH$167,ETANCHEITE!$D$22:$D$167),"")&amp;IFERROR(_xlfn.XLOOKUP(AT68,ETANCHEITE!BH$22:BH$167,ETANCHEITE!#REF!),"")&amp;IFERROR(_xlfn.XLOOKUP(AT68,ETANCHEITE!BH$22:BH$167,ETANCHEITE!#REF!),"")</f>
        <v xml:space="preserve">   </v>
      </c>
      <c r="AY68" s="155" t="str">
        <f>IFERROR(VLOOKUP(AT68,ETANCHEITE!BH$22:BJ$167,2,FALSE),"")&amp;" "&amp;IFERROR(VLOOKUP(AT68,ETANCHEITE!BH$22:BJ$167,3,FALSE),"")</f>
        <v xml:space="preserve"> </v>
      </c>
      <c r="AZ68" s="148" t="str">
        <f>IF(AY68&lt;&gt;" ",'Feuille de Donnée'!$C$3,"")</f>
        <v/>
      </c>
      <c r="BA68" s="162" t="str" cm="1">
        <f t="array" aca="1" ref="BA68" ca="1">IFERROR(IF(_xlfn.XLOOKUP(AT68,ETANCHEITE!BH$22:BH$92,ETANCHEITE!BF$22:BF$92,"")&lt;&gt;"",_xlfn.XLOOKUP(AT68,ETANCHEITE!BH$22:BH$92,ETANCHEITE!BF$22:BF$92,""),    INDEX(ETANCHEITE!BF:BF,MAX(_xlfn._xlws.FILTER(ROW(ETANCHEITE!BF$22:INDIRECT("'PEINTURE'!O" &amp; AW68-1)),ETANCHEITE!BF$22:INDIRECT("'PEINTURE'!O" &amp; AW68-1)&lt;&gt;"")))),"")</f>
        <v/>
      </c>
      <c r="BB68" s="163" t="str" cm="1">
        <f t="array" aca="1" ref="BB68" ca="1">IFERROR(IF(_xlfn.XLOOKUP(AT68,ETANCHEITE!BH$22:BH$92,ETANCHEITE!BG$22:BG$92,"")&lt;&gt;"",_xlfn.XLOOKUP(AT68,ETANCHEITE!BH$22:BH$92,ETANCHEITE!BG$22:BG$92,""),    INDEX(ETANCHEITE!BG:BG,MAX(_xlfn._xlws.FILTER(ROW(ETANCHEITE!BG$22:INDIRECT("'PEINTURE'!P" &amp; AW68-1)),ETANCHEITE!BG$22:INDIRECT("'PEINTURE'!P" &amp; AW68-1)&lt;&gt;"")))),"")</f>
        <v/>
      </c>
    </row>
    <row r="69" spans="1:54" x14ac:dyDescent="0.3">
      <c r="A69" s="145">
        <v>67</v>
      </c>
      <c r="B69" s="154" t="str">
        <f>IF(F69&lt;&gt;" ",ETANCHEITE!$D$5,"")</f>
        <v/>
      </c>
      <c r="C69" s="154" t="str">
        <f>IF(F69&lt;&gt;" ",ETANCHEITE!$D$8,"")</f>
        <v/>
      </c>
      <c r="D69" s="146" t="str">
        <f>IFERROR(MATCH(A69,ETANCHEITE!O$22:O$167,0)+18,"")</f>
        <v/>
      </c>
      <c r="E69" s="147" t="str" cm="1">
        <f t="array" aca="1" ref="E69" ca="1">IFERROR(IF(_xlfn.XLOOKUP(A69,ETANCHEITE!O$22:O$167,ETANCHEITE!$A$22:$A$167,"")&lt;&gt;"",_xlfn.XLOOKUP(A69,ETANCHEITE!O$22:O$167,ETANCHEITE!$A$22:$A$167,""),    INDEX(ETANCHEITE!$A:$A,MAX(_xlfn._xlws.FILTER(ROW(ETANCHEITE!$A$22:INDIRECT("'MENUISERIES EXTERIEURES'!$A" &amp; D69-1)),ETANCHEITE!$A$22:INDIRECT("'MENUISERIES EXTERIEURES'!$A" &amp; D69-1)&lt;&gt;"")))),"")&amp;"   "&amp;IFERROR(_xlfn.XLOOKUP(A69,ETANCHEITE!O$22:O$167,ETANCHEITE!$B$22:$B$167),"")&amp;IFERROR(_xlfn.XLOOKUP(A69,ETANCHEITE!O$22:O$167,ETANCHEITE!$C$22:$C$167),"")&amp;IFERROR(_xlfn.XLOOKUP(A69,ETANCHEITE!O$22:O$167,ETANCHEITE!$D$22:$D$167),"")&amp;IFERROR(_xlfn.XLOOKUP(A69,ETANCHEITE!O$22:O$167,ETANCHEITE!#REF!),"")&amp;IFERROR(_xlfn.XLOOKUP(A69,ETANCHEITE!O$22:O$167,ETANCHEITE!#REF!),"")</f>
        <v xml:space="preserve">   </v>
      </c>
      <c r="F69" s="155" t="str">
        <f>IFERROR(VLOOKUP(A69,ETANCHEITE!O$22:Q$167,2,FALSE),"")&amp;" "&amp;IFERROR(VLOOKUP(A69,ETANCHEITE!O$22:Q$167,3,FALSE),"")</f>
        <v xml:space="preserve"> </v>
      </c>
      <c r="G69" s="148" t="str">
        <f>IF(F69&lt;&gt;" ",'Feuille de Donnée'!$C$3,"")</f>
        <v/>
      </c>
      <c r="H69" s="162" t="str" cm="1">
        <f t="array" aca="1" ref="H69" ca="1">IFERROR(IF(_xlfn.XLOOKUP(A69,ETANCHEITE!O$22:O$92,ETANCHEITE!M$22:M$92,"")&lt;&gt;"",_xlfn.XLOOKUP(A69,ETANCHEITE!O$22:O$92,ETANCHEITE!M$22:M$92,""),    INDEX(ETANCHEITE!M:M,MAX(_xlfn._xlws.FILTER(ROW(ETANCHEITE!M$22:INDIRECT("'PEINTURE'!O" &amp; D69-1)),ETANCHEITE!M$22:INDIRECT("'PEINTURE'!O" &amp; D69-1)&lt;&gt;"")))),"")</f>
        <v/>
      </c>
      <c r="I69" s="163" t="str" cm="1">
        <f t="array" aca="1" ref="I69" ca="1">IFERROR(IF(_xlfn.XLOOKUP(A69,ETANCHEITE!O$22:O$92,ETANCHEITE!N$22:N$92,"")&lt;&gt;"",_xlfn.XLOOKUP(A69,ETANCHEITE!O$22:O$92,ETANCHEITE!N$22:N$92,""),    INDEX(ETANCHEITE!N:N,MAX(_xlfn._xlws.FILTER(ROW(ETANCHEITE!N$22:INDIRECT("'PEINTURE'!P" &amp; D69-1)),ETANCHEITE!N$22:INDIRECT("'PEINTURE'!P" &amp; D69-1)&lt;&gt;"")))),"")</f>
        <v/>
      </c>
      <c r="J69" s="145">
        <v>67</v>
      </c>
      <c r="K69" s="154" t="str">
        <f>IF(O69&lt;&gt;" ",ETANCHEITE!$D$5,"")</f>
        <v/>
      </c>
      <c r="L69" s="154" t="str">
        <f>IF(O69&lt;&gt;" ",ETANCHEITE!$D$8,"")</f>
        <v/>
      </c>
      <c r="M69" s="146" t="str">
        <f>IFERROR(MATCH(J69,ETANCHEITE!X$22:X$167,0)+18,"")</f>
        <v/>
      </c>
      <c r="N69" s="147" t="str" cm="1">
        <f t="array" aca="1" ref="N69" ca="1">IFERROR(IF(_xlfn.XLOOKUP(J69,ETANCHEITE!X$22:X$167,ETANCHEITE!$A$22:$A$167,"")&lt;&gt;"",_xlfn.XLOOKUP(J69,ETANCHEITE!X$22:X$167,ETANCHEITE!$A$22:$A$167,""),    INDEX(ETANCHEITE!$A:$A,MAX(_xlfn._xlws.FILTER(ROW(ETANCHEITE!$A$22:INDIRECT("'MENUISERIES EXTERIEURES'!$A" &amp; M69-1)),ETANCHEITE!$A$22:INDIRECT("'MENUISERIES EXTERIEURES'!$A" &amp; M69-1)&lt;&gt;"")))),"")&amp;"   "&amp;IFERROR(_xlfn.XLOOKUP(J69,ETANCHEITE!X$22:X$167,ETANCHEITE!$B$22:$B$167),"")&amp;IFERROR(_xlfn.XLOOKUP(J69,ETANCHEITE!X$22:X$167,ETANCHEITE!$C$22:$C$167),"")&amp;IFERROR(_xlfn.XLOOKUP(J69,ETANCHEITE!X$22:X$167,ETANCHEITE!$D$22:$D$167),"")&amp;IFERROR(_xlfn.XLOOKUP(J69,ETANCHEITE!X$22:X$167,ETANCHEITE!#REF!),"")&amp;IFERROR(_xlfn.XLOOKUP(J69,ETANCHEITE!X$22:X$167,ETANCHEITE!#REF!),"")</f>
        <v xml:space="preserve">   </v>
      </c>
      <c r="O69" s="155" t="str">
        <f>IFERROR(VLOOKUP(J69,ETANCHEITE!X$22:Z$167,2,FALSE),"")&amp;" "&amp;IFERROR(VLOOKUP(J69,ETANCHEITE!X$22:Z$167,3,FALSE),"")</f>
        <v xml:space="preserve"> </v>
      </c>
      <c r="P69" s="148" t="str">
        <f>IF(O69&lt;&gt;" ",'Feuille de Donnée'!$C$3,"")</f>
        <v/>
      </c>
      <c r="Q69" s="162" t="str" cm="1">
        <f t="array" aca="1" ref="Q69" ca="1">IFERROR(IF(_xlfn.XLOOKUP(J69,ETANCHEITE!X$22:X$92,ETANCHEITE!V$22:V$92,"")&lt;&gt;"",_xlfn.XLOOKUP(J69,ETANCHEITE!X$22:X$92,ETANCHEITE!V$22:V$92,""),    INDEX(ETANCHEITE!V:V,MAX(_xlfn._xlws.FILTER(ROW(ETANCHEITE!V$22:INDIRECT("'PEINTURE'!O" &amp; M69-1)),ETANCHEITE!V$22:INDIRECT("'PEINTURE'!O" &amp; M69-1)&lt;&gt;"")))),"")</f>
        <v/>
      </c>
      <c r="R69" s="163" t="str" cm="1">
        <f t="array" aca="1" ref="R69" ca="1">IFERROR(IF(_xlfn.XLOOKUP(J69,ETANCHEITE!X$22:X$92,ETANCHEITE!W$22:W$92,"")&lt;&gt;"",_xlfn.XLOOKUP(J69,ETANCHEITE!X$22:X$92,ETANCHEITE!W$22:W$92,""),    INDEX(ETANCHEITE!W:W,MAX(_xlfn._xlws.FILTER(ROW(ETANCHEITE!W$22:INDIRECT("'PEINTURE'!P" &amp; M69-1)),ETANCHEITE!W$22:INDIRECT("'PEINTURE'!P" &amp; M69-1)&lt;&gt;"")))),"")</f>
        <v/>
      </c>
      <c r="S69" s="145">
        <v>67</v>
      </c>
      <c r="T69" s="154" t="str">
        <f>IF(X69&lt;&gt;" ",ETANCHEITE!$D$5,"")</f>
        <v/>
      </c>
      <c r="U69" s="154" t="str">
        <f>IF(X69&lt;&gt;" ",ETANCHEITE!$D$8,"")</f>
        <v/>
      </c>
      <c r="V69" s="146" t="str">
        <f>IFERROR(MATCH(S69,ETANCHEITE!AG$22:AG$167,0)+18,"")</f>
        <v/>
      </c>
      <c r="W69" s="147" t="str" cm="1">
        <f t="array" aca="1" ref="W69" ca="1">IFERROR(IF(_xlfn.XLOOKUP(S69,ETANCHEITE!AG$22:AG$167,ETANCHEITE!$A$22:$A$167,"")&lt;&gt;"",_xlfn.XLOOKUP(S69,ETANCHEITE!AG$22:AG$167,ETANCHEITE!$A$22:$A$167,""),    INDEX(ETANCHEITE!$A:$A,MAX(_xlfn._xlws.FILTER(ROW(ETANCHEITE!$A$22:INDIRECT("'MENUISERIES EXTERIEURES'!$A" &amp; V69-1)),ETANCHEITE!$A$22:INDIRECT("'MENUISERIES EXTERIEURES'!$A" &amp; V69-1)&lt;&gt;"")))),"")&amp;"   "&amp;IFERROR(_xlfn.XLOOKUP(S69,ETANCHEITE!AG$22:AG$167,ETANCHEITE!$B$22:$B$167),"")&amp;IFERROR(_xlfn.XLOOKUP(S69,ETANCHEITE!AG$22:AG$167,ETANCHEITE!$C$22:$C$167),"")&amp;IFERROR(_xlfn.XLOOKUP(S69,ETANCHEITE!AG$22:AG$167,ETANCHEITE!$D$22:$D$167),"")&amp;IFERROR(_xlfn.XLOOKUP(S69,ETANCHEITE!AG$22:AG$167,ETANCHEITE!#REF!),"")&amp;IFERROR(_xlfn.XLOOKUP(S69,ETANCHEITE!AG$22:AG$167,ETANCHEITE!#REF!),"")</f>
        <v xml:space="preserve">   </v>
      </c>
      <c r="X69" s="155" t="str">
        <f>IFERROR(VLOOKUP(S69,ETANCHEITE!AG$22:AI$167,2,FALSE),"")&amp;" "&amp;IFERROR(VLOOKUP(S69,ETANCHEITE!AG$22:AI$167,3,FALSE),"")</f>
        <v xml:space="preserve"> </v>
      </c>
      <c r="Y69" s="148" t="str">
        <f>IF(X69&lt;&gt;" ",'Feuille de Donnée'!$C$3,"")</f>
        <v/>
      </c>
      <c r="Z69" s="162" t="str" cm="1">
        <f t="array" aca="1" ref="Z69" ca="1">IFERROR(IF(_xlfn.XLOOKUP(S69,ETANCHEITE!AG$22:AG$92,ETANCHEITE!AE$22:AE$92,"")&lt;&gt;"",_xlfn.XLOOKUP(S69,ETANCHEITE!AG$22:AG$92,ETANCHEITE!AE$22:AE$92,""),    INDEX(ETANCHEITE!AE:AE,MAX(_xlfn._xlws.FILTER(ROW(ETANCHEITE!AE$22:INDIRECT("'PEINTURE'!O" &amp; V69-1)),ETANCHEITE!AE$22:INDIRECT("'PEINTURE'!O" &amp; V69-1)&lt;&gt;"")))),"")</f>
        <v/>
      </c>
      <c r="AA69" s="163" t="str" cm="1">
        <f t="array" aca="1" ref="AA69" ca="1">IFERROR(IF(_xlfn.XLOOKUP(S69,ETANCHEITE!AG$22:AG$92,ETANCHEITE!AF$22:AF$92,"")&lt;&gt;"",_xlfn.XLOOKUP(S69,ETANCHEITE!AG$22:AG$92,ETANCHEITE!AF$22:AF$92,""),    INDEX(ETANCHEITE!AF:AF,MAX(_xlfn._xlws.FILTER(ROW(ETANCHEITE!AF$22:INDIRECT("'PEINTURE'!P" &amp; V69-1)),ETANCHEITE!AF$22:INDIRECT("'PEINTURE'!P" &amp; V69-1)&lt;&gt;"")))),"")</f>
        <v/>
      </c>
      <c r="AB69" s="145">
        <v>67</v>
      </c>
      <c r="AC69" s="154" t="str">
        <f>IF(AG69&lt;&gt;" ",ETANCHEITE!$D$5,"")</f>
        <v/>
      </c>
      <c r="AD69" s="154" t="str">
        <f>IF(AG69&lt;&gt;" ",ETANCHEITE!$D$8,"")</f>
        <v/>
      </c>
      <c r="AE69" s="146" t="str">
        <f>IFERROR(MATCH(AB69,ETANCHEITE!AP$22:AP$167,0)+18,"")</f>
        <v/>
      </c>
      <c r="AF69" s="147" t="str" cm="1">
        <f t="array" aca="1" ref="AF69" ca="1">IFERROR(IF(_xlfn.XLOOKUP(AB69,ETANCHEITE!AP$22:AP$167,ETANCHEITE!$A$22:$A$167,"")&lt;&gt;"",_xlfn.XLOOKUP(AB69,ETANCHEITE!AP$22:AP$167,ETANCHEITE!$A$22:$A$167,""),    INDEX(ETANCHEITE!$A:$A,MAX(_xlfn._xlws.FILTER(ROW(ETANCHEITE!$A$22:INDIRECT("'MENUISERIES EXTERIEURES'!$A" &amp; AE69-1)),ETANCHEITE!$A$22:INDIRECT("'MENUISERIES EXTERIEURES'!$A" &amp; AE69-1)&lt;&gt;"")))),"")&amp;"   "&amp;IFERROR(_xlfn.XLOOKUP(AB69,ETANCHEITE!AP$22:AP$167,ETANCHEITE!$B$22:$B$167),"")&amp;IFERROR(_xlfn.XLOOKUP(AB69,ETANCHEITE!AP$22:AP$167,ETANCHEITE!$C$22:$C$167),"")&amp;IFERROR(_xlfn.XLOOKUP(AB69,ETANCHEITE!AP$22:AP$167,ETANCHEITE!$D$22:$D$167),"")&amp;IFERROR(_xlfn.XLOOKUP(AB69,ETANCHEITE!AP$22:AP$167,ETANCHEITE!#REF!),"")&amp;IFERROR(_xlfn.XLOOKUP(AB69,ETANCHEITE!AP$22:AP$167,ETANCHEITE!#REF!),"")</f>
        <v xml:space="preserve">   </v>
      </c>
      <c r="AG69" s="155" t="str">
        <f>IFERROR(VLOOKUP(AB69,ETANCHEITE!AP$22:AR$167,2,FALSE),"")&amp;" "&amp;IFERROR(VLOOKUP(AB69,ETANCHEITE!AP$22:AR$167,3,FALSE),"")</f>
        <v xml:space="preserve"> </v>
      </c>
      <c r="AH69" s="148" t="str">
        <f>IF(AG69&lt;&gt;" ",'Feuille de Donnée'!$C$3,"")</f>
        <v/>
      </c>
      <c r="AI69" s="162" t="str" cm="1">
        <f t="array" aca="1" ref="AI69" ca="1">IFERROR(IF(_xlfn.XLOOKUP(AB69,ETANCHEITE!AP$22:AP$92,ETANCHEITE!AN$22:AN$92,"")&lt;&gt;"",_xlfn.XLOOKUP(AB69,ETANCHEITE!AP$22:AP$92,ETANCHEITE!AN$22:AN$92,""),    INDEX(ETANCHEITE!AN:AN,MAX(_xlfn._xlws.FILTER(ROW(ETANCHEITE!AN$22:INDIRECT("'PEINTURE'!O" &amp; AE69-1)),ETANCHEITE!AN$22:INDIRECT("'PEINTURE'!O" &amp; AE69-1)&lt;&gt;"")))),"")</f>
        <v/>
      </c>
      <c r="AJ69" s="163" t="str" cm="1">
        <f t="array" aca="1" ref="AJ69" ca="1">IFERROR(IF(_xlfn.XLOOKUP(AB69,ETANCHEITE!AP$22:AP$92,ETANCHEITE!AO$22:AO$92,"")&lt;&gt;"",_xlfn.XLOOKUP(AB69,ETANCHEITE!AP$22:AP$92,ETANCHEITE!AO$22:AO$92,""),    INDEX(ETANCHEITE!AO:AO,MAX(_xlfn._xlws.FILTER(ROW(ETANCHEITE!AO$22:INDIRECT("'PEINTURE'!P" &amp; AE69-1)),ETANCHEITE!AO$22:INDIRECT("'PEINTURE'!P" &amp; AE69-1)&lt;&gt;"")))),"")</f>
        <v/>
      </c>
      <c r="AK69" s="145">
        <v>67</v>
      </c>
      <c r="AL69" s="154" t="str">
        <f>IF(AP69&lt;&gt;" ",ETANCHEITE!$D$5,"")</f>
        <v/>
      </c>
      <c r="AM69" s="154" t="str">
        <f>IF(AP69&lt;&gt;" ",ETANCHEITE!$D$8,"")</f>
        <v/>
      </c>
      <c r="AN69" s="146" t="str">
        <f>IFERROR(MATCH(AK69,ETANCHEITE!AY$22:AY$167,0)+18,"")</f>
        <v/>
      </c>
      <c r="AO69" s="147" t="str" cm="1">
        <f t="array" aca="1" ref="AO69" ca="1">IFERROR(IF(_xlfn.XLOOKUP(AK69,ETANCHEITE!AY$22:AY$167,ETANCHEITE!$A$22:$A$167,"")&lt;&gt;"",_xlfn.XLOOKUP(AK69,ETANCHEITE!AY$22:AY$167,ETANCHEITE!$A$22:$A$167,""),    INDEX(ETANCHEITE!$A:$A,MAX(_xlfn._xlws.FILTER(ROW(ETANCHEITE!$A$22:INDIRECT("'MENUISERIES EXTERIEURES'!$A" &amp; AN69-1)),ETANCHEITE!$A$22:INDIRECT("'MENUISERIES EXTERIEURES'!$A" &amp; AN69-1)&lt;&gt;"")))),"")&amp;"   "&amp;IFERROR(_xlfn.XLOOKUP(AK69,ETANCHEITE!AY$22:AY$167,ETANCHEITE!$B$22:$B$167),"")&amp;IFERROR(_xlfn.XLOOKUP(AK69,ETANCHEITE!AY$22:AY$167,ETANCHEITE!$C$22:$C$167),"")&amp;IFERROR(_xlfn.XLOOKUP(AK69,ETANCHEITE!AY$22:AY$167,ETANCHEITE!$D$22:$D$167),"")&amp;IFERROR(_xlfn.XLOOKUP(AK69,ETANCHEITE!AY$22:AY$167,ETANCHEITE!#REF!),"")&amp;IFERROR(_xlfn.XLOOKUP(AK69,ETANCHEITE!AY$22:AY$167,ETANCHEITE!#REF!),"")</f>
        <v xml:space="preserve">   </v>
      </c>
      <c r="AP69" s="155" t="str">
        <f>IFERROR(VLOOKUP(AK69,ETANCHEITE!AY$22:BA$167,2,FALSE),"")&amp;" "&amp;IFERROR(VLOOKUP(AK69,ETANCHEITE!AY$22:BA$167,3,FALSE),"")</f>
        <v xml:space="preserve"> </v>
      </c>
      <c r="AQ69" s="148" t="str">
        <f>IF(AP69&lt;&gt;" ",'Feuille de Donnée'!$C$3,"")</f>
        <v/>
      </c>
      <c r="AR69" s="162" t="str" cm="1">
        <f t="array" aca="1" ref="AR69" ca="1">IFERROR(IF(_xlfn.XLOOKUP(AK69,ETANCHEITE!AY$22:AY$92,ETANCHEITE!AW$22:AW$92,"")&lt;&gt;"",_xlfn.XLOOKUP(AK69,ETANCHEITE!AY$22:AY$92,ETANCHEITE!AW$22:AW$92,""),    INDEX(ETANCHEITE!AW:AW,MAX(_xlfn._xlws.FILTER(ROW(ETANCHEITE!AW$22:INDIRECT("'PEINTURE'!O" &amp; AN69-1)),ETANCHEITE!AW$22:INDIRECT("'PEINTURE'!O" &amp; AN69-1)&lt;&gt;"")))),"")</f>
        <v/>
      </c>
      <c r="AS69" s="163" t="str" cm="1">
        <f t="array" aca="1" ref="AS69" ca="1">IFERROR(IF(_xlfn.XLOOKUP(AK69,ETANCHEITE!AY$22:AY$92,ETANCHEITE!AX$22:AX$92,"")&lt;&gt;"",_xlfn.XLOOKUP(AK69,ETANCHEITE!AY$22:AY$92,ETANCHEITE!AX$22:AX$92,""),    INDEX(ETANCHEITE!AX:AX,MAX(_xlfn._xlws.FILTER(ROW(ETANCHEITE!AX$22:INDIRECT("'PEINTURE'!P" &amp; AN69-1)),ETANCHEITE!AX$22:INDIRECT("'PEINTURE'!P" &amp; AN69-1)&lt;&gt;"")))),"")</f>
        <v/>
      </c>
      <c r="AT69" s="145">
        <v>67</v>
      </c>
      <c r="AU69" s="154" t="str">
        <f>IF(AY69&lt;&gt;" ",ETANCHEITE!$D$5,"")</f>
        <v/>
      </c>
      <c r="AV69" s="154" t="str">
        <f>IF(AY69&lt;&gt;" ",ETANCHEITE!$D$8,"")</f>
        <v/>
      </c>
      <c r="AW69" s="146" t="str">
        <f>IFERROR(MATCH(AT69,ETANCHEITE!BH$22:BH$167,0)+18,"")</f>
        <v/>
      </c>
      <c r="AX69" s="147" t="str" cm="1">
        <f t="array" aca="1" ref="AX69" ca="1">IFERROR(IF(_xlfn.XLOOKUP(AT69,ETANCHEITE!BH$22:BH$167,ETANCHEITE!$A$22:$A$167,"")&lt;&gt;"",_xlfn.XLOOKUP(AT69,ETANCHEITE!BH$22:BH$167,ETANCHEITE!$A$22:$A$167,""),    INDEX(ETANCHEITE!$A:$A,MAX(_xlfn._xlws.FILTER(ROW(ETANCHEITE!$A$22:INDIRECT("'MENUISERIES EXTERIEURES'!$A" &amp; AW69-1)),ETANCHEITE!$A$22:INDIRECT("'MENUISERIES EXTERIEURES'!$A" &amp; AW69-1)&lt;&gt;"")))),"")&amp;"   "&amp;IFERROR(_xlfn.XLOOKUP(AT69,ETANCHEITE!BH$22:BH$167,ETANCHEITE!$B$22:$B$167),"")&amp;IFERROR(_xlfn.XLOOKUP(AT69,ETANCHEITE!BH$22:BH$167,ETANCHEITE!$C$22:$C$167),"")&amp;IFERROR(_xlfn.XLOOKUP(AT69,ETANCHEITE!BH$22:BH$167,ETANCHEITE!$D$22:$D$167),"")&amp;IFERROR(_xlfn.XLOOKUP(AT69,ETANCHEITE!BH$22:BH$167,ETANCHEITE!#REF!),"")&amp;IFERROR(_xlfn.XLOOKUP(AT69,ETANCHEITE!BH$22:BH$167,ETANCHEITE!#REF!),"")</f>
        <v xml:space="preserve">   </v>
      </c>
      <c r="AY69" s="155" t="str">
        <f>IFERROR(VLOOKUP(AT69,ETANCHEITE!BH$22:BJ$167,2,FALSE),"")&amp;" "&amp;IFERROR(VLOOKUP(AT69,ETANCHEITE!BH$22:BJ$167,3,FALSE),"")</f>
        <v xml:space="preserve"> </v>
      </c>
      <c r="AZ69" s="148" t="str">
        <f>IF(AY69&lt;&gt;" ",'Feuille de Donnée'!$C$3,"")</f>
        <v/>
      </c>
      <c r="BA69" s="162" t="str" cm="1">
        <f t="array" aca="1" ref="BA69" ca="1">IFERROR(IF(_xlfn.XLOOKUP(AT69,ETANCHEITE!BH$22:BH$92,ETANCHEITE!BF$22:BF$92,"")&lt;&gt;"",_xlfn.XLOOKUP(AT69,ETANCHEITE!BH$22:BH$92,ETANCHEITE!BF$22:BF$92,""),    INDEX(ETANCHEITE!BF:BF,MAX(_xlfn._xlws.FILTER(ROW(ETANCHEITE!BF$22:INDIRECT("'PEINTURE'!O" &amp; AW69-1)),ETANCHEITE!BF$22:INDIRECT("'PEINTURE'!O" &amp; AW69-1)&lt;&gt;"")))),"")</f>
        <v/>
      </c>
      <c r="BB69" s="163" t="str" cm="1">
        <f t="array" aca="1" ref="BB69" ca="1">IFERROR(IF(_xlfn.XLOOKUP(AT69,ETANCHEITE!BH$22:BH$92,ETANCHEITE!BG$22:BG$92,"")&lt;&gt;"",_xlfn.XLOOKUP(AT69,ETANCHEITE!BH$22:BH$92,ETANCHEITE!BG$22:BG$92,""),    INDEX(ETANCHEITE!BG:BG,MAX(_xlfn._xlws.FILTER(ROW(ETANCHEITE!BG$22:INDIRECT("'PEINTURE'!P" &amp; AW69-1)),ETANCHEITE!BG$22:INDIRECT("'PEINTURE'!P" &amp; AW69-1)&lt;&gt;"")))),"")</f>
        <v/>
      </c>
    </row>
    <row r="70" spans="1:54" x14ac:dyDescent="0.3">
      <c r="A70" s="145">
        <v>68</v>
      </c>
      <c r="B70" s="154" t="str">
        <f>IF(F70&lt;&gt;" ",ETANCHEITE!$D$5,"")</f>
        <v/>
      </c>
      <c r="C70" s="154" t="str">
        <f>IF(F70&lt;&gt;" ",ETANCHEITE!$D$8,"")</f>
        <v/>
      </c>
      <c r="D70" s="146" t="str">
        <f>IFERROR(MATCH(A70,ETANCHEITE!O$22:O$167,0)+18,"")</f>
        <v/>
      </c>
      <c r="E70" s="147" t="str" cm="1">
        <f t="array" aca="1" ref="E70" ca="1">IFERROR(IF(_xlfn.XLOOKUP(A70,ETANCHEITE!O$22:O$167,ETANCHEITE!$A$22:$A$167,"")&lt;&gt;"",_xlfn.XLOOKUP(A70,ETANCHEITE!O$22:O$167,ETANCHEITE!$A$22:$A$167,""),    INDEX(ETANCHEITE!$A:$A,MAX(_xlfn._xlws.FILTER(ROW(ETANCHEITE!$A$22:INDIRECT("'MENUISERIES EXTERIEURES'!$A" &amp; D70-1)),ETANCHEITE!$A$22:INDIRECT("'MENUISERIES EXTERIEURES'!$A" &amp; D70-1)&lt;&gt;"")))),"")&amp;"   "&amp;IFERROR(_xlfn.XLOOKUP(A70,ETANCHEITE!O$22:O$167,ETANCHEITE!$B$22:$B$167),"")&amp;IFERROR(_xlfn.XLOOKUP(A70,ETANCHEITE!O$22:O$167,ETANCHEITE!$C$22:$C$167),"")&amp;IFERROR(_xlfn.XLOOKUP(A70,ETANCHEITE!O$22:O$167,ETANCHEITE!$D$22:$D$167),"")&amp;IFERROR(_xlfn.XLOOKUP(A70,ETANCHEITE!O$22:O$167,ETANCHEITE!#REF!),"")&amp;IFERROR(_xlfn.XLOOKUP(A70,ETANCHEITE!O$22:O$167,ETANCHEITE!#REF!),"")</f>
        <v xml:space="preserve">   </v>
      </c>
      <c r="F70" s="155" t="str">
        <f>IFERROR(VLOOKUP(A70,ETANCHEITE!O$22:Q$167,2,FALSE),"")&amp;" "&amp;IFERROR(VLOOKUP(A70,ETANCHEITE!O$22:Q$167,3,FALSE),"")</f>
        <v xml:space="preserve"> </v>
      </c>
      <c r="G70" s="148" t="str">
        <f>IF(F70&lt;&gt;" ",'Feuille de Donnée'!$C$3,"")</f>
        <v/>
      </c>
      <c r="H70" s="162" t="str" cm="1">
        <f t="array" aca="1" ref="H70" ca="1">IFERROR(IF(_xlfn.XLOOKUP(A70,ETANCHEITE!O$22:O$92,ETANCHEITE!M$22:M$92,"")&lt;&gt;"",_xlfn.XLOOKUP(A70,ETANCHEITE!O$22:O$92,ETANCHEITE!M$22:M$92,""),    INDEX(ETANCHEITE!M:M,MAX(_xlfn._xlws.FILTER(ROW(ETANCHEITE!M$22:INDIRECT("'PEINTURE'!O" &amp; D70-1)),ETANCHEITE!M$22:INDIRECT("'PEINTURE'!O" &amp; D70-1)&lt;&gt;"")))),"")</f>
        <v/>
      </c>
      <c r="I70" s="163" t="str" cm="1">
        <f t="array" aca="1" ref="I70" ca="1">IFERROR(IF(_xlfn.XLOOKUP(A70,ETANCHEITE!O$22:O$92,ETANCHEITE!N$22:N$92,"")&lt;&gt;"",_xlfn.XLOOKUP(A70,ETANCHEITE!O$22:O$92,ETANCHEITE!N$22:N$92,""),    INDEX(ETANCHEITE!N:N,MAX(_xlfn._xlws.FILTER(ROW(ETANCHEITE!N$22:INDIRECT("'PEINTURE'!P" &amp; D70-1)),ETANCHEITE!N$22:INDIRECT("'PEINTURE'!P" &amp; D70-1)&lt;&gt;"")))),"")</f>
        <v/>
      </c>
      <c r="J70" s="145">
        <v>68</v>
      </c>
      <c r="K70" s="154" t="str">
        <f>IF(O70&lt;&gt;" ",ETANCHEITE!$D$5,"")</f>
        <v/>
      </c>
      <c r="L70" s="154" t="str">
        <f>IF(O70&lt;&gt;" ",ETANCHEITE!$D$8,"")</f>
        <v/>
      </c>
      <c r="M70" s="146" t="str">
        <f>IFERROR(MATCH(J70,ETANCHEITE!X$22:X$167,0)+18,"")</f>
        <v/>
      </c>
      <c r="N70" s="147" t="str" cm="1">
        <f t="array" aca="1" ref="N70" ca="1">IFERROR(IF(_xlfn.XLOOKUP(J70,ETANCHEITE!X$22:X$167,ETANCHEITE!$A$22:$A$167,"")&lt;&gt;"",_xlfn.XLOOKUP(J70,ETANCHEITE!X$22:X$167,ETANCHEITE!$A$22:$A$167,""),    INDEX(ETANCHEITE!$A:$A,MAX(_xlfn._xlws.FILTER(ROW(ETANCHEITE!$A$22:INDIRECT("'MENUISERIES EXTERIEURES'!$A" &amp; M70-1)),ETANCHEITE!$A$22:INDIRECT("'MENUISERIES EXTERIEURES'!$A" &amp; M70-1)&lt;&gt;"")))),"")&amp;"   "&amp;IFERROR(_xlfn.XLOOKUP(J70,ETANCHEITE!X$22:X$167,ETANCHEITE!$B$22:$B$167),"")&amp;IFERROR(_xlfn.XLOOKUP(J70,ETANCHEITE!X$22:X$167,ETANCHEITE!$C$22:$C$167),"")&amp;IFERROR(_xlfn.XLOOKUP(J70,ETANCHEITE!X$22:X$167,ETANCHEITE!$D$22:$D$167),"")&amp;IFERROR(_xlfn.XLOOKUP(J70,ETANCHEITE!X$22:X$167,ETANCHEITE!#REF!),"")&amp;IFERROR(_xlfn.XLOOKUP(J70,ETANCHEITE!X$22:X$167,ETANCHEITE!#REF!),"")</f>
        <v xml:space="preserve">   </v>
      </c>
      <c r="O70" s="155" t="str">
        <f>IFERROR(VLOOKUP(J70,ETANCHEITE!X$22:Z$167,2,FALSE),"")&amp;" "&amp;IFERROR(VLOOKUP(J70,ETANCHEITE!X$22:Z$167,3,FALSE),"")</f>
        <v xml:space="preserve"> </v>
      </c>
      <c r="P70" s="148" t="str">
        <f>IF(O70&lt;&gt;" ",'Feuille de Donnée'!$C$3,"")</f>
        <v/>
      </c>
      <c r="Q70" s="162" t="str" cm="1">
        <f t="array" aca="1" ref="Q70" ca="1">IFERROR(IF(_xlfn.XLOOKUP(J70,ETANCHEITE!X$22:X$92,ETANCHEITE!V$22:V$92,"")&lt;&gt;"",_xlfn.XLOOKUP(J70,ETANCHEITE!X$22:X$92,ETANCHEITE!V$22:V$92,""),    INDEX(ETANCHEITE!V:V,MAX(_xlfn._xlws.FILTER(ROW(ETANCHEITE!V$22:INDIRECT("'PEINTURE'!O" &amp; M70-1)),ETANCHEITE!V$22:INDIRECT("'PEINTURE'!O" &amp; M70-1)&lt;&gt;"")))),"")</f>
        <v/>
      </c>
      <c r="R70" s="163" t="str" cm="1">
        <f t="array" aca="1" ref="R70" ca="1">IFERROR(IF(_xlfn.XLOOKUP(J70,ETANCHEITE!X$22:X$92,ETANCHEITE!W$22:W$92,"")&lt;&gt;"",_xlfn.XLOOKUP(J70,ETANCHEITE!X$22:X$92,ETANCHEITE!W$22:W$92,""),    INDEX(ETANCHEITE!W:W,MAX(_xlfn._xlws.FILTER(ROW(ETANCHEITE!W$22:INDIRECT("'PEINTURE'!P" &amp; M70-1)),ETANCHEITE!W$22:INDIRECT("'PEINTURE'!P" &amp; M70-1)&lt;&gt;"")))),"")</f>
        <v/>
      </c>
      <c r="S70" s="145">
        <v>68</v>
      </c>
      <c r="T70" s="154" t="str">
        <f>IF(X70&lt;&gt;" ",ETANCHEITE!$D$5,"")</f>
        <v/>
      </c>
      <c r="U70" s="154" t="str">
        <f>IF(X70&lt;&gt;" ",ETANCHEITE!$D$8,"")</f>
        <v/>
      </c>
      <c r="V70" s="146" t="str">
        <f>IFERROR(MATCH(S70,ETANCHEITE!AG$22:AG$167,0)+18,"")</f>
        <v/>
      </c>
      <c r="W70" s="147" t="str" cm="1">
        <f t="array" aca="1" ref="W70" ca="1">IFERROR(IF(_xlfn.XLOOKUP(S70,ETANCHEITE!AG$22:AG$167,ETANCHEITE!$A$22:$A$167,"")&lt;&gt;"",_xlfn.XLOOKUP(S70,ETANCHEITE!AG$22:AG$167,ETANCHEITE!$A$22:$A$167,""),    INDEX(ETANCHEITE!$A:$A,MAX(_xlfn._xlws.FILTER(ROW(ETANCHEITE!$A$22:INDIRECT("'MENUISERIES EXTERIEURES'!$A" &amp; V70-1)),ETANCHEITE!$A$22:INDIRECT("'MENUISERIES EXTERIEURES'!$A" &amp; V70-1)&lt;&gt;"")))),"")&amp;"   "&amp;IFERROR(_xlfn.XLOOKUP(S70,ETANCHEITE!AG$22:AG$167,ETANCHEITE!$B$22:$B$167),"")&amp;IFERROR(_xlfn.XLOOKUP(S70,ETANCHEITE!AG$22:AG$167,ETANCHEITE!$C$22:$C$167),"")&amp;IFERROR(_xlfn.XLOOKUP(S70,ETANCHEITE!AG$22:AG$167,ETANCHEITE!$D$22:$D$167),"")&amp;IFERROR(_xlfn.XLOOKUP(S70,ETANCHEITE!AG$22:AG$167,ETANCHEITE!#REF!),"")&amp;IFERROR(_xlfn.XLOOKUP(S70,ETANCHEITE!AG$22:AG$167,ETANCHEITE!#REF!),"")</f>
        <v xml:space="preserve">   </v>
      </c>
      <c r="X70" s="155" t="str">
        <f>IFERROR(VLOOKUP(S70,ETANCHEITE!AG$22:AI$167,2,FALSE),"")&amp;" "&amp;IFERROR(VLOOKUP(S70,ETANCHEITE!AG$22:AI$167,3,FALSE),"")</f>
        <v xml:space="preserve"> </v>
      </c>
      <c r="Y70" s="148" t="str">
        <f>IF(X70&lt;&gt;" ",'Feuille de Donnée'!$C$3,"")</f>
        <v/>
      </c>
      <c r="Z70" s="162" t="str" cm="1">
        <f t="array" aca="1" ref="Z70" ca="1">IFERROR(IF(_xlfn.XLOOKUP(S70,ETANCHEITE!AG$22:AG$92,ETANCHEITE!AE$22:AE$92,"")&lt;&gt;"",_xlfn.XLOOKUP(S70,ETANCHEITE!AG$22:AG$92,ETANCHEITE!AE$22:AE$92,""),    INDEX(ETANCHEITE!AE:AE,MAX(_xlfn._xlws.FILTER(ROW(ETANCHEITE!AE$22:INDIRECT("'PEINTURE'!O" &amp; V70-1)),ETANCHEITE!AE$22:INDIRECT("'PEINTURE'!O" &amp; V70-1)&lt;&gt;"")))),"")</f>
        <v/>
      </c>
      <c r="AA70" s="163" t="str" cm="1">
        <f t="array" aca="1" ref="AA70" ca="1">IFERROR(IF(_xlfn.XLOOKUP(S70,ETANCHEITE!AG$22:AG$92,ETANCHEITE!AF$22:AF$92,"")&lt;&gt;"",_xlfn.XLOOKUP(S70,ETANCHEITE!AG$22:AG$92,ETANCHEITE!AF$22:AF$92,""),    INDEX(ETANCHEITE!AF:AF,MAX(_xlfn._xlws.FILTER(ROW(ETANCHEITE!AF$22:INDIRECT("'PEINTURE'!P" &amp; V70-1)),ETANCHEITE!AF$22:INDIRECT("'PEINTURE'!P" &amp; V70-1)&lt;&gt;"")))),"")</f>
        <v/>
      </c>
      <c r="AB70" s="145">
        <v>68</v>
      </c>
      <c r="AC70" s="154" t="str">
        <f>IF(AG70&lt;&gt;" ",ETANCHEITE!$D$5,"")</f>
        <v/>
      </c>
      <c r="AD70" s="154" t="str">
        <f>IF(AG70&lt;&gt;" ",ETANCHEITE!$D$8,"")</f>
        <v/>
      </c>
      <c r="AE70" s="146" t="str">
        <f>IFERROR(MATCH(AB70,ETANCHEITE!AP$22:AP$167,0)+18,"")</f>
        <v/>
      </c>
      <c r="AF70" s="147" t="str" cm="1">
        <f t="array" aca="1" ref="AF70" ca="1">IFERROR(IF(_xlfn.XLOOKUP(AB70,ETANCHEITE!AP$22:AP$167,ETANCHEITE!$A$22:$A$167,"")&lt;&gt;"",_xlfn.XLOOKUP(AB70,ETANCHEITE!AP$22:AP$167,ETANCHEITE!$A$22:$A$167,""),    INDEX(ETANCHEITE!$A:$A,MAX(_xlfn._xlws.FILTER(ROW(ETANCHEITE!$A$22:INDIRECT("'MENUISERIES EXTERIEURES'!$A" &amp; AE70-1)),ETANCHEITE!$A$22:INDIRECT("'MENUISERIES EXTERIEURES'!$A" &amp; AE70-1)&lt;&gt;"")))),"")&amp;"   "&amp;IFERROR(_xlfn.XLOOKUP(AB70,ETANCHEITE!AP$22:AP$167,ETANCHEITE!$B$22:$B$167),"")&amp;IFERROR(_xlfn.XLOOKUP(AB70,ETANCHEITE!AP$22:AP$167,ETANCHEITE!$C$22:$C$167),"")&amp;IFERROR(_xlfn.XLOOKUP(AB70,ETANCHEITE!AP$22:AP$167,ETANCHEITE!$D$22:$D$167),"")&amp;IFERROR(_xlfn.XLOOKUP(AB70,ETANCHEITE!AP$22:AP$167,ETANCHEITE!#REF!),"")&amp;IFERROR(_xlfn.XLOOKUP(AB70,ETANCHEITE!AP$22:AP$167,ETANCHEITE!#REF!),"")</f>
        <v xml:space="preserve">   </v>
      </c>
      <c r="AG70" s="155" t="str">
        <f>IFERROR(VLOOKUP(AB70,ETANCHEITE!AP$22:AR$167,2,FALSE),"")&amp;" "&amp;IFERROR(VLOOKUP(AB70,ETANCHEITE!AP$22:AR$167,3,FALSE),"")</f>
        <v xml:space="preserve"> </v>
      </c>
      <c r="AH70" s="148" t="str">
        <f>IF(AG70&lt;&gt;" ",'Feuille de Donnée'!$C$3,"")</f>
        <v/>
      </c>
      <c r="AI70" s="162" t="str" cm="1">
        <f t="array" aca="1" ref="AI70" ca="1">IFERROR(IF(_xlfn.XLOOKUP(AB70,ETANCHEITE!AP$22:AP$92,ETANCHEITE!AN$22:AN$92,"")&lt;&gt;"",_xlfn.XLOOKUP(AB70,ETANCHEITE!AP$22:AP$92,ETANCHEITE!AN$22:AN$92,""),    INDEX(ETANCHEITE!AN:AN,MAX(_xlfn._xlws.FILTER(ROW(ETANCHEITE!AN$22:INDIRECT("'PEINTURE'!O" &amp; AE70-1)),ETANCHEITE!AN$22:INDIRECT("'PEINTURE'!O" &amp; AE70-1)&lt;&gt;"")))),"")</f>
        <v/>
      </c>
      <c r="AJ70" s="163" t="str" cm="1">
        <f t="array" aca="1" ref="AJ70" ca="1">IFERROR(IF(_xlfn.XLOOKUP(AB70,ETANCHEITE!AP$22:AP$92,ETANCHEITE!AO$22:AO$92,"")&lt;&gt;"",_xlfn.XLOOKUP(AB70,ETANCHEITE!AP$22:AP$92,ETANCHEITE!AO$22:AO$92,""),    INDEX(ETANCHEITE!AO:AO,MAX(_xlfn._xlws.FILTER(ROW(ETANCHEITE!AO$22:INDIRECT("'PEINTURE'!P" &amp; AE70-1)),ETANCHEITE!AO$22:INDIRECT("'PEINTURE'!P" &amp; AE70-1)&lt;&gt;"")))),"")</f>
        <v/>
      </c>
      <c r="AK70" s="145">
        <v>68</v>
      </c>
      <c r="AL70" s="154" t="str">
        <f>IF(AP70&lt;&gt;" ",ETANCHEITE!$D$5,"")</f>
        <v/>
      </c>
      <c r="AM70" s="154" t="str">
        <f>IF(AP70&lt;&gt;" ",ETANCHEITE!$D$8,"")</f>
        <v/>
      </c>
      <c r="AN70" s="146" t="str">
        <f>IFERROR(MATCH(AK70,ETANCHEITE!AY$22:AY$167,0)+18,"")</f>
        <v/>
      </c>
      <c r="AO70" s="147" t="str" cm="1">
        <f t="array" aca="1" ref="AO70" ca="1">IFERROR(IF(_xlfn.XLOOKUP(AK70,ETANCHEITE!AY$22:AY$167,ETANCHEITE!$A$22:$A$167,"")&lt;&gt;"",_xlfn.XLOOKUP(AK70,ETANCHEITE!AY$22:AY$167,ETANCHEITE!$A$22:$A$167,""),    INDEX(ETANCHEITE!$A:$A,MAX(_xlfn._xlws.FILTER(ROW(ETANCHEITE!$A$22:INDIRECT("'MENUISERIES EXTERIEURES'!$A" &amp; AN70-1)),ETANCHEITE!$A$22:INDIRECT("'MENUISERIES EXTERIEURES'!$A" &amp; AN70-1)&lt;&gt;"")))),"")&amp;"   "&amp;IFERROR(_xlfn.XLOOKUP(AK70,ETANCHEITE!AY$22:AY$167,ETANCHEITE!$B$22:$B$167),"")&amp;IFERROR(_xlfn.XLOOKUP(AK70,ETANCHEITE!AY$22:AY$167,ETANCHEITE!$C$22:$C$167),"")&amp;IFERROR(_xlfn.XLOOKUP(AK70,ETANCHEITE!AY$22:AY$167,ETANCHEITE!$D$22:$D$167),"")&amp;IFERROR(_xlfn.XLOOKUP(AK70,ETANCHEITE!AY$22:AY$167,ETANCHEITE!#REF!),"")&amp;IFERROR(_xlfn.XLOOKUP(AK70,ETANCHEITE!AY$22:AY$167,ETANCHEITE!#REF!),"")</f>
        <v xml:space="preserve">   </v>
      </c>
      <c r="AP70" s="155" t="str">
        <f>IFERROR(VLOOKUP(AK70,ETANCHEITE!AY$22:BA$167,2,FALSE),"")&amp;" "&amp;IFERROR(VLOOKUP(AK70,ETANCHEITE!AY$22:BA$167,3,FALSE),"")</f>
        <v xml:space="preserve"> </v>
      </c>
      <c r="AQ70" s="148" t="str">
        <f>IF(AP70&lt;&gt;" ",'Feuille de Donnée'!$C$3,"")</f>
        <v/>
      </c>
      <c r="AR70" s="162" t="str" cm="1">
        <f t="array" aca="1" ref="AR70" ca="1">IFERROR(IF(_xlfn.XLOOKUP(AK70,ETANCHEITE!AY$22:AY$92,ETANCHEITE!AW$22:AW$92,"")&lt;&gt;"",_xlfn.XLOOKUP(AK70,ETANCHEITE!AY$22:AY$92,ETANCHEITE!AW$22:AW$92,""),    INDEX(ETANCHEITE!AW:AW,MAX(_xlfn._xlws.FILTER(ROW(ETANCHEITE!AW$22:INDIRECT("'PEINTURE'!O" &amp; AN70-1)),ETANCHEITE!AW$22:INDIRECT("'PEINTURE'!O" &amp; AN70-1)&lt;&gt;"")))),"")</f>
        <v/>
      </c>
      <c r="AS70" s="163" t="str" cm="1">
        <f t="array" aca="1" ref="AS70" ca="1">IFERROR(IF(_xlfn.XLOOKUP(AK70,ETANCHEITE!AY$22:AY$92,ETANCHEITE!AX$22:AX$92,"")&lt;&gt;"",_xlfn.XLOOKUP(AK70,ETANCHEITE!AY$22:AY$92,ETANCHEITE!AX$22:AX$92,""),    INDEX(ETANCHEITE!AX:AX,MAX(_xlfn._xlws.FILTER(ROW(ETANCHEITE!AX$22:INDIRECT("'PEINTURE'!P" &amp; AN70-1)),ETANCHEITE!AX$22:INDIRECT("'PEINTURE'!P" &amp; AN70-1)&lt;&gt;"")))),"")</f>
        <v/>
      </c>
      <c r="AT70" s="145">
        <v>68</v>
      </c>
      <c r="AU70" s="154" t="str">
        <f>IF(AY70&lt;&gt;" ",ETANCHEITE!$D$5,"")</f>
        <v/>
      </c>
      <c r="AV70" s="154" t="str">
        <f>IF(AY70&lt;&gt;" ",ETANCHEITE!$D$8,"")</f>
        <v/>
      </c>
      <c r="AW70" s="146" t="str">
        <f>IFERROR(MATCH(AT70,ETANCHEITE!BH$22:BH$167,0)+18,"")</f>
        <v/>
      </c>
      <c r="AX70" s="147" t="str" cm="1">
        <f t="array" aca="1" ref="AX70" ca="1">IFERROR(IF(_xlfn.XLOOKUP(AT70,ETANCHEITE!BH$22:BH$167,ETANCHEITE!$A$22:$A$167,"")&lt;&gt;"",_xlfn.XLOOKUP(AT70,ETANCHEITE!BH$22:BH$167,ETANCHEITE!$A$22:$A$167,""),    INDEX(ETANCHEITE!$A:$A,MAX(_xlfn._xlws.FILTER(ROW(ETANCHEITE!$A$22:INDIRECT("'MENUISERIES EXTERIEURES'!$A" &amp; AW70-1)),ETANCHEITE!$A$22:INDIRECT("'MENUISERIES EXTERIEURES'!$A" &amp; AW70-1)&lt;&gt;"")))),"")&amp;"   "&amp;IFERROR(_xlfn.XLOOKUP(AT70,ETANCHEITE!BH$22:BH$167,ETANCHEITE!$B$22:$B$167),"")&amp;IFERROR(_xlfn.XLOOKUP(AT70,ETANCHEITE!BH$22:BH$167,ETANCHEITE!$C$22:$C$167),"")&amp;IFERROR(_xlfn.XLOOKUP(AT70,ETANCHEITE!BH$22:BH$167,ETANCHEITE!$D$22:$D$167),"")&amp;IFERROR(_xlfn.XLOOKUP(AT70,ETANCHEITE!BH$22:BH$167,ETANCHEITE!#REF!),"")&amp;IFERROR(_xlfn.XLOOKUP(AT70,ETANCHEITE!BH$22:BH$167,ETANCHEITE!#REF!),"")</f>
        <v xml:space="preserve">   </v>
      </c>
      <c r="AY70" s="155" t="str">
        <f>IFERROR(VLOOKUP(AT70,ETANCHEITE!BH$22:BJ$167,2,FALSE),"")&amp;" "&amp;IFERROR(VLOOKUP(AT70,ETANCHEITE!BH$22:BJ$167,3,FALSE),"")</f>
        <v xml:space="preserve"> </v>
      </c>
      <c r="AZ70" s="148" t="str">
        <f>IF(AY70&lt;&gt;" ",'Feuille de Donnée'!$C$3,"")</f>
        <v/>
      </c>
      <c r="BA70" s="162" t="str" cm="1">
        <f t="array" aca="1" ref="BA70" ca="1">IFERROR(IF(_xlfn.XLOOKUP(AT70,ETANCHEITE!BH$22:BH$92,ETANCHEITE!BF$22:BF$92,"")&lt;&gt;"",_xlfn.XLOOKUP(AT70,ETANCHEITE!BH$22:BH$92,ETANCHEITE!BF$22:BF$92,""),    INDEX(ETANCHEITE!BF:BF,MAX(_xlfn._xlws.FILTER(ROW(ETANCHEITE!BF$22:INDIRECT("'PEINTURE'!O" &amp; AW70-1)),ETANCHEITE!BF$22:INDIRECT("'PEINTURE'!O" &amp; AW70-1)&lt;&gt;"")))),"")</f>
        <v/>
      </c>
      <c r="BB70" s="163" t="str" cm="1">
        <f t="array" aca="1" ref="BB70" ca="1">IFERROR(IF(_xlfn.XLOOKUP(AT70,ETANCHEITE!BH$22:BH$92,ETANCHEITE!BG$22:BG$92,"")&lt;&gt;"",_xlfn.XLOOKUP(AT70,ETANCHEITE!BH$22:BH$92,ETANCHEITE!BG$22:BG$92,""),    INDEX(ETANCHEITE!BG:BG,MAX(_xlfn._xlws.FILTER(ROW(ETANCHEITE!BG$22:INDIRECT("'PEINTURE'!P" &amp; AW70-1)),ETANCHEITE!BG$22:INDIRECT("'PEINTURE'!P" &amp; AW70-1)&lt;&gt;"")))),"")</f>
        <v/>
      </c>
    </row>
    <row r="71" spans="1:54" x14ac:dyDescent="0.3">
      <c r="A71" s="145">
        <v>69</v>
      </c>
      <c r="B71" s="154" t="str">
        <f>IF(F71&lt;&gt;" ",ETANCHEITE!$D$5,"")</f>
        <v/>
      </c>
      <c r="C71" s="154" t="str">
        <f>IF(F71&lt;&gt;" ",ETANCHEITE!$D$8,"")</f>
        <v/>
      </c>
      <c r="D71" s="146" t="str">
        <f>IFERROR(MATCH(A71,ETANCHEITE!O$22:O$167,0)+18,"")</f>
        <v/>
      </c>
      <c r="E71" s="147" t="str" cm="1">
        <f t="array" aca="1" ref="E71" ca="1">IFERROR(IF(_xlfn.XLOOKUP(A71,ETANCHEITE!O$22:O$167,ETANCHEITE!$A$22:$A$167,"")&lt;&gt;"",_xlfn.XLOOKUP(A71,ETANCHEITE!O$22:O$167,ETANCHEITE!$A$22:$A$167,""),    INDEX(ETANCHEITE!$A:$A,MAX(_xlfn._xlws.FILTER(ROW(ETANCHEITE!$A$22:INDIRECT("'MENUISERIES EXTERIEURES'!$A" &amp; D71-1)),ETANCHEITE!$A$22:INDIRECT("'MENUISERIES EXTERIEURES'!$A" &amp; D71-1)&lt;&gt;"")))),"")&amp;"   "&amp;IFERROR(_xlfn.XLOOKUP(A71,ETANCHEITE!O$22:O$167,ETANCHEITE!$B$22:$B$167),"")&amp;IFERROR(_xlfn.XLOOKUP(A71,ETANCHEITE!O$22:O$167,ETANCHEITE!$C$22:$C$167),"")&amp;IFERROR(_xlfn.XLOOKUP(A71,ETANCHEITE!O$22:O$167,ETANCHEITE!$D$22:$D$167),"")&amp;IFERROR(_xlfn.XLOOKUP(A71,ETANCHEITE!O$22:O$167,ETANCHEITE!#REF!),"")&amp;IFERROR(_xlfn.XLOOKUP(A71,ETANCHEITE!O$22:O$167,ETANCHEITE!#REF!),"")</f>
        <v xml:space="preserve">   </v>
      </c>
      <c r="F71" s="155" t="str">
        <f>IFERROR(VLOOKUP(A71,ETANCHEITE!O$22:Q$167,2,FALSE),"")&amp;" "&amp;IFERROR(VLOOKUP(A71,ETANCHEITE!O$22:Q$167,3,FALSE),"")</f>
        <v xml:space="preserve"> </v>
      </c>
      <c r="G71" s="148" t="str">
        <f>IF(F71&lt;&gt;" ",'Feuille de Donnée'!$C$3,"")</f>
        <v/>
      </c>
      <c r="H71" s="162" t="str" cm="1">
        <f t="array" aca="1" ref="H71" ca="1">IFERROR(IF(_xlfn.XLOOKUP(A71,ETANCHEITE!O$22:O$92,ETANCHEITE!M$22:M$92,"")&lt;&gt;"",_xlfn.XLOOKUP(A71,ETANCHEITE!O$22:O$92,ETANCHEITE!M$22:M$92,""),    INDEX(ETANCHEITE!M:M,MAX(_xlfn._xlws.FILTER(ROW(ETANCHEITE!M$22:INDIRECT("'PEINTURE'!O" &amp; D71-1)),ETANCHEITE!M$22:INDIRECT("'PEINTURE'!O" &amp; D71-1)&lt;&gt;"")))),"")</f>
        <v/>
      </c>
      <c r="I71" s="163" t="str" cm="1">
        <f t="array" aca="1" ref="I71" ca="1">IFERROR(IF(_xlfn.XLOOKUP(A71,ETANCHEITE!O$22:O$92,ETANCHEITE!N$22:N$92,"")&lt;&gt;"",_xlfn.XLOOKUP(A71,ETANCHEITE!O$22:O$92,ETANCHEITE!N$22:N$92,""),    INDEX(ETANCHEITE!N:N,MAX(_xlfn._xlws.FILTER(ROW(ETANCHEITE!N$22:INDIRECT("'PEINTURE'!P" &amp; D71-1)),ETANCHEITE!N$22:INDIRECT("'PEINTURE'!P" &amp; D71-1)&lt;&gt;"")))),"")</f>
        <v/>
      </c>
      <c r="J71" s="145">
        <v>69</v>
      </c>
      <c r="K71" s="154" t="str">
        <f>IF(O71&lt;&gt;" ",ETANCHEITE!$D$5,"")</f>
        <v/>
      </c>
      <c r="L71" s="154" t="str">
        <f>IF(O71&lt;&gt;" ",ETANCHEITE!$D$8,"")</f>
        <v/>
      </c>
      <c r="M71" s="146" t="str">
        <f>IFERROR(MATCH(J71,ETANCHEITE!X$22:X$167,0)+18,"")</f>
        <v/>
      </c>
      <c r="N71" s="147" t="str" cm="1">
        <f t="array" aca="1" ref="N71" ca="1">IFERROR(IF(_xlfn.XLOOKUP(J71,ETANCHEITE!X$22:X$167,ETANCHEITE!$A$22:$A$167,"")&lt;&gt;"",_xlfn.XLOOKUP(J71,ETANCHEITE!X$22:X$167,ETANCHEITE!$A$22:$A$167,""),    INDEX(ETANCHEITE!$A:$A,MAX(_xlfn._xlws.FILTER(ROW(ETANCHEITE!$A$22:INDIRECT("'MENUISERIES EXTERIEURES'!$A" &amp; M71-1)),ETANCHEITE!$A$22:INDIRECT("'MENUISERIES EXTERIEURES'!$A" &amp; M71-1)&lt;&gt;"")))),"")&amp;"   "&amp;IFERROR(_xlfn.XLOOKUP(J71,ETANCHEITE!X$22:X$167,ETANCHEITE!$B$22:$B$167),"")&amp;IFERROR(_xlfn.XLOOKUP(J71,ETANCHEITE!X$22:X$167,ETANCHEITE!$C$22:$C$167),"")&amp;IFERROR(_xlfn.XLOOKUP(J71,ETANCHEITE!X$22:X$167,ETANCHEITE!$D$22:$D$167),"")&amp;IFERROR(_xlfn.XLOOKUP(J71,ETANCHEITE!X$22:X$167,ETANCHEITE!#REF!),"")&amp;IFERROR(_xlfn.XLOOKUP(J71,ETANCHEITE!X$22:X$167,ETANCHEITE!#REF!),"")</f>
        <v xml:space="preserve">   </v>
      </c>
      <c r="O71" s="155" t="str">
        <f>IFERROR(VLOOKUP(J71,ETANCHEITE!X$22:Z$167,2,FALSE),"")&amp;" "&amp;IFERROR(VLOOKUP(J71,ETANCHEITE!X$22:Z$167,3,FALSE),"")</f>
        <v xml:space="preserve"> </v>
      </c>
      <c r="P71" s="148" t="str">
        <f>IF(O71&lt;&gt;" ",'Feuille de Donnée'!$C$3,"")</f>
        <v/>
      </c>
      <c r="Q71" s="162" t="str" cm="1">
        <f t="array" aca="1" ref="Q71" ca="1">IFERROR(IF(_xlfn.XLOOKUP(J71,ETANCHEITE!X$22:X$92,ETANCHEITE!V$22:V$92,"")&lt;&gt;"",_xlfn.XLOOKUP(J71,ETANCHEITE!X$22:X$92,ETANCHEITE!V$22:V$92,""),    INDEX(ETANCHEITE!V:V,MAX(_xlfn._xlws.FILTER(ROW(ETANCHEITE!V$22:INDIRECT("'PEINTURE'!O" &amp; M71-1)),ETANCHEITE!V$22:INDIRECT("'PEINTURE'!O" &amp; M71-1)&lt;&gt;"")))),"")</f>
        <v/>
      </c>
      <c r="R71" s="163" t="str" cm="1">
        <f t="array" aca="1" ref="R71" ca="1">IFERROR(IF(_xlfn.XLOOKUP(J71,ETANCHEITE!X$22:X$92,ETANCHEITE!W$22:W$92,"")&lt;&gt;"",_xlfn.XLOOKUP(J71,ETANCHEITE!X$22:X$92,ETANCHEITE!W$22:W$92,""),    INDEX(ETANCHEITE!W:W,MAX(_xlfn._xlws.FILTER(ROW(ETANCHEITE!W$22:INDIRECT("'PEINTURE'!P" &amp; M71-1)),ETANCHEITE!W$22:INDIRECT("'PEINTURE'!P" &amp; M71-1)&lt;&gt;"")))),"")</f>
        <v/>
      </c>
      <c r="S71" s="145">
        <v>69</v>
      </c>
      <c r="T71" s="154" t="str">
        <f>IF(X71&lt;&gt;" ",ETANCHEITE!$D$5,"")</f>
        <v/>
      </c>
      <c r="U71" s="154" t="str">
        <f>IF(X71&lt;&gt;" ",ETANCHEITE!$D$8,"")</f>
        <v/>
      </c>
      <c r="V71" s="146" t="str">
        <f>IFERROR(MATCH(S71,ETANCHEITE!AG$22:AG$167,0)+18,"")</f>
        <v/>
      </c>
      <c r="W71" s="147" t="str" cm="1">
        <f t="array" aca="1" ref="W71" ca="1">IFERROR(IF(_xlfn.XLOOKUP(S71,ETANCHEITE!AG$22:AG$167,ETANCHEITE!$A$22:$A$167,"")&lt;&gt;"",_xlfn.XLOOKUP(S71,ETANCHEITE!AG$22:AG$167,ETANCHEITE!$A$22:$A$167,""),    INDEX(ETANCHEITE!$A:$A,MAX(_xlfn._xlws.FILTER(ROW(ETANCHEITE!$A$22:INDIRECT("'MENUISERIES EXTERIEURES'!$A" &amp; V71-1)),ETANCHEITE!$A$22:INDIRECT("'MENUISERIES EXTERIEURES'!$A" &amp; V71-1)&lt;&gt;"")))),"")&amp;"   "&amp;IFERROR(_xlfn.XLOOKUP(S71,ETANCHEITE!AG$22:AG$167,ETANCHEITE!$B$22:$B$167),"")&amp;IFERROR(_xlfn.XLOOKUP(S71,ETANCHEITE!AG$22:AG$167,ETANCHEITE!$C$22:$C$167),"")&amp;IFERROR(_xlfn.XLOOKUP(S71,ETANCHEITE!AG$22:AG$167,ETANCHEITE!$D$22:$D$167),"")&amp;IFERROR(_xlfn.XLOOKUP(S71,ETANCHEITE!AG$22:AG$167,ETANCHEITE!#REF!),"")&amp;IFERROR(_xlfn.XLOOKUP(S71,ETANCHEITE!AG$22:AG$167,ETANCHEITE!#REF!),"")</f>
        <v xml:space="preserve">   </v>
      </c>
      <c r="X71" s="155" t="str">
        <f>IFERROR(VLOOKUP(S71,ETANCHEITE!AG$22:AI$167,2,FALSE),"")&amp;" "&amp;IFERROR(VLOOKUP(S71,ETANCHEITE!AG$22:AI$167,3,FALSE),"")</f>
        <v xml:space="preserve"> </v>
      </c>
      <c r="Y71" s="148" t="str">
        <f>IF(X71&lt;&gt;" ",'Feuille de Donnée'!$C$3,"")</f>
        <v/>
      </c>
      <c r="Z71" s="162" t="str" cm="1">
        <f t="array" aca="1" ref="Z71" ca="1">IFERROR(IF(_xlfn.XLOOKUP(S71,ETANCHEITE!AG$22:AG$92,ETANCHEITE!AE$22:AE$92,"")&lt;&gt;"",_xlfn.XLOOKUP(S71,ETANCHEITE!AG$22:AG$92,ETANCHEITE!AE$22:AE$92,""),    INDEX(ETANCHEITE!AE:AE,MAX(_xlfn._xlws.FILTER(ROW(ETANCHEITE!AE$22:INDIRECT("'PEINTURE'!O" &amp; V71-1)),ETANCHEITE!AE$22:INDIRECT("'PEINTURE'!O" &amp; V71-1)&lt;&gt;"")))),"")</f>
        <v/>
      </c>
      <c r="AA71" s="163" t="str" cm="1">
        <f t="array" aca="1" ref="AA71" ca="1">IFERROR(IF(_xlfn.XLOOKUP(S71,ETANCHEITE!AG$22:AG$92,ETANCHEITE!AF$22:AF$92,"")&lt;&gt;"",_xlfn.XLOOKUP(S71,ETANCHEITE!AG$22:AG$92,ETANCHEITE!AF$22:AF$92,""),    INDEX(ETANCHEITE!AF:AF,MAX(_xlfn._xlws.FILTER(ROW(ETANCHEITE!AF$22:INDIRECT("'PEINTURE'!P" &amp; V71-1)),ETANCHEITE!AF$22:INDIRECT("'PEINTURE'!P" &amp; V71-1)&lt;&gt;"")))),"")</f>
        <v/>
      </c>
      <c r="AB71" s="145">
        <v>69</v>
      </c>
      <c r="AC71" s="154" t="str">
        <f>IF(AG71&lt;&gt;" ",ETANCHEITE!$D$5,"")</f>
        <v/>
      </c>
      <c r="AD71" s="154" t="str">
        <f>IF(AG71&lt;&gt;" ",ETANCHEITE!$D$8,"")</f>
        <v/>
      </c>
      <c r="AE71" s="146" t="str">
        <f>IFERROR(MATCH(AB71,ETANCHEITE!AP$22:AP$167,0)+18,"")</f>
        <v/>
      </c>
      <c r="AF71" s="147" t="str" cm="1">
        <f t="array" aca="1" ref="AF71" ca="1">IFERROR(IF(_xlfn.XLOOKUP(AB71,ETANCHEITE!AP$22:AP$167,ETANCHEITE!$A$22:$A$167,"")&lt;&gt;"",_xlfn.XLOOKUP(AB71,ETANCHEITE!AP$22:AP$167,ETANCHEITE!$A$22:$A$167,""),    INDEX(ETANCHEITE!$A:$A,MAX(_xlfn._xlws.FILTER(ROW(ETANCHEITE!$A$22:INDIRECT("'MENUISERIES EXTERIEURES'!$A" &amp; AE71-1)),ETANCHEITE!$A$22:INDIRECT("'MENUISERIES EXTERIEURES'!$A" &amp; AE71-1)&lt;&gt;"")))),"")&amp;"   "&amp;IFERROR(_xlfn.XLOOKUP(AB71,ETANCHEITE!AP$22:AP$167,ETANCHEITE!$B$22:$B$167),"")&amp;IFERROR(_xlfn.XLOOKUP(AB71,ETANCHEITE!AP$22:AP$167,ETANCHEITE!$C$22:$C$167),"")&amp;IFERROR(_xlfn.XLOOKUP(AB71,ETANCHEITE!AP$22:AP$167,ETANCHEITE!$D$22:$D$167),"")&amp;IFERROR(_xlfn.XLOOKUP(AB71,ETANCHEITE!AP$22:AP$167,ETANCHEITE!#REF!),"")&amp;IFERROR(_xlfn.XLOOKUP(AB71,ETANCHEITE!AP$22:AP$167,ETANCHEITE!#REF!),"")</f>
        <v xml:space="preserve">   </v>
      </c>
      <c r="AG71" s="155" t="str">
        <f>IFERROR(VLOOKUP(AB71,ETANCHEITE!AP$22:AR$167,2,FALSE),"")&amp;" "&amp;IFERROR(VLOOKUP(AB71,ETANCHEITE!AP$22:AR$167,3,FALSE),"")</f>
        <v xml:space="preserve"> </v>
      </c>
      <c r="AH71" s="148" t="str">
        <f>IF(AG71&lt;&gt;" ",'Feuille de Donnée'!$C$3,"")</f>
        <v/>
      </c>
      <c r="AI71" s="162" t="str" cm="1">
        <f t="array" aca="1" ref="AI71" ca="1">IFERROR(IF(_xlfn.XLOOKUP(AB71,ETANCHEITE!AP$22:AP$92,ETANCHEITE!AN$22:AN$92,"")&lt;&gt;"",_xlfn.XLOOKUP(AB71,ETANCHEITE!AP$22:AP$92,ETANCHEITE!AN$22:AN$92,""),    INDEX(ETANCHEITE!AN:AN,MAX(_xlfn._xlws.FILTER(ROW(ETANCHEITE!AN$22:INDIRECT("'PEINTURE'!O" &amp; AE71-1)),ETANCHEITE!AN$22:INDIRECT("'PEINTURE'!O" &amp; AE71-1)&lt;&gt;"")))),"")</f>
        <v/>
      </c>
      <c r="AJ71" s="163" t="str" cm="1">
        <f t="array" aca="1" ref="AJ71" ca="1">IFERROR(IF(_xlfn.XLOOKUP(AB71,ETANCHEITE!AP$22:AP$92,ETANCHEITE!AO$22:AO$92,"")&lt;&gt;"",_xlfn.XLOOKUP(AB71,ETANCHEITE!AP$22:AP$92,ETANCHEITE!AO$22:AO$92,""),    INDEX(ETANCHEITE!AO:AO,MAX(_xlfn._xlws.FILTER(ROW(ETANCHEITE!AO$22:INDIRECT("'PEINTURE'!P" &amp; AE71-1)),ETANCHEITE!AO$22:INDIRECT("'PEINTURE'!P" &amp; AE71-1)&lt;&gt;"")))),"")</f>
        <v/>
      </c>
      <c r="AK71" s="145">
        <v>69</v>
      </c>
      <c r="AL71" s="154" t="str">
        <f>IF(AP71&lt;&gt;" ",ETANCHEITE!$D$5,"")</f>
        <v/>
      </c>
      <c r="AM71" s="154" t="str">
        <f>IF(AP71&lt;&gt;" ",ETANCHEITE!$D$8,"")</f>
        <v/>
      </c>
      <c r="AN71" s="146" t="str">
        <f>IFERROR(MATCH(AK71,ETANCHEITE!AY$22:AY$167,0)+18,"")</f>
        <v/>
      </c>
      <c r="AO71" s="147" t="str" cm="1">
        <f t="array" aca="1" ref="AO71" ca="1">IFERROR(IF(_xlfn.XLOOKUP(AK71,ETANCHEITE!AY$22:AY$167,ETANCHEITE!$A$22:$A$167,"")&lt;&gt;"",_xlfn.XLOOKUP(AK71,ETANCHEITE!AY$22:AY$167,ETANCHEITE!$A$22:$A$167,""),    INDEX(ETANCHEITE!$A:$A,MAX(_xlfn._xlws.FILTER(ROW(ETANCHEITE!$A$22:INDIRECT("'MENUISERIES EXTERIEURES'!$A" &amp; AN71-1)),ETANCHEITE!$A$22:INDIRECT("'MENUISERIES EXTERIEURES'!$A" &amp; AN71-1)&lt;&gt;"")))),"")&amp;"   "&amp;IFERROR(_xlfn.XLOOKUP(AK71,ETANCHEITE!AY$22:AY$167,ETANCHEITE!$B$22:$B$167),"")&amp;IFERROR(_xlfn.XLOOKUP(AK71,ETANCHEITE!AY$22:AY$167,ETANCHEITE!$C$22:$C$167),"")&amp;IFERROR(_xlfn.XLOOKUP(AK71,ETANCHEITE!AY$22:AY$167,ETANCHEITE!$D$22:$D$167),"")&amp;IFERROR(_xlfn.XLOOKUP(AK71,ETANCHEITE!AY$22:AY$167,ETANCHEITE!#REF!),"")&amp;IFERROR(_xlfn.XLOOKUP(AK71,ETANCHEITE!AY$22:AY$167,ETANCHEITE!#REF!),"")</f>
        <v xml:space="preserve">   </v>
      </c>
      <c r="AP71" s="155" t="str">
        <f>IFERROR(VLOOKUP(AK71,ETANCHEITE!AY$22:BA$167,2,FALSE),"")&amp;" "&amp;IFERROR(VLOOKUP(AK71,ETANCHEITE!AY$22:BA$167,3,FALSE),"")</f>
        <v xml:space="preserve"> </v>
      </c>
      <c r="AQ71" s="148" t="str">
        <f>IF(AP71&lt;&gt;" ",'Feuille de Donnée'!$C$3,"")</f>
        <v/>
      </c>
      <c r="AR71" s="162" t="str" cm="1">
        <f t="array" aca="1" ref="AR71" ca="1">IFERROR(IF(_xlfn.XLOOKUP(AK71,ETANCHEITE!AY$22:AY$92,ETANCHEITE!AW$22:AW$92,"")&lt;&gt;"",_xlfn.XLOOKUP(AK71,ETANCHEITE!AY$22:AY$92,ETANCHEITE!AW$22:AW$92,""),    INDEX(ETANCHEITE!AW:AW,MAX(_xlfn._xlws.FILTER(ROW(ETANCHEITE!AW$22:INDIRECT("'PEINTURE'!O" &amp; AN71-1)),ETANCHEITE!AW$22:INDIRECT("'PEINTURE'!O" &amp; AN71-1)&lt;&gt;"")))),"")</f>
        <v/>
      </c>
      <c r="AS71" s="163" t="str" cm="1">
        <f t="array" aca="1" ref="AS71" ca="1">IFERROR(IF(_xlfn.XLOOKUP(AK71,ETANCHEITE!AY$22:AY$92,ETANCHEITE!AX$22:AX$92,"")&lt;&gt;"",_xlfn.XLOOKUP(AK71,ETANCHEITE!AY$22:AY$92,ETANCHEITE!AX$22:AX$92,""),    INDEX(ETANCHEITE!AX:AX,MAX(_xlfn._xlws.FILTER(ROW(ETANCHEITE!AX$22:INDIRECT("'PEINTURE'!P" &amp; AN71-1)),ETANCHEITE!AX$22:INDIRECT("'PEINTURE'!P" &amp; AN71-1)&lt;&gt;"")))),"")</f>
        <v/>
      </c>
      <c r="AT71" s="145">
        <v>69</v>
      </c>
      <c r="AU71" s="154" t="str">
        <f>IF(AY71&lt;&gt;" ",ETANCHEITE!$D$5,"")</f>
        <v/>
      </c>
      <c r="AV71" s="154" t="str">
        <f>IF(AY71&lt;&gt;" ",ETANCHEITE!$D$8,"")</f>
        <v/>
      </c>
      <c r="AW71" s="146" t="str">
        <f>IFERROR(MATCH(AT71,ETANCHEITE!BH$22:BH$167,0)+18,"")</f>
        <v/>
      </c>
      <c r="AX71" s="147" t="str" cm="1">
        <f t="array" aca="1" ref="AX71" ca="1">IFERROR(IF(_xlfn.XLOOKUP(AT71,ETANCHEITE!BH$22:BH$167,ETANCHEITE!$A$22:$A$167,"")&lt;&gt;"",_xlfn.XLOOKUP(AT71,ETANCHEITE!BH$22:BH$167,ETANCHEITE!$A$22:$A$167,""),    INDEX(ETANCHEITE!$A:$A,MAX(_xlfn._xlws.FILTER(ROW(ETANCHEITE!$A$22:INDIRECT("'MENUISERIES EXTERIEURES'!$A" &amp; AW71-1)),ETANCHEITE!$A$22:INDIRECT("'MENUISERIES EXTERIEURES'!$A" &amp; AW71-1)&lt;&gt;"")))),"")&amp;"   "&amp;IFERROR(_xlfn.XLOOKUP(AT71,ETANCHEITE!BH$22:BH$167,ETANCHEITE!$B$22:$B$167),"")&amp;IFERROR(_xlfn.XLOOKUP(AT71,ETANCHEITE!BH$22:BH$167,ETANCHEITE!$C$22:$C$167),"")&amp;IFERROR(_xlfn.XLOOKUP(AT71,ETANCHEITE!BH$22:BH$167,ETANCHEITE!$D$22:$D$167),"")&amp;IFERROR(_xlfn.XLOOKUP(AT71,ETANCHEITE!BH$22:BH$167,ETANCHEITE!#REF!),"")&amp;IFERROR(_xlfn.XLOOKUP(AT71,ETANCHEITE!BH$22:BH$167,ETANCHEITE!#REF!),"")</f>
        <v xml:space="preserve">   </v>
      </c>
      <c r="AY71" s="155" t="str">
        <f>IFERROR(VLOOKUP(AT71,ETANCHEITE!BH$22:BJ$167,2,FALSE),"")&amp;" "&amp;IFERROR(VLOOKUP(AT71,ETANCHEITE!BH$22:BJ$167,3,FALSE),"")</f>
        <v xml:space="preserve"> </v>
      </c>
      <c r="AZ71" s="148" t="str">
        <f>IF(AY71&lt;&gt;" ",'Feuille de Donnée'!$C$3,"")</f>
        <v/>
      </c>
      <c r="BA71" s="162" t="str" cm="1">
        <f t="array" aca="1" ref="BA71" ca="1">IFERROR(IF(_xlfn.XLOOKUP(AT71,ETANCHEITE!BH$22:BH$92,ETANCHEITE!BF$22:BF$92,"")&lt;&gt;"",_xlfn.XLOOKUP(AT71,ETANCHEITE!BH$22:BH$92,ETANCHEITE!BF$22:BF$92,""),    INDEX(ETANCHEITE!BF:BF,MAX(_xlfn._xlws.FILTER(ROW(ETANCHEITE!BF$22:INDIRECT("'PEINTURE'!O" &amp; AW71-1)),ETANCHEITE!BF$22:INDIRECT("'PEINTURE'!O" &amp; AW71-1)&lt;&gt;"")))),"")</f>
        <v/>
      </c>
      <c r="BB71" s="163" t="str" cm="1">
        <f t="array" aca="1" ref="BB71" ca="1">IFERROR(IF(_xlfn.XLOOKUP(AT71,ETANCHEITE!BH$22:BH$92,ETANCHEITE!BG$22:BG$92,"")&lt;&gt;"",_xlfn.XLOOKUP(AT71,ETANCHEITE!BH$22:BH$92,ETANCHEITE!BG$22:BG$92,""),    INDEX(ETANCHEITE!BG:BG,MAX(_xlfn._xlws.FILTER(ROW(ETANCHEITE!BG$22:INDIRECT("'PEINTURE'!P" &amp; AW71-1)),ETANCHEITE!BG$22:INDIRECT("'PEINTURE'!P" &amp; AW71-1)&lt;&gt;"")))),"")</f>
        <v/>
      </c>
    </row>
    <row r="72" spans="1:54" ht="15" thickBot="1" x14ac:dyDescent="0.35">
      <c r="A72" s="149">
        <v>70</v>
      </c>
      <c r="B72" s="156" t="str">
        <f>IF(F72&lt;&gt;" ",ETANCHEITE!$D$5,"")</f>
        <v/>
      </c>
      <c r="C72" s="156" t="str">
        <f>IF(F72&lt;&gt;" ",ETANCHEITE!$D$8,"")</f>
        <v/>
      </c>
      <c r="D72" s="150" t="str">
        <f>IFERROR(MATCH(A72,ETANCHEITE!O$22:O$167,0)+18,"")</f>
        <v/>
      </c>
      <c r="E72" s="147" t="str" cm="1">
        <f t="array" aca="1" ref="E72" ca="1">IFERROR(IF(_xlfn.XLOOKUP(A72,ETANCHEITE!O$22:O$167,ETANCHEITE!$A$22:$A$167,"")&lt;&gt;"",_xlfn.XLOOKUP(A72,ETANCHEITE!O$22:O$167,ETANCHEITE!$A$22:$A$167,""),    INDEX(ETANCHEITE!$A:$A,MAX(_xlfn._xlws.FILTER(ROW(ETANCHEITE!$A$22:INDIRECT("'MENUISERIES EXTERIEURES'!$A" &amp; D72-1)),ETANCHEITE!$A$22:INDIRECT("'MENUISERIES EXTERIEURES'!$A" &amp; D72-1)&lt;&gt;"")))),"")&amp;"   "&amp;IFERROR(_xlfn.XLOOKUP(A72,ETANCHEITE!O$22:O$167,ETANCHEITE!$B$22:$B$167),"")&amp;IFERROR(_xlfn.XLOOKUP(A72,ETANCHEITE!O$22:O$167,ETANCHEITE!$C$22:$C$167),"")&amp;IFERROR(_xlfn.XLOOKUP(A72,ETANCHEITE!O$22:O$167,ETANCHEITE!$D$22:$D$167),"")&amp;IFERROR(_xlfn.XLOOKUP(A72,ETANCHEITE!O$22:O$167,ETANCHEITE!#REF!),"")&amp;IFERROR(_xlfn.XLOOKUP(A72,ETANCHEITE!O$22:O$167,ETANCHEITE!#REF!),"")</f>
        <v xml:space="preserve">   </v>
      </c>
      <c r="F72" s="157" t="str">
        <f>IFERROR(VLOOKUP(A72,ETANCHEITE!O$22:Q$167,2,FALSE),"")&amp;" "&amp;IFERROR(VLOOKUP(A72,ETANCHEITE!O$22:Q$167,3,FALSE),"")</f>
        <v xml:space="preserve"> </v>
      </c>
      <c r="G72" s="152" t="str">
        <f>IF(F72&lt;&gt;" ",'Feuille de Donnée'!$C$3,"")</f>
        <v/>
      </c>
      <c r="H72" s="162" t="str" cm="1">
        <f t="array" aca="1" ref="H72" ca="1">IFERROR(IF(_xlfn.XLOOKUP(A72,ETANCHEITE!O$22:O$92,ETANCHEITE!M$22:M$92,"")&lt;&gt;"",_xlfn.XLOOKUP(A72,ETANCHEITE!O$22:O$92,ETANCHEITE!M$22:M$92,""),    INDEX(ETANCHEITE!M:M,MAX(_xlfn._xlws.FILTER(ROW(ETANCHEITE!M$22:INDIRECT("'PEINTURE'!O" &amp; D72-1)),ETANCHEITE!M$22:INDIRECT("'PEINTURE'!O" &amp; D72-1)&lt;&gt;"")))),"")</f>
        <v/>
      </c>
      <c r="I72" s="163" t="str" cm="1">
        <f t="array" aca="1" ref="I72" ca="1">IFERROR(IF(_xlfn.XLOOKUP(A72,ETANCHEITE!O$22:O$92,ETANCHEITE!N$22:N$92,"")&lt;&gt;"",_xlfn.XLOOKUP(A72,ETANCHEITE!O$22:O$92,ETANCHEITE!N$22:N$92,""),    INDEX(ETANCHEITE!N:N,MAX(_xlfn._xlws.FILTER(ROW(ETANCHEITE!N$22:INDIRECT("'PEINTURE'!P" &amp; D72-1)),ETANCHEITE!N$22:INDIRECT("'PEINTURE'!P" &amp; D72-1)&lt;&gt;"")))),"")</f>
        <v/>
      </c>
      <c r="J72" s="149">
        <v>70</v>
      </c>
      <c r="K72" s="156" t="str">
        <f>IF(O72&lt;&gt;" ",ETANCHEITE!$D$5,"")</f>
        <v/>
      </c>
      <c r="L72" s="156" t="str">
        <f>IF(O72&lt;&gt;" ",ETANCHEITE!$D$8,"")</f>
        <v/>
      </c>
      <c r="M72" s="150" t="str">
        <f>IFERROR(MATCH(J72,ETANCHEITE!X$22:X$167,0)+18,"")</f>
        <v/>
      </c>
      <c r="N72" s="147" t="str" cm="1">
        <f t="array" aca="1" ref="N72" ca="1">IFERROR(IF(_xlfn.XLOOKUP(J72,ETANCHEITE!X$22:X$167,ETANCHEITE!$A$22:$A$167,"")&lt;&gt;"",_xlfn.XLOOKUP(J72,ETANCHEITE!X$22:X$167,ETANCHEITE!$A$22:$A$167,""),    INDEX(ETANCHEITE!$A:$A,MAX(_xlfn._xlws.FILTER(ROW(ETANCHEITE!$A$22:INDIRECT("'MENUISERIES EXTERIEURES'!$A" &amp; M72-1)),ETANCHEITE!$A$22:INDIRECT("'MENUISERIES EXTERIEURES'!$A" &amp; M72-1)&lt;&gt;"")))),"")&amp;"   "&amp;IFERROR(_xlfn.XLOOKUP(J72,ETANCHEITE!X$22:X$167,ETANCHEITE!$B$22:$B$167),"")&amp;IFERROR(_xlfn.XLOOKUP(J72,ETANCHEITE!X$22:X$167,ETANCHEITE!$C$22:$C$167),"")&amp;IFERROR(_xlfn.XLOOKUP(J72,ETANCHEITE!X$22:X$167,ETANCHEITE!$D$22:$D$167),"")&amp;IFERROR(_xlfn.XLOOKUP(J72,ETANCHEITE!X$22:X$167,ETANCHEITE!#REF!),"")&amp;IFERROR(_xlfn.XLOOKUP(J72,ETANCHEITE!X$22:X$167,ETANCHEITE!#REF!),"")</f>
        <v xml:space="preserve">   </v>
      </c>
      <c r="O72" s="157" t="str">
        <f>IFERROR(VLOOKUP(J72,ETANCHEITE!X$22:Z$167,2,FALSE),"")&amp;" "&amp;IFERROR(VLOOKUP(J72,ETANCHEITE!X$22:Z$167,3,FALSE),"")</f>
        <v xml:space="preserve"> </v>
      </c>
      <c r="P72" s="152" t="str">
        <f>IF(O72&lt;&gt;" ",'Feuille de Donnée'!$C$3,"")</f>
        <v/>
      </c>
      <c r="Q72" s="151"/>
      <c r="R72" s="153"/>
      <c r="S72" s="149">
        <v>70</v>
      </c>
      <c r="T72" s="156" t="str">
        <f>IF(X72&lt;&gt;" ",ETANCHEITE!$D$5,"")</f>
        <v/>
      </c>
      <c r="U72" s="156" t="str">
        <f>IF(X72&lt;&gt;" ",ETANCHEITE!$D$8,"")</f>
        <v/>
      </c>
      <c r="V72" s="150" t="str">
        <f>IFERROR(MATCH(S72,ETANCHEITE!AG$22:AG$167,0)+18,"")</f>
        <v/>
      </c>
      <c r="W72" s="147" t="str" cm="1">
        <f t="array" aca="1" ref="W72" ca="1">IFERROR(IF(_xlfn.XLOOKUP(S72,ETANCHEITE!AG$22:AG$167,ETANCHEITE!$A$22:$A$167,"")&lt;&gt;"",_xlfn.XLOOKUP(S72,ETANCHEITE!AG$22:AG$167,ETANCHEITE!$A$22:$A$167,""),    INDEX(ETANCHEITE!$A:$A,MAX(_xlfn._xlws.FILTER(ROW(ETANCHEITE!$A$22:INDIRECT("'MENUISERIES EXTERIEURES'!$A" &amp; V72-1)),ETANCHEITE!$A$22:INDIRECT("'MENUISERIES EXTERIEURES'!$A" &amp; V72-1)&lt;&gt;"")))),"")&amp;"   "&amp;IFERROR(_xlfn.XLOOKUP(S72,ETANCHEITE!AG$22:AG$167,ETANCHEITE!$B$22:$B$167),"")&amp;IFERROR(_xlfn.XLOOKUP(S72,ETANCHEITE!AG$22:AG$167,ETANCHEITE!$C$22:$C$167),"")&amp;IFERROR(_xlfn.XLOOKUP(S72,ETANCHEITE!AG$22:AG$167,ETANCHEITE!$D$22:$D$167),"")&amp;IFERROR(_xlfn.XLOOKUP(S72,ETANCHEITE!AG$22:AG$167,ETANCHEITE!#REF!),"")&amp;IFERROR(_xlfn.XLOOKUP(S72,ETANCHEITE!AG$22:AG$167,ETANCHEITE!#REF!),"")</f>
        <v xml:space="preserve">   </v>
      </c>
      <c r="X72" s="157" t="str">
        <f>IFERROR(VLOOKUP(S72,ETANCHEITE!AG$22:AI$167,2,FALSE),"")&amp;" "&amp;IFERROR(VLOOKUP(S72,ETANCHEITE!AG$22:AI$167,3,FALSE),"")</f>
        <v xml:space="preserve"> </v>
      </c>
      <c r="Y72" s="152" t="str">
        <f>IF(X72&lt;&gt;" ",'Feuille de Donnée'!$C$3,"")</f>
        <v/>
      </c>
      <c r="Z72" s="151"/>
      <c r="AA72" s="153"/>
      <c r="AB72" s="149">
        <v>70</v>
      </c>
      <c r="AC72" s="156" t="str">
        <f>IF(AG72&lt;&gt;" ",ETANCHEITE!$D$5,"")</f>
        <v/>
      </c>
      <c r="AD72" s="156" t="str">
        <f>IF(AG72&lt;&gt;" ",ETANCHEITE!$D$8,"")</f>
        <v/>
      </c>
      <c r="AE72" s="150" t="str">
        <f>IFERROR(MATCH(AB72,ETANCHEITE!AP$22:AP$167,0)+18,"")</f>
        <v/>
      </c>
      <c r="AF72" s="147" t="str" cm="1">
        <f t="array" aca="1" ref="AF72" ca="1">IFERROR(IF(_xlfn.XLOOKUP(AB72,ETANCHEITE!AP$22:AP$167,ETANCHEITE!$A$22:$A$167,"")&lt;&gt;"",_xlfn.XLOOKUP(AB72,ETANCHEITE!AP$22:AP$167,ETANCHEITE!$A$22:$A$167,""),    INDEX(ETANCHEITE!$A:$A,MAX(_xlfn._xlws.FILTER(ROW(ETANCHEITE!$A$22:INDIRECT("'MENUISERIES EXTERIEURES'!$A" &amp; AE72-1)),ETANCHEITE!$A$22:INDIRECT("'MENUISERIES EXTERIEURES'!$A" &amp; AE72-1)&lt;&gt;"")))),"")&amp;"   "&amp;IFERROR(_xlfn.XLOOKUP(AB72,ETANCHEITE!AP$22:AP$167,ETANCHEITE!$B$22:$B$167),"")&amp;IFERROR(_xlfn.XLOOKUP(AB72,ETANCHEITE!AP$22:AP$167,ETANCHEITE!$C$22:$C$167),"")&amp;IFERROR(_xlfn.XLOOKUP(AB72,ETANCHEITE!AP$22:AP$167,ETANCHEITE!$D$22:$D$167),"")&amp;IFERROR(_xlfn.XLOOKUP(AB72,ETANCHEITE!AP$22:AP$167,ETANCHEITE!#REF!),"")&amp;IFERROR(_xlfn.XLOOKUP(AB72,ETANCHEITE!AP$22:AP$167,ETANCHEITE!#REF!),"")</f>
        <v xml:space="preserve">   </v>
      </c>
      <c r="AG72" s="157" t="str">
        <f>IFERROR(VLOOKUP(AB72,ETANCHEITE!AP$22:AR$167,2,FALSE),"")&amp;" "&amp;IFERROR(VLOOKUP(AB72,ETANCHEITE!AP$22:AR$167,3,FALSE),"")</f>
        <v xml:space="preserve"> </v>
      </c>
      <c r="AH72" s="152" t="str">
        <f>IF(AG72&lt;&gt;" ",'Feuille de Donnée'!$C$3,"")</f>
        <v/>
      </c>
      <c r="AI72" s="151"/>
      <c r="AJ72" s="153"/>
      <c r="AK72" s="149">
        <v>70</v>
      </c>
      <c r="AL72" s="156" t="str">
        <f>IF(AP72&lt;&gt;" ",ETANCHEITE!$D$5,"")</f>
        <v/>
      </c>
      <c r="AM72" s="156" t="str">
        <f>IF(AP72&lt;&gt;" ",ETANCHEITE!$D$8,"")</f>
        <v/>
      </c>
      <c r="AN72" s="150" t="str">
        <f>IFERROR(MATCH(AK72,ETANCHEITE!AY$22:AY$167,0)+18,"")</f>
        <v/>
      </c>
      <c r="AO72" s="147" t="str" cm="1">
        <f t="array" aca="1" ref="AO72" ca="1">IFERROR(IF(_xlfn.XLOOKUP(AK72,ETANCHEITE!AY$22:AY$167,ETANCHEITE!$A$22:$A$167,"")&lt;&gt;"",_xlfn.XLOOKUP(AK72,ETANCHEITE!AY$22:AY$167,ETANCHEITE!$A$22:$A$167,""),    INDEX(ETANCHEITE!$A:$A,MAX(_xlfn._xlws.FILTER(ROW(ETANCHEITE!$A$22:INDIRECT("'MENUISERIES EXTERIEURES'!$A" &amp; AN72-1)),ETANCHEITE!$A$22:INDIRECT("'MENUISERIES EXTERIEURES'!$A" &amp; AN72-1)&lt;&gt;"")))),"")&amp;"   "&amp;IFERROR(_xlfn.XLOOKUP(AK72,ETANCHEITE!AY$22:AY$167,ETANCHEITE!$B$22:$B$167),"")&amp;IFERROR(_xlfn.XLOOKUP(AK72,ETANCHEITE!AY$22:AY$167,ETANCHEITE!$C$22:$C$167),"")&amp;IFERROR(_xlfn.XLOOKUP(AK72,ETANCHEITE!AY$22:AY$167,ETANCHEITE!$D$22:$D$167),"")&amp;IFERROR(_xlfn.XLOOKUP(AK72,ETANCHEITE!AY$22:AY$167,ETANCHEITE!#REF!),"")&amp;IFERROR(_xlfn.XLOOKUP(AK72,ETANCHEITE!AY$22:AY$167,ETANCHEITE!#REF!),"")</f>
        <v xml:space="preserve">   </v>
      </c>
      <c r="AP72" s="157" t="str">
        <f>IFERROR(VLOOKUP(AK72,ETANCHEITE!AY$22:BA$167,2,FALSE),"")&amp;" "&amp;IFERROR(VLOOKUP(AK72,ETANCHEITE!AY$22:BA$167,3,FALSE),"")</f>
        <v xml:space="preserve"> </v>
      </c>
      <c r="AQ72" s="152" t="str">
        <f>IF(AP72&lt;&gt;" ",'Feuille de Donnée'!$C$3,"")</f>
        <v/>
      </c>
      <c r="AR72" s="151"/>
      <c r="AS72" s="153"/>
      <c r="AT72" s="149">
        <v>70</v>
      </c>
      <c r="AU72" s="156" t="str">
        <f>IF(AY72&lt;&gt;" ",ETANCHEITE!$D$5,"")</f>
        <v/>
      </c>
      <c r="AV72" s="156" t="str">
        <f>IF(AY72&lt;&gt;" ",ETANCHEITE!$D$8,"")</f>
        <v/>
      </c>
      <c r="AW72" s="150" t="str">
        <f>IFERROR(MATCH(AT72,ETANCHEITE!BH$22:BH$167,0)+18,"")</f>
        <v/>
      </c>
      <c r="AX72" s="147" t="str" cm="1">
        <f t="array" aca="1" ref="AX72" ca="1">IFERROR(IF(_xlfn.XLOOKUP(AT72,ETANCHEITE!BH$22:BH$167,ETANCHEITE!$A$22:$A$167,"")&lt;&gt;"",_xlfn.XLOOKUP(AT72,ETANCHEITE!BH$22:BH$167,ETANCHEITE!$A$22:$A$167,""),    INDEX(ETANCHEITE!$A:$A,MAX(_xlfn._xlws.FILTER(ROW(ETANCHEITE!$A$22:INDIRECT("'MENUISERIES EXTERIEURES'!$A" &amp; AW72-1)),ETANCHEITE!$A$22:INDIRECT("'MENUISERIES EXTERIEURES'!$A" &amp; AW72-1)&lt;&gt;"")))),"")&amp;"   "&amp;IFERROR(_xlfn.XLOOKUP(AT72,ETANCHEITE!BH$22:BH$167,ETANCHEITE!$B$22:$B$167),"")&amp;IFERROR(_xlfn.XLOOKUP(AT72,ETANCHEITE!BH$22:BH$167,ETANCHEITE!$C$22:$C$167),"")&amp;IFERROR(_xlfn.XLOOKUP(AT72,ETANCHEITE!BH$22:BH$167,ETANCHEITE!$D$22:$D$167),"")&amp;IFERROR(_xlfn.XLOOKUP(AT72,ETANCHEITE!BH$22:BH$167,ETANCHEITE!#REF!),"")&amp;IFERROR(_xlfn.XLOOKUP(AT72,ETANCHEITE!BH$22:BH$167,ETANCHEITE!#REF!),"")</f>
        <v xml:space="preserve">   </v>
      </c>
      <c r="AY72" s="157" t="str">
        <f>IFERROR(VLOOKUP(AT72,ETANCHEITE!BH$22:BJ$167,2,FALSE),"")&amp;" "&amp;IFERROR(VLOOKUP(AT72,ETANCHEITE!BH$22:BJ$167,3,FALSE),"")</f>
        <v xml:space="preserve"> </v>
      </c>
      <c r="AZ72" s="152" t="str">
        <f>IF(AY72&lt;&gt;" ",'Feuille de Donnée'!$C$3,"")</f>
        <v/>
      </c>
      <c r="BA72" s="151"/>
      <c r="BB72" s="153"/>
    </row>
    <row r="73" spans="1:54" ht="15" thickTop="1" x14ac:dyDescent="0.3"/>
  </sheetData>
  <mergeCells count="6">
    <mergeCell ref="AT1:BB1"/>
    <mergeCell ref="AK1:AS1"/>
    <mergeCell ref="AB1:AJ1"/>
    <mergeCell ref="A1:I1"/>
    <mergeCell ref="J1:R1"/>
    <mergeCell ref="S1:AA1"/>
  </mergeCells>
  <conditionalFormatting sqref="G3:G72">
    <cfRule type="cellIs" dxfId="23" priority="21" operator="equal">
      <formula>"NON"</formula>
    </cfRule>
    <cfRule type="cellIs" dxfId="22" priority="22" operator="equal">
      <formula>"OUI"</formula>
    </cfRule>
  </conditionalFormatting>
  <conditionalFormatting sqref="P3:P72">
    <cfRule type="cellIs" dxfId="21" priority="17" operator="equal">
      <formula>"NON"</formula>
    </cfRule>
    <cfRule type="cellIs" dxfId="20" priority="18" operator="equal">
      <formula>"OUI"</formula>
    </cfRule>
  </conditionalFormatting>
  <conditionalFormatting sqref="Y3:Y72">
    <cfRule type="cellIs" dxfId="19" priority="13" operator="equal">
      <formula>"NON"</formula>
    </cfRule>
    <cfRule type="cellIs" dxfId="18" priority="14" operator="equal">
      <formula>"OUI"</formula>
    </cfRule>
  </conditionalFormatting>
  <conditionalFormatting sqref="AH3:AH72">
    <cfRule type="cellIs" dxfId="17" priority="9" operator="equal">
      <formula>"NON"</formula>
    </cfRule>
    <cfRule type="cellIs" dxfId="16" priority="10" operator="equal">
      <formula>"OUI"</formula>
    </cfRule>
  </conditionalFormatting>
  <conditionalFormatting sqref="AQ3:AQ72">
    <cfRule type="cellIs" dxfId="15" priority="5" operator="equal">
      <formula>"NON"</formula>
    </cfRule>
    <cfRule type="cellIs" dxfId="14" priority="6" operator="equal">
      <formula>"OUI"</formula>
    </cfRule>
  </conditionalFormatting>
  <conditionalFormatting sqref="AZ3:AZ72">
    <cfRule type="cellIs" dxfId="13" priority="1" operator="equal">
      <formula>"NON"</formula>
    </cfRule>
    <cfRule type="cellIs" dxfId="12" priority="2" operator="equal">
      <formula>"OUI"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A2D72-6447-4470-A6BD-34E6B308880A}">
  <sheetPr>
    <tabColor rgb="FFFFFF00"/>
  </sheetPr>
  <dimension ref="B1:P36"/>
  <sheetViews>
    <sheetView topLeftCell="D1" workbookViewId="0">
      <selection activeCell="F4" sqref="F4"/>
    </sheetView>
  </sheetViews>
  <sheetFormatPr baseColWidth="10" defaultColWidth="11.5546875" defaultRowHeight="14.4" x14ac:dyDescent="0.3"/>
  <cols>
    <col min="1" max="1" width="11.5546875" style="11"/>
    <col min="2" max="2" width="36.88671875" style="11" bestFit="1" customWidth="1"/>
    <col min="3" max="3" width="22.5546875" style="11" customWidth="1"/>
    <col min="4" max="4" width="26.5546875" style="11" bestFit="1" customWidth="1"/>
    <col min="5" max="5" width="49.5546875" style="11" customWidth="1"/>
    <col min="6" max="6" width="28.33203125" style="11" bestFit="1" customWidth="1"/>
    <col min="7" max="7" width="20.6640625" style="11" bestFit="1" customWidth="1"/>
    <col min="8" max="8" width="20.6640625" style="11" customWidth="1"/>
    <col min="9" max="9" width="26" style="11" customWidth="1"/>
    <col min="10" max="10" width="26.5546875" style="11" bestFit="1" customWidth="1"/>
    <col min="11" max="11" width="25.109375" style="11" bestFit="1" customWidth="1"/>
    <col min="12" max="12" width="29.44140625" style="11" customWidth="1"/>
    <col min="13" max="13" width="11.5546875" style="11"/>
    <col min="14" max="14" width="4.109375" style="11" customWidth="1"/>
    <col min="15" max="15" width="14.5546875" style="11" bestFit="1" customWidth="1"/>
    <col min="16" max="16" width="58.109375" style="11" bestFit="1" customWidth="1"/>
    <col min="17" max="17" width="28.33203125" style="11" bestFit="1" customWidth="1"/>
    <col min="18" max="18" width="4.5546875" style="11" customWidth="1"/>
    <col min="19" max="16384" width="11.5546875" style="11"/>
  </cols>
  <sheetData>
    <row r="1" spans="2:16" ht="15.6" thickTop="1" thickBot="1" x14ac:dyDescent="0.35">
      <c r="C1" s="210" t="s">
        <v>40</v>
      </c>
      <c r="D1" s="211"/>
      <c r="E1" s="211"/>
      <c r="F1" s="211"/>
      <c r="G1" s="211"/>
      <c r="H1" s="212"/>
      <c r="I1" s="74"/>
    </row>
    <row r="2" spans="2:16" ht="15.6" thickTop="1" thickBot="1" x14ac:dyDescent="0.35">
      <c r="B2" s="53"/>
      <c r="C2" s="53" t="s">
        <v>1</v>
      </c>
      <c r="D2" s="53" t="s">
        <v>9</v>
      </c>
      <c r="E2" s="53" t="s">
        <v>81</v>
      </c>
      <c r="F2" s="53" t="s">
        <v>11</v>
      </c>
      <c r="G2" s="53" t="s">
        <v>12</v>
      </c>
      <c r="H2" s="53" t="s">
        <v>36</v>
      </c>
      <c r="I2" s="53" t="s">
        <v>76</v>
      </c>
      <c r="J2" s="53" t="s">
        <v>31</v>
      </c>
      <c r="K2" s="53" t="s">
        <v>32</v>
      </c>
      <c r="L2" s="53" t="s">
        <v>33</v>
      </c>
      <c r="M2" s="53" t="s">
        <v>0</v>
      </c>
    </row>
    <row r="3" spans="2:16" ht="30" thickTop="1" thickBot="1" x14ac:dyDescent="0.35">
      <c r="B3" s="53" t="s">
        <v>1</v>
      </c>
      <c r="C3" s="79">
        <f ca="1">TODAY()</f>
        <v>46184</v>
      </c>
      <c r="D3" s="80" t="s">
        <v>10</v>
      </c>
      <c r="E3" s="80" t="s">
        <v>81</v>
      </c>
      <c r="F3" s="80" t="s">
        <v>90</v>
      </c>
      <c r="G3" s="80" t="s">
        <v>91</v>
      </c>
      <c r="H3" s="81" t="s">
        <v>92</v>
      </c>
      <c r="I3" s="80" t="s">
        <v>93</v>
      </c>
      <c r="J3" s="53" t="e">
        <f ca="1">UPPER(SUBSTITUTE(O10,"_",""))</f>
        <v>#VALUE!</v>
      </c>
      <c r="K3" s="53" t="e">
        <f ca="1">UPPER(SUBSTITUTE(O9,"_",""))</f>
        <v>#VALUE!</v>
      </c>
      <c r="L3" s="53" t="e">
        <f ca="1">UPPER(SUBSTITUTE(O7,"_",""))</f>
        <v>#VALUE!</v>
      </c>
      <c r="M3" s="53" t="e">
        <f ca="1">SUBSTITUTE(P10,".xlsx","")</f>
        <v>#VALUE!</v>
      </c>
    </row>
    <row r="4" spans="2:16" ht="14.4" customHeight="1" thickTop="1" thickBot="1" x14ac:dyDescent="0.35">
      <c r="C4" s="11" t="s">
        <v>89</v>
      </c>
      <c r="O4" s="210" t="s">
        <v>39</v>
      </c>
      <c r="P4" s="212"/>
    </row>
    <row r="5" spans="2:16" ht="24.6" thickTop="1" thickBot="1" x14ac:dyDescent="0.35">
      <c r="D5" s="45"/>
      <c r="O5" s="53" t="s">
        <v>29</v>
      </c>
      <c r="P5" s="54" t="str" cm="1">
        <f t="array" aca="1" ref="P5" ca="1">MID(CELL("nomfichier"),FIND("[",CELL("nomfichier"))+1,FIND("]",CELL("nomfichier"))-FIND("[",CELL("nomfichier"))-1)</f>
        <v>comparatif-etancheite-template.xlsx</v>
      </c>
    </row>
    <row r="6" spans="2:16" ht="15" thickTop="1" x14ac:dyDescent="0.3">
      <c r="D6" s="45"/>
      <c r="O6" s="55" t="s">
        <v>30</v>
      </c>
      <c r="P6" s="56" t="s">
        <v>28</v>
      </c>
    </row>
    <row r="7" spans="2:16" ht="15" thickBot="1" x14ac:dyDescent="0.35">
      <c r="D7" s="45"/>
      <c r="O7" s="51" t="e">
        <f ca="1">LEFT(P5,FIND("_",P5))</f>
        <v>#VALUE!</v>
      </c>
      <c r="P7" s="49" t="e">
        <f ca="1">SUBSTITUTE(P5,O7,"")</f>
        <v>#VALUE!</v>
      </c>
    </row>
    <row r="8" spans="2:16" ht="27" customHeight="1" thickTop="1" thickBot="1" x14ac:dyDescent="0.35">
      <c r="C8" s="210" t="s">
        <v>38</v>
      </c>
      <c r="D8" s="211"/>
      <c r="E8" s="211"/>
      <c r="F8" s="211"/>
      <c r="G8" s="212"/>
      <c r="J8" s="216" t="s">
        <v>34</v>
      </c>
      <c r="K8" s="217"/>
      <c r="L8" s="83"/>
      <c r="O8" s="51" t="e">
        <f ca="1">LEFT(P7,FIND("_",P7))</f>
        <v>#VALUE!</v>
      </c>
      <c r="P8" s="49" t="e">
        <f ca="1">SUBSTITUTE(P7,O8,"")</f>
        <v>#VALUE!</v>
      </c>
    </row>
    <row r="9" spans="2:16" ht="15.6" thickTop="1" thickBot="1" x14ac:dyDescent="0.35">
      <c r="C9" s="61"/>
      <c r="D9" s="77"/>
      <c r="E9" s="77"/>
      <c r="F9" s="77"/>
      <c r="G9" s="63"/>
      <c r="J9" s="57" t="s">
        <v>35</v>
      </c>
      <c r="K9" s="58">
        <v>0</v>
      </c>
      <c r="O9" s="51" t="e">
        <f ca="1">LEFT(P8,FIND("_",P8))</f>
        <v>#VALUE!</v>
      </c>
      <c r="P9" s="49" t="e">
        <f ca="1">SUBSTITUTE(P8,O9,"")</f>
        <v>#VALUE!</v>
      </c>
    </row>
    <row r="10" spans="2:16" ht="15.6" thickTop="1" thickBot="1" x14ac:dyDescent="0.35">
      <c r="C10" s="64"/>
      <c r="D10" s="213" t="s">
        <v>43</v>
      </c>
      <c r="E10" s="214"/>
      <c r="F10" s="215"/>
      <c r="G10" s="73"/>
      <c r="J10" s="82" t="s">
        <v>44</v>
      </c>
      <c r="O10" s="52" t="e">
        <f ca="1">LEFT(P9,FIND("_",P9))</f>
        <v>#VALUE!</v>
      </c>
      <c r="P10" s="50" t="e">
        <f ca="1">SUBSTITUTE(P9,O10,"")</f>
        <v>#VALUE!</v>
      </c>
    </row>
    <row r="11" spans="2:16" ht="15.6" thickTop="1" thickBot="1" x14ac:dyDescent="0.35">
      <c r="C11" s="64"/>
      <c r="D11" s="66"/>
      <c r="E11" s="67" t="s">
        <v>16</v>
      </c>
      <c r="F11" s="68" t="s">
        <v>15</v>
      </c>
      <c r="G11" s="78"/>
      <c r="H11" s="12"/>
    </row>
    <row r="12" spans="2:16" ht="15.6" thickTop="1" thickBot="1" x14ac:dyDescent="0.35">
      <c r="C12" s="64"/>
      <c r="D12" s="48" t="s">
        <v>13</v>
      </c>
      <c r="E12" s="59">
        <v>0.05</v>
      </c>
      <c r="F12" s="60">
        <v>0.02</v>
      </c>
      <c r="G12" s="73"/>
      <c r="J12" s="213" t="s">
        <v>79</v>
      </c>
      <c r="K12" s="215"/>
    </row>
    <row r="13" spans="2:16" ht="15.6" thickTop="1" thickBot="1" x14ac:dyDescent="0.35">
      <c r="C13" s="64"/>
      <c r="G13" s="73"/>
      <c r="J13" s="48" t="s">
        <v>80</v>
      </c>
      <c r="K13" s="71" t="s">
        <v>84</v>
      </c>
    </row>
    <row r="14" spans="2:16" ht="35.4" customHeight="1" thickTop="1" thickBot="1" x14ac:dyDescent="0.35">
      <c r="C14" s="64"/>
      <c r="G14" s="73"/>
    </row>
    <row r="15" spans="2:16" ht="15.6" thickTop="1" thickBot="1" x14ac:dyDescent="0.35">
      <c r="C15" s="64"/>
      <c r="E15" s="213" t="s">
        <v>42</v>
      </c>
      <c r="F15" s="215"/>
      <c r="G15" s="73"/>
      <c r="M15" s="12"/>
    </row>
    <row r="16" spans="2:16" ht="15" thickTop="1" x14ac:dyDescent="0.3">
      <c r="C16" s="64"/>
      <c r="E16" s="66" t="s">
        <v>18</v>
      </c>
      <c r="F16" s="69" t="s">
        <v>23</v>
      </c>
      <c r="G16" s="73"/>
    </row>
    <row r="17" spans="3:13" x14ac:dyDescent="0.3">
      <c r="C17" s="64"/>
      <c r="E17" s="47" t="s">
        <v>27</v>
      </c>
      <c r="F17" s="70" t="s">
        <v>22</v>
      </c>
      <c r="G17" s="73"/>
    </row>
    <row r="18" spans="3:13" ht="15" thickBot="1" x14ac:dyDescent="0.35">
      <c r="C18" s="64"/>
      <c r="E18" s="48" t="s">
        <v>19</v>
      </c>
      <c r="F18" s="71" t="s">
        <v>24</v>
      </c>
      <c r="G18" s="73"/>
    </row>
    <row r="19" spans="3:13" ht="24" customHeight="1" thickTop="1" x14ac:dyDescent="0.3">
      <c r="C19" s="64"/>
      <c r="G19" s="73"/>
    </row>
    <row r="20" spans="3:13" ht="15" thickBot="1" x14ac:dyDescent="0.35">
      <c r="C20" s="74"/>
      <c r="D20" s="75"/>
      <c r="E20" s="75"/>
      <c r="F20" s="75"/>
      <c r="G20" s="76"/>
      <c r="M20" s="45"/>
    </row>
    <row r="21" spans="3:13" ht="15" thickTop="1" x14ac:dyDescent="0.3">
      <c r="M21" s="45"/>
    </row>
    <row r="22" spans="3:13" ht="15" thickBot="1" x14ac:dyDescent="0.35">
      <c r="M22" s="45"/>
    </row>
    <row r="23" spans="3:13" ht="15.6" thickTop="1" thickBot="1" x14ac:dyDescent="0.35">
      <c r="C23" s="210" t="s">
        <v>37</v>
      </c>
      <c r="D23" s="211"/>
      <c r="E23" s="211"/>
      <c r="F23" s="211"/>
      <c r="G23" s="212"/>
    </row>
    <row r="24" spans="3:13" ht="15.6" thickTop="1" thickBot="1" x14ac:dyDescent="0.35">
      <c r="C24" s="61"/>
      <c r="D24" s="62"/>
      <c r="E24" s="62"/>
      <c r="F24" s="62"/>
      <c r="G24" s="63"/>
    </row>
    <row r="25" spans="3:13" ht="15.6" thickTop="1" thickBot="1" x14ac:dyDescent="0.35">
      <c r="C25" s="64"/>
      <c r="D25" s="213" t="s">
        <v>45</v>
      </c>
      <c r="E25" s="214"/>
      <c r="F25" s="215"/>
      <c r="G25" s="73"/>
    </row>
    <row r="26" spans="3:13" ht="15" thickTop="1" x14ac:dyDescent="0.3">
      <c r="C26" s="72"/>
      <c r="D26" s="66"/>
      <c r="E26" s="67" t="s">
        <v>16</v>
      </c>
      <c r="F26" s="68" t="s">
        <v>15</v>
      </c>
      <c r="G26" s="73"/>
    </row>
    <row r="27" spans="3:13" ht="15" thickBot="1" x14ac:dyDescent="0.35">
      <c r="C27" s="64"/>
      <c r="D27" s="65" t="s">
        <v>14</v>
      </c>
      <c r="E27" s="59">
        <v>0.35</v>
      </c>
      <c r="F27" s="60">
        <v>0.1</v>
      </c>
      <c r="G27" s="73"/>
    </row>
    <row r="28" spans="3:13" ht="15" thickTop="1" x14ac:dyDescent="0.3">
      <c r="C28" s="64"/>
      <c r="G28" s="73"/>
    </row>
    <row r="29" spans="3:13" ht="15" thickBot="1" x14ac:dyDescent="0.35">
      <c r="C29" s="64"/>
      <c r="G29" s="73"/>
    </row>
    <row r="30" spans="3:13" ht="15.6" thickTop="1" thickBot="1" x14ac:dyDescent="0.35">
      <c r="C30" s="64"/>
      <c r="E30" s="213" t="s">
        <v>42</v>
      </c>
      <c r="F30" s="215"/>
      <c r="G30" s="73"/>
    </row>
    <row r="31" spans="3:13" ht="15" thickTop="1" x14ac:dyDescent="0.3">
      <c r="C31" s="64"/>
      <c r="E31" s="46" t="s">
        <v>21</v>
      </c>
      <c r="F31" s="69" t="s">
        <v>25</v>
      </c>
      <c r="G31" s="73"/>
    </row>
    <row r="32" spans="3:13" x14ac:dyDescent="0.3">
      <c r="C32" s="64"/>
      <c r="E32" s="47" t="s">
        <v>17</v>
      </c>
      <c r="F32" s="70"/>
      <c r="G32" s="73"/>
    </row>
    <row r="33" spans="3:7" ht="15" thickBot="1" x14ac:dyDescent="0.35">
      <c r="C33" s="64"/>
      <c r="E33" s="48" t="s">
        <v>20</v>
      </c>
      <c r="F33" s="71" t="s">
        <v>26</v>
      </c>
      <c r="G33" s="73"/>
    </row>
    <row r="34" spans="3:7" ht="15" thickTop="1" x14ac:dyDescent="0.3">
      <c r="C34" s="64"/>
      <c r="G34" s="73"/>
    </row>
    <row r="35" spans="3:7" ht="15" thickBot="1" x14ac:dyDescent="0.35">
      <c r="C35" s="74"/>
      <c r="D35" s="75"/>
      <c r="E35" s="75"/>
      <c r="F35" s="75"/>
      <c r="G35" s="76"/>
    </row>
    <row r="36" spans="3:7" ht="15" thickTop="1" x14ac:dyDescent="0.3"/>
  </sheetData>
  <mergeCells count="10">
    <mergeCell ref="C23:G23"/>
    <mergeCell ref="D25:F25"/>
    <mergeCell ref="E30:F30"/>
    <mergeCell ref="C1:H1"/>
    <mergeCell ref="O4:P4"/>
    <mergeCell ref="C8:G8"/>
    <mergeCell ref="J8:K8"/>
    <mergeCell ref="D10:F10"/>
    <mergeCell ref="E15:F15"/>
    <mergeCell ref="J12:K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0659-6A62-4CA4-9976-5D01CE09AA6D}">
  <sheetPr>
    <tabColor rgb="FFFFFF00"/>
  </sheetPr>
  <dimension ref="A1:I73"/>
  <sheetViews>
    <sheetView zoomScale="70" zoomScaleNormal="70" workbookViewId="0">
      <selection activeCell="K3" sqref="K3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8.5546875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0" t="s">
        <v>88</v>
      </c>
      <c r="B1" s="160">
        <v>0</v>
      </c>
      <c r="C1" s="161"/>
      <c r="D1" s="161"/>
      <c r="E1" s="161"/>
      <c r="F1" s="161" t="str" cm="1">
        <f t="array" ref="F1">IFERROR(INDEX('Questions global'!$A:$YP,1,1+$B$1), "")</f>
        <v>Entreprise 1</v>
      </c>
      <c r="G1" s="161"/>
      <c r="H1" s="161"/>
      <c r="I1" s="161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3" t="s">
        <v>82</v>
      </c>
      <c r="E2" s="133" t="s">
        <v>77</v>
      </c>
      <c r="F2" s="109" t="s">
        <v>72</v>
      </c>
      <c r="G2" s="110" t="s">
        <v>1</v>
      </c>
      <c r="H2" s="135" t="s">
        <v>94</v>
      </c>
      <c r="I2" s="136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t="str" cm="1">
        <f t="array" aca="1" ref="H71" ca="1">INDEX('Questions global'!$A:$YP,ROW(H70)-ROW($A$2)+4,COLUMN(H70)-COLUMN($A$2)+1+$B$1)</f>
        <v/>
      </c>
      <c r="I71" s="112" t="str" cm="1">
        <f t="array" aca="1" ref="I71" ca="1">INDEX('Questions global'!$A:$YP,ROW(I70)-ROW($A$2)+4,COLUMN(I70)-COLUMN($A$2)+1+$B$1)</f>
        <v/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11" priority="3" operator="equal">
      <formula>"NON"</formula>
    </cfRule>
    <cfRule type="cellIs" dxfId="10" priority="4" operator="equal">
      <formula>"OUI"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4E5A6-4F5E-460B-B1BB-F968255C3E99}">
  <sheetPr>
    <tabColor rgb="FFFFFF00"/>
  </sheetPr>
  <dimension ref="A1:I73"/>
  <sheetViews>
    <sheetView zoomScale="70" zoomScaleNormal="70" workbookViewId="0">
      <selection activeCell="H28" sqref="H28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14.5546875" bestFit="1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0" t="s">
        <v>88</v>
      </c>
      <c r="B1" s="160">
        <v>9</v>
      </c>
      <c r="C1" s="161"/>
      <c r="D1" s="161"/>
      <c r="E1" s="161"/>
      <c r="F1" s="161" t="str" cm="1">
        <f t="array" ref="F1">IFERROR(INDEX('Questions global'!$A:$YP,1,1+$B$1), "")</f>
        <v>Entreprise 2</v>
      </c>
      <c r="G1" s="161"/>
      <c r="H1" s="161"/>
      <c r="I1" s="161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3" t="s">
        <v>82</v>
      </c>
      <c r="E2" s="133" t="s">
        <v>77</v>
      </c>
      <c r="F2" s="109" t="s">
        <v>72</v>
      </c>
      <c r="G2" s="110" t="s">
        <v>1</v>
      </c>
      <c r="H2" s="135" t="s">
        <v>94</v>
      </c>
      <c r="I2" s="136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9" priority="3" operator="equal">
      <formula>"NON"</formula>
    </cfRule>
    <cfRule type="cellIs" dxfId="8" priority="4" operator="equal">
      <formula>"OUI"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CB4C-2F4D-429A-B88C-58E63366E212}">
  <sheetPr>
    <tabColor rgb="FFFFFF00"/>
  </sheetPr>
  <dimension ref="A1:I73"/>
  <sheetViews>
    <sheetView zoomScale="70" zoomScaleNormal="70" workbookViewId="0">
      <selection activeCell="K7" sqref="K7:K8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8.5546875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0" t="s">
        <v>88</v>
      </c>
      <c r="B1" s="160">
        <f>18</f>
        <v>18</v>
      </c>
      <c r="C1" s="161"/>
      <c r="D1" s="161"/>
      <c r="E1" s="161"/>
      <c r="F1" s="161" t="str" cm="1">
        <f t="array" ref="F1">IFERROR(INDEX('Questions global'!$A:$YP,1,1+$B$1), "")</f>
        <v>Entreprise 3</v>
      </c>
      <c r="G1" s="161"/>
      <c r="H1" s="161"/>
      <c r="I1" s="161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3" t="s">
        <v>82</v>
      </c>
      <c r="E2" s="133" t="s">
        <v>77</v>
      </c>
      <c r="F2" s="109" t="s">
        <v>72</v>
      </c>
      <c r="G2" s="110" t="s">
        <v>1</v>
      </c>
      <c r="H2" s="135" t="s">
        <v>94</v>
      </c>
      <c r="I2" s="136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7" priority="3" operator="equal">
      <formula>"NON"</formula>
    </cfRule>
    <cfRule type="cellIs" dxfId="6" priority="4" operator="equal">
      <formula>"OUI"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2636D-DB92-4533-8D1A-274CBC58E859}">
  <sheetPr>
    <tabColor rgb="FFFFFF00"/>
  </sheetPr>
  <dimension ref="A1:I73"/>
  <sheetViews>
    <sheetView zoomScale="70" zoomScaleNormal="70" workbookViewId="0">
      <selection activeCell="E45" sqref="E45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8.5546875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0" t="s">
        <v>88</v>
      </c>
      <c r="B1" s="160">
        <f>27</f>
        <v>27</v>
      </c>
      <c r="C1" s="161"/>
      <c r="D1" s="161"/>
      <c r="E1" s="161"/>
      <c r="F1" s="161" t="str" cm="1">
        <f t="array" ref="F1">IFERROR(INDEX('Questions global'!$A:$YP,1,1+$B$1), "")</f>
        <v>Entreprise 4</v>
      </c>
      <c r="G1" s="161"/>
      <c r="H1" s="161"/>
      <c r="I1" s="161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3" t="s">
        <v>82</v>
      </c>
      <c r="E2" s="133" t="s">
        <v>77</v>
      </c>
      <c r="F2" s="109" t="s">
        <v>72</v>
      </c>
      <c r="G2" s="110" t="s">
        <v>1</v>
      </c>
      <c r="H2" s="135" t="s">
        <v>94</v>
      </c>
      <c r="I2" s="136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5" priority="3" operator="equal">
      <formula>"NON"</formula>
    </cfRule>
    <cfRule type="cellIs" dxfId="4" priority="4" operator="equal">
      <formula>"OUI"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6E440-1618-4429-9F25-AFAC69B4FE86}">
  <sheetPr>
    <tabColor rgb="FFFFFF00"/>
  </sheetPr>
  <dimension ref="A1:I73"/>
  <sheetViews>
    <sheetView zoomScale="70" zoomScaleNormal="70" workbookViewId="0">
      <selection activeCell="J15" sqref="J15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14.5546875" bestFit="1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0" t="s">
        <v>88</v>
      </c>
      <c r="B1" s="160">
        <f>27+9</f>
        <v>36</v>
      </c>
      <c r="C1" s="161"/>
      <c r="D1" s="161"/>
      <c r="E1" s="161"/>
      <c r="F1" s="161" t="str" cm="1">
        <f t="array" ref="F1">IFERROR(INDEX('Questions global'!$A:$YP,1,1+$B$1), "")</f>
        <v>Entreprise 5</v>
      </c>
      <c r="G1" s="161"/>
      <c r="H1" s="161"/>
      <c r="I1" s="161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3" t="s">
        <v>82</v>
      </c>
      <c r="E2" s="133" t="s">
        <v>77</v>
      </c>
      <c r="F2" s="109" t="s">
        <v>72</v>
      </c>
      <c r="G2" s="110" t="s">
        <v>1</v>
      </c>
      <c r="H2" s="135" t="s">
        <v>94</v>
      </c>
      <c r="I2" s="136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3" priority="3" operator="equal">
      <formula>"NON"</formula>
    </cfRule>
    <cfRule type="cellIs" dxfId="2" priority="4" operator="equal">
      <formula>"OUI"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E5EEF-853A-48DA-8018-42DA7BF80ADE}">
  <sheetPr>
    <tabColor rgb="FFFFFF00"/>
  </sheetPr>
  <dimension ref="A1:I73"/>
  <sheetViews>
    <sheetView zoomScale="70" zoomScaleNormal="70" workbookViewId="0">
      <selection activeCell="F1" sqref="F1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14.5546875" bestFit="1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0" t="s">
        <v>88</v>
      </c>
      <c r="B1" s="160">
        <f>27+9+9</f>
        <v>45</v>
      </c>
      <c r="C1" s="161"/>
      <c r="D1" s="161"/>
      <c r="E1" s="161"/>
      <c r="F1" s="161" t="str" cm="1">
        <f t="array" ref="F1">IFERROR(INDEX('Questions global'!$A:$YP,1,1+$B$1), "")</f>
        <v>Entreprise 6</v>
      </c>
      <c r="G1" s="161"/>
      <c r="H1" s="161"/>
      <c r="I1" s="161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3" t="s">
        <v>82</v>
      </c>
      <c r="E2" s="133" t="s">
        <v>77</v>
      </c>
      <c r="F2" s="109" t="s">
        <v>72</v>
      </c>
      <c r="G2" s="110" t="s">
        <v>1</v>
      </c>
      <c r="H2" s="135" t="s">
        <v>94</v>
      </c>
      <c r="I2" s="136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1" priority="1" operator="equal">
      <formula>"NON"</formula>
    </cfRule>
    <cfRule type="cellIs" dxfId="0" priority="2" operator="equal">
      <formula>"OUI"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4e99d7-8989-4b83-b4f4-be90479a7c2c" xsi:nil="true"/>
    <lcf76f155ced4ddcb4097134ff3c332f xmlns="b1a2ac40-0c8a-4765-8d3e-1350fec22d4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60CCB98AB09A4F9ED216CC44ECB412" ma:contentTypeVersion="14" ma:contentTypeDescription="Create a new document." ma:contentTypeScope="" ma:versionID="af4cee79dff5ce66f9db5dc7a8793b8b">
  <xsd:schema xmlns:xsd="http://www.w3.org/2001/XMLSchema" xmlns:xs="http://www.w3.org/2001/XMLSchema" xmlns:p="http://schemas.microsoft.com/office/2006/metadata/properties" xmlns:ns2="b1a2ac40-0c8a-4765-8d3e-1350fec22d44" xmlns:ns3="fd4e99d7-8989-4b83-b4f4-be90479a7c2c" targetNamespace="http://schemas.microsoft.com/office/2006/metadata/properties" ma:root="true" ma:fieldsID="9c43b2e3637a5cbb4a6b17b0d8e9e5bc" ns2:_="" ns3:_="">
    <xsd:import namespace="b1a2ac40-0c8a-4765-8d3e-1350fec22d44"/>
    <xsd:import namespace="fd4e99d7-8989-4b83-b4f4-be90479a7c2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a2ac40-0c8a-4765-8d3e-1350fec22d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06d6082f-4704-4d38-86b5-cca0f713ce5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4e99d7-8989-4b83-b4f4-be90479a7c2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8ba4fd74-3c2d-47b3-a463-c86ee53b8f5f}" ma:internalName="TaxCatchAll" ma:showField="CatchAllData" ma:web="fd4e99d7-8989-4b83-b4f4-be90479a7c2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9F8B48-A43A-4EBF-BA31-957DD758EC3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229A6D-61E2-4C07-ABEE-35410FDDD7BF}">
  <ds:schemaRefs>
    <ds:schemaRef ds:uri="http://purl.org/dc/elements/1.1/"/>
    <ds:schemaRef ds:uri="http://schemas.openxmlformats.org/package/2006/metadata/core-properties"/>
    <ds:schemaRef ds:uri="b1a2ac40-0c8a-4765-8d3e-1350fec22d44"/>
    <ds:schemaRef ds:uri="http://purl.org/dc/dcmitype/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fd4e99d7-8989-4b83-b4f4-be90479a7c2c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96F47DFC-9D47-4F1C-BAFA-0D6F9569DF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a2ac40-0c8a-4765-8d3e-1350fec22d44"/>
    <ds:schemaRef ds:uri="fd4e99d7-8989-4b83-b4f4-be90479a7c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4</vt:i4>
      </vt:variant>
    </vt:vector>
  </HeadingPairs>
  <TitlesOfParts>
    <vt:vector size="14" baseType="lpstr">
      <vt:lpstr>GARDE</vt:lpstr>
      <vt:lpstr>ETANCHEITE</vt:lpstr>
      <vt:lpstr>Questions global</vt:lpstr>
      <vt:lpstr>Feuille de Donnée</vt:lpstr>
      <vt:lpstr>Questions Entreprise 1</vt:lpstr>
      <vt:lpstr>Questions Entreprise 2</vt:lpstr>
      <vt:lpstr>Questions Entreprise 3</vt:lpstr>
      <vt:lpstr>Questions Entreprise 4</vt:lpstr>
      <vt:lpstr>Questions Entreprise 5</vt:lpstr>
      <vt:lpstr>Questions Entreprise 6</vt:lpstr>
      <vt:lpstr>ETANCHEITE!Impression_des_titres</vt:lpstr>
      <vt:lpstr>Note_sur</vt:lpstr>
      <vt:lpstr>ETANCHEITE!Zone_d_impression</vt:lpstr>
      <vt:lpstr>GARDE!Zone_d_impression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Alban Michaud</dc:creator>
  <cp:lastModifiedBy>Alban Michaud</cp:lastModifiedBy>
  <cp:lastPrinted>2025-10-06T09:49:14Z</cp:lastPrinted>
  <dcterms:created xsi:type="dcterms:W3CDTF">2023-06-15T08:42:03Z</dcterms:created>
  <dcterms:modified xsi:type="dcterms:W3CDTF">2026-06-11T09:20:25Z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0x010100F660CCB98AB09A4F9ED216CC44ECB412</vt:lpwstr>
  </property>
  <property fmtid="{D5CDD505-2E9C-101B-9397-08002B2CF9AE}" pid="3" name="MediaServiceImageTags">
    <vt:lpwstr/>
  </property>
</Properties>
</file>