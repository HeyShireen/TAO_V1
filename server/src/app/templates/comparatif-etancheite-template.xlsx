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mxeco.sharepoint.com/sites/DMX/Shared Documents/General/7_ORGANISATION/00_LOGICIELS/TAO/"/>
    </mc:Choice>
  </mc:AlternateContent>
  <xr:revisionPtr revIDLastSave="5606" documentId="13_ncr:1_{B485A5C3-6BCF-4560-B8AC-18C84E3DD6E0}" xr6:coauthVersionLast="47" xr6:coauthVersionMax="47" xr10:uidLastSave="{64B88B64-A79A-449C-8688-B7C445B5C97A}"/>
  <bookViews>
    <workbookView xWindow="28680" yWindow="-90" windowWidth="29040" windowHeight="15720" tabRatio="599" activeTab="1" xr2:uid="{00000000-000D-0000-FFFF-FFFF00000000}"/>
  </bookViews>
  <sheets>
    <sheet name="GARDE" sheetId="6" r:id="rId1"/>
    <sheet name="ETANCHEITE" sheetId="4" r:id="rId2"/>
    <sheet name="Questions global" sheetId="9" r:id="rId3"/>
    <sheet name="Feuille de Donnée" sheetId="10" r:id="rId4"/>
    <sheet name="Questions Entreprise 1" sheetId="15" r:id="rId5"/>
    <sheet name="Questions Entreprise 2" sheetId="16" r:id="rId6"/>
    <sheet name="Questions Entreprise 3" sheetId="17" r:id="rId7"/>
    <sheet name="Questions Entreprise 4" sheetId="18" r:id="rId8"/>
    <sheet name="Questions Entreprise 5" sheetId="19" r:id="rId9"/>
    <sheet name="Questions Entreprise 6" sheetId="20" r:id="rId10"/>
  </sheets>
  <externalReferences>
    <externalReference r:id="rId11"/>
  </externalReferences>
  <definedNames>
    <definedName name="_xlnm.Print_Titles" localSheetId="1">ETANCHEITE!$18:$19</definedName>
    <definedName name="Note_sur">GARDE!$Z$4</definedName>
    <definedName name="tab_base">[1]CALCULS!$B$8:$K$17</definedName>
    <definedName name="tab_nego">[1]CALCULS!$B$36:$K$45</definedName>
    <definedName name="tab_recal">[1]CALCULS!$B$22:$L$31</definedName>
    <definedName name="_xlnm.Print_Area" localSheetId="1">ETANCHEITE!$A$1:$BM$170</definedName>
    <definedName name="_xlnm.Print_Area" localSheetId="0">GARDE!$A$1:$U$31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/>
  <c r="A66" i="20" a="1"/>
  <c r="A66" i="20" s="1"/>
  <c r="A59" i="20" a="1"/>
  <c r="A59" i="20" s="1"/>
  <c r="A25" i="20" a="1"/>
  <c r="A25" i="20" s="1"/>
  <c r="A17" i="20" a="1"/>
  <c r="A17" i="20" s="1"/>
  <c r="AT1" i="9"/>
  <c r="A19" i="20" l="1" a="1"/>
  <c r="A19" i="20" s="1"/>
  <c r="A42" i="20" a="1"/>
  <c r="A42" i="20" s="1"/>
  <c r="A51" i="20" a="1"/>
  <c r="A51" i="20" s="1"/>
  <c r="A9" i="20" a="1"/>
  <c r="A9" i="20" s="1"/>
  <c r="I72" i="20" a="1"/>
  <c r="I72" i="20" s="1"/>
  <c r="A72" i="20" a="1"/>
  <c r="A72" i="20" s="1"/>
  <c r="A64" i="20" a="1"/>
  <c r="A64" i="20" s="1"/>
  <c r="A56" i="20" a="1"/>
  <c r="A56" i="20" s="1"/>
  <c r="A48" i="20" a="1"/>
  <c r="A48" i="20" s="1"/>
  <c r="A40" i="20" a="1"/>
  <c r="A40" i="20" s="1"/>
  <c r="A32" i="20" a="1"/>
  <c r="A32" i="20" s="1"/>
  <c r="A24" i="20" a="1"/>
  <c r="A24" i="20" s="1"/>
  <c r="A16" i="20" a="1"/>
  <c r="A16" i="20" s="1"/>
  <c r="A8" i="20" a="1"/>
  <c r="A8" i="20" s="1"/>
  <c r="H72" i="20" a="1"/>
  <c r="H72" i="20" s="1"/>
  <c r="I71" i="20" a="1"/>
  <c r="I71" i="20" s="1"/>
  <c r="A71" i="20" a="1"/>
  <c r="A71" i="20" s="1"/>
  <c r="A63" i="20" a="1"/>
  <c r="A63" i="20" s="1"/>
  <c r="A55" i="20" a="1"/>
  <c r="A55" i="20" s="1"/>
  <c r="A47" i="20" a="1"/>
  <c r="A47" i="20" s="1"/>
  <c r="A39" i="20" a="1"/>
  <c r="A39" i="20" s="1"/>
  <c r="A31" i="20" a="1"/>
  <c r="A31" i="20" s="1"/>
  <c r="A23" i="20" a="1"/>
  <c r="A23" i="20" s="1"/>
  <c r="A15" i="20" a="1"/>
  <c r="A15" i="20" s="1"/>
  <c r="A7" i="20" a="1"/>
  <c r="A7" i="20" s="1"/>
  <c r="A67" i="20" a="1"/>
  <c r="A67" i="20" s="1"/>
  <c r="G72" i="20" a="1"/>
  <c r="G72" i="20" s="1"/>
  <c r="H71" i="20" a="1"/>
  <c r="H71" i="20" s="1"/>
  <c r="A70" i="20" a="1"/>
  <c r="A70" i="20" s="1"/>
  <c r="A62" i="20" a="1"/>
  <c r="A62" i="20" s="1"/>
  <c r="A54" i="20" a="1"/>
  <c r="A54" i="20" s="1"/>
  <c r="A46" i="20" a="1"/>
  <c r="A46" i="20" s="1"/>
  <c r="A38" i="20" a="1"/>
  <c r="A38" i="20" s="1"/>
  <c r="A30" i="20" a="1"/>
  <c r="A30" i="20" s="1"/>
  <c r="A22" i="20" a="1"/>
  <c r="A22" i="20" s="1"/>
  <c r="A14" i="20" a="1"/>
  <c r="A14" i="20" s="1"/>
  <c r="A6" i="20" a="1"/>
  <c r="A6" i="20" s="1"/>
  <c r="D72" i="20" a="1"/>
  <c r="D72" i="20" s="1"/>
  <c r="F72" i="20" a="1"/>
  <c r="F72" i="20" s="1"/>
  <c r="A69" i="20" a="1"/>
  <c r="A69" i="20" s="1"/>
  <c r="A61" i="20" a="1"/>
  <c r="A61" i="20" s="1"/>
  <c r="A53" i="20" a="1"/>
  <c r="A53" i="20" s="1"/>
  <c r="A45" i="20" a="1"/>
  <c r="A45" i="20" s="1"/>
  <c r="A37" i="20" a="1"/>
  <c r="A37" i="20" s="1"/>
  <c r="A29" i="20" a="1"/>
  <c r="A29" i="20" s="1"/>
  <c r="A21" i="20" a="1"/>
  <c r="A21" i="20" s="1"/>
  <c r="A13" i="20" a="1"/>
  <c r="A13" i="20" s="1"/>
  <c r="A5" i="20" a="1"/>
  <c r="A5" i="20" s="1"/>
  <c r="E72" i="20" a="1"/>
  <c r="E72" i="20" s="1"/>
  <c r="A68" i="20" a="1"/>
  <c r="A68" i="20" s="1"/>
  <c r="A60" i="20" a="1"/>
  <c r="A60" i="20" s="1"/>
  <c r="A52" i="20" a="1"/>
  <c r="A52" i="20" s="1"/>
  <c r="A44" i="20" a="1"/>
  <c r="A44" i="20" s="1"/>
  <c r="A36" i="20" a="1"/>
  <c r="A36" i="20" s="1"/>
  <c r="A28" i="20" a="1"/>
  <c r="A28" i="20" s="1"/>
  <c r="A20" i="20" a="1"/>
  <c r="A20" i="20" s="1"/>
  <c r="A12" i="20" a="1"/>
  <c r="A12" i="20" s="1"/>
  <c r="A4" i="20" a="1"/>
  <c r="A4" i="20" s="1"/>
  <c r="A3" i="20" a="1"/>
  <c r="A3" i="20" s="1"/>
  <c r="A26" i="20" a="1"/>
  <c r="A26" i="20" s="1"/>
  <c r="A49" i="20" a="1"/>
  <c r="A49" i="20" s="1"/>
  <c r="A57" i="20" a="1"/>
  <c r="A57" i="20" s="1"/>
  <c r="A43" i="20" a="1"/>
  <c r="A43" i="20" s="1"/>
  <c r="A11" i="20" a="1"/>
  <c r="A11" i="20" s="1"/>
  <c r="A18" i="20" a="1"/>
  <c r="A18" i="20" s="1"/>
  <c r="A41" i="20" a="1"/>
  <c r="A41" i="20" s="1"/>
  <c r="A35" i="20" a="1"/>
  <c r="A35" i="20" s="1"/>
  <c r="A58" i="20" a="1"/>
  <c r="A58" i="20" s="1"/>
  <c r="F1" i="20" a="1"/>
  <c r="F1" i="20" s="1"/>
  <c r="A65" i="20" a="1"/>
  <c r="A65" i="20" s="1"/>
  <c r="B72" i="20" a="1"/>
  <c r="B72" i="20" s="1"/>
  <c r="A33" i="20" a="1"/>
  <c r="A33" i="20" s="1"/>
  <c r="A34" i="20" a="1"/>
  <c r="A34" i="20" s="1"/>
  <c r="A27" i="20" a="1"/>
  <c r="A27" i="20" s="1"/>
  <c r="A50" i="20" a="1"/>
  <c r="A50" i="20" s="1"/>
  <c r="C72" i="20" a="1"/>
  <c r="C72" i="20" s="1"/>
  <c r="A10" i="20" a="1"/>
  <c r="A10" i="20" s="1"/>
  <c r="C3" i="10" l="1"/>
  <c r="B1" i="19"/>
  <c r="B1" i="18"/>
  <c r="B1" i="17"/>
  <c r="BI162" i="4"/>
  <c r="BH162" i="4"/>
  <c r="BG162" i="4"/>
  <c r="AZ162" i="4"/>
  <c r="AY162" i="4"/>
  <c r="AX162" i="4"/>
  <c r="AQ162" i="4"/>
  <c r="AP162" i="4"/>
  <c r="AO162" i="4"/>
  <c r="AH162" i="4"/>
  <c r="AG162" i="4"/>
  <c r="AF162" i="4"/>
  <c r="Y162" i="4"/>
  <c r="X162" i="4"/>
  <c r="W162" i="4"/>
  <c r="P162" i="4"/>
  <c r="O162" i="4"/>
  <c r="N162" i="4"/>
  <c r="J162" i="4"/>
  <c r="BI161" i="4"/>
  <c r="BH161" i="4"/>
  <c r="BG161" i="4"/>
  <c r="AZ161" i="4"/>
  <c r="AY161" i="4"/>
  <c r="AX161" i="4"/>
  <c r="AQ161" i="4"/>
  <c r="AP161" i="4"/>
  <c r="AO161" i="4"/>
  <c r="AH161" i="4"/>
  <c r="AG161" i="4"/>
  <c r="AF161" i="4"/>
  <c r="Y161" i="4"/>
  <c r="X161" i="4"/>
  <c r="W161" i="4"/>
  <c r="P161" i="4"/>
  <c r="O161" i="4"/>
  <c r="N161" i="4"/>
  <c r="J161" i="4"/>
  <c r="BI160" i="4"/>
  <c r="BH160" i="4"/>
  <c r="BG160" i="4"/>
  <c r="AZ160" i="4"/>
  <c r="AY160" i="4"/>
  <c r="AX160" i="4"/>
  <c r="BB160" i="4" s="1"/>
  <c r="BA160" i="4" s="1"/>
  <c r="AQ160" i="4"/>
  <c r="AP160" i="4"/>
  <c r="AO160" i="4"/>
  <c r="AH160" i="4"/>
  <c r="AG160" i="4"/>
  <c r="AF160" i="4"/>
  <c r="Y160" i="4"/>
  <c r="X160" i="4"/>
  <c r="W160" i="4"/>
  <c r="P160" i="4"/>
  <c r="O160" i="4"/>
  <c r="N160" i="4"/>
  <c r="J160" i="4"/>
  <c r="BI159" i="4"/>
  <c r="BH159" i="4"/>
  <c r="BG159" i="4"/>
  <c r="AZ159" i="4"/>
  <c r="AY159" i="4"/>
  <c r="AX159" i="4"/>
  <c r="AQ159" i="4"/>
  <c r="AP159" i="4"/>
  <c r="AO159" i="4"/>
  <c r="AH159" i="4"/>
  <c r="AG159" i="4"/>
  <c r="AF159" i="4"/>
  <c r="AJ159" i="4" s="1"/>
  <c r="AI159" i="4" s="1"/>
  <c r="Y159" i="4"/>
  <c r="X159" i="4"/>
  <c r="W159" i="4"/>
  <c r="P159" i="4"/>
  <c r="O159" i="4"/>
  <c r="N159" i="4"/>
  <c r="J159" i="4"/>
  <c r="BI158" i="4"/>
  <c r="BH158" i="4"/>
  <c r="BG158" i="4"/>
  <c r="AZ158" i="4"/>
  <c r="AY158" i="4"/>
  <c r="AX158" i="4"/>
  <c r="BB158" i="4" s="1"/>
  <c r="BA158" i="4" s="1"/>
  <c r="AQ158" i="4"/>
  <c r="AP158" i="4"/>
  <c r="AO158" i="4"/>
  <c r="AS158" i="4" s="1"/>
  <c r="AR158" i="4" s="1"/>
  <c r="AH158" i="4"/>
  <c r="AG158" i="4"/>
  <c r="AF158" i="4"/>
  <c r="Y158" i="4"/>
  <c r="X158" i="4"/>
  <c r="W158" i="4"/>
  <c r="P158" i="4"/>
  <c r="O158" i="4"/>
  <c r="N158" i="4"/>
  <c r="J158" i="4"/>
  <c r="BI157" i="4"/>
  <c r="BH157" i="4"/>
  <c r="BG157" i="4"/>
  <c r="AZ157" i="4"/>
  <c r="AY157" i="4"/>
  <c r="AX157" i="4"/>
  <c r="AQ157" i="4"/>
  <c r="AP157" i="4"/>
  <c r="AO157" i="4"/>
  <c r="AH157" i="4"/>
  <c r="AG157" i="4"/>
  <c r="AF157" i="4"/>
  <c r="AJ157" i="4" s="1"/>
  <c r="AI157" i="4" s="1"/>
  <c r="Y157" i="4"/>
  <c r="X157" i="4"/>
  <c r="W157" i="4"/>
  <c r="P157" i="4"/>
  <c r="O157" i="4"/>
  <c r="N157" i="4"/>
  <c r="R157" i="4" s="1"/>
  <c r="Q157" i="4" s="1"/>
  <c r="J157" i="4"/>
  <c r="BI156" i="4"/>
  <c r="BH156" i="4"/>
  <c r="BG156" i="4"/>
  <c r="AZ156" i="4"/>
  <c r="AY156" i="4"/>
  <c r="AX156" i="4"/>
  <c r="AQ156" i="4"/>
  <c r="AP156" i="4"/>
  <c r="AO156" i="4"/>
  <c r="AH156" i="4"/>
  <c r="AG156" i="4"/>
  <c r="AF156" i="4"/>
  <c r="Y156" i="4"/>
  <c r="X156" i="4"/>
  <c r="W156" i="4"/>
  <c r="P156" i="4"/>
  <c r="O156" i="4"/>
  <c r="N156" i="4"/>
  <c r="R156" i="4" s="1"/>
  <c r="Q156" i="4" s="1"/>
  <c r="J156" i="4"/>
  <c r="AS156" i="4" s="1"/>
  <c r="AR156" i="4" s="1"/>
  <c r="BI155" i="4"/>
  <c r="BH155" i="4"/>
  <c r="BG155" i="4"/>
  <c r="AZ155" i="4"/>
  <c r="AY155" i="4"/>
  <c r="AX155" i="4"/>
  <c r="AQ155" i="4"/>
  <c r="AP155" i="4"/>
  <c r="AO155" i="4"/>
  <c r="AH155" i="4"/>
  <c r="AG155" i="4"/>
  <c r="AF155" i="4"/>
  <c r="Y155" i="4"/>
  <c r="X155" i="4"/>
  <c r="W155" i="4"/>
  <c r="P155" i="4"/>
  <c r="O155" i="4"/>
  <c r="N155" i="4"/>
  <c r="J155" i="4"/>
  <c r="BI154" i="4"/>
  <c r="BH154" i="4"/>
  <c r="BG154" i="4"/>
  <c r="AZ154" i="4"/>
  <c r="AY154" i="4"/>
  <c r="AX154" i="4"/>
  <c r="AQ154" i="4"/>
  <c r="AP154" i="4"/>
  <c r="AO154" i="4"/>
  <c r="AS154" i="4" s="1"/>
  <c r="AR154" i="4" s="1"/>
  <c r="AH154" i="4"/>
  <c r="AG154" i="4"/>
  <c r="AF154" i="4"/>
  <c r="Y154" i="4"/>
  <c r="X154" i="4"/>
  <c r="W154" i="4"/>
  <c r="P154" i="4"/>
  <c r="O154" i="4"/>
  <c r="N154" i="4"/>
  <c r="J154" i="4"/>
  <c r="AA154" i="4" s="1"/>
  <c r="Z154" i="4" s="1"/>
  <c r="BI153" i="4"/>
  <c r="BH153" i="4"/>
  <c r="BG153" i="4"/>
  <c r="AZ153" i="4"/>
  <c r="AY153" i="4"/>
  <c r="AX153" i="4"/>
  <c r="BB153" i="4" s="1"/>
  <c r="BA153" i="4" s="1"/>
  <c r="AQ153" i="4"/>
  <c r="AP153" i="4"/>
  <c r="AO153" i="4"/>
  <c r="AH153" i="4"/>
  <c r="AG153" i="4"/>
  <c r="AF153" i="4"/>
  <c r="Y153" i="4"/>
  <c r="X153" i="4"/>
  <c r="W153" i="4"/>
  <c r="P153" i="4"/>
  <c r="O153" i="4"/>
  <c r="N153" i="4"/>
  <c r="J153" i="4"/>
  <c r="BI152" i="4"/>
  <c r="BH152" i="4"/>
  <c r="BG152" i="4"/>
  <c r="AZ152" i="4"/>
  <c r="AY152" i="4"/>
  <c r="AX152" i="4"/>
  <c r="AQ152" i="4"/>
  <c r="AP152" i="4"/>
  <c r="AO152" i="4"/>
  <c r="AH152" i="4"/>
  <c r="AG152" i="4"/>
  <c r="AF152" i="4"/>
  <c r="Y152" i="4"/>
  <c r="X152" i="4"/>
  <c r="W152" i="4"/>
  <c r="P152" i="4"/>
  <c r="O152" i="4"/>
  <c r="N152" i="4"/>
  <c r="J152" i="4"/>
  <c r="AJ152" i="4" s="1"/>
  <c r="AI152" i="4" s="1"/>
  <c r="BI151" i="4"/>
  <c r="BH151" i="4"/>
  <c r="BG151" i="4"/>
  <c r="BK151" i="4" s="1"/>
  <c r="BJ151" i="4" s="1"/>
  <c r="AZ151" i="4"/>
  <c r="AY151" i="4"/>
  <c r="AX151" i="4"/>
  <c r="AQ151" i="4"/>
  <c r="AP151" i="4"/>
  <c r="AO151" i="4"/>
  <c r="AH151" i="4"/>
  <c r="AG151" i="4"/>
  <c r="AF151" i="4"/>
  <c r="Y151" i="4"/>
  <c r="X151" i="4"/>
  <c r="W151" i="4"/>
  <c r="AA151" i="4" s="1"/>
  <c r="Z151" i="4" s="1"/>
  <c r="P151" i="4"/>
  <c r="O151" i="4"/>
  <c r="N151" i="4"/>
  <c r="J151" i="4"/>
  <c r="BI150" i="4"/>
  <c r="BH150" i="4"/>
  <c r="BG150" i="4"/>
  <c r="AZ150" i="4"/>
  <c r="AY150" i="4"/>
  <c r="AX150" i="4"/>
  <c r="AQ150" i="4"/>
  <c r="AP150" i="4"/>
  <c r="AO150" i="4"/>
  <c r="AH150" i="4"/>
  <c r="AG150" i="4"/>
  <c r="AF150" i="4"/>
  <c r="AJ150" i="4" s="1"/>
  <c r="AI150" i="4" s="1"/>
  <c r="Y150" i="4"/>
  <c r="X150" i="4"/>
  <c r="W150" i="4"/>
  <c r="P150" i="4"/>
  <c r="O150" i="4"/>
  <c r="N150" i="4"/>
  <c r="R150" i="4" s="1"/>
  <c r="Q150" i="4" s="1"/>
  <c r="J150" i="4"/>
  <c r="BI149" i="4"/>
  <c r="BH149" i="4"/>
  <c r="BG149" i="4"/>
  <c r="AZ149" i="4"/>
  <c r="AY149" i="4"/>
  <c r="AX149" i="4"/>
  <c r="AQ149" i="4"/>
  <c r="AP149" i="4"/>
  <c r="AO149" i="4"/>
  <c r="AH149" i="4"/>
  <c r="AG149" i="4"/>
  <c r="AF149" i="4"/>
  <c r="AJ149" i="4" s="1"/>
  <c r="AI149" i="4" s="1"/>
  <c r="Y149" i="4"/>
  <c r="X149" i="4"/>
  <c r="W149" i="4"/>
  <c r="P149" i="4"/>
  <c r="O149" i="4"/>
  <c r="N149" i="4"/>
  <c r="J149" i="4"/>
  <c r="BI148" i="4"/>
  <c r="BH148" i="4"/>
  <c r="BG148" i="4"/>
  <c r="AZ148" i="4"/>
  <c r="AY148" i="4"/>
  <c r="AX148" i="4"/>
  <c r="AQ148" i="4"/>
  <c r="AP148" i="4"/>
  <c r="AO148" i="4"/>
  <c r="AS148" i="4" s="1"/>
  <c r="AR148" i="4" s="1"/>
  <c r="AH148" i="4"/>
  <c r="AG148" i="4"/>
  <c r="AF148" i="4"/>
  <c r="Y148" i="4"/>
  <c r="X148" i="4"/>
  <c r="W148" i="4"/>
  <c r="P148" i="4"/>
  <c r="O148" i="4"/>
  <c r="N148" i="4"/>
  <c r="J148" i="4"/>
  <c r="R148" i="4" s="1"/>
  <c r="Q148" i="4" s="1"/>
  <c r="BI147" i="4"/>
  <c r="BH147" i="4"/>
  <c r="BG147" i="4"/>
  <c r="AZ147" i="4"/>
  <c r="AY147" i="4"/>
  <c r="AX147" i="4"/>
  <c r="AQ147" i="4"/>
  <c r="AP147" i="4"/>
  <c r="AO147" i="4"/>
  <c r="AH147" i="4"/>
  <c r="AG147" i="4"/>
  <c r="AF147" i="4"/>
  <c r="Y147" i="4"/>
  <c r="X147" i="4"/>
  <c r="W147" i="4"/>
  <c r="P147" i="4"/>
  <c r="O147" i="4"/>
  <c r="N147" i="4"/>
  <c r="J147" i="4"/>
  <c r="BI146" i="4"/>
  <c r="BH146" i="4"/>
  <c r="BG146" i="4"/>
  <c r="AZ146" i="4"/>
  <c r="AY146" i="4"/>
  <c r="AX146" i="4"/>
  <c r="AQ146" i="4"/>
  <c r="AP146" i="4"/>
  <c r="AO146" i="4"/>
  <c r="AH146" i="4"/>
  <c r="AG146" i="4"/>
  <c r="AF146" i="4"/>
  <c r="Y146" i="4"/>
  <c r="X146" i="4"/>
  <c r="W146" i="4"/>
  <c r="P146" i="4"/>
  <c r="O146" i="4"/>
  <c r="N146" i="4"/>
  <c r="J146" i="4"/>
  <c r="BI145" i="4"/>
  <c r="BH145" i="4"/>
  <c r="BG145" i="4"/>
  <c r="AZ145" i="4"/>
  <c r="AY145" i="4"/>
  <c r="AX145" i="4"/>
  <c r="BB145" i="4" s="1"/>
  <c r="BA145" i="4" s="1"/>
  <c r="AQ145" i="4"/>
  <c r="AP145" i="4"/>
  <c r="AO145" i="4"/>
  <c r="AH145" i="4"/>
  <c r="AG145" i="4"/>
  <c r="AF145" i="4"/>
  <c r="Y145" i="4"/>
  <c r="X145" i="4"/>
  <c r="W145" i="4"/>
  <c r="AA145" i="4" s="1"/>
  <c r="Z145" i="4" s="1"/>
  <c r="P145" i="4"/>
  <c r="O145" i="4"/>
  <c r="N145" i="4"/>
  <c r="J145" i="4"/>
  <c r="BI144" i="4"/>
  <c r="BH144" i="4"/>
  <c r="BG144" i="4"/>
  <c r="AZ144" i="4"/>
  <c r="AY144" i="4"/>
  <c r="AX144" i="4"/>
  <c r="AQ144" i="4"/>
  <c r="AP144" i="4"/>
  <c r="AO144" i="4"/>
  <c r="AH144" i="4"/>
  <c r="AG144" i="4"/>
  <c r="AF144" i="4"/>
  <c r="Y144" i="4"/>
  <c r="X144" i="4"/>
  <c r="W144" i="4"/>
  <c r="P144" i="4"/>
  <c r="O144" i="4"/>
  <c r="N144" i="4"/>
  <c r="J144" i="4"/>
  <c r="BK144" i="4" s="1"/>
  <c r="BJ144" i="4" s="1"/>
  <c r="BI143" i="4"/>
  <c r="BH143" i="4"/>
  <c r="BG143" i="4"/>
  <c r="AZ143" i="4"/>
  <c r="AY143" i="4"/>
  <c r="AX143" i="4"/>
  <c r="BB143" i="4" s="1"/>
  <c r="BA143" i="4" s="1"/>
  <c r="AQ143" i="4"/>
  <c r="AP143" i="4"/>
  <c r="AO143" i="4"/>
  <c r="AS143" i="4" s="1"/>
  <c r="AR143" i="4" s="1"/>
  <c r="AH143" i="4"/>
  <c r="AG143" i="4"/>
  <c r="AF143" i="4"/>
  <c r="Y143" i="4"/>
  <c r="X143" i="4"/>
  <c r="W143" i="4"/>
  <c r="P143" i="4"/>
  <c r="O143" i="4"/>
  <c r="N143" i="4"/>
  <c r="J143" i="4"/>
  <c r="R143" i="4" s="1"/>
  <c r="Q143" i="4" s="1"/>
  <c r="BI142" i="4"/>
  <c r="BH142" i="4"/>
  <c r="BG142" i="4"/>
  <c r="BK142" i="4" s="1"/>
  <c r="BJ142" i="4" s="1"/>
  <c r="AZ142" i="4"/>
  <c r="AY142" i="4"/>
  <c r="AX142" i="4"/>
  <c r="AS142" i="4"/>
  <c r="AR142" i="4" s="1"/>
  <c r="AQ142" i="4"/>
  <c r="AP142" i="4"/>
  <c r="AO142" i="4"/>
  <c r="AH142" i="4"/>
  <c r="AG142" i="4"/>
  <c r="AF142" i="4"/>
  <c r="Y142" i="4"/>
  <c r="X142" i="4"/>
  <c r="W142" i="4"/>
  <c r="P142" i="4"/>
  <c r="O142" i="4"/>
  <c r="N142" i="4"/>
  <c r="R142" i="4" s="1"/>
  <c r="Q142" i="4" s="1"/>
  <c r="J142" i="4"/>
  <c r="AJ142" i="4" s="1"/>
  <c r="AI142" i="4" s="1"/>
  <c r="BI141" i="4"/>
  <c r="BH141" i="4"/>
  <c r="BG141" i="4"/>
  <c r="AZ141" i="4"/>
  <c r="AY141" i="4"/>
  <c r="AX141" i="4"/>
  <c r="AQ141" i="4"/>
  <c r="AP141" i="4"/>
  <c r="AO141" i="4"/>
  <c r="AH141" i="4"/>
  <c r="AG141" i="4"/>
  <c r="AF141" i="4"/>
  <c r="Y141" i="4"/>
  <c r="X141" i="4"/>
  <c r="W141" i="4"/>
  <c r="P141" i="4"/>
  <c r="O141" i="4"/>
  <c r="N141" i="4"/>
  <c r="R141" i="4" s="1"/>
  <c r="Q141" i="4" s="1"/>
  <c r="J141" i="4"/>
  <c r="BI140" i="4"/>
  <c r="BH140" i="4"/>
  <c r="BG140" i="4"/>
  <c r="AZ140" i="4"/>
  <c r="AY140" i="4"/>
  <c r="AX140" i="4"/>
  <c r="AQ140" i="4"/>
  <c r="AP140" i="4"/>
  <c r="AO140" i="4"/>
  <c r="AS140" i="4" s="1"/>
  <c r="AR140" i="4" s="1"/>
  <c r="AH140" i="4"/>
  <c r="AG140" i="4"/>
  <c r="AF140" i="4"/>
  <c r="AJ140" i="4" s="1"/>
  <c r="AI140" i="4" s="1"/>
  <c r="Y140" i="4"/>
  <c r="X140" i="4"/>
  <c r="W140" i="4"/>
  <c r="R140" i="4"/>
  <c r="Q140" i="4" s="1"/>
  <c r="P140" i="4"/>
  <c r="O140" i="4"/>
  <c r="N140" i="4"/>
  <c r="J140" i="4"/>
  <c r="BI139" i="4"/>
  <c r="BH139" i="4"/>
  <c r="BG139" i="4"/>
  <c r="AZ139" i="4"/>
  <c r="AY139" i="4"/>
  <c r="AX139" i="4"/>
  <c r="AQ139" i="4"/>
  <c r="AP139" i="4"/>
  <c r="AO139" i="4"/>
  <c r="AS139" i="4" s="1"/>
  <c r="AR139" i="4" s="1"/>
  <c r="AH139" i="4"/>
  <c r="AG139" i="4"/>
  <c r="AF139" i="4"/>
  <c r="Y139" i="4"/>
  <c r="X139" i="4"/>
  <c r="W139" i="4"/>
  <c r="AA139" i="4" s="1"/>
  <c r="Z139" i="4" s="1"/>
  <c r="P139" i="4"/>
  <c r="O139" i="4"/>
  <c r="N139" i="4"/>
  <c r="J139" i="4"/>
  <c r="BI138" i="4"/>
  <c r="BH138" i="4"/>
  <c r="BG138" i="4"/>
  <c r="AZ138" i="4"/>
  <c r="AY138" i="4"/>
  <c r="AX138" i="4"/>
  <c r="AQ138" i="4"/>
  <c r="AP138" i="4"/>
  <c r="AO138" i="4"/>
  <c r="AH138" i="4"/>
  <c r="AG138" i="4"/>
  <c r="AF138" i="4"/>
  <c r="Y138" i="4"/>
  <c r="X138" i="4"/>
  <c r="W138" i="4"/>
  <c r="P138" i="4"/>
  <c r="O138" i="4"/>
  <c r="N138" i="4"/>
  <c r="J138" i="4"/>
  <c r="BI137" i="4"/>
  <c r="BH137" i="4"/>
  <c r="BG137" i="4"/>
  <c r="AZ137" i="4"/>
  <c r="AY137" i="4"/>
  <c r="AX137" i="4"/>
  <c r="AQ137" i="4"/>
  <c r="AP137" i="4"/>
  <c r="AO137" i="4"/>
  <c r="AH137" i="4"/>
  <c r="AG137" i="4"/>
  <c r="AF137" i="4"/>
  <c r="Y137" i="4"/>
  <c r="X137" i="4"/>
  <c r="W137" i="4"/>
  <c r="P137" i="4"/>
  <c r="O137" i="4"/>
  <c r="N137" i="4"/>
  <c r="J137" i="4"/>
  <c r="BI136" i="4"/>
  <c r="BH136" i="4"/>
  <c r="BG136" i="4"/>
  <c r="AZ136" i="4"/>
  <c r="AY136" i="4"/>
  <c r="AX136" i="4"/>
  <c r="BB136" i="4" s="1"/>
  <c r="BA136" i="4" s="1"/>
  <c r="AQ136" i="4"/>
  <c r="AP136" i="4"/>
  <c r="AO136" i="4"/>
  <c r="AH136" i="4"/>
  <c r="AG136" i="4"/>
  <c r="AF136" i="4"/>
  <c r="Y136" i="4"/>
  <c r="X136" i="4"/>
  <c r="W136" i="4"/>
  <c r="AA136" i="4" s="1"/>
  <c r="Z136" i="4" s="1"/>
  <c r="P136" i="4"/>
  <c r="O136" i="4"/>
  <c r="N136" i="4"/>
  <c r="J136" i="4"/>
  <c r="BI135" i="4"/>
  <c r="BH135" i="4"/>
  <c r="BG135" i="4"/>
  <c r="AZ135" i="4"/>
  <c r="AY135" i="4"/>
  <c r="AX135" i="4"/>
  <c r="AQ135" i="4"/>
  <c r="AP135" i="4"/>
  <c r="AO135" i="4"/>
  <c r="AS135" i="4" s="1"/>
  <c r="AR135" i="4" s="1"/>
  <c r="AJ135" i="4"/>
  <c r="AI135" i="4" s="1"/>
  <c r="AH135" i="4"/>
  <c r="AG135" i="4"/>
  <c r="AF135" i="4"/>
  <c r="Y135" i="4"/>
  <c r="X135" i="4"/>
  <c r="W135" i="4"/>
  <c r="P135" i="4"/>
  <c r="O135" i="4"/>
  <c r="N135" i="4"/>
  <c r="R135" i="4" s="1"/>
  <c r="Q135" i="4" s="1"/>
  <c r="J135" i="4"/>
  <c r="BI134" i="4"/>
  <c r="BH134" i="4"/>
  <c r="BG134" i="4"/>
  <c r="AZ134" i="4"/>
  <c r="AY134" i="4"/>
  <c r="AX134" i="4"/>
  <c r="AQ134" i="4"/>
  <c r="AP134" i="4"/>
  <c r="AO134" i="4"/>
  <c r="AS134" i="4" s="1"/>
  <c r="AR134" i="4" s="1"/>
  <c r="AH134" i="4"/>
  <c r="AG134" i="4"/>
  <c r="AF134" i="4"/>
  <c r="Y134" i="4"/>
  <c r="X134" i="4"/>
  <c r="W134" i="4"/>
  <c r="P134" i="4"/>
  <c r="O134" i="4"/>
  <c r="N134" i="4"/>
  <c r="J134" i="4"/>
  <c r="BI133" i="4"/>
  <c r="BH133" i="4"/>
  <c r="BG133" i="4"/>
  <c r="AZ133" i="4"/>
  <c r="AY133" i="4"/>
  <c r="AX133" i="4"/>
  <c r="AQ133" i="4"/>
  <c r="AP133" i="4"/>
  <c r="AO133" i="4"/>
  <c r="AH133" i="4"/>
  <c r="AG133" i="4"/>
  <c r="AF133" i="4"/>
  <c r="Y133" i="4"/>
  <c r="X133" i="4"/>
  <c r="W133" i="4"/>
  <c r="P133" i="4"/>
  <c r="O133" i="4"/>
  <c r="N133" i="4"/>
  <c r="J133" i="4"/>
  <c r="BI132" i="4"/>
  <c r="BH132" i="4"/>
  <c r="BG132" i="4"/>
  <c r="AZ132" i="4"/>
  <c r="AY132" i="4"/>
  <c r="AX132" i="4"/>
  <c r="AQ132" i="4"/>
  <c r="AP132" i="4"/>
  <c r="AO132" i="4"/>
  <c r="AH132" i="4"/>
  <c r="AG132" i="4"/>
  <c r="AF132" i="4"/>
  <c r="Y132" i="4"/>
  <c r="X132" i="4"/>
  <c r="W132" i="4"/>
  <c r="P132" i="4"/>
  <c r="O132" i="4"/>
  <c r="N132" i="4"/>
  <c r="J132" i="4"/>
  <c r="AA132" i="4" s="1"/>
  <c r="Z132" i="4" s="1"/>
  <c r="BI131" i="4"/>
  <c r="BH131" i="4"/>
  <c r="BG131" i="4"/>
  <c r="AZ131" i="4"/>
  <c r="AY131" i="4"/>
  <c r="AX131" i="4"/>
  <c r="AQ131" i="4"/>
  <c r="AP131" i="4"/>
  <c r="AO131" i="4"/>
  <c r="AS131" i="4" s="1"/>
  <c r="AR131" i="4" s="1"/>
  <c r="AH131" i="4"/>
  <c r="AG131" i="4"/>
  <c r="AF131" i="4"/>
  <c r="Y131" i="4"/>
  <c r="X131" i="4"/>
  <c r="W131" i="4"/>
  <c r="R131" i="4"/>
  <c r="Q131" i="4" s="1"/>
  <c r="P131" i="4"/>
  <c r="O131" i="4"/>
  <c r="N131" i="4"/>
  <c r="J131" i="4"/>
  <c r="BB131" i="4" s="1"/>
  <c r="BA131" i="4" s="1"/>
  <c r="BI130" i="4"/>
  <c r="BH130" i="4"/>
  <c r="BG130" i="4"/>
  <c r="AZ130" i="4"/>
  <c r="AY130" i="4"/>
  <c r="AX130" i="4"/>
  <c r="BB130" i="4" s="1"/>
  <c r="BA130" i="4" s="1"/>
  <c r="AQ130" i="4"/>
  <c r="AP130" i="4"/>
  <c r="AO130" i="4"/>
  <c r="AS130" i="4" s="1"/>
  <c r="AR130" i="4" s="1"/>
  <c r="AH130" i="4"/>
  <c r="AG130" i="4"/>
  <c r="AF130" i="4"/>
  <c r="Y130" i="4"/>
  <c r="X130" i="4"/>
  <c r="W130" i="4"/>
  <c r="P130" i="4"/>
  <c r="O130" i="4"/>
  <c r="N130" i="4"/>
  <c r="J130" i="4"/>
  <c r="BI129" i="4"/>
  <c r="BH129" i="4"/>
  <c r="BG129" i="4"/>
  <c r="AZ129" i="4"/>
  <c r="AY129" i="4"/>
  <c r="AX129" i="4"/>
  <c r="BB129" i="4" s="1"/>
  <c r="BA129" i="4" s="1"/>
  <c r="AQ129" i="4"/>
  <c r="AP129" i="4"/>
  <c r="AO129" i="4"/>
  <c r="AH129" i="4"/>
  <c r="AG129" i="4"/>
  <c r="AF129" i="4"/>
  <c r="Y129" i="4"/>
  <c r="X129" i="4"/>
  <c r="W129" i="4"/>
  <c r="P129" i="4"/>
  <c r="O129" i="4"/>
  <c r="N129" i="4"/>
  <c r="J129" i="4"/>
  <c r="BI128" i="4"/>
  <c r="BH128" i="4"/>
  <c r="BG128" i="4"/>
  <c r="AZ128" i="4"/>
  <c r="AY128" i="4"/>
  <c r="AX128" i="4"/>
  <c r="AQ128" i="4"/>
  <c r="AP128" i="4"/>
  <c r="AO128" i="4"/>
  <c r="AH128" i="4"/>
  <c r="AG128" i="4"/>
  <c r="AF128" i="4"/>
  <c r="Y128" i="4"/>
  <c r="X128" i="4"/>
  <c r="W128" i="4"/>
  <c r="P128" i="4"/>
  <c r="O128" i="4"/>
  <c r="N128" i="4"/>
  <c r="J128" i="4"/>
  <c r="BK127" i="4"/>
  <c r="BJ127" i="4" s="1"/>
  <c r="BI127" i="4"/>
  <c r="BH127" i="4"/>
  <c r="BG127" i="4"/>
  <c r="AZ127" i="4"/>
  <c r="AY127" i="4"/>
  <c r="AX127" i="4"/>
  <c r="AQ127" i="4"/>
  <c r="AP127" i="4"/>
  <c r="AO127" i="4"/>
  <c r="AH127" i="4"/>
  <c r="AG127" i="4"/>
  <c r="AF127" i="4"/>
  <c r="AJ127" i="4" s="1"/>
  <c r="AI127" i="4" s="1"/>
  <c r="Y127" i="4"/>
  <c r="X127" i="4"/>
  <c r="W127" i="4"/>
  <c r="AA127" i="4" s="1"/>
  <c r="Z127" i="4" s="1"/>
  <c r="P127" i="4"/>
  <c r="O127" i="4"/>
  <c r="N127" i="4"/>
  <c r="R127" i="4" s="1"/>
  <c r="Q127" i="4" s="1"/>
  <c r="J127" i="4"/>
  <c r="BI126" i="4"/>
  <c r="BH126" i="4"/>
  <c r="BG126" i="4"/>
  <c r="AZ126" i="4"/>
  <c r="AY126" i="4"/>
  <c r="AX126" i="4"/>
  <c r="AQ126" i="4"/>
  <c r="AP126" i="4"/>
  <c r="AO126" i="4"/>
  <c r="AH126" i="4"/>
  <c r="AG126" i="4"/>
  <c r="AF126" i="4"/>
  <c r="Y126" i="4"/>
  <c r="X126" i="4"/>
  <c r="W126" i="4"/>
  <c r="P126" i="4"/>
  <c r="O126" i="4"/>
  <c r="N126" i="4"/>
  <c r="R126" i="4" s="1"/>
  <c r="Q126" i="4" s="1"/>
  <c r="J126" i="4"/>
  <c r="BI125" i="4"/>
  <c r="BH125" i="4"/>
  <c r="BG125" i="4"/>
  <c r="BK125" i="4" s="1"/>
  <c r="BJ125" i="4" s="1"/>
  <c r="AZ125" i="4"/>
  <c r="AY125" i="4"/>
  <c r="AX125" i="4"/>
  <c r="AQ125" i="4"/>
  <c r="AP125" i="4"/>
  <c r="AO125" i="4"/>
  <c r="AS125" i="4" s="1"/>
  <c r="AR125" i="4" s="1"/>
  <c r="AH125" i="4"/>
  <c r="AG125" i="4"/>
  <c r="AF125" i="4"/>
  <c r="AJ125" i="4" s="1"/>
  <c r="AI125" i="4" s="1"/>
  <c r="Y125" i="4"/>
  <c r="X125" i="4"/>
  <c r="W125" i="4"/>
  <c r="P125" i="4"/>
  <c r="O125" i="4"/>
  <c r="N125" i="4"/>
  <c r="R125" i="4" s="1"/>
  <c r="Q125" i="4" s="1"/>
  <c r="J125" i="4"/>
  <c r="BI124" i="4"/>
  <c r="BH124" i="4"/>
  <c r="BG124" i="4"/>
  <c r="AZ124" i="4"/>
  <c r="AY124" i="4"/>
  <c r="AX124" i="4"/>
  <c r="BB124" i="4" s="1"/>
  <c r="BA124" i="4" s="1"/>
  <c r="AQ124" i="4"/>
  <c r="AP124" i="4"/>
  <c r="AO124" i="4"/>
  <c r="AH124" i="4"/>
  <c r="AG124" i="4"/>
  <c r="AF124" i="4"/>
  <c r="Y124" i="4"/>
  <c r="X124" i="4"/>
  <c r="W124" i="4"/>
  <c r="P124" i="4"/>
  <c r="O124" i="4"/>
  <c r="N124" i="4"/>
  <c r="J124" i="4"/>
  <c r="AA124" i="4" s="1"/>
  <c r="Z124" i="4" s="1"/>
  <c r="BI123" i="4"/>
  <c r="BH123" i="4"/>
  <c r="BG123" i="4"/>
  <c r="AZ123" i="4"/>
  <c r="AY123" i="4"/>
  <c r="AX123" i="4"/>
  <c r="AQ123" i="4"/>
  <c r="AP123" i="4"/>
  <c r="AO123" i="4"/>
  <c r="AH123" i="4"/>
  <c r="AG123" i="4"/>
  <c r="AF123" i="4"/>
  <c r="Y123" i="4"/>
  <c r="X123" i="4"/>
  <c r="W123" i="4"/>
  <c r="P123" i="4"/>
  <c r="O123" i="4"/>
  <c r="N123" i="4"/>
  <c r="J123" i="4"/>
  <c r="BB123" i="4" s="1"/>
  <c r="BA123" i="4" s="1"/>
  <c r="BI122" i="4"/>
  <c r="BH122" i="4"/>
  <c r="BG122" i="4"/>
  <c r="AZ122" i="4"/>
  <c r="AY122" i="4"/>
  <c r="AX122" i="4"/>
  <c r="AQ122" i="4"/>
  <c r="AP122" i="4"/>
  <c r="AO122" i="4"/>
  <c r="AS122" i="4" s="1"/>
  <c r="AR122" i="4" s="1"/>
  <c r="AH122" i="4"/>
  <c r="AG122" i="4"/>
  <c r="AF122" i="4"/>
  <c r="Y122" i="4"/>
  <c r="X122" i="4"/>
  <c r="W122" i="4"/>
  <c r="P122" i="4"/>
  <c r="O122" i="4"/>
  <c r="N122" i="4"/>
  <c r="J122" i="4"/>
  <c r="BB122" i="4" s="1"/>
  <c r="BA122" i="4" s="1"/>
  <c r="BI121" i="4"/>
  <c r="BH121" i="4"/>
  <c r="BG121" i="4"/>
  <c r="AZ121" i="4"/>
  <c r="AY121" i="4"/>
  <c r="AX121" i="4"/>
  <c r="AQ121" i="4"/>
  <c r="AP121" i="4"/>
  <c r="AO121" i="4"/>
  <c r="AH121" i="4"/>
  <c r="AG121" i="4"/>
  <c r="AF121" i="4"/>
  <c r="Y121" i="4"/>
  <c r="X121" i="4"/>
  <c r="W121" i="4"/>
  <c r="P121" i="4"/>
  <c r="O121" i="4"/>
  <c r="N121" i="4"/>
  <c r="J121" i="4"/>
  <c r="BI120" i="4"/>
  <c r="BH120" i="4"/>
  <c r="BG120" i="4"/>
  <c r="AZ120" i="4"/>
  <c r="AY120" i="4"/>
  <c r="AX120" i="4"/>
  <c r="AQ120" i="4"/>
  <c r="AP120" i="4"/>
  <c r="AO120" i="4"/>
  <c r="AH120" i="4"/>
  <c r="AG120" i="4"/>
  <c r="AF120" i="4"/>
  <c r="Y120" i="4"/>
  <c r="X120" i="4"/>
  <c r="W120" i="4"/>
  <c r="P120" i="4"/>
  <c r="O120" i="4"/>
  <c r="N120" i="4"/>
  <c r="J120" i="4"/>
  <c r="BI119" i="4"/>
  <c r="BH119" i="4"/>
  <c r="BG119" i="4"/>
  <c r="AZ119" i="4"/>
  <c r="AY119" i="4"/>
  <c r="AX119" i="4"/>
  <c r="AQ119" i="4"/>
  <c r="AP119" i="4"/>
  <c r="AO119" i="4"/>
  <c r="AH119" i="4"/>
  <c r="AG119" i="4"/>
  <c r="AF119" i="4"/>
  <c r="Y119" i="4"/>
  <c r="X119" i="4"/>
  <c r="W119" i="4"/>
  <c r="P119" i="4"/>
  <c r="O119" i="4"/>
  <c r="N119" i="4"/>
  <c r="R119" i="4" s="1"/>
  <c r="Q119" i="4" s="1"/>
  <c r="J119" i="4"/>
  <c r="BK119" i="4" s="1"/>
  <c r="BJ119" i="4" s="1"/>
  <c r="BI118" i="4"/>
  <c r="BH118" i="4"/>
  <c r="BG118" i="4"/>
  <c r="AZ118" i="4"/>
  <c r="AY118" i="4"/>
  <c r="AX118" i="4"/>
  <c r="AQ118" i="4"/>
  <c r="AP118" i="4"/>
  <c r="AO118" i="4"/>
  <c r="AH118" i="4"/>
  <c r="AG118" i="4"/>
  <c r="AF118" i="4"/>
  <c r="Y118" i="4"/>
  <c r="X118" i="4"/>
  <c r="W118" i="4"/>
  <c r="P118" i="4"/>
  <c r="O118" i="4"/>
  <c r="N118" i="4"/>
  <c r="J118" i="4"/>
  <c r="AS118" i="4" s="1"/>
  <c r="AR118" i="4" s="1"/>
  <c r="BI117" i="4"/>
  <c r="BH117" i="4"/>
  <c r="BG117" i="4"/>
  <c r="BK117" i="4" s="1"/>
  <c r="BJ117" i="4" s="1"/>
  <c r="AZ117" i="4"/>
  <c r="AY117" i="4"/>
  <c r="AX117" i="4"/>
  <c r="AS117" i="4"/>
  <c r="AR117" i="4" s="1"/>
  <c r="AQ117" i="4"/>
  <c r="AP117" i="4"/>
  <c r="AO117" i="4"/>
  <c r="AH117" i="4"/>
  <c r="AG117" i="4"/>
  <c r="AF117" i="4"/>
  <c r="AJ117" i="4" s="1"/>
  <c r="AI117" i="4" s="1"/>
  <c r="Y117" i="4"/>
  <c r="X117" i="4"/>
  <c r="W117" i="4"/>
  <c r="AA117" i="4" s="1"/>
  <c r="Z117" i="4" s="1"/>
  <c r="P117" i="4"/>
  <c r="O117" i="4"/>
  <c r="N117" i="4"/>
  <c r="R117" i="4" s="1"/>
  <c r="Q117" i="4" s="1"/>
  <c r="J117" i="4"/>
  <c r="BI116" i="4"/>
  <c r="BH116" i="4"/>
  <c r="BG116" i="4"/>
  <c r="BK116" i="4" s="1"/>
  <c r="BJ116" i="4" s="1"/>
  <c r="AZ116" i="4"/>
  <c r="AY116" i="4"/>
  <c r="AX116" i="4"/>
  <c r="BB116" i="4" s="1"/>
  <c r="BA116" i="4" s="1"/>
  <c r="AQ116" i="4"/>
  <c r="AP116" i="4"/>
  <c r="AO116" i="4"/>
  <c r="AS116" i="4" s="1"/>
  <c r="AR116" i="4" s="1"/>
  <c r="AH116" i="4"/>
  <c r="AG116" i="4"/>
  <c r="AF116" i="4"/>
  <c r="Y116" i="4"/>
  <c r="X116" i="4"/>
  <c r="W116" i="4"/>
  <c r="P116" i="4"/>
  <c r="O116" i="4"/>
  <c r="N116" i="4"/>
  <c r="J116" i="4"/>
  <c r="BI115" i="4"/>
  <c r="BH115" i="4"/>
  <c r="BG115" i="4"/>
  <c r="AZ115" i="4"/>
  <c r="AY115" i="4"/>
  <c r="AX115" i="4"/>
  <c r="AQ115" i="4"/>
  <c r="AP115" i="4"/>
  <c r="AO115" i="4"/>
  <c r="AH115" i="4"/>
  <c r="AG115" i="4"/>
  <c r="AF115" i="4"/>
  <c r="Y115" i="4"/>
  <c r="X115" i="4"/>
  <c r="W115" i="4"/>
  <c r="P115" i="4"/>
  <c r="O115" i="4"/>
  <c r="N115" i="4"/>
  <c r="J115" i="4"/>
  <c r="BI114" i="4"/>
  <c r="BH114" i="4"/>
  <c r="BG114" i="4"/>
  <c r="AZ114" i="4"/>
  <c r="AY114" i="4"/>
  <c r="AX114" i="4"/>
  <c r="AQ114" i="4"/>
  <c r="AP114" i="4"/>
  <c r="AO114" i="4"/>
  <c r="AH114" i="4"/>
  <c r="AG114" i="4"/>
  <c r="AF114" i="4"/>
  <c r="Y114" i="4"/>
  <c r="X114" i="4"/>
  <c r="W114" i="4"/>
  <c r="P114" i="4"/>
  <c r="O114" i="4"/>
  <c r="N114" i="4"/>
  <c r="J114" i="4"/>
  <c r="BI113" i="4"/>
  <c r="BH113" i="4"/>
  <c r="BG113" i="4"/>
  <c r="AZ113" i="4"/>
  <c r="AY113" i="4"/>
  <c r="AX113" i="4"/>
  <c r="AQ113" i="4"/>
  <c r="AP113" i="4"/>
  <c r="AO113" i="4"/>
  <c r="AH113" i="4"/>
  <c r="AG113" i="4"/>
  <c r="AF113" i="4"/>
  <c r="AJ113" i="4" s="1"/>
  <c r="AI113" i="4" s="1"/>
  <c r="Y113" i="4"/>
  <c r="X113" i="4"/>
  <c r="W113" i="4"/>
  <c r="P113" i="4"/>
  <c r="O113" i="4"/>
  <c r="N113" i="4"/>
  <c r="J113" i="4"/>
  <c r="BI112" i="4"/>
  <c r="BH112" i="4"/>
  <c r="BG112" i="4"/>
  <c r="AZ112" i="4"/>
  <c r="AY112" i="4"/>
  <c r="AX112" i="4"/>
  <c r="AQ112" i="4"/>
  <c r="AP112" i="4"/>
  <c r="AO112" i="4"/>
  <c r="AH112" i="4"/>
  <c r="AG112" i="4"/>
  <c r="AF112" i="4"/>
  <c r="Y112" i="4"/>
  <c r="X112" i="4"/>
  <c r="W112" i="4"/>
  <c r="P112" i="4"/>
  <c r="O112" i="4"/>
  <c r="N112" i="4"/>
  <c r="J112" i="4"/>
  <c r="BK112" i="4" s="1"/>
  <c r="BJ112" i="4" s="1"/>
  <c r="BI111" i="4"/>
  <c r="BH111" i="4"/>
  <c r="BG111" i="4"/>
  <c r="BK111" i="4" s="1"/>
  <c r="BJ111" i="4" s="1"/>
  <c r="AZ111" i="4"/>
  <c r="AY111" i="4"/>
  <c r="AX111" i="4"/>
  <c r="BB111" i="4" s="1"/>
  <c r="BA111" i="4" s="1"/>
  <c r="AQ111" i="4"/>
  <c r="AP111" i="4"/>
  <c r="AO111" i="4"/>
  <c r="AH111" i="4"/>
  <c r="AG111" i="4"/>
  <c r="AF111" i="4"/>
  <c r="Y111" i="4"/>
  <c r="X111" i="4"/>
  <c r="W111" i="4"/>
  <c r="P111" i="4"/>
  <c r="O111" i="4"/>
  <c r="N111" i="4"/>
  <c r="R111" i="4" s="1"/>
  <c r="Q111" i="4" s="1"/>
  <c r="J111" i="4"/>
  <c r="BI110" i="4"/>
  <c r="BH110" i="4"/>
  <c r="BG110" i="4"/>
  <c r="AZ110" i="4"/>
  <c r="AY110" i="4"/>
  <c r="AX110" i="4"/>
  <c r="AQ110" i="4"/>
  <c r="AP110" i="4"/>
  <c r="AO110" i="4"/>
  <c r="AH110" i="4"/>
  <c r="AG110" i="4"/>
  <c r="AF110" i="4"/>
  <c r="AJ110" i="4" s="1"/>
  <c r="AI110" i="4" s="1"/>
  <c r="Y110" i="4"/>
  <c r="X110" i="4"/>
  <c r="W110" i="4"/>
  <c r="P110" i="4"/>
  <c r="O110" i="4"/>
  <c r="N110" i="4"/>
  <c r="J110" i="4"/>
  <c r="BI109" i="4"/>
  <c r="BH109" i="4"/>
  <c r="BG109" i="4"/>
  <c r="AZ109" i="4"/>
  <c r="AY109" i="4"/>
  <c r="AX109" i="4"/>
  <c r="AQ109" i="4"/>
  <c r="AP109" i="4"/>
  <c r="AO109" i="4"/>
  <c r="AS109" i="4" s="1"/>
  <c r="AR109" i="4" s="1"/>
  <c r="AH109" i="4"/>
  <c r="AG109" i="4"/>
  <c r="AF109" i="4"/>
  <c r="AJ109" i="4" s="1"/>
  <c r="AI109" i="4" s="1"/>
  <c r="Y109" i="4"/>
  <c r="X109" i="4"/>
  <c r="W109" i="4"/>
  <c r="P109" i="4"/>
  <c r="O109" i="4"/>
  <c r="N109" i="4"/>
  <c r="R109" i="4" s="1"/>
  <c r="Q109" i="4" s="1"/>
  <c r="J109" i="4"/>
  <c r="BI108" i="4"/>
  <c r="BH108" i="4"/>
  <c r="BG108" i="4"/>
  <c r="BK108" i="4" s="1"/>
  <c r="BJ108" i="4" s="1"/>
  <c r="AZ108" i="4"/>
  <c r="AY108" i="4"/>
  <c r="AX108" i="4"/>
  <c r="AQ108" i="4"/>
  <c r="AP108" i="4"/>
  <c r="AO108" i="4"/>
  <c r="AS108" i="4" s="1"/>
  <c r="AR108" i="4" s="1"/>
  <c r="AH108" i="4"/>
  <c r="AG108" i="4"/>
  <c r="AF108" i="4"/>
  <c r="Y108" i="4"/>
  <c r="X108" i="4"/>
  <c r="W108" i="4"/>
  <c r="AA108" i="4" s="1"/>
  <c r="Z108" i="4" s="1"/>
  <c r="P108" i="4"/>
  <c r="O108" i="4"/>
  <c r="N108" i="4"/>
  <c r="J108" i="4"/>
  <c r="BI107" i="4"/>
  <c r="BH107" i="4"/>
  <c r="BG107" i="4"/>
  <c r="AZ107" i="4"/>
  <c r="AY107" i="4"/>
  <c r="AX107" i="4"/>
  <c r="AQ107" i="4"/>
  <c r="AP107" i="4"/>
  <c r="AO107" i="4"/>
  <c r="AH107" i="4"/>
  <c r="AG107" i="4"/>
  <c r="AF107" i="4"/>
  <c r="Y107" i="4"/>
  <c r="X107" i="4"/>
  <c r="W107" i="4"/>
  <c r="P107" i="4"/>
  <c r="O107" i="4"/>
  <c r="N107" i="4"/>
  <c r="J107" i="4"/>
  <c r="BI106" i="4"/>
  <c r="BH106" i="4"/>
  <c r="BG106" i="4"/>
  <c r="AZ106" i="4"/>
  <c r="AY106" i="4"/>
  <c r="AX106" i="4"/>
  <c r="AQ106" i="4"/>
  <c r="AP106" i="4"/>
  <c r="AO106" i="4"/>
  <c r="AH106" i="4"/>
  <c r="AG106" i="4"/>
  <c r="AF106" i="4"/>
  <c r="Y106" i="4"/>
  <c r="X106" i="4"/>
  <c r="W106" i="4"/>
  <c r="P106" i="4"/>
  <c r="O106" i="4"/>
  <c r="N106" i="4"/>
  <c r="J106" i="4"/>
  <c r="AJ106" i="4" s="1"/>
  <c r="AI106" i="4" s="1"/>
  <c r="BK105" i="4"/>
  <c r="BJ105" i="4" s="1"/>
  <c r="BI105" i="4"/>
  <c r="BH105" i="4"/>
  <c r="BG105" i="4"/>
  <c r="AZ105" i="4"/>
  <c r="AY105" i="4"/>
  <c r="AX105" i="4"/>
  <c r="AQ105" i="4"/>
  <c r="AP105" i="4"/>
  <c r="AO105" i="4"/>
  <c r="AS105" i="4" s="1"/>
  <c r="AR105" i="4" s="1"/>
  <c r="AH105" i="4"/>
  <c r="AG105" i="4"/>
  <c r="AF105" i="4"/>
  <c r="AJ105" i="4" s="1"/>
  <c r="AI105" i="4" s="1"/>
  <c r="Y105" i="4"/>
  <c r="X105" i="4"/>
  <c r="W105" i="4"/>
  <c r="AA105" i="4" s="1"/>
  <c r="Z105" i="4" s="1"/>
  <c r="P105" i="4"/>
  <c r="O105" i="4"/>
  <c r="N105" i="4"/>
  <c r="J105" i="4"/>
  <c r="BI104" i="4"/>
  <c r="BH104" i="4"/>
  <c r="BG104" i="4"/>
  <c r="AZ104" i="4"/>
  <c r="AY104" i="4"/>
  <c r="AX104" i="4"/>
  <c r="AQ104" i="4"/>
  <c r="AP104" i="4"/>
  <c r="AO104" i="4"/>
  <c r="AS104" i="4" s="1"/>
  <c r="AR104" i="4" s="1"/>
  <c r="AH104" i="4"/>
  <c r="AG104" i="4"/>
  <c r="AF104" i="4"/>
  <c r="AJ104" i="4" s="1"/>
  <c r="AI104" i="4" s="1"/>
  <c r="Y104" i="4"/>
  <c r="X104" i="4"/>
  <c r="W104" i="4"/>
  <c r="P104" i="4"/>
  <c r="O104" i="4"/>
  <c r="N104" i="4"/>
  <c r="R104" i="4" s="1"/>
  <c r="Q104" i="4" s="1"/>
  <c r="J104" i="4"/>
  <c r="BI103" i="4"/>
  <c r="BH103" i="4"/>
  <c r="BG103" i="4"/>
  <c r="AZ103" i="4"/>
  <c r="AY103" i="4"/>
  <c r="AX103" i="4"/>
  <c r="AQ103" i="4"/>
  <c r="AP103" i="4"/>
  <c r="AO103" i="4"/>
  <c r="AS103" i="4" s="1"/>
  <c r="AR103" i="4" s="1"/>
  <c r="AH103" i="4"/>
  <c r="AG103" i="4"/>
  <c r="AF103" i="4"/>
  <c r="Y103" i="4"/>
  <c r="X103" i="4"/>
  <c r="W103" i="4"/>
  <c r="P103" i="4"/>
  <c r="O103" i="4"/>
  <c r="N103" i="4"/>
  <c r="R103" i="4" s="1"/>
  <c r="Q103" i="4" s="1"/>
  <c r="J103" i="4"/>
  <c r="BI102" i="4"/>
  <c r="BH102" i="4"/>
  <c r="BG102" i="4"/>
  <c r="AZ102" i="4"/>
  <c r="AY102" i="4"/>
  <c r="AX102" i="4"/>
  <c r="AQ102" i="4"/>
  <c r="AP102" i="4"/>
  <c r="AO102" i="4"/>
  <c r="AH102" i="4"/>
  <c r="AG102" i="4"/>
  <c r="AF102" i="4"/>
  <c r="Y102" i="4"/>
  <c r="X102" i="4"/>
  <c r="W102" i="4"/>
  <c r="P102" i="4"/>
  <c r="O102" i="4"/>
  <c r="N102" i="4"/>
  <c r="R102" i="4" s="1"/>
  <c r="Q102" i="4" s="1"/>
  <c r="J102" i="4"/>
  <c r="BI101" i="4"/>
  <c r="BH101" i="4"/>
  <c r="BG101" i="4"/>
  <c r="AZ101" i="4"/>
  <c r="AY101" i="4"/>
  <c r="AX101" i="4"/>
  <c r="AQ101" i="4"/>
  <c r="AP101" i="4"/>
  <c r="AO101" i="4"/>
  <c r="AS101" i="4" s="1"/>
  <c r="AR101" i="4" s="1"/>
  <c r="AH101" i="4"/>
  <c r="AG101" i="4"/>
  <c r="AF101" i="4"/>
  <c r="Y101" i="4"/>
  <c r="X101" i="4"/>
  <c r="W101" i="4"/>
  <c r="P101" i="4"/>
  <c r="O101" i="4"/>
  <c r="N101" i="4"/>
  <c r="R101" i="4" s="1"/>
  <c r="Q101" i="4" s="1"/>
  <c r="J101" i="4"/>
  <c r="BI100" i="4"/>
  <c r="BH100" i="4"/>
  <c r="BG100" i="4"/>
  <c r="AZ100" i="4"/>
  <c r="AY100" i="4"/>
  <c r="AX100" i="4"/>
  <c r="AQ100" i="4"/>
  <c r="AP100" i="4"/>
  <c r="AO100" i="4"/>
  <c r="AS100" i="4" s="1"/>
  <c r="AR100" i="4" s="1"/>
  <c r="AH100" i="4"/>
  <c r="AG100" i="4"/>
  <c r="AF100" i="4"/>
  <c r="AJ100" i="4" s="1"/>
  <c r="AI100" i="4" s="1"/>
  <c r="Y100" i="4"/>
  <c r="X100" i="4"/>
  <c r="W100" i="4"/>
  <c r="P100" i="4"/>
  <c r="O100" i="4"/>
  <c r="N100" i="4"/>
  <c r="J100" i="4"/>
  <c r="BI99" i="4"/>
  <c r="BH99" i="4"/>
  <c r="BG99" i="4"/>
  <c r="AZ99" i="4"/>
  <c r="AY99" i="4"/>
  <c r="AX99" i="4"/>
  <c r="AQ99" i="4"/>
  <c r="AP99" i="4"/>
  <c r="AO99" i="4"/>
  <c r="AS99" i="4" s="1"/>
  <c r="AR99" i="4" s="1"/>
  <c r="AH99" i="4"/>
  <c r="AG99" i="4"/>
  <c r="AF99" i="4"/>
  <c r="Y99" i="4"/>
  <c r="X99" i="4"/>
  <c r="W99" i="4"/>
  <c r="P99" i="4"/>
  <c r="O99" i="4"/>
  <c r="N99" i="4"/>
  <c r="J99" i="4"/>
  <c r="BI98" i="4"/>
  <c r="BH98" i="4"/>
  <c r="BG98" i="4"/>
  <c r="AZ98" i="4"/>
  <c r="AY98" i="4"/>
  <c r="AX98" i="4"/>
  <c r="BB98" i="4" s="1"/>
  <c r="BA98" i="4" s="1"/>
  <c r="AQ98" i="4"/>
  <c r="AP98" i="4"/>
  <c r="AO98" i="4"/>
  <c r="AH98" i="4"/>
  <c r="AG98" i="4"/>
  <c r="AF98" i="4"/>
  <c r="Y98" i="4"/>
  <c r="X98" i="4"/>
  <c r="W98" i="4"/>
  <c r="P98" i="4"/>
  <c r="O98" i="4"/>
  <c r="N98" i="4"/>
  <c r="J98" i="4"/>
  <c r="BK98" i="4" s="1"/>
  <c r="BJ98" i="4" s="1"/>
  <c r="BI97" i="4"/>
  <c r="BH97" i="4"/>
  <c r="BG97" i="4"/>
  <c r="AZ97" i="4"/>
  <c r="AY97" i="4"/>
  <c r="AX97" i="4"/>
  <c r="AQ97" i="4"/>
  <c r="AP97" i="4"/>
  <c r="AO97" i="4"/>
  <c r="AH97" i="4"/>
  <c r="AG97" i="4"/>
  <c r="AF97" i="4"/>
  <c r="Y97" i="4"/>
  <c r="X97" i="4"/>
  <c r="W97" i="4"/>
  <c r="AA97" i="4" s="1"/>
  <c r="Z97" i="4" s="1"/>
  <c r="P97" i="4"/>
  <c r="O97" i="4"/>
  <c r="N97" i="4"/>
  <c r="J97" i="4"/>
  <c r="BI96" i="4"/>
  <c r="BH96" i="4"/>
  <c r="BG96" i="4"/>
  <c r="AZ96" i="4"/>
  <c r="AY96" i="4"/>
  <c r="AX96" i="4"/>
  <c r="AQ96" i="4"/>
  <c r="AP96" i="4"/>
  <c r="AO96" i="4"/>
  <c r="AH96" i="4"/>
  <c r="AG96" i="4"/>
  <c r="AF96" i="4"/>
  <c r="AJ96" i="4" s="1"/>
  <c r="AI96" i="4" s="1"/>
  <c r="Y96" i="4"/>
  <c r="X96" i="4"/>
  <c r="W96" i="4"/>
  <c r="P96" i="4"/>
  <c r="O96" i="4"/>
  <c r="N96" i="4"/>
  <c r="J96" i="4"/>
  <c r="BI95" i="4"/>
  <c r="BH95" i="4"/>
  <c r="BG95" i="4"/>
  <c r="AZ95" i="4"/>
  <c r="AY95" i="4"/>
  <c r="AX95" i="4"/>
  <c r="AQ95" i="4"/>
  <c r="AP95" i="4"/>
  <c r="AO95" i="4"/>
  <c r="AS95" i="4" s="1"/>
  <c r="AR95" i="4" s="1"/>
  <c r="AH95" i="4"/>
  <c r="AG95" i="4"/>
  <c r="AF95" i="4"/>
  <c r="Y95" i="4"/>
  <c r="X95" i="4"/>
  <c r="W95" i="4"/>
  <c r="P95" i="4"/>
  <c r="O95" i="4"/>
  <c r="N95" i="4"/>
  <c r="R95" i="4" s="1"/>
  <c r="Q95" i="4" s="1"/>
  <c r="J95" i="4"/>
  <c r="BI94" i="4"/>
  <c r="BH94" i="4"/>
  <c r="BG94" i="4"/>
  <c r="AZ94" i="4"/>
  <c r="AY94" i="4"/>
  <c r="AX94" i="4"/>
  <c r="BB94" i="4" s="1"/>
  <c r="BA94" i="4" s="1"/>
  <c r="AQ94" i="4"/>
  <c r="AP94" i="4"/>
  <c r="AO94" i="4"/>
  <c r="AS94" i="4" s="1"/>
  <c r="AR94" i="4" s="1"/>
  <c r="AH94" i="4"/>
  <c r="AG94" i="4"/>
  <c r="AF94" i="4"/>
  <c r="AJ94" i="4" s="1"/>
  <c r="AI94" i="4" s="1"/>
  <c r="Y94" i="4"/>
  <c r="X94" i="4"/>
  <c r="W94" i="4"/>
  <c r="P94" i="4"/>
  <c r="O94" i="4"/>
  <c r="N94" i="4"/>
  <c r="R94" i="4" s="1"/>
  <c r="Q94" i="4" s="1"/>
  <c r="J94" i="4"/>
  <c r="BI93" i="4"/>
  <c r="BH93" i="4"/>
  <c r="BG93" i="4"/>
  <c r="AZ93" i="4"/>
  <c r="AY93" i="4"/>
  <c r="AX93" i="4"/>
  <c r="AQ93" i="4"/>
  <c r="AP93" i="4"/>
  <c r="AO93" i="4"/>
  <c r="AH93" i="4"/>
  <c r="AG93" i="4"/>
  <c r="AF93" i="4"/>
  <c r="Y93" i="4"/>
  <c r="X93" i="4"/>
  <c r="W93" i="4"/>
  <c r="P93" i="4"/>
  <c r="O93" i="4"/>
  <c r="N93" i="4"/>
  <c r="J93" i="4"/>
  <c r="AA93" i="4" s="1"/>
  <c r="Z93" i="4" s="1"/>
  <c r="BI92" i="4"/>
  <c r="BH92" i="4"/>
  <c r="BG92" i="4"/>
  <c r="AZ92" i="4"/>
  <c r="AY92" i="4"/>
  <c r="AX92" i="4"/>
  <c r="AQ92" i="4"/>
  <c r="AP92" i="4"/>
  <c r="AO92" i="4"/>
  <c r="AH92" i="4"/>
  <c r="AG92" i="4"/>
  <c r="AF92" i="4"/>
  <c r="Y92" i="4"/>
  <c r="X92" i="4"/>
  <c r="W92" i="4"/>
  <c r="P92" i="4"/>
  <c r="O92" i="4"/>
  <c r="N92" i="4"/>
  <c r="J92" i="4"/>
  <c r="AA92" i="4" s="1"/>
  <c r="Z92" i="4" s="1"/>
  <c r="BI91" i="4"/>
  <c r="BH91" i="4"/>
  <c r="BG91" i="4"/>
  <c r="AZ91" i="4"/>
  <c r="AY91" i="4"/>
  <c r="AX91" i="4"/>
  <c r="AQ91" i="4"/>
  <c r="AP91" i="4"/>
  <c r="AO91" i="4"/>
  <c r="AH91" i="4"/>
  <c r="AG91" i="4"/>
  <c r="AF91" i="4"/>
  <c r="Y91" i="4"/>
  <c r="X91" i="4"/>
  <c r="W91" i="4"/>
  <c r="P91" i="4"/>
  <c r="O91" i="4"/>
  <c r="N91" i="4"/>
  <c r="J91" i="4"/>
  <c r="BI90" i="4"/>
  <c r="BH90" i="4"/>
  <c r="BG90" i="4"/>
  <c r="AZ90" i="4"/>
  <c r="AY90" i="4"/>
  <c r="AX90" i="4"/>
  <c r="BB90" i="4" s="1"/>
  <c r="BA90" i="4" s="1"/>
  <c r="AQ90" i="4"/>
  <c r="AP90" i="4"/>
  <c r="AO90" i="4"/>
  <c r="AS90" i="4" s="1"/>
  <c r="AR90" i="4" s="1"/>
  <c r="AH90" i="4"/>
  <c r="AG90" i="4"/>
  <c r="AF90" i="4"/>
  <c r="AJ90" i="4" s="1"/>
  <c r="AI90" i="4" s="1"/>
  <c r="Y90" i="4"/>
  <c r="X90" i="4"/>
  <c r="W90" i="4"/>
  <c r="AA90" i="4" s="1"/>
  <c r="Z90" i="4" s="1"/>
  <c r="P90" i="4"/>
  <c r="O90" i="4"/>
  <c r="N90" i="4"/>
  <c r="R90" i="4" s="1"/>
  <c r="Q90" i="4" s="1"/>
  <c r="J90" i="4"/>
  <c r="BI89" i="4"/>
  <c r="BH89" i="4"/>
  <c r="BG89" i="4"/>
  <c r="AZ89" i="4"/>
  <c r="AY89" i="4"/>
  <c r="AX89" i="4"/>
  <c r="BB89" i="4" s="1"/>
  <c r="BA89" i="4" s="1"/>
  <c r="AQ89" i="4"/>
  <c r="AP89" i="4"/>
  <c r="AO89" i="4"/>
  <c r="AH89" i="4"/>
  <c r="AG89" i="4"/>
  <c r="AF89" i="4"/>
  <c r="AJ89" i="4" s="1"/>
  <c r="AI89" i="4" s="1"/>
  <c r="Y89" i="4"/>
  <c r="X89" i="4"/>
  <c r="W89" i="4"/>
  <c r="AA89" i="4" s="1"/>
  <c r="Z89" i="4" s="1"/>
  <c r="P89" i="4"/>
  <c r="O89" i="4"/>
  <c r="N89" i="4"/>
  <c r="J89" i="4"/>
  <c r="BI88" i="4"/>
  <c r="BH88" i="4"/>
  <c r="BG88" i="4"/>
  <c r="BK88" i="4" s="1"/>
  <c r="BJ88" i="4" s="1"/>
  <c r="AZ88" i="4"/>
  <c r="AY88" i="4"/>
  <c r="AX88" i="4"/>
  <c r="AQ88" i="4"/>
  <c r="AP88" i="4"/>
  <c r="AO88" i="4"/>
  <c r="AJ88" i="4"/>
  <c r="AI88" i="4" s="1"/>
  <c r="AH88" i="4"/>
  <c r="AG88" i="4"/>
  <c r="AF88" i="4"/>
  <c r="Y88" i="4"/>
  <c r="X88" i="4"/>
  <c r="W88" i="4"/>
  <c r="R88" i="4"/>
  <c r="Q88" i="4" s="1"/>
  <c r="P88" i="4"/>
  <c r="O88" i="4"/>
  <c r="N88" i="4"/>
  <c r="J88" i="4"/>
  <c r="BI87" i="4"/>
  <c r="BH87" i="4"/>
  <c r="BG87" i="4"/>
  <c r="AZ87" i="4"/>
  <c r="AY87" i="4"/>
  <c r="AX87" i="4"/>
  <c r="AQ87" i="4"/>
  <c r="AP87" i="4"/>
  <c r="AO87" i="4"/>
  <c r="AS87" i="4" s="1"/>
  <c r="AR87" i="4" s="1"/>
  <c r="AH87" i="4"/>
  <c r="AG87" i="4"/>
  <c r="AF87" i="4"/>
  <c r="Y87" i="4"/>
  <c r="X87" i="4"/>
  <c r="W87" i="4"/>
  <c r="P87" i="4"/>
  <c r="O87" i="4"/>
  <c r="N87" i="4"/>
  <c r="J87" i="4"/>
  <c r="BI86" i="4"/>
  <c r="BH86" i="4"/>
  <c r="BG86" i="4"/>
  <c r="AZ86" i="4"/>
  <c r="AY86" i="4"/>
  <c r="AX86" i="4"/>
  <c r="AQ86" i="4"/>
  <c r="AP86" i="4"/>
  <c r="AO86" i="4"/>
  <c r="AS86" i="4" s="1"/>
  <c r="AR86" i="4" s="1"/>
  <c r="AH86" i="4"/>
  <c r="AG86" i="4"/>
  <c r="AF86" i="4"/>
  <c r="AJ86" i="4" s="1"/>
  <c r="AI86" i="4" s="1"/>
  <c r="Y86" i="4"/>
  <c r="X86" i="4"/>
  <c r="W86" i="4"/>
  <c r="P86" i="4"/>
  <c r="O86" i="4"/>
  <c r="N86" i="4"/>
  <c r="J86" i="4"/>
  <c r="BI85" i="4"/>
  <c r="BH85" i="4"/>
  <c r="BG85" i="4"/>
  <c r="AZ85" i="4"/>
  <c r="AY85" i="4"/>
  <c r="AX85" i="4"/>
  <c r="AQ85" i="4"/>
  <c r="AP85" i="4"/>
  <c r="AO85" i="4"/>
  <c r="AS85" i="4" s="1"/>
  <c r="AR85" i="4" s="1"/>
  <c r="AH85" i="4"/>
  <c r="AG85" i="4"/>
  <c r="AF85" i="4"/>
  <c r="AJ85" i="4" s="1"/>
  <c r="AI85" i="4" s="1"/>
  <c r="Y85" i="4"/>
  <c r="X85" i="4"/>
  <c r="W85" i="4"/>
  <c r="P85" i="4"/>
  <c r="O85" i="4"/>
  <c r="N85" i="4"/>
  <c r="R85" i="4" s="1"/>
  <c r="Q85" i="4" s="1"/>
  <c r="J85" i="4"/>
  <c r="BI84" i="4"/>
  <c r="BH84" i="4"/>
  <c r="BG84" i="4"/>
  <c r="AZ84" i="4"/>
  <c r="AY84" i="4"/>
  <c r="AX84" i="4"/>
  <c r="AQ84" i="4"/>
  <c r="AP84" i="4"/>
  <c r="AO84" i="4"/>
  <c r="AH84" i="4"/>
  <c r="AG84" i="4"/>
  <c r="AF84" i="4"/>
  <c r="Y84" i="4"/>
  <c r="X84" i="4"/>
  <c r="W84" i="4"/>
  <c r="P84" i="4"/>
  <c r="O84" i="4"/>
  <c r="N84" i="4"/>
  <c r="J84" i="4"/>
  <c r="AA84" i="4" s="1"/>
  <c r="Z84" i="4" s="1"/>
  <c r="BI83" i="4"/>
  <c r="BH83" i="4"/>
  <c r="BG83" i="4"/>
  <c r="AZ83" i="4"/>
  <c r="AY83" i="4"/>
  <c r="AX83" i="4"/>
  <c r="AQ83" i="4"/>
  <c r="AP83" i="4"/>
  <c r="AO83" i="4"/>
  <c r="AH83" i="4"/>
  <c r="AG83" i="4"/>
  <c r="AF83" i="4"/>
  <c r="Y83" i="4"/>
  <c r="X83" i="4"/>
  <c r="W83" i="4"/>
  <c r="P83" i="4"/>
  <c r="O83" i="4"/>
  <c r="N83" i="4"/>
  <c r="J83" i="4"/>
  <c r="AJ83" i="4" s="1"/>
  <c r="AI83" i="4" s="1"/>
  <c r="BI82" i="4"/>
  <c r="BH82" i="4"/>
  <c r="BG82" i="4"/>
  <c r="AZ82" i="4"/>
  <c r="AY82" i="4"/>
  <c r="AX82" i="4"/>
  <c r="AQ82" i="4"/>
  <c r="AP82" i="4"/>
  <c r="AO82" i="4"/>
  <c r="AS82" i="4" s="1"/>
  <c r="AR82" i="4" s="1"/>
  <c r="AH82" i="4"/>
  <c r="AG82" i="4"/>
  <c r="AF82" i="4"/>
  <c r="AJ82" i="4" s="1"/>
  <c r="AI82" i="4" s="1"/>
  <c r="Y82" i="4"/>
  <c r="X82" i="4"/>
  <c r="W82" i="4"/>
  <c r="AA82" i="4" s="1"/>
  <c r="Z82" i="4" s="1"/>
  <c r="P82" i="4"/>
  <c r="O82" i="4"/>
  <c r="N82" i="4"/>
  <c r="J82" i="4"/>
  <c r="BI81" i="4"/>
  <c r="BH81" i="4"/>
  <c r="BG81" i="4"/>
  <c r="BK81" i="4" s="1"/>
  <c r="BJ81" i="4" s="1"/>
  <c r="AZ81" i="4"/>
  <c r="AY81" i="4"/>
  <c r="AX81" i="4"/>
  <c r="BB81" i="4" s="1"/>
  <c r="BA81" i="4" s="1"/>
  <c r="AQ81" i="4"/>
  <c r="AP81" i="4"/>
  <c r="AO81" i="4"/>
  <c r="AS81" i="4" s="1"/>
  <c r="AR81" i="4" s="1"/>
  <c r="AH81" i="4"/>
  <c r="AG81" i="4"/>
  <c r="AF81" i="4"/>
  <c r="AJ81" i="4" s="1"/>
  <c r="AI81" i="4" s="1"/>
  <c r="Y81" i="4"/>
  <c r="X81" i="4"/>
  <c r="W81" i="4"/>
  <c r="P81" i="4"/>
  <c r="O81" i="4"/>
  <c r="N81" i="4"/>
  <c r="R81" i="4" s="1"/>
  <c r="Q81" i="4" s="1"/>
  <c r="J81" i="4"/>
  <c r="BI80" i="4"/>
  <c r="BH80" i="4"/>
  <c r="BG80" i="4"/>
  <c r="AZ80" i="4"/>
  <c r="AY80" i="4"/>
  <c r="AX80" i="4"/>
  <c r="AQ80" i="4"/>
  <c r="AP80" i="4"/>
  <c r="AO80" i="4"/>
  <c r="AH80" i="4"/>
  <c r="AG80" i="4"/>
  <c r="AF80" i="4"/>
  <c r="Y80" i="4"/>
  <c r="X80" i="4"/>
  <c r="W80" i="4"/>
  <c r="P80" i="4"/>
  <c r="O80" i="4"/>
  <c r="N80" i="4"/>
  <c r="R80" i="4" s="1"/>
  <c r="Q80" i="4" s="1"/>
  <c r="J80" i="4"/>
  <c r="BI79" i="4"/>
  <c r="BH79" i="4"/>
  <c r="BG79" i="4"/>
  <c r="AZ79" i="4"/>
  <c r="AY79" i="4"/>
  <c r="AX79" i="4"/>
  <c r="BB79" i="4" s="1"/>
  <c r="BA79" i="4" s="1"/>
  <c r="AQ79" i="4"/>
  <c r="AP79" i="4"/>
  <c r="AO79" i="4"/>
  <c r="AH79" i="4"/>
  <c r="AG79" i="4"/>
  <c r="AF79" i="4"/>
  <c r="Y79" i="4"/>
  <c r="X79" i="4"/>
  <c r="W79" i="4"/>
  <c r="P79" i="4"/>
  <c r="O79" i="4"/>
  <c r="N79" i="4"/>
  <c r="R79" i="4" s="1"/>
  <c r="Q79" i="4" s="1"/>
  <c r="J79" i="4"/>
  <c r="BI78" i="4"/>
  <c r="BH78" i="4"/>
  <c r="BG78" i="4"/>
  <c r="AZ78" i="4"/>
  <c r="AY78" i="4"/>
  <c r="AX78" i="4"/>
  <c r="AQ78" i="4"/>
  <c r="AP78" i="4"/>
  <c r="AO78" i="4"/>
  <c r="AS78" i="4" s="1"/>
  <c r="AR78" i="4" s="1"/>
  <c r="AH78" i="4"/>
  <c r="AG78" i="4"/>
  <c r="AF78" i="4"/>
  <c r="Y78" i="4"/>
  <c r="X78" i="4"/>
  <c r="W78" i="4"/>
  <c r="P78" i="4"/>
  <c r="O78" i="4"/>
  <c r="N78" i="4"/>
  <c r="R78" i="4" s="1"/>
  <c r="Q78" i="4" s="1"/>
  <c r="J78" i="4"/>
  <c r="BI77" i="4"/>
  <c r="BH77" i="4"/>
  <c r="BG77" i="4"/>
  <c r="AZ77" i="4"/>
  <c r="AY77" i="4"/>
  <c r="AX77" i="4"/>
  <c r="AQ77" i="4"/>
  <c r="AP77" i="4"/>
  <c r="AO77" i="4"/>
  <c r="AH77" i="4"/>
  <c r="AG77" i="4"/>
  <c r="AF77" i="4"/>
  <c r="Y77" i="4"/>
  <c r="X77" i="4"/>
  <c r="W77" i="4"/>
  <c r="P77" i="4"/>
  <c r="O77" i="4"/>
  <c r="N77" i="4"/>
  <c r="R77" i="4" s="1"/>
  <c r="Q77" i="4" s="1"/>
  <c r="J77" i="4"/>
  <c r="BI76" i="4"/>
  <c r="BH76" i="4"/>
  <c r="BG76" i="4"/>
  <c r="AZ76" i="4"/>
  <c r="AY76" i="4"/>
  <c r="AX76" i="4"/>
  <c r="AQ76" i="4"/>
  <c r="AP76" i="4"/>
  <c r="AO76" i="4"/>
  <c r="AH76" i="4"/>
  <c r="AG76" i="4"/>
  <c r="AF76" i="4"/>
  <c r="Y76" i="4"/>
  <c r="X76" i="4"/>
  <c r="W76" i="4"/>
  <c r="AA76" i="4" s="1"/>
  <c r="Z76" i="4" s="1"/>
  <c r="P76" i="4"/>
  <c r="O76" i="4"/>
  <c r="N76" i="4"/>
  <c r="R76" i="4" s="1"/>
  <c r="Q76" i="4" s="1"/>
  <c r="J76" i="4"/>
  <c r="BI75" i="4"/>
  <c r="BH75" i="4"/>
  <c r="BG75" i="4"/>
  <c r="AZ75" i="4"/>
  <c r="AY75" i="4"/>
  <c r="AX75" i="4"/>
  <c r="AQ75" i="4"/>
  <c r="AP75" i="4"/>
  <c r="AO75" i="4"/>
  <c r="AH75" i="4"/>
  <c r="AG75" i="4"/>
  <c r="AF75" i="4"/>
  <c r="Y75" i="4"/>
  <c r="X75" i="4"/>
  <c r="W75" i="4"/>
  <c r="P75" i="4"/>
  <c r="O75" i="4"/>
  <c r="N75" i="4"/>
  <c r="J75" i="4"/>
  <c r="AA75" i="4" s="1"/>
  <c r="Z75" i="4" s="1"/>
  <c r="BI74" i="4"/>
  <c r="BH74" i="4"/>
  <c r="BG74" i="4"/>
  <c r="AZ74" i="4"/>
  <c r="AY74" i="4"/>
  <c r="AX74" i="4"/>
  <c r="AQ74" i="4"/>
  <c r="AP74" i="4"/>
  <c r="AO74" i="4"/>
  <c r="AH74" i="4"/>
  <c r="AG74" i="4"/>
  <c r="AF74" i="4"/>
  <c r="AJ74" i="4" s="1"/>
  <c r="AI74" i="4" s="1"/>
  <c r="Y74" i="4"/>
  <c r="X74" i="4"/>
  <c r="W74" i="4"/>
  <c r="P74" i="4"/>
  <c r="O74" i="4"/>
  <c r="N74" i="4"/>
  <c r="J74" i="4"/>
  <c r="BI73" i="4"/>
  <c r="BH73" i="4"/>
  <c r="BG73" i="4"/>
  <c r="AZ73" i="4"/>
  <c r="AY73" i="4"/>
  <c r="AX73" i="4"/>
  <c r="AQ73" i="4"/>
  <c r="AP73" i="4"/>
  <c r="AO73" i="4"/>
  <c r="AH73" i="4"/>
  <c r="AG73" i="4"/>
  <c r="AF73" i="4"/>
  <c r="AJ73" i="4" s="1"/>
  <c r="AI73" i="4" s="1"/>
  <c r="Y73" i="4"/>
  <c r="X73" i="4"/>
  <c r="W73" i="4"/>
  <c r="AA73" i="4" s="1"/>
  <c r="Z73" i="4" s="1"/>
  <c r="P73" i="4"/>
  <c r="O73" i="4"/>
  <c r="N73" i="4"/>
  <c r="R73" i="4" s="1"/>
  <c r="Q73" i="4" s="1"/>
  <c r="J73" i="4"/>
  <c r="BI72" i="4"/>
  <c r="BH72" i="4"/>
  <c r="BG72" i="4"/>
  <c r="AZ72" i="4"/>
  <c r="AY72" i="4"/>
  <c r="AX72" i="4"/>
  <c r="AQ72" i="4"/>
  <c r="AP72" i="4"/>
  <c r="AO72" i="4"/>
  <c r="AJ72" i="4"/>
  <c r="AI72" i="4" s="1"/>
  <c r="AH72" i="4"/>
  <c r="AG72" i="4"/>
  <c r="AF72" i="4"/>
  <c r="Y72" i="4"/>
  <c r="X72" i="4"/>
  <c r="W72" i="4"/>
  <c r="P72" i="4"/>
  <c r="O72" i="4"/>
  <c r="N72" i="4"/>
  <c r="J72" i="4"/>
  <c r="BI71" i="4"/>
  <c r="BH71" i="4"/>
  <c r="BG71" i="4"/>
  <c r="AZ71" i="4"/>
  <c r="AY71" i="4"/>
  <c r="AX71" i="4"/>
  <c r="AQ71" i="4"/>
  <c r="AP71" i="4"/>
  <c r="AO71" i="4"/>
  <c r="AH71" i="4"/>
  <c r="AG71" i="4"/>
  <c r="AF71" i="4"/>
  <c r="Y71" i="4"/>
  <c r="X71" i="4"/>
  <c r="W71" i="4"/>
  <c r="P71" i="4"/>
  <c r="O71" i="4"/>
  <c r="N71" i="4"/>
  <c r="J71" i="4"/>
  <c r="BI70" i="4"/>
  <c r="BH70" i="4"/>
  <c r="BG70" i="4"/>
  <c r="AZ70" i="4"/>
  <c r="AY70" i="4"/>
  <c r="AX70" i="4"/>
  <c r="AQ70" i="4"/>
  <c r="AP70" i="4"/>
  <c r="AO70" i="4"/>
  <c r="AH70" i="4"/>
  <c r="AG70" i="4"/>
  <c r="AF70" i="4"/>
  <c r="Y70" i="4"/>
  <c r="X70" i="4"/>
  <c r="W70" i="4"/>
  <c r="P70" i="4"/>
  <c r="O70" i="4"/>
  <c r="N70" i="4"/>
  <c r="R70" i="4" s="1"/>
  <c r="Q70" i="4" s="1"/>
  <c r="J70" i="4"/>
  <c r="AA70" i="4" s="1"/>
  <c r="Z70" i="4" s="1"/>
  <c r="BI69" i="4"/>
  <c r="BH69" i="4"/>
  <c r="BG69" i="4"/>
  <c r="AZ69" i="4"/>
  <c r="AY69" i="4"/>
  <c r="AX69" i="4"/>
  <c r="AS69" i="4"/>
  <c r="AR69" i="4" s="1"/>
  <c r="AQ69" i="4"/>
  <c r="AP69" i="4"/>
  <c r="AO69" i="4"/>
  <c r="AH69" i="4"/>
  <c r="AG69" i="4"/>
  <c r="AF69" i="4"/>
  <c r="Y69" i="4"/>
  <c r="X69" i="4"/>
  <c r="W69" i="4"/>
  <c r="P69" i="4"/>
  <c r="O69" i="4"/>
  <c r="N69" i="4"/>
  <c r="J69" i="4"/>
  <c r="BI68" i="4"/>
  <c r="BH68" i="4"/>
  <c r="BG68" i="4"/>
  <c r="AZ68" i="4"/>
  <c r="AY68" i="4"/>
  <c r="AX68" i="4"/>
  <c r="AQ68" i="4"/>
  <c r="AP68" i="4"/>
  <c r="AO68" i="4"/>
  <c r="AH68" i="4"/>
  <c r="AG68" i="4"/>
  <c r="AF68" i="4"/>
  <c r="AJ68" i="4" s="1"/>
  <c r="AI68" i="4" s="1"/>
  <c r="Y68" i="4"/>
  <c r="X68" i="4"/>
  <c r="W68" i="4"/>
  <c r="P68" i="4"/>
  <c r="O68" i="4"/>
  <c r="N68" i="4"/>
  <c r="J68" i="4"/>
  <c r="BI67" i="4"/>
  <c r="BH67" i="4"/>
  <c r="BG67" i="4"/>
  <c r="AZ67" i="4"/>
  <c r="AY67" i="4"/>
  <c r="AX67" i="4"/>
  <c r="AQ67" i="4"/>
  <c r="AP67" i="4"/>
  <c r="AO67" i="4"/>
  <c r="AS67" i="4" s="1"/>
  <c r="AR67" i="4" s="1"/>
  <c r="AH67" i="4"/>
  <c r="AG67" i="4"/>
  <c r="AF67" i="4"/>
  <c r="Y67" i="4"/>
  <c r="X67" i="4"/>
  <c r="W67" i="4"/>
  <c r="P67" i="4"/>
  <c r="O67" i="4"/>
  <c r="N67" i="4"/>
  <c r="J67" i="4"/>
  <c r="AA67" i="4" s="1"/>
  <c r="Z67" i="4" s="1"/>
  <c r="BI66" i="4"/>
  <c r="BH66" i="4"/>
  <c r="BG66" i="4"/>
  <c r="AZ66" i="4"/>
  <c r="AY66" i="4"/>
  <c r="AX66" i="4"/>
  <c r="BB66" i="4" s="1"/>
  <c r="BA66" i="4" s="1"/>
  <c r="AQ66" i="4"/>
  <c r="AP66" i="4"/>
  <c r="AO66" i="4"/>
  <c r="AS66" i="4" s="1"/>
  <c r="AR66" i="4" s="1"/>
  <c r="AH66" i="4"/>
  <c r="AG66" i="4"/>
  <c r="AF66" i="4"/>
  <c r="Y66" i="4"/>
  <c r="X66" i="4"/>
  <c r="W66" i="4"/>
  <c r="P66" i="4"/>
  <c r="O66" i="4"/>
  <c r="N66" i="4"/>
  <c r="R66" i="4" s="1"/>
  <c r="Q66" i="4" s="1"/>
  <c r="J66" i="4"/>
  <c r="BI65" i="4"/>
  <c r="BH65" i="4"/>
  <c r="BG65" i="4"/>
  <c r="BK65" i="4" s="1"/>
  <c r="BJ65" i="4" s="1"/>
  <c r="AZ65" i="4"/>
  <c r="AY65" i="4"/>
  <c r="AX65" i="4"/>
  <c r="AQ65" i="4"/>
  <c r="AP65" i="4"/>
  <c r="AO65" i="4"/>
  <c r="AS65" i="4" s="1"/>
  <c r="AR65" i="4" s="1"/>
  <c r="AH65" i="4"/>
  <c r="AG65" i="4"/>
  <c r="AF65" i="4"/>
  <c r="Y65" i="4"/>
  <c r="X65" i="4"/>
  <c r="W65" i="4"/>
  <c r="P65" i="4"/>
  <c r="O65" i="4"/>
  <c r="N65" i="4"/>
  <c r="J65" i="4"/>
  <c r="BI64" i="4"/>
  <c r="BH64" i="4"/>
  <c r="BG64" i="4"/>
  <c r="BK64" i="4" s="1"/>
  <c r="BJ64" i="4" s="1"/>
  <c r="AZ64" i="4"/>
  <c r="AY64" i="4"/>
  <c r="AX64" i="4"/>
  <c r="AQ64" i="4"/>
  <c r="AP64" i="4"/>
  <c r="AO64" i="4"/>
  <c r="AS64" i="4" s="1"/>
  <c r="AR64" i="4" s="1"/>
  <c r="AH64" i="4"/>
  <c r="AG64" i="4"/>
  <c r="AF64" i="4"/>
  <c r="AJ64" i="4" s="1"/>
  <c r="AI64" i="4" s="1"/>
  <c r="Y64" i="4"/>
  <c r="X64" i="4"/>
  <c r="W64" i="4"/>
  <c r="P64" i="4"/>
  <c r="O64" i="4"/>
  <c r="N64" i="4"/>
  <c r="J64" i="4"/>
  <c r="BI63" i="4"/>
  <c r="BH63" i="4"/>
  <c r="BG63" i="4"/>
  <c r="AZ63" i="4"/>
  <c r="AY63" i="4"/>
  <c r="AX63" i="4"/>
  <c r="AQ63" i="4"/>
  <c r="AP63" i="4"/>
  <c r="AO63" i="4"/>
  <c r="AH63" i="4"/>
  <c r="AG63" i="4"/>
  <c r="AF63" i="4"/>
  <c r="Y63" i="4"/>
  <c r="X63" i="4"/>
  <c r="W63" i="4"/>
  <c r="AA63" i="4" s="1"/>
  <c r="Z63" i="4" s="1"/>
  <c r="P63" i="4"/>
  <c r="O63" i="4"/>
  <c r="N63" i="4"/>
  <c r="J63" i="4"/>
  <c r="BI62" i="4"/>
  <c r="BH62" i="4"/>
  <c r="BG62" i="4"/>
  <c r="AZ62" i="4"/>
  <c r="AY62" i="4"/>
  <c r="AX62" i="4"/>
  <c r="BB62" i="4" s="1"/>
  <c r="BA62" i="4" s="1"/>
  <c r="AQ62" i="4"/>
  <c r="AP62" i="4"/>
  <c r="AO62" i="4"/>
  <c r="AS62" i="4" s="1"/>
  <c r="AR62" i="4" s="1"/>
  <c r="AH62" i="4"/>
  <c r="AG62" i="4"/>
  <c r="AF62" i="4"/>
  <c r="Y62" i="4"/>
  <c r="X62" i="4"/>
  <c r="W62" i="4"/>
  <c r="P62" i="4"/>
  <c r="O62" i="4"/>
  <c r="N62" i="4"/>
  <c r="R62" i="4" s="1"/>
  <c r="Q62" i="4" s="1"/>
  <c r="J62" i="4"/>
  <c r="BI61" i="4"/>
  <c r="BH61" i="4"/>
  <c r="BG61" i="4"/>
  <c r="AZ61" i="4"/>
  <c r="AY61" i="4"/>
  <c r="AX61" i="4"/>
  <c r="AQ61" i="4"/>
  <c r="AP61" i="4"/>
  <c r="AO61" i="4"/>
  <c r="AH61" i="4"/>
  <c r="AG61" i="4"/>
  <c r="AF61" i="4"/>
  <c r="Y61" i="4"/>
  <c r="X61" i="4"/>
  <c r="W61" i="4"/>
  <c r="P61" i="4"/>
  <c r="O61" i="4"/>
  <c r="N61" i="4"/>
  <c r="J61" i="4"/>
  <c r="BB61" i="4" s="1"/>
  <c r="BA61" i="4" s="1"/>
  <c r="BI60" i="4"/>
  <c r="BH60" i="4"/>
  <c r="BG60" i="4"/>
  <c r="AZ60" i="4"/>
  <c r="AY60" i="4"/>
  <c r="AX60" i="4"/>
  <c r="AQ60" i="4"/>
  <c r="AP60" i="4"/>
  <c r="AO60" i="4"/>
  <c r="AH60" i="4"/>
  <c r="AG60" i="4"/>
  <c r="AF60" i="4"/>
  <c r="Y60" i="4"/>
  <c r="X60" i="4"/>
  <c r="W60" i="4"/>
  <c r="P60" i="4"/>
  <c r="O60" i="4"/>
  <c r="N60" i="4"/>
  <c r="J60" i="4"/>
  <c r="BK59" i="4"/>
  <c r="BJ59" i="4" s="1"/>
  <c r="BI59" i="4"/>
  <c r="BH59" i="4"/>
  <c r="BG59" i="4"/>
  <c r="AZ59" i="4"/>
  <c r="AY59" i="4"/>
  <c r="AX59" i="4"/>
  <c r="AQ59" i="4"/>
  <c r="AP59" i="4"/>
  <c r="AO59" i="4"/>
  <c r="AH59" i="4"/>
  <c r="AG59" i="4"/>
  <c r="AF59" i="4"/>
  <c r="Y59" i="4"/>
  <c r="X59" i="4"/>
  <c r="W59" i="4"/>
  <c r="P59" i="4"/>
  <c r="O59" i="4"/>
  <c r="N59" i="4"/>
  <c r="R59" i="4" s="1"/>
  <c r="Q59" i="4" s="1"/>
  <c r="J59" i="4"/>
  <c r="BI58" i="4"/>
  <c r="BH58" i="4"/>
  <c r="BG58" i="4"/>
  <c r="AZ58" i="4"/>
  <c r="AY58" i="4"/>
  <c r="AX58" i="4"/>
  <c r="BB58" i="4" s="1"/>
  <c r="BA58" i="4" s="1"/>
  <c r="AQ58" i="4"/>
  <c r="AP58" i="4"/>
  <c r="AO58" i="4"/>
  <c r="AS58" i="4" s="1"/>
  <c r="AR58" i="4" s="1"/>
  <c r="AH58" i="4"/>
  <c r="AG58" i="4"/>
  <c r="AF58" i="4"/>
  <c r="AJ58" i="4" s="1"/>
  <c r="AI58" i="4" s="1"/>
  <c r="Y58" i="4"/>
  <c r="X58" i="4"/>
  <c r="W58" i="4"/>
  <c r="AA58" i="4" s="1"/>
  <c r="Z58" i="4" s="1"/>
  <c r="P58" i="4"/>
  <c r="O58" i="4"/>
  <c r="N58" i="4"/>
  <c r="R58" i="4" s="1"/>
  <c r="Q58" i="4" s="1"/>
  <c r="J58" i="4"/>
  <c r="BK58" i="4" s="1"/>
  <c r="BJ58" i="4" s="1"/>
  <c r="BI57" i="4"/>
  <c r="BH57" i="4"/>
  <c r="BG57" i="4"/>
  <c r="BK57" i="4" s="1"/>
  <c r="BJ57" i="4" s="1"/>
  <c r="AZ57" i="4"/>
  <c r="AY57" i="4"/>
  <c r="AX57" i="4"/>
  <c r="AQ57" i="4"/>
  <c r="AP57" i="4"/>
  <c r="AO57" i="4"/>
  <c r="AS57" i="4" s="1"/>
  <c r="AR57" i="4" s="1"/>
  <c r="AH57" i="4"/>
  <c r="AG57" i="4"/>
  <c r="AF57" i="4"/>
  <c r="Y57" i="4"/>
  <c r="X57" i="4"/>
  <c r="W57" i="4"/>
  <c r="P57" i="4"/>
  <c r="O57" i="4"/>
  <c r="N57" i="4"/>
  <c r="J57" i="4"/>
  <c r="BI56" i="4"/>
  <c r="BH56" i="4"/>
  <c r="BG56" i="4"/>
  <c r="AZ56" i="4"/>
  <c r="AY56" i="4"/>
  <c r="AX56" i="4"/>
  <c r="AQ56" i="4"/>
  <c r="AP56" i="4"/>
  <c r="AO56" i="4"/>
  <c r="AH56" i="4"/>
  <c r="AG56" i="4"/>
  <c r="AF56" i="4"/>
  <c r="AJ56" i="4" s="1"/>
  <c r="AI56" i="4" s="1"/>
  <c r="Y56" i="4"/>
  <c r="X56" i="4"/>
  <c r="W56" i="4"/>
  <c r="P56" i="4"/>
  <c r="O56" i="4"/>
  <c r="N56" i="4"/>
  <c r="J56" i="4"/>
  <c r="AS56" i="4" s="1"/>
  <c r="AR56" i="4" s="1"/>
  <c r="BI55" i="4"/>
  <c r="BH55" i="4"/>
  <c r="BG55" i="4"/>
  <c r="AZ55" i="4"/>
  <c r="AY55" i="4"/>
  <c r="AX55" i="4"/>
  <c r="AQ55" i="4"/>
  <c r="AP55" i="4"/>
  <c r="AO55" i="4"/>
  <c r="AH55" i="4"/>
  <c r="AG55" i="4"/>
  <c r="AF55" i="4"/>
  <c r="Y55" i="4"/>
  <c r="X55" i="4"/>
  <c r="W55" i="4"/>
  <c r="P55" i="4"/>
  <c r="O55" i="4"/>
  <c r="N55" i="4"/>
  <c r="J55" i="4"/>
  <c r="BI54" i="4"/>
  <c r="BH54" i="4"/>
  <c r="BG54" i="4"/>
  <c r="BK54" i="4" s="1"/>
  <c r="BJ54" i="4" s="1"/>
  <c r="AZ54" i="4"/>
  <c r="AY54" i="4"/>
  <c r="AX54" i="4"/>
  <c r="BB54" i="4" s="1"/>
  <c r="BA54" i="4" s="1"/>
  <c r="AQ54" i="4"/>
  <c r="AP54" i="4"/>
  <c r="AO54" i="4"/>
  <c r="AS54" i="4" s="1"/>
  <c r="AR54" i="4" s="1"/>
  <c r="AH54" i="4"/>
  <c r="AG54" i="4"/>
  <c r="AF54" i="4"/>
  <c r="Y54" i="4"/>
  <c r="X54" i="4"/>
  <c r="W54" i="4"/>
  <c r="R54" i="4"/>
  <c r="Q54" i="4" s="1"/>
  <c r="P54" i="4"/>
  <c r="O54" i="4"/>
  <c r="N54" i="4"/>
  <c r="J54" i="4"/>
  <c r="BI53" i="4"/>
  <c r="BH53" i="4"/>
  <c r="BG53" i="4"/>
  <c r="AZ53" i="4"/>
  <c r="AY53" i="4"/>
  <c r="AX53" i="4"/>
  <c r="AQ53" i="4"/>
  <c r="AP53" i="4"/>
  <c r="AO53" i="4"/>
  <c r="AH53" i="4"/>
  <c r="AG53" i="4"/>
  <c r="AF53" i="4"/>
  <c r="Y53" i="4"/>
  <c r="X53" i="4"/>
  <c r="W53" i="4"/>
  <c r="P53" i="4"/>
  <c r="O53" i="4"/>
  <c r="N53" i="4"/>
  <c r="J53" i="4"/>
  <c r="BB53" i="4" s="1"/>
  <c r="BA53" i="4" s="1"/>
  <c r="BI52" i="4"/>
  <c r="BH52" i="4"/>
  <c r="BG52" i="4"/>
  <c r="AZ52" i="4"/>
  <c r="AY52" i="4"/>
  <c r="AX52" i="4"/>
  <c r="AQ52" i="4"/>
  <c r="AP52" i="4"/>
  <c r="AO52" i="4"/>
  <c r="AH52" i="4"/>
  <c r="AG52" i="4"/>
  <c r="AF52" i="4"/>
  <c r="Y52" i="4"/>
  <c r="X52" i="4"/>
  <c r="W52" i="4"/>
  <c r="P52" i="4"/>
  <c r="O52" i="4"/>
  <c r="N52" i="4"/>
  <c r="R52" i="4" s="1"/>
  <c r="Q52" i="4" s="1"/>
  <c r="J52" i="4"/>
  <c r="BK51" i="4"/>
  <c r="BJ51" i="4" s="1"/>
  <c r="BI51" i="4"/>
  <c r="BH51" i="4"/>
  <c r="BG51" i="4"/>
  <c r="AZ51" i="4"/>
  <c r="AY51" i="4"/>
  <c r="AX51" i="4"/>
  <c r="AQ51" i="4"/>
  <c r="AP51" i="4"/>
  <c r="AO51" i="4"/>
  <c r="AH51" i="4"/>
  <c r="AG51" i="4"/>
  <c r="AF51" i="4"/>
  <c r="Y51" i="4"/>
  <c r="X51" i="4"/>
  <c r="W51" i="4"/>
  <c r="P51" i="4"/>
  <c r="O51" i="4"/>
  <c r="N51" i="4"/>
  <c r="J51" i="4"/>
  <c r="BI50" i="4"/>
  <c r="BH50" i="4"/>
  <c r="BG50" i="4"/>
  <c r="AZ50" i="4"/>
  <c r="AY50" i="4"/>
  <c r="AX50" i="4"/>
  <c r="BB50" i="4" s="1"/>
  <c r="BA50" i="4" s="1"/>
  <c r="AQ50" i="4"/>
  <c r="AP50" i="4"/>
  <c r="AO50" i="4"/>
  <c r="AS50" i="4" s="1"/>
  <c r="AR50" i="4" s="1"/>
  <c r="AH50" i="4"/>
  <c r="AG50" i="4"/>
  <c r="AF50" i="4"/>
  <c r="Y50" i="4"/>
  <c r="X50" i="4"/>
  <c r="W50" i="4"/>
  <c r="AA50" i="4" s="1"/>
  <c r="Z50" i="4" s="1"/>
  <c r="P50" i="4"/>
  <c r="O50" i="4"/>
  <c r="N50" i="4"/>
  <c r="J50" i="4"/>
  <c r="BI49" i="4"/>
  <c r="BH49" i="4"/>
  <c r="BG49" i="4"/>
  <c r="AZ49" i="4"/>
  <c r="AY49" i="4"/>
  <c r="AX49" i="4"/>
  <c r="AQ49" i="4"/>
  <c r="AP49" i="4"/>
  <c r="AO49" i="4"/>
  <c r="AH49" i="4"/>
  <c r="AG49" i="4"/>
  <c r="AF49" i="4"/>
  <c r="Y49" i="4"/>
  <c r="X49" i="4"/>
  <c r="W49" i="4"/>
  <c r="P49" i="4"/>
  <c r="O49" i="4"/>
  <c r="N49" i="4"/>
  <c r="J49" i="4"/>
  <c r="AJ49" i="4" s="1"/>
  <c r="AI49" i="4" s="1"/>
  <c r="BI48" i="4"/>
  <c r="BH48" i="4"/>
  <c r="BG48" i="4"/>
  <c r="AZ48" i="4"/>
  <c r="AY48" i="4"/>
  <c r="AX48" i="4"/>
  <c r="AQ48" i="4"/>
  <c r="AP48" i="4"/>
  <c r="AO48" i="4"/>
  <c r="AH48" i="4"/>
  <c r="AG48" i="4"/>
  <c r="AF48" i="4"/>
  <c r="Y48" i="4"/>
  <c r="X48" i="4"/>
  <c r="W48" i="4"/>
  <c r="P48" i="4"/>
  <c r="O48" i="4"/>
  <c r="N48" i="4"/>
  <c r="J48" i="4"/>
  <c r="BI47" i="4"/>
  <c r="BH47" i="4"/>
  <c r="BG47" i="4"/>
  <c r="AZ47" i="4"/>
  <c r="AY47" i="4"/>
  <c r="AX47" i="4"/>
  <c r="AQ47" i="4"/>
  <c r="AP47" i="4"/>
  <c r="AO47" i="4"/>
  <c r="AH47" i="4"/>
  <c r="AG47" i="4"/>
  <c r="AF47" i="4"/>
  <c r="Y47" i="4"/>
  <c r="X47" i="4"/>
  <c r="W47" i="4"/>
  <c r="P47" i="4"/>
  <c r="O47" i="4"/>
  <c r="N47" i="4"/>
  <c r="J47" i="4"/>
  <c r="BK47" i="4" s="1"/>
  <c r="BJ47" i="4" s="1"/>
  <c r="BI46" i="4"/>
  <c r="BH46" i="4"/>
  <c r="BG46" i="4"/>
  <c r="BK46" i="4" s="1"/>
  <c r="BJ46" i="4" s="1"/>
  <c r="AZ46" i="4"/>
  <c r="AY46" i="4"/>
  <c r="AX46" i="4"/>
  <c r="BB46" i="4" s="1"/>
  <c r="BA46" i="4" s="1"/>
  <c r="AQ46" i="4"/>
  <c r="AP46" i="4"/>
  <c r="AO46" i="4"/>
  <c r="AS46" i="4" s="1"/>
  <c r="AR46" i="4" s="1"/>
  <c r="AH46" i="4"/>
  <c r="AG46" i="4"/>
  <c r="AF46" i="4"/>
  <c r="AJ46" i="4" s="1"/>
  <c r="AI46" i="4" s="1"/>
  <c r="Y46" i="4"/>
  <c r="X46" i="4"/>
  <c r="W46" i="4"/>
  <c r="AA46" i="4" s="1"/>
  <c r="Z46" i="4" s="1"/>
  <c r="P46" i="4"/>
  <c r="O46" i="4"/>
  <c r="N46" i="4"/>
  <c r="R46" i="4" s="1"/>
  <c r="Q46" i="4" s="1"/>
  <c r="J46" i="4"/>
  <c r="BI45" i="4"/>
  <c r="BH45" i="4"/>
  <c r="BG45" i="4"/>
  <c r="AZ45" i="4"/>
  <c r="AY45" i="4"/>
  <c r="AX45" i="4"/>
  <c r="BB45" i="4" s="1"/>
  <c r="BA45" i="4" s="1"/>
  <c r="AQ45" i="4"/>
  <c r="AP45" i="4"/>
  <c r="AO45" i="4"/>
  <c r="AS45" i="4" s="1"/>
  <c r="AR45" i="4" s="1"/>
  <c r="AH45" i="4"/>
  <c r="AG45" i="4"/>
  <c r="AF45" i="4"/>
  <c r="Y45" i="4"/>
  <c r="X45" i="4"/>
  <c r="W45" i="4"/>
  <c r="AA45" i="4" s="1"/>
  <c r="Z45" i="4" s="1"/>
  <c r="P45" i="4"/>
  <c r="O45" i="4"/>
  <c r="N45" i="4"/>
  <c r="R45" i="4" s="1"/>
  <c r="Q45" i="4" s="1"/>
  <c r="J45" i="4"/>
  <c r="BI44" i="4"/>
  <c r="BH44" i="4"/>
  <c r="BG44" i="4"/>
  <c r="AZ44" i="4"/>
  <c r="AY44" i="4"/>
  <c r="AX44" i="4"/>
  <c r="AQ44" i="4"/>
  <c r="AP44" i="4"/>
  <c r="AO44" i="4"/>
  <c r="AH44" i="4"/>
  <c r="AG44" i="4"/>
  <c r="AF44" i="4"/>
  <c r="Y44" i="4"/>
  <c r="X44" i="4"/>
  <c r="W44" i="4"/>
  <c r="P44" i="4"/>
  <c r="O44" i="4"/>
  <c r="N44" i="4"/>
  <c r="J44" i="4"/>
  <c r="AA44" i="4" s="1"/>
  <c r="Z44" i="4" s="1"/>
  <c r="BI43" i="4"/>
  <c r="BH43" i="4"/>
  <c r="BG43" i="4"/>
  <c r="AZ43" i="4"/>
  <c r="AY43" i="4"/>
  <c r="AX43" i="4"/>
  <c r="AQ43" i="4"/>
  <c r="AP43" i="4"/>
  <c r="AO43" i="4"/>
  <c r="AH43" i="4"/>
  <c r="AG43" i="4"/>
  <c r="AF43" i="4"/>
  <c r="Y43" i="4"/>
  <c r="X43" i="4"/>
  <c r="W43" i="4"/>
  <c r="P43" i="4"/>
  <c r="O43" i="4"/>
  <c r="N43" i="4"/>
  <c r="J43" i="4"/>
  <c r="BK43" i="4" s="1"/>
  <c r="BJ43" i="4" s="1"/>
  <c r="BI42" i="4"/>
  <c r="BH42" i="4"/>
  <c r="BG42" i="4"/>
  <c r="AZ42" i="4"/>
  <c r="AY42" i="4"/>
  <c r="AX42" i="4"/>
  <c r="AQ42" i="4"/>
  <c r="AP42" i="4"/>
  <c r="AO42" i="4"/>
  <c r="AH42" i="4"/>
  <c r="AG42" i="4"/>
  <c r="AF42" i="4"/>
  <c r="AJ42" i="4" s="1"/>
  <c r="AI42" i="4" s="1"/>
  <c r="Y42" i="4"/>
  <c r="X42" i="4"/>
  <c r="W42" i="4"/>
  <c r="AA42" i="4" s="1"/>
  <c r="Z42" i="4" s="1"/>
  <c r="P42" i="4"/>
  <c r="O42" i="4"/>
  <c r="N42" i="4"/>
  <c r="J42" i="4"/>
  <c r="R42" i="4" s="1"/>
  <c r="Q42" i="4" s="1"/>
  <c r="BI41" i="4"/>
  <c r="BH41" i="4"/>
  <c r="BG41" i="4"/>
  <c r="AZ41" i="4"/>
  <c r="AY41" i="4"/>
  <c r="AX41" i="4"/>
  <c r="AQ41" i="4"/>
  <c r="AP41" i="4"/>
  <c r="AO41" i="4"/>
  <c r="AH41" i="4"/>
  <c r="AG41" i="4"/>
  <c r="AF41" i="4"/>
  <c r="Y41" i="4"/>
  <c r="X41" i="4"/>
  <c r="W41" i="4"/>
  <c r="P41" i="4"/>
  <c r="O41" i="4"/>
  <c r="N41" i="4"/>
  <c r="J41" i="4"/>
  <c r="BI40" i="4"/>
  <c r="BH40" i="4"/>
  <c r="BG40" i="4"/>
  <c r="BK40" i="4" s="1"/>
  <c r="BJ40" i="4" s="1"/>
  <c r="AZ40" i="4"/>
  <c r="AY40" i="4"/>
  <c r="AX40" i="4"/>
  <c r="AQ40" i="4"/>
  <c r="AP40" i="4"/>
  <c r="AO40" i="4"/>
  <c r="AH40" i="4"/>
  <c r="AG40" i="4"/>
  <c r="AF40" i="4"/>
  <c r="Y40" i="4"/>
  <c r="X40" i="4"/>
  <c r="W40" i="4"/>
  <c r="P40" i="4"/>
  <c r="O40" i="4"/>
  <c r="N40" i="4"/>
  <c r="J40" i="4"/>
  <c r="BI39" i="4"/>
  <c r="BH39" i="4"/>
  <c r="BG39" i="4"/>
  <c r="AZ39" i="4"/>
  <c r="AY39" i="4"/>
  <c r="AX39" i="4"/>
  <c r="AQ39" i="4"/>
  <c r="AP39" i="4"/>
  <c r="AO39" i="4"/>
  <c r="AH39" i="4"/>
  <c r="AG39" i="4"/>
  <c r="AF39" i="4"/>
  <c r="Y39" i="4"/>
  <c r="X39" i="4"/>
  <c r="W39" i="4"/>
  <c r="AA39" i="4" s="1"/>
  <c r="Z39" i="4" s="1"/>
  <c r="P39" i="4"/>
  <c r="O39" i="4"/>
  <c r="N39" i="4"/>
  <c r="R39" i="4" s="1"/>
  <c r="Q39" i="4" s="1"/>
  <c r="J39" i="4"/>
  <c r="BB39" i="4" s="1"/>
  <c r="BA39" i="4" s="1"/>
  <c r="BI38" i="4"/>
  <c r="BH38" i="4"/>
  <c r="BG38" i="4"/>
  <c r="AZ38" i="4"/>
  <c r="AY38" i="4"/>
  <c r="AX38" i="4"/>
  <c r="AQ38" i="4"/>
  <c r="AP38" i="4"/>
  <c r="AO38" i="4"/>
  <c r="AS38" i="4" s="1"/>
  <c r="AR38" i="4" s="1"/>
  <c r="AH38" i="4"/>
  <c r="AG38" i="4"/>
  <c r="AF38" i="4"/>
  <c r="Y38" i="4"/>
  <c r="X38" i="4"/>
  <c r="W38" i="4"/>
  <c r="P38" i="4"/>
  <c r="O38" i="4"/>
  <c r="N38" i="4"/>
  <c r="R38" i="4" s="1"/>
  <c r="Q38" i="4" s="1"/>
  <c r="J38" i="4"/>
  <c r="BI37" i="4"/>
  <c r="BH37" i="4"/>
  <c r="BG37" i="4"/>
  <c r="AZ37" i="4"/>
  <c r="AY37" i="4"/>
  <c r="AX37" i="4"/>
  <c r="AQ37" i="4"/>
  <c r="AP37" i="4"/>
  <c r="AO37" i="4"/>
  <c r="AH37" i="4"/>
  <c r="AG37" i="4"/>
  <c r="AF37" i="4"/>
  <c r="AA37" i="4"/>
  <c r="Z37" i="4" s="1"/>
  <c r="Y37" i="4"/>
  <c r="X37" i="4"/>
  <c r="W37" i="4"/>
  <c r="P37" i="4"/>
  <c r="O37" i="4"/>
  <c r="N37" i="4"/>
  <c r="J37" i="4"/>
  <c r="BI36" i="4"/>
  <c r="BH36" i="4"/>
  <c r="BG36" i="4"/>
  <c r="AZ36" i="4"/>
  <c r="AY36" i="4"/>
  <c r="AX36" i="4"/>
  <c r="AQ36" i="4"/>
  <c r="AP36" i="4"/>
  <c r="AO36" i="4"/>
  <c r="AH36" i="4"/>
  <c r="AG36" i="4"/>
  <c r="AF36" i="4"/>
  <c r="Y36" i="4"/>
  <c r="X36" i="4"/>
  <c r="W36" i="4"/>
  <c r="P36" i="4"/>
  <c r="O36" i="4"/>
  <c r="N36" i="4"/>
  <c r="J36" i="4"/>
  <c r="BI35" i="4"/>
  <c r="BH35" i="4"/>
  <c r="BG35" i="4"/>
  <c r="AZ35" i="4"/>
  <c r="AY35" i="4"/>
  <c r="AX35" i="4"/>
  <c r="AQ35" i="4"/>
  <c r="AP35" i="4"/>
  <c r="AO35" i="4"/>
  <c r="AH35" i="4"/>
  <c r="AG35" i="4"/>
  <c r="AF35" i="4"/>
  <c r="Y35" i="4"/>
  <c r="X35" i="4"/>
  <c r="W35" i="4"/>
  <c r="P35" i="4"/>
  <c r="O35" i="4"/>
  <c r="N35" i="4"/>
  <c r="J35" i="4"/>
  <c r="BI34" i="4"/>
  <c r="BH34" i="4"/>
  <c r="BG34" i="4"/>
  <c r="AZ34" i="4"/>
  <c r="AY34" i="4"/>
  <c r="AX34" i="4"/>
  <c r="BB34" i="4" s="1"/>
  <c r="BA34" i="4" s="1"/>
  <c r="AQ34" i="4"/>
  <c r="AP34" i="4"/>
  <c r="AO34" i="4"/>
  <c r="AH34" i="4"/>
  <c r="AG34" i="4"/>
  <c r="AF34" i="4"/>
  <c r="Y34" i="4"/>
  <c r="X34" i="4"/>
  <c r="W34" i="4"/>
  <c r="AA34" i="4" s="1"/>
  <c r="Z34" i="4" s="1"/>
  <c r="P34" i="4"/>
  <c r="O34" i="4"/>
  <c r="N34" i="4"/>
  <c r="J34" i="4"/>
  <c r="BI33" i="4"/>
  <c r="BH33" i="4"/>
  <c r="BG33" i="4"/>
  <c r="AZ33" i="4"/>
  <c r="AY33" i="4"/>
  <c r="AX33" i="4"/>
  <c r="AQ33" i="4"/>
  <c r="AP33" i="4"/>
  <c r="AO33" i="4"/>
  <c r="AH33" i="4"/>
  <c r="AG33" i="4"/>
  <c r="AF33" i="4"/>
  <c r="Y33" i="4"/>
  <c r="X33" i="4"/>
  <c r="W33" i="4"/>
  <c r="P33" i="4"/>
  <c r="O33" i="4"/>
  <c r="N33" i="4"/>
  <c r="R33" i="4" s="1"/>
  <c r="Q33" i="4" s="1"/>
  <c r="J33" i="4"/>
  <c r="BI32" i="4"/>
  <c r="BH32" i="4"/>
  <c r="BG32" i="4"/>
  <c r="AZ32" i="4"/>
  <c r="AY32" i="4"/>
  <c r="AX32" i="4"/>
  <c r="BB32" i="4" s="1"/>
  <c r="BA32" i="4" s="1"/>
  <c r="AQ32" i="4"/>
  <c r="AP32" i="4"/>
  <c r="AO32" i="4"/>
  <c r="AH32" i="4"/>
  <c r="AG32" i="4"/>
  <c r="AF32" i="4"/>
  <c r="AJ32" i="4" s="1"/>
  <c r="AI32" i="4" s="1"/>
  <c r="Y32" i="4"/>
  <c r="X32" i="4"/>
  <c r="W32" i="4"/>
  <c r="P32" i="4"/>
  <c r="O32" i="4"/>
  <c r="N32" i="4"/>
  <c r="J32" i="4"/>
  <c r="BI31" i="4"/>
  <c r="BH31" i="4"/>
  <c r="BG31" i="4"/>
  <c r="AZ31" i="4"/>
  <c r="AY31" i="4"/>
  <c r="AX31" i="4"/>
  <c r="AQ31" i="4"/>
  <c r="AP31" i="4"/>
  <c r="AO31" i="4"/>
  <c r="AH31" i="4"/>
  <c r="AG31" i="4"/>
  <c r="AF31" i="4"/>
  <c r="Y31" i="4"/>
  <c r="X31" i="4"/>
  <c r="W31" i="4"/>
  <c r="P31" i="4"/>
  <c r="O31" i="4"/>
  <c r="N31" i="4"/>
  <c r="J31" i="4"/>
  <c r="BI30" i="4"/>
  <c r="BH30" i="4"/>
  <c r="BG30" i="4"/>
  <c r="AZ30" i="4"/>
  <c r="AY30" i="4"/>
  <c r="AX30" i="4"/>
  <c r="AQ30" i="4"/>
  <c r="AP30" i="4"/>
  <c r="AO30" i="4"/>
  <c r="AH30" i="4"/>
  <c r="AG30" i="4"/>
  <c r="AF30" i="4"/>
  <c r="Y30" i="4"/>
  <c r="X30" i="4"/>
  <c r="W30" i="4"/>
  <c r="P30" i="4"/>
  <c r="O30" i="4"/>
  <c r="N30" i="4"/>
  <c r="R30" i="4" s="1"/>
  <c r="Q30" i="4" s="1"/>
  <c r="J30" i="4"/>
  <c r="BI29" i="4"/>
  <c r="BH29" i="4"/>
  <c r="BG29" i="4"/>
  <c r="AZ29" i="4"/>
  <c r="AY29" i="4"/>
  <c r="AX29" i="4"/>
  <c r="AQ29" i="4"/>
  <c r="AP29" i="4"/>
  <c r="AO29" i="4"/>
  <c r="AH29" i="4"/>
  <c r="AG29" i="4"/>
  <c r="AF29" i="4"/>
  <c r="Y29" i="4"/>
  <c r="X29" i="4"/>
  <c r="W29" i="4"/>
  <c r="P29" i="4"/>
  <c r="O29" i="4"/>
  <c r="N29" i="4"/>
  <c r="J29" i="4"/>
  <c r="AS29" i="4" s="1"/>
  <c r="AR29" i="4" s="1"/>
  <c r="BI28" i="4"/>
  <c r="BH28" i="4"/>
  <c r="BG28" i="4"/>
  <c r="AZ28" i="4"/>
  <c r="AY28" i="4"/>
  <c r="AX28" i="4"/>
  <c r="AQ28" i="4"/>
  <c r="AP28" i="4"/>
  <c r="AO28" i="4"/>
  <c r="AH28" i="4"/>
  <c r="AG28" i="4"/>
  <c r="AF28" i="4"/>
  <c r="Y28" i="4"/>
  <c r="X28" i="4"/>
  <c r="W28" i="4"/>
  <c r="AA28" i="4" s="1"/>
  <c r="Z28" i="4" s="1"/>
  <c r="P28" i="4"/>
  <c r="O28" i="4"/>
  <c r="N28" i="4"/>
  <c r="J28" i="4"/>
  <c r="BI27" i="4"/>
  <c r="BH27" i="4"/>
  <c r="BG27" i="4"/>
  <c r="AZ27" i="4"/>
  <c r="AY27" i="4"/>
  <c r="AX27" i="4"/>
  <c r="AQ27" i="4"/>
  <c r="AP27" i="4"/>
  <c r="AO27" i="4"/>
  <c r="AH27" i="4"/>
  <c r="AG27" i="4"/>
  <c r="AF27" i="4"/>
  <c r="AJ27" i="4" s="1"/>
  <c r="AI27" i="4" s="1"/>
  <c r="Y27" i="4"/>
  <c r="X27" i="4"/>
  <c r="W27" i="4"/>
  <c r="AA27" i="4" s="1"/>
  <c r="Z27" i="4" s="1"/>
  <c r="P27" i="4"/>
  <c r="O27" i="4"/>
  <c r="N27" i="4"/>
  <c r="R27" i="4" s="1"/>
  <c r="Q27" i="4" s="1"/>
  <c r="J27" i="4"/>
  <c r="BK27" i="4" s="1"/>
  <c r="BJ27" i="4" s="1"/>
  <c r="BI26" i="4"/>
  <c r="BH26" i="4"/>
  <c r="BG26" i="4"/>
  <c r="AZ26" i="4"/>
  <c r="AY26" i="4"/>
  <c r="AX26" i="4"/>
  <c r="BB26" i="4" s="1"/>
  <c r="BA26" i="4" s="1"/>
  <c r="AQ26" i="4"/>
  <c r="AP26" i="4"/>
  <c r="AO26" i="4"/>
  <c r="AS26" i="4" s="1"/>
  <c r="AR26" i="4" s="1"/>
  <c r="AH26" i="4"/>
  <c r="AG26" i="4"/>
  <c r="AF26" i="4"/>
  <c r="Y26" i="4"/>
  <c r="X26" i="4"/>
  <c r="W26" i="4"/>
  <c r="P26" i="4"/>
  <c r="O26" i="4"/>
  <c r="N26" i="4"/>
  <c r="J26" i="4"/>
  <c r="BI25" i="4"/>
  <c r="BH25" i="4"/>
  <c r="BG25" i="4"/>
  <c r="AZ25" i="4"/>
  <c r="AY25" i="4"/>
  <c r="AX25" i="4"/>
  <c r="AQ25" i="4"/>
  <c r="AP25" i="4"/>
  <c r="AO25" i="4"/>
  <c r="AH25" i="4"/>
  <c r="AG25" i="4"/>
  <c r="AF25" i="4"/>
  <c r="Y25" i="4"/>
  <c r="X25" i="4"/>
  <c r="W25" i="4"/>
  <c r="P25" i="4"/>
  <c r="O25" i="4"/>
  <c r="N25" i="4"/>
  <c r="J25" i="4"/>
  <c r="BK25" i="4" s="1"/>
  <c r="BJ25" i="4" s="1"/>
  <c r="BI24" i="4"/>
  <c r="BH24" i="4"/>
  <c r="BG24" i="4"/>
  <c r="AZ24" i="4"/>
  <c r="AY24" i="4"/>
  <c r="AX24" i="4"/>
  <c r="AQ24" i="4"/>
  <c r="AP24" i="4"/>
  <c r="AO24" i="4"/>
  <c r="AH24" i="4"/>
  <c r="AG24" i="4"/>
  <c r="AF24" i="4"/>
  <c r="AJ24" i="4" s="1"/>
  <c r="AI24" i="4" s="1"/>
  <c r="Y24" i="4"/>
  <c r="X24" i="4"/>
  <c r="W24" i="4"/>
  <c r="P24" i="4"/>
  <c r="O24" i="4"/>
  <c r="N24" i="4"/>
  <c r="J24" i="4"/>
  <c r="BI23" i="4"/>
  <c r="BH23" i="4"/>
  <c r="BG23" i="4"/>
  <c r="AZ23" i="4"/>
  <c r="AY23" i="4"/>
  <c r="AX23" i="4"/>
  <c r="AQ23" i="4"/>
  <c r="AP23" i="4"/>
  <c r="AO23" i="4"/>
  <c r="AH23" i="4"/>
  <c r="AG23" i="4"/>
  <c r="AF23" i="4"/>
  <c r="Y23" i="4"/>
  <c r="X23" i="4"/>
  <c r="W23" i="4"/>
  <c r="P23" i="4"/>
  <c r="O23" i="4"/>
  <c r="N23" i="4"/>
  <c r="J23" i="4"/>
  <c r="BK23" i="4" s="1"/>
  <c r="BI22" i="4"/>
  <c r="BH22" i="4"/>
  <c r="BG22" i="4"/>
  <c r="BK22" i="4" s="1"/>
  <c r="BJ22" i="4" s="1"/>
  <c r="AZ22" i="4"/>
  <c r="AY22" i="4"/>
  <c r="AX22" i="4"/>
  <c r="BB22" i="4" s="1"/>
  <c r="BA22" i="4" s="1"/>
  <c r="AQ22" i="4"/>
  <c r="AP22" i="4"/>
  <c r="AO22" i="4"/>
  <c r="AH22" i="4"/>
  <c r="AG22" i="4"/>
  <c r="AF22" i="4"/>
  <c r="Y22" i="4"/>
  <c r="X22" i="4"/>
  <c r="W22" i="4"/>
  <c r="P22" i="4"/>
  <c r="O22" i="4"/>
  <c r="N22" i="4"/>
  <c r="J22" i="4"/>
  <c r="BI21" i="4"/>
  <c r="BH21" i="4"/>
  <c r="BG21" i="4"/>
  <c r="BK21" i="4" s="1"/>
  <c r="BJ21" i="4" s="1"/>
  <c r="AZ21" i="4"/>
  <c r="AY21" i="4"/>
  <c r="AX21" i="4"/>
  <c r="AQ21" i="4"/>
  <c r="AP21" i="4"/>
  <c r="AO21" i="4"/>
  <c r="AH21" i="4"/>
  <c r="AG21" i="4"/>
  <c r="AF21" i="4"/>
  <c r="Y21" i="4"/>
  <c r="X21" i="4"/>
  <c r="W21" i="4"/>
  <c r="P21" i="4"/>
  <c r="O21" i="4"/>
  <c r="N21" i="4"/>
  <c r="J21" i="4"/>
  <c r="AJ23" i="4" l="1"/>
  <c r="BB48" i="4"/>
  <c r="BA48" i="4" s="1"/>
  <c r="AA52" i="4"/>
  <c r="Z52" i="4" s="1"/>
  <c r="R56" i="4"/>
  <c r="Q56" i="4" s="1"/>
  <c r="AA60" i="4"/>
  <c r="Z60" i="4" s="1"/>
  <c r="BB70" i="4"/>
  <c r="BA70" i="4" s="1"/>
  <c r="AS74" i="4"/>
  <c r="AR74" i="4" s="1"/>
  <c r="BK97" i="4"/>
  <c r="BJ97" i="4" s="1"/>
  <c r="AA102" i="4"/>
  <c r="Z102" i="4" s="1"/>
  <c r="R110" i="4"/>
  <c r="Q110" i="4" s="1"/>
  <c r="R132" i="4"/>
  <c r="Q132" i="4" s="1"/>
  <c r="BK132" i="4"/>
  <c r="BJ132" i="4" s="1"/>
  <c r="BK141" i="4"/>
  <c r="BJ141" i="4" s="1"/>
  <c r="AA146" i="4"/>
  <c r="Z146" i="4" s="1"/>
  <c r="R151" i="4"/>
  <c r="Q151" i="4" s="1"/>
  <c r="BK30" i="4"/>
  <c r="BJ30" i="4" s="1"/>
  <c r="R35" i="4"/>
  <c r="Q35" i="4" s="1"/>
  <c r="BK35" i="4"/>
  <c r="BJ35" i="4" s="1"/>
  <c r="BB44" i="4"/>
  <c r="BA44" i="4" s="1"/>
  <c r="BB75" i="4"/>
  <c r="BA75" i="4" s="1"/>
  <c r="BB107" i="4"/>
  <c r="BA107" i="4" s="1"/>
  <c r="BK84" i="4"/>
  <c r="BJ84" i="4" s="1"/>
  <c r="BK48" i="4"/>
  <c r="BJ48" i="4" s="1"/>
  <c r="AA56" i="4"/>
  <c r="Z56" i="4" s="1"/>
  <c r="BK70" i="4"/>
  <c r="BJ70" i="4" s="1"/>
  <c r="R84" i="4"/>
  <c r="Q84" i="4" s="1"/>
  <c r="R93" i="4"/>
  <c r="Q93" i="4" s="1"/>
  <c r="R115" i="4"/>
  <c r="Q115" i="4" s="1"/>
  <c r="AA123" i="4"/>
  <c r="Z123" i="4" s="1"/>
  <c r="R124" i="4"/>
  <c r="Q124" i="4" s="1"/>
  <c r="R133" i="4"/>
  <c r="Q133" i="4" s="1"/>
  <c r="BK133" i="4"/>
  <c r="BJ133" i="4" s="1"/>
  <c r="R137" i="4"/>
  <c r="Q137" i="4" s="1"/>
  <c r="R48" i="4"/>
  <c r="Q48" i="4" s="1"/>
  <c r="BK56" i="4"/>
  <c r="BJ56" i="4" s="1"/>
  <c r="AA141" i="4"/>
  <c r="Z141" i="4" s="1"/>
  <c r="AA161" i="4"/>
  <c r="Z161" i="4" s="1"/>
  <c r="R21" i="4"/>
  <c r="Q21" i="4" s="1"/>
  <c r="R22" i="4"/>
  <c r="Q22" i="4" s="1"/>
  <c r="BB23" i="4"/>
  <c r="AA30" i="4"/>
  <c r="Z30" i="4" s="1"/>
  <c r="R31" i="4"/>
  <c r="Q31" i="4" s="1"/>
  <c r="AJ34" i="4"/>
  <c r="AI34" i="4" s="1"/>
  <c r="AA65" i="4"/>
  <c r="Z65" i="4" s="1"/>
  <c r="BK66" i="4"/>
  <c r="BJ66" i="4" s="1"/>
  <c r="BK80" i="4"/>
  <c r="BJ80" i="4" s="1"/>
  <c r="AA88" i="4"/>
  <c r="Z88" i="4" s="1"/>
  <c r="R89" i="4"/>
  <c r="Q89" i="4" s="1"/>
  <c r="BK89" i="4"/>
  <c r="BJ89" i="4" s="1"/>
  <c r="BK103" i="4"/>
  <c r="BJ103" i="4" s="1"/>
  <c r="R107" i="4"/>
  <c r="Q107" i="4" s="1"/>
  <c r="BK71" i="4"/>
  <c r="BJ71" i="4" s="1"/>
  <c r="AA79" i="4"/>
  <c r="Z79" i="4" s="1"/>
  <c r="AJ114" i="4"/>
  <c r="AI114" i="4" s="1"/>
  <c r="BB31" i="4"/>
  <c r="BA31" i="4" s="1"/>
  <c r="AS24" i="4"/>
  <c r="AR24" i="4" s="1"/>
  <c r="AA32" i="4"/>
  <c r="Z32" i="4" s="1"/>
  <c r="BK32" i="4"/>
  <c r="BJ32" i="4" s="1"/>
  <c r="BB33" i="4"/>
  <c r="BA33" i="4" s="1"/>
  <c r="AS42" i="4"/>
  <c r="AR42" i="4" s="1"/>
  <c r="BK45" i="4"/>
  <c r="BJ45" i="4" s="1"/>
  <c r="AJ60" i="4"/>
  <c r="AI60" i="4" s="1"/>
  <c r="BK62" i="4"/>
  <c r="BJ62" i="4" s="1"/>
  <c r="BB72" i="4"/>
  <c r="BA72" i="4" s="1"/>
  <c r="AS73" i="4"/>
  <c r="AR73" i="4" s="1"/>
  <c r="BK76" i="4"/>
  <c r="BJ76" i="4" s="1"/>
  <c r="AS96" i="4"/>
  <c r="AR96" i="4" s="1"/>
  <c r="AJ97" i="4"/>
  <c r="AI97" i="4" s="1"/>
  <c r="AA98" i="4"/>
  <c r="Z98" i="4" s="1"/>
  <c r="R99" i="4"/>
  <c r="Q99" i="4" s="1"/>
  <c r="AJ102" i="4"/>
  <c r="AI102" i="4" s="1"/>
  <c r="BB117" i="4"/>
  <c r="BA117" i="4" s="1"/>
  <c r="R120" i="4"/>
  <c r="Q120" i="4" s="1"/>
  <c r="R134" i="4"/>
  <c r="Q134" i="4" s="1"/>
  <c r="BK134" i="4"/>
  <c r="BJ134" i="4" s="1"/>
  <c r="AJ141" i="4"/>
  <c r="AI141" i="4" s="1"/>
  <c r="BK143" i="4"/>
  <c r="BJ143" i="4" s="1"/>
  <c r="AJ151" i="4"/>
  <c r="AI151" i="4" s="1"/>
  <c r="BK158" i="4"/>
  <c r="BJ158" i="4" s="1"/>
  <c r="AA31" i="4"/>
  <c r="Z31" i="4" s="1"/>
  <c r="AS34" i="4"/>
  <c r="AR34" i="4" s="1"/>
  <c r="AJ41" i="4"/>
  <c r="AI41" i="4" s="1"/>
  <c r="BK67" i="4"/>
  <c r="BJ67" i="4" s="1"/>
  <c r="AA103" i="4"/>
  <c r="Z103" i="4" s="1"/>
  <c r="AA111" i="4"/>
  <c r="Z111" i="4" s="1"/>
  <c r="BB126" i="4"/>
  <c r="BA126" i="4" s="1"/>
  <c r="AS127" i="4"/>
  <c r="AR127" i="4" s="1"/>
  <c r="R158" i="4"/>
  <c r="Q158" i="4" s="1"/>
  <c r="R26" i="4"/>
  <c r="Q26" i="4" s="1"/>
  <c r="BK37" i="4"/>
  <c r="BJ37" i="4" s="1"/>
  <c r="AJ79" i="4"/>
  <c r="AI79" i="4" s="1"/>
  <c r="BB82" i="4"/>
  <c r="BA82" i="4" s="1"/>
  <c r="BK86" i="4"/>
  <c r="BJ86" i="4" s="1"/>
  <c r="BB113" i="4"/>
  <c r="BA113" i="4" s="1"/>
  <c r="AJ121" i="4"/>
  <c r="AI121" i="4" s="1"/>
  <c r="AS123" i="4"/>
  <c r="AR123" i="4" s="1"/>
  <c r="AA125" i="4"/>
  <c r="Z125" i="4" s="1"/>
  <c r="BB140" i="4"/>
  <c r="BA140" i="4" s="1"/>
  <c r="BB24" i="4"/>
  <c r="BA24" i="4" s="1"/>
  <c r="AJ26" i="4"/>
  <c r="AI26" i="4" s="1"/>
  <c r="AS39" i="4"/>
  <c r="AR39" i="4" s="1"/>
  <c r="AJ40" i="4"/>
  <c r="AI40" i="4" s="1"/>
  <c r="BB42" i="4"/>
  <c r="BA42" i="4" s="1"/>
  <c r="AS47" i="4"/>
  <c r="AR47" i="4" s="1"/>
  <c r="AJ48" i="4"/>
  <c r="AI48" i="4" s="1"/>
  <c r="R50" i="4"/>
  <c r="Q50" i="4" s="1"/>
  <c r="R63" i="4"/>
  <c r="Q63" i="4" s="1"/>
  <c r="AJ70" i="4"/>
  <c r="AI70" i="4" s="1"/>
  <c r="AA71" i="4"/>
  <c r="Z71" i="4" s="1"/>
  <c r="R72" i="4"/>
  <c r="Q72" i="4" s="1"/>
  <c r="BK72" i="4"/>
  <c r="BJ72" i="4" s="1"/>
  <c r="AA77" i="4"/>
  <c r="Z77" i="4" s="1"/>
  <c r="R86" i="4"/>
  <c r="Q86" i="4" s="1"/>
  <c r="BK95" i="4"/>
  <c r="BJ95" i="4" s="1"/>
  <c r="AS102" i="4"/>
  <c r="AR102" i="4" s="1"/>
  <c r="BK104" i="4"/>
  <c r="BJ104" i="4" s="1"/>
  <c r="BB105" i="4"/>
  <c r="BA105" i="4" s="1"/>
  <c r="AS110" i="4"/>
  <c r="AR110" i="4" s="1"/>
  <c r="AA120" i="4"/>
  <c r="Z120" i="4" s="1"/>
  <c r="AA134" i="4"/>
  <c r="Z134" i="4" s="1"/>
  <c r="AS141" i="4"/>
  <c r="AR141" i="4" s="1"/>
  <c r="AS146" i="4"/>
  <c r="AR146" i="4" s="1"/>
  <c r="AS149" i="4"/>
  <c r="AR149" i="4" s="1"/>
  <c r="AS151" i="4"/>
  <c r="AR151" i="4" s="1"/>
  <c r="BK159" i="4"/>
  <c r="BJ159" i="4" s="1"/>
  <c r="AA68" i="4"/>
  <c r="Z68" i="4" s="1"/>
  <c r="AJ103" i="4"/>
  <c r="AI103" i="4" s="1"/>
  <c r="AJ111" i="4"/>
  <c r="AI111" i="4" s="1"/>
  <c r="AJ126" i="4"/>
  <c r="AI126" i="4" s="1"/>
  <c r="BK126" i="4"/>
  <c r="BJ126" i="4" s="1"/>
  <c r="BB127" i="4"/>
  <c r="BA127" i="4" s="1"/>
  <c r="BK135" i="4"/>
  <c r="BJ135" i="4" s="1"/>
  <c r="AA140" i="4"/>
  <c r="Z140" i="4" s="1"/>
  <c r="R149" i="4"/>
  <c r="Q149" i="4" s="1"/>
  <c r="AA153" i="4"/>
  <c r="Z153" i="4" s="1"/>
  <c r="AA158" i="4"/>
  <c r="Z158" i="4" s="1"/>
  <c r="AJ38" i="4"/>
  <c r="AI38" i="4" s="1"/>
  <c r="R55" i="4"/>
  <c r="Q55" i="4" s="1"/>
  <c r="BK55" i="4"/>
  <c r="BJ55" i="4" s="1"/>
  <c r="AS79" i="4"/>
  <c r="AR79" i="4" s="1"/>
  <c r="AS84" i="4"/>
  <c r="AR84" i="4" s="1"/>
  <c r="AS88" i="4"/>
  <c r="AR88" i="4" s="1"/>
  <c r="AA91" i="4"/>
  <c r="Z91" i="4" s="1"/>
  <c r="AS93" i="4"/>
  <c r="AR93" i="4" s="1"/>
  <c r="AA101" i="4"/>
  <c r="Z101" i="4" s="1"/>
  <c r="BK109" i="4"/>
  <c r="BJ109" i="4" s="1"/>
  <c r="AJ119" i="4"/>
  <c r="AI119" i="4" s="1"/>
  <c r="AS132" i="4"/>
  <c r="AR132" i="4" s="1"/>
  <c r="AJ31" i="4"/>
  <c r="AI31" i="4" s="1"/>
  <c r="AJ44" i="4"/>
  <c r="AI44" i="4" s="1"/>
  <c r="AS48" i="4"/>
  <c r="AR48" i="4" s="1"/>
  <c r="BB60" i="4"/>
  <c r="BA60" i="4" s="1"/>
  <c r="AS61" i="4"/>
  <c r="AR61" i="4" s="1"/>
  <c r="AS70" i="4"/>
  <c r="AR70" i="4" s="1"/>
  <c r="BK73" i="4"/>
  <c r="BJ73" i="4" s="1"/>
  <c r="R82" i="4"/>
  <c r="Q82" i="4" s="1"/>
  <c r="R87" i="4"/>
  <c r="Q87" i="4" s="1"/>
  <c r="BK87" i="4"/>
  <c r="BJ87" i="4" s="1"/>
  <c r="BK96" i="4"/>
  <c r="BJ96" i="4" s="1"/>
  <c r="BB97" i="4"/>
  <c r="BA97" i="4" s="1"/>
  <c r="AS98" i="4"/>
  <c r="AR98" i="4" s="1"/>
  <c r="AS119" i="4"/>
  <c r="AR119" i="4" s="1"/>
  <c r="AA121" i="4"/>
  <c r="Z121" i="4" s="1"/>
  <c r="AS133" i="4"/>
  <c r="AR133" i="4" s="1"/>
  <c r="AJ134" i="4"/>
  <c r="AI134" i="4" s="1"/>
  <c r="BB141" i="4"/>
  <c r="BA141" i="4" s="1"/>
  <c r="AJ145" i="4"/>
  <c r="AI145" i="4" s="1"/>
  <c r="AS147" i="4"/>
  <c r="AR147" i="4" s="1"/>
  <c r="BK150" i="4"/>
  <c r="BJ150" i="4" s="1"/>
  <c r="AJ160" i="4"/>
  <c r="AI160" i="4" s="1"/>
  <c r="BB161" i="4"/>
  <c r="BA161" i="4" s="1"/>
  <c r="AS162" i="4"/>
  <c r="AR162" i="4" s="1"/>
  <c r="AJ22" i="4"/>
  <c r="AI22" i="4" s="1"/>
  <c r="AS30" i="4"/>
  <c r="AR30" i="4" s="1"/>
  <c r="AS22" i="4"/>
  <c r="AR22" i="4" s="1"/>
  <c r="BB30" i="4"/>
  <c r="BA30" i="4" s="1"/>
  <c r="AS31" i="4"/>
  <c r="AR31" i="4" s="1"/>
  <c r="R34" i="4"/>
  <c r="Q34" i="4" s="1"/>
  <c r="AS36" i="4"/>
  <c r="AR36" i="4" s="1"/>
  <c r="AS44" i="4"/>
  <c r="AR44" i="4" s="1"/>
  <c r="BB52" i="4"/>
  <c r="BA52" i="4" s="1"/>
  <c r="AS53" i="4"/>
  <c r="AR53" i="4" s="1"/>
  <c r="AJ62" i="4"/>
  <c r="AI62" i="4" s="1"/>
  <c r="BK78" i="4"/>
  <c r="BJ78" i="4" s="1"/>
  <c r="R96" i="4"/>
  <c r="Q96" i="4" s="1"/>
  <c r="BB106" i="4"/>
  <c r="BA106" i="4" s="1"/>
  <c r="AS111" i="4"/>
  <c r="AR111" i="4" s="1"/>
  <c r="BK118" i="4"/>
  <c r="BJ118" i="4" s="1"/>
  <c r="BK136" i="4"/>
  <c r="BJ136" i="4" s="1"/>
  <c r="AJ143" i="4"/>
  <c r="AI143" i="4" s="1"/>
  <c r="AA144" i="4"/>
  <c r="Z144" i="4" s="1"/>
  <c r="AJ148" i="4"/>
  <c r="AI148" i="4" s="1"/>
  <c r="AS157" i="4"/>
  <c r="AR157" i="4" s="1"/>
  <c r="AJ158" i="4"/>
  <c r="AI158" i="4" s="1"/>
  <c r="BB118" i="4"/>
  <c r="BA118" i="4" s="1"/>
  <c r="BB21" i="4"/>
  <c r="BA21" i="4" s="1"/>
  <c r="AS21" i="4"/>
  <c r="AR21" i="4" s="1"/>
  <c r="R25" i="4"/>
  <c r="Q25" i="4" s="1"/>
  <c r="BB29" i="4"/>
  <c r="BA29" i="4" s="1"/>
  <c r="BB38" i="4"/>
  <c r="BA38" i="4" s="1"/>
  <c r="AS41" i="4"/>
  <c r="AR41" i="4" s="1"/>
  <c r="R49" i="4"/>
  <c r="Q49" i="4" s="1"/>
  <c r="AJ57" i="4"/>
  <c r="AI57" i="4" s="1"/>
  <c r="BB57" i="4"/>
  <c r="BA57" i="4" s="1"/>
  <c r="R68" i="4"/>
  <c r="Q68" i="4" s="1"/>
  <c r="R91" i="4"/>
  <c r="Q91" i="4" s="1"/>
  <c r="BB95" i="4"/>
  <c r="BA95" i="4" s="1"/>
  <c r="AS124" i="4"/>
  <c r="AR124" i="4" s="1"/>
  <c r="AS126" i="4"/>
  <c r="AR126" i="4" s="1"/>
  <c r="BB132" i="4"/>
  <c r="BA132" i="4" s="1"/>
  <c r="AJ133" i="4"/>
  <c r="AI133" i="4" s="1"/>
  <c r="R159" i="4"/>
  <c r="Q159" i="4" s="1"/>
  <c r="R60" i="4"/>
  <c r="Q60" i="4" s="1"/>
  <c r="BK77" i="4"/>
  <c r="BJ77" i="4" s="1"/>
  <c r="BK83" i="4"/>
  <c r="BJ83" i="4" s="1"/>
  <c r="BB142" i="4"/>
  <c r="BA142" i="4" s="1"/>
  <c r="R145" i="4"/>
  <c r="Q145" i="4" s="1"/>
  <c r="R23" i="4"/>
  <c r="BB74" i="4"/>
  <c r="BA74" i="4" s="1"/>
  <c r="R83" i="4"/>
  <c r="Q83" i="4" s="1"/>
  <c r="R92" i="4"/>
  <c r="Q92" i="4" s="1"/>
  <c r="BK92" i="4"/>
  <c r="BJ92" i="4" s="1"/>
  <c r="BK101" i="4"/>
  <c r="BJ101" i="4" s="1"/>
  <c r="R106" i="4"/>
  <c r="Q106" i="4" s="1"/>
  <c r="R112" i="4"/>
  <c r="Q112" i="4" s="1"/>
  <c r="BB112" i="4"/>
  <c r="BA112" i="4" s="1"/>
  <c r="AA116" i="4"/>
  <c r="Z116" i="4" s="1"/>
  <c r="R118" i="4"/>
  <c r="Q118" i="4" s="1"/>
  <c r="BB135" i="4"/>
  <c r="BA135" i="4" s="1"/>
  <c r="BK145" i="4"/>
  <c r="BJ145" i="4" s="1"/>
  <c r="AA159" i="4"/>
  <c r="Z159" i="4" s="1"/>
  <c r="BK49" i="4"/>
  <c r="BJ49" i="4" s="1"/>
  <c r="BK156" i="4"/>
  <c r="BJ156" i="4" s="1"/>
  <c r="BK36" i="4"/>
  <c r="BJ36" i="4" s="1"/>
  <c r="BB36" i="4"/>
  <c r="BA36" i="4" s="1"/>
  <c r="BK52" i="4"/>
  <c r="BJ52" i="4" s="1"/>
  <c r="AJ54" i="4"/>
  <c r="AI54" i="4" s="1"/>
  <c r="AA57" i="4"/>
  <c r="Z57" i="4" s="1"/>
  <c r="BK60" i="4"/>
  <c r="BJ60" i="4" s="1"/>
  <c r="BB69" i="4"/>
  <c r="BA69" i="4" s="1"/>
  <c r="BB78" i="4"/>
  <c r="BA78" i="4" s="1"/>
  <c r="BB87" i="4"/>
  <c r="BA87" i="4" s="1"/>
  <c r="R98" i="4"/>
  <c r="Q98" i="4" s="1"/>
  <c r="BB104" i="4"/>
  <c r="BA104" i="4" s="1"/>
  <c r="AA109" i="4"/>
  <c r="Z109" i="4" s="1"/>
  <c r="R116" i="4"/>
  <c r="Q116" i="4" s="1"/>
  <c r="AA118" i="4"/>
  <c r="Z118" i="4" s="1"/>
  <c r="AA128" i="4"/>
  <c r="Z128" i="4" s="1"/>
  <c r="R129" i="4"/>
  <c r="Q129" i="4" s="1"/>
  <c r="BB139" i="4"/>
  <c r="BA139" i="4" s="1"/>
  <c r="BK149" i="4"/>
  <c r="BJ149" i="4" s="1"/>
  <c r="AA156" i="4"/>
  <c r="Z156" i="4" s="1"/>
  <c r="BB157" i="4"/>
  <c r="BA157" i="4" s="1"/>
  <c r="AA35" i="4"/>
  <c r="Z35" i="4" s="1"/>
  <c r="AS37" i="4"/>
  <c r="AR37" i="4" s="1"/>
  <c r="AA38" i="4"/>
  <c r="Z38" i="4" s="1"/>
  <c r="AA41" i="4"/>
  <c r="Z41" i="4" s="1"/>
  <c r="BK41" i="4"/>
  <c r="BJ41" i="4" s="1"/>
  <c r="AA43" i="4"/>
  <c r="Z43" i="4" s="1"/>
  <c r="R44" i="4"/>
  <c r="Q44" i="4" s="1"/>
  <c r="R69" i="4"/>
  <c r="Q69" i="4" s="1"/>
  <c r="BK69" i="4"/>
  <c r="BJ69" i="4" s="1"/>
  <c r="AA80" i="4"/>
  <c r="Z80" i="4" s="1"/>
  <c r="AA95" i="4"/>
  <c r="Z95" i="4" s="1"/>
  <c r="BB110" i="4"/>
  <c r="BA110" i="4" s="1"/>
  <c r="R139" i="4"/>
  <c r="Q139" i="4" s="1"/>
  <c r="BK139" i="4"/>
  <c r="BJ139" i="4" s="1"/>
  <c r="BB150" i="4"/>
  <c r="BA150" i="4" s="1"/>
  <c r="AA152" i="4"/>
  <c r="Z152" i="4" s="1"/>
  <c r="R153" i="4"/>
  <c r="Q153" i="4" s="1"/>
  <c r="AA49" i="4"/>
  <c r="Z49" i="4" s="1"/>
  <c r="AA21" i="4"/>
  <c r="Z21" i="4" s="1"/>
  <c r="AA23" i="4"/>
  <c r="BK26" i="4"/>
  <c r="BJ26" i="4" s="1"/>
  <c r="AA29" i="4"/>
  <c r="Z29" i="4" s="1"/>
  <c r="AS33" i="4"/>
  <c r="AR33" i="4" s="1"/>
  <c r="BK33" i="4"/>
  <c r="BJ33" i="4" s="1"/>
  <c r="AS40" i="4"/>
  <c r="AR40" i="4" s="1"/>
  <c r="BB64" i="4"/>
  <c r="BA64" i="4" s="1"/>
  <c r="BB102" i="4"/>
  <c r="BA102" i="4" s="1"/>
  <c r="AS107" i="4"/>
  <c r="AR107" i="4" s="1"/>
  <c r="AA112" i="4"/>
  <c r="Z112" i="4" s="1"/>
  <c r="BB119" i="4"/>
  <c r="BA119" i="4" s="1"/>
  <c r="AA126" i="4"/>
  <c r="Z126" i="4" s="1"/>
  <c r="AA149" i="4"/>
  <c r="Z149" i="4" s="1"/>
  <c r="BK153" i="4"/>
  <c r="BJ153" i="4" s="1"/>
  <c r="R29" i="4"/>
  <c r="Q29" i="4" s="1"/>
  <c r="R74" i="4"/>
  <c r="Q74" i="4" s="1"/>
  <c r="BK74" i="4"/>
  <c r="BJ74" i="4" s="1"/>
  <c r="BB96" i="4"/>
  <c r="BA96" i="4" s="1"/>
  <c r="BK124" i="4"/>
  <c r="BJ124" i="4" s="1"/>
  <c r="BB133" i="4"/>
  <c r="BA133" i="4" s="1"/>
  <c r="AA142" i="4"/>
  <c r="Z142" i="4" s="1"/>
  <c r="AS150" i="4"/>
  <c r="AR150" i="4" s="1"/>
  <c r="AJ156" i="4"/>
  <c r="AI156" i="4" s="1"/>
  <c r="BK157" i="4"/>
  <c r="BJ157" i="4" s="1"/>
  <c r="R24" i="4"/>
  <c r="Q24" i="4" s="1"/>
  <c r="AJ43" i="4"/>
  <c r="AI43" i="4" s="1"/>
  <c r="AA48" i="4"/>
  <c r="Z48" i="4" s="1"/>
  <c r="R53" i="4"/>
  <c r="Q53" i="4" s="1"/>
  <c r="BB56" i="4"/>
  <c r="BA56" i="4" s="1"/>
  <c r="R61" i="4"/>
  <c r="Q61" i="4" s="1"/>
  <c r="BK61" i="4"/>
  <c r="BJ61" i="4" s="1"/>
  <c r="R64" i="4"/>
  <c r="Q64" i="4" s="1"/>
  <c r="AA69" i="4"/>
  <c r="Z69" i="4" s="1"/>
  <c r="AJ71" i="4"/>
  <c r="AI71" i="4" s="1"/>
  <c r="AA74" i="4"/>
  <c r="Z74" i="4" s="1"/>
  <c r="AJ80" i="4"/>
  <c r="AI80" i="4" s="1"/>
  <c r="BK93" i="4"/>
  <c r="BJ93" i="4" s="1"/>
  <c r="AJ95" i="4"/>
  <c r="AI95" i="4" s="1"/>
  <c r="AJ101" i="4"/>
  <c r="AI101" i="4" s="1"/>
  <c r="AA104" i="4"/>
  <c r="Z104" i="4" s="1"/>
  <c r="BK110" i="4"/>
  <c r="BJ110" i="4" s="1"/>
  <c r="R113" i="4"/>
  <c r="Q113" i="4" s="1"/>
  <c r="AJ118" i="4"/>
  <c r="AI118" i="4" s="1"/>
  <c r="BK122" i="4"/>
  <c r="BJ122" i="4" s="1"/>
  <c r="BB125" i="4"/>
  <c r="BA125" i="4" s="1"/>
  <c r="AA129" i="4"/>
  <c r="Z129" i="4" s="1"/>
  <c r="AJ130" i="4"/>
  <c r="AI130" i="4" s="1"/>
  <c r="AJ132" i="4"/>
  <c r="AI132" i="4" s="1"/>
  <c r="AJ138" i="4"/>
  <c r="AI138" i="4" s="1"/>
  <c r="AA160" i="4"/>
  <c r="Z160" i="4" s="1"/>
  <c r="R32" i="4"/>
  <c r="Q32" i="4" s="1"/>
  <c r="BK29" i="4"/>
  <c r="BJ29" i="4" s="1"/>
  <c r="AJ21" i="4"/>
  <c r="AI21" i="4" s="1"/>
  <c r="AA22" i="4"/>
  <c r="Z22" i="4" s="1"/>
  <c r="BB40" i="4"/>
  <c r="BA40" i="4" s="1"/>
  <c r="AJ45" i="4"/>
  <c r="AI45" i="4" s="1"/>
  <c r="BK50" i="4"/>
  <c r="BJ50" i="4" s="1"/>
  <c r="BK53" i="4"/>
  <c r="BJ53" i="4" s="1"/>
  <c r="AA66" i="4"/>
  <c r="Z66" i="4" s="1"/>
  <c r="AS76" i="4"/>
  <c r="AR76" i="4" s="1"/>
  <c r="AJ77" i="4"/>
  <c r="AI77" i="4" s="1"/>
  <c r="AA81" i="4"/>
  <c r="Z81" i="4" s="1"/>
  <c r="AA85" i="4"/>
  <c r="Z85" i="4" s="1"/>
  <c r="AA87" i="4"/>
  <c r="Z87" i="4" s="1"/>
  <c r="BK90" i="4"/>
  <c r="BJ90" i="4" s="1"/>
  <c r="AJ92" i="4"/>
  <c r="AI92" i="4" s="1"/>
  <c r="AS97" i="4"/>
  <c r="AR97" i="4" s="1"/>
  <c r="AA99" i="4"/>
  <c r="Z99" i="4" s="1"/>
  <c r="BK99" i="4"/>
  <c r="BJ99" i="4" s="1"/>
  <c r="BK102" i="4"/>
  <c r="BJ102" i="4" s="1"/>
  <c r="R130" i="4"/>
  <c r="Q130" i="4" s="1"/>
  <c r="BK130" i="4"/>
  <c r="BJ130" i="4" s="1"/>
  <c r="AA135" i="4"/>
  <c r="Z135" i="4" s="1"/>
  <c r="AA157" i="4"/>
  <c r="Z157" i="4" s="1"/>
  <c r="BB149" i="4"/>
  <c r="BA149" i="4" s="1"/>
  <c r="AA78" i="4"/>
  <c r="Z78" i="4" s="1"/>
  <c r="AA110" i="4"/>
  <c r="Z110" i="4" s="1"/>
  <c r="AJ116" i="4"/>
  <c r="AI116" i="4" s="1"/>
  <c r="AJ124" i="4"/>
  <c r="AI124" i="4" s="1"/>
  <c r="BK140" i="4"/>
  <c r="BJ140" i="4" s="1"/>
  <c r="R147" i="4"/>
  <c r="Q147" i="4" s="1"/>
  <c r="BB151" i="4"/>
  <c r="BA151" i="4" s="1"/>
  <c r="AS159" i="4"/>
  <c r="AR159" i="4" s="1"/>
  <c r="AJ37" i="4"/>
  <c r="AI37" i="4" s="1"/>
  <c r="AA24" i="4"/>
  <c r="Z24" i="4" s="1"/>
  <c r="AS35" i="4"/>
  <c r="AR35" i="4" s="1"/>
  <c r="AA47" i="4"/>
  <c r="Z47" i="4" s="1"/>
  <c r="AA53" i="4"/>
  <c r="Z53" i="4" s="1"/>
  <c r="AA55" i="4"/>
  <c r="Z55" i="4" s="1"/>
  <c r="AA61" i="4"/>
  <c r="Z61" i="4" s="1"/>
  <c r="AA62" i="4"/>
  <c r="Z62" i="4" s="1"/>
  <c r="AA64" i="4"/>
  <c r="Z64" i="4" s="1"/>
  <c r="AS68" i="4"/>
  <c r="AR68" i="4" s="1"/>
  <c r="AJ69" i="4"/>
  <c r="AI69" i="4" s="1"/>
  <c r="AS71" i="4"/>
  <c r="AR71" i="4" s="1"/>
  <c r="BB73" i="4"/>
  <c r="BA73" i="4" s="1"/>
  <c r="R75" i="4"/>
  <c r="Q75" i="4" s="1"/>
  <c r="AS80" i="4"/>
  <c r="AR80" i="4" s="1"/>
  <c r="BK82" i="4"/>
  <c r="BJ82" i="4" s="1"/>
  <c r="BK85" i="4"/>
  <c r="BJ85" i="4" s="1"/>
  <c r="AA94" i="4"/>
  <c r="Z94" i="4" s="1"/>
  <c r="R105" i="4"/>
  <c r="Q105" i="4" s="1"/>
  <c r="R108" i="4"/>
  <c r="Q108" i="4" s="1"/>
  <c r="AA113" i="4"/>
  <c r="Z113" i="4" s="1"/>
  <c r="AA119" i="4"/>
  <c r="Z119" i="4" s="1"/>
  <c r="BB120" i="4"/>
  <c r="BA120" i="4" s="1"/>
  <c r="R136" i="4"/>
  <c r="Q136" i="4" s="1"/>
  <c r="BB148" i="4"/>
  <c r="BA148" i="4" s="1"/>
  <c r="BB41" i="4"/>
  <c r="BA41" i="4" s="1"/>
  <c r="BK24" i="4"/>
  <c r="BJ24" i="4" s="1"/>
  <c r="AJ29" i="4"/>
  <c r="AI29" i="4" s="1"/>
  <c r="AS32" i="4"/>
  <c r="AR32" i="4" s="1"/>
  <c r="AA36" i="4"/>
  <c r="Z36" i="4" s="1"/>
  <c r="AA40" i="4"/>
  <c r="Z40" i="4" s="1"/>
  <c r="AS49" i="4"/>
  <c r="AR49" i="4" s="1"/>
  <c r="AA51" i="4"/>
  <c r="Z51" i="4" s="1"/>
  <c r="AJ52" i="4"/>
  <c r="AI52" i="4" s="1"/>
  <c r="AA54" i="4"/>
  <c r="Z54" i="4" s="1"/>
  <c r="AJ55" i="4"/>
  <c r="AI55" i="4" s="1"/>
  <c r="AJ66" i="4"/>
  <c r="AI66" i="4" s="1"/>
  <c r="AS77" i="4"/>
  <c r="AR77" i="4" s="1"/>
  <c r="AJ84" i="4"/>
  <c r="AI84" i="4" s="1"/>
  <c r="AJ87" i="4"/>
  <c r="AI87" i="4" s="1"/>
  <c r="BB88" i="4"/>
  <c r="BA88" i="4" s="1"/>
  <c r="AS92" i="4"/>
  <c r="AR92" i="4" s="1"/>
  <c r="AA96" i="4"/>
  <c r="Z96" i="4" s="1"/>
  <c r="AA100" i="4"/>
  <c r="Z100" i="4" s="1"/>
  <c r="BB103" i="4"/>
  <c r="BA103" i="4" s="1"/>
  <c r="AS106" i="4"/>
  <c r="AR106" i="4" s="1"/>
  <c r="AJ112" i="4"/>
  <c r="AI112" i="4" s="1"/>
  <c r="AJ139" i="4"/>
  <c r="AI139" i="4" s="1"/>
  <c r="AS145" i="4"/>
  <c r="AR145" i="4" s="1"/>
  <c r="AA148" i="4"/>
  <c r="Z148" i="4" s="1"/>
  <c r="AA150" i="4"/>
  <c r="Z150" i="4" s="1"/>
  <c r="AA155" i="4"/>
  <c r="Z155" i="4" s="1"/>
  <c r="AA162" i="4"/>
  <c r="Z162" i="4" s="1"/>
  <c r="BK68" i="4"/>
  <c r="BJ68" i="4" s="1"/>
  <c r="R41" i="4"/>
  <c r="Q41" i="4" s="1"/>
  <c r="BK38" i="4"/>
  <c r="BJ38" i="4" s="1"/>
  <c r="AJ30" i="4"/>
  <c r="AI30" i="4" s="1"/>
  <c r="R40" i="4"/>
  <c r="Q40" i="4" s="1"/>
  <c r="BB49" i="4"/>
  <c r="BA49" i="4" s="1"/>
  <c r="AJ50" i="4"/>
  <c r="AI50" i="4" s="1"/>
  <c r="AS52" i="4"/>
  <c r="AR52" i="4" s="1"/>
  <c r="BB65" i="4"/>
  <c r="BA65" i="4" s="1"/>
  <c r="AJ78" i="4"/>
  <c r="AI78" i="4" s="1"/>
  <c r="BK79" i="4"/>
  <c r="BJ79" i="4" s="1"/>
  <c r="AJ93" i="4"/>
  <c r="AI93" i="4" s="1"/>
  <c r="BK94" i="4"/>
  <c r="BJ94" i="4" s="1"/>
  <c r="R100" i="4"/>
  <c r="Q100" i="4" s="1"/>
  <c r="BK100" i="4"/>
  <c r="BJ100" i="4" s="1"/>
  <c r="AJ107" i="4"/>
  <c r="AI107" i="4" s="1"/>
  <c r="AS112" i="4"/>
  <c r="AR112" i="4" s="1"/>
  <c r="BK120" i="4"/>
  <c r="BJ120" i="4" s="1"/>
  <c r="AS121" i="4"/>
  <c r="AR121" i="4" s="1"/>
  <c r="BB128" i="4"/>
  <c r="BA128" i="4" s="1"/>
  <c r="BK131" i="4"/>
  <c r="BJ131" i="4" s="1"/>
  <c r="AA133" i="4"/>
  <c r="Z133" i="4" s="1"/>
  <c r="BB134" i="4"/>
  <c r="BA134" i="4" s="1"/>
  <c r="AA143" i="4"/>
  <c r="Z143" i="4" s="1"/>
  <c r="R155" i="4"/>
  <c r="Q155" i="4" s="1"/>
  <c r="BB159" i="4"/>
  <c r="BA159" i="4" s="1"/>
  <c r="AA26" i="4"/>
  <c r="Z26" i="4" s="1"/>
  <c r="BB25" i="4"/>
  <c r="BA25" i="4" s="1"/>
  <c r="AS23" i="4"/>
  <c r="BB28" i="4"/>
  <c r="BA28" i="4" s="1"/>
  <c r="BK31" i="4"/>
  <c r="BJ31" i="4" s="1"/>
  <c r="BK34" i="4"/>
  <c r="BJ34" i="4" s="1"/>
  <c r="BK42" i="4"/>
  <c r="BJ42" i="4" s="1"/>
  <c r="AJ53" i="4"/>
  <c r="AI53" i="4" s="1"/>
  <c r="AS60" i="4"/>
  <c r="AR60" i="4" s="1"/>
  <c r="AJ61" i="4"/>
  <c r="AI61" i="4" s="1"/>
  <c r="AJ65" i="4"/>
  <c r="AI65" i="4" s="1"/>
  <c r="BB68" i="4"/>
  <c r="BA68" i="4" s="1"/>
  <c r="BB76" i="4"/>
  <c r="BA76" i="4" s="1"/>
  <c r="BB80" i="4"/>
  <c r="BA80" i="4" s="1"/>
  <c r="AA86" i="4"/>
  <c r="Z86" i="4" s="1"/>
  <c r="BB86" i="4"/>
  <c r="BA86" i="4" s="1"/>
  <c r="AS89" i="4"/>
  <c r="AR89" i="4" s="1"/>
  <c r="R97" i="4"/>
  <c r="Q97" i="4" s="1"/>
  <c r="AJ98" i="4"/>
  <c r="AI98" i="4" s="1"/>
  <c r="BB109" i="4"/>
  <c r="BA109" i="4" s="1"/>
  <c r="AA122" i="4"/>
  <c r="Z122" i="4" s="1"/>
  <c r="AS129" i="4"/>
  <c r="AR129" i="4" s="1"/>
  <c r="AJ137" i="4"/>
  <c r="AI137" i="4" s="1"/>
  <c r="BK148" i="4"/>
  <c r="BJ148" i="4" s="1"/>
  <c r="BB152" i="4"/>
  <c r="BA152" i="4" s="1"/>
  <c r="BB156" i="4"/>
  <c r="BA156" i="4" s="1"/>
  <c r="BB35" i="4"/>
  <c r="BA35" i="4" s="1"/>
  <c r="AJ39" i="4"/>
  <c r="AI39" i="4" s="1"/>
  <c r="AS55" i="4"/>
  <c r="AR55" i="4" s="1"/>
  <c r="BB59" i="4"/>
  <c r="BA59" i="4" s="1"/>
  <c r="AJ59" i="4"/>
  <c r="AI59" i="4" s="1"/>
  <c r="AJ25" i="4"/>
  <c r="AI25" i="4" s="1"/>
  <c r="BB27" i="4"/>
  <c r="BA27" i="4" s="1"/>
  <c r="BK28" i="4"/>
  <c r="BJ28" i="4" s="1"/>
  <c r="AJ33" i="4"/>
  <c r="AI33" i="4" s="1"/>
  <c r="R36" i="4"/>
  <c r="Q36" i="4" s="1"/>
  <c r="AS51" i="4"/>
  <c r="AR51" i="4" s="1"/>
  <c r="AJ36" i="4"/>
  <c r="AI36" i="4" s="1"/>
  <c r="R37" i="4"/>
  <c r="Q37" i="4" s="1"/>
  <c r="BB63" i="4"/>
  <c r="BA63" i="4" s="1"/>
  <c r="AS43" i="4"/>
  <c r="AR43" i="4" s="1"/>
  <c r="AJ28" i="4"/>
  <c r="AI28" i="4" s="1"/>
  <c r="BB55" i="4"/>
  <c r="BA55" i="4" s="1"/>
  <c r="AS59" i="4"/>
  <c r="AR59" i="4" s="1"/>
  <c r="AJ63" i="4"/>
  <c r="AI63" i="4" s="1"/>
  <c r="R28" i="4"/>
  <c r="Q28" i="4" s="1"/>
  <c r="BB37" i="4"/>
  <c r="BA37" i="4" s="1"/>
  <c r="AA25" i="4"/>
  <c r="Z25" i="4" s="1"/>
  <c r="AS27" i="4"/>
  <c r="AR27" i="4" s="1"/>
  <c r="AA33" i="4"/>
  <c r="Z33" i="4" s="1"/>
  <c r="BB67" i="4"/>
  <c r="BA67" i="4" s="1"/>
  <c r="AJ67" i="4"/>
  <c r="AI67" i="4" s="1"/>
  <c r="AS25" i="4"/>
  <c r="AR25" i="4" s="1"/>
  <c r="AJ35" i="4"/>
  <c r="AI35" i="4" s="1"/>
  <c r="BK39" i="4"/>
  <c r="BJ39" i="4" s="1"/>
  <c r="R47" i="4"/>
  <c r="Q47" i="4" s="1"/>
  <c r="BB47" i="4"/>
  <c r="BA47" i="4" s="1"/>
  <c r="BB51" i="4"/>
  <c r="BA51" i="4" s="1"/>
  <c r="R51" i="4"/>
  <c r="Q51" i="4" s="1"/>
  <c r="AJ51" i="4"/>
  <c r="AI51" i="4" s="1"/>
  <c r="AA59" i="4"/>
  <c r="Z59" i="4" s="1"/>
  <c r="R67" i="4"/>
  <c r="Q67" i="4" s="1"/>
  <c r="AS28" i="4"/>
  <c r="AR28" i="4" s="1"/>
  <c r="BB43" i="4"/>
  <c r="BA43" i="4" s="1"/>
  <c r="R43" i="4"/>
  <c r="Q43" i="4" s="1"/>
  <c r="R71" i="4"/>
  <c r="Q71" i="4" s="1"/>
  <c r="BB71" i="4"/>
  <c r="BA71" i="4" s="1"/>
  <c r="AJ47" i="4"/>
  <c r="AI47" i="4" s="1"/>
  <c r="AS63" i="4"/>
  <c r="AR63" i="4" s="1"/>
  <c r="BK63" i="4"/>
  <c r="BJ63" i="4" s="1"/>
  <c r="BB115" i="4"/>
  <c r="BA115" i="4" s="1"/>
  <c r="AA115" i="4"/>
  <c r="Z115" i="4" s="1"/>
  <c r="BK44" i="4"/>
  <c r="BJ44" i="4" s="1"/>
  <c r="AS75" i="4"/>
  <c r="AR75" i="4" s="1"/>
  <c r="BB77" i="4"/>
  <c r="BA77" i="4" s="1"/>
  <c r="AA83" i="4"/>
  <c r="Z83" i="4" s="1"/>
  <c r="AS91" i="4"/>
  <c r="AR91" i="4" s="1"/>
  <c r="AJ76" i="4"/>
  <c r="AI76" i="4" s="1"/>
  <c r="R57" i="4"/>
  <c r="Q57" i="4" s="1"/>
  <c r="R65" i="4"/>
  <c r="Q65" i="4" s="1"/>
  <c r="AS115" i="4"/>
  <c r="AR115" i="4" s="1"/>
  <c r="BB83" i="4"/>
  <c r="BA83" i="4" s="1"/>
  <c r="AJ155" i="4"/>
  <c r="AI155" i="4" s="1"/>
  <c r="AS138" i="4"/>
  <c r="AR138" i="4" s="1"/>
  <c r="AA138" i="4"/>
  <c r="Z138" i="4" s="1"/>
  <c r="BB138" i="4"/>
  <c r="BA138" i="4" s="1"/>
  <c r="AJ75" i="4"/>
  <c r="AI75" i="4" s="1"/>
  <c r="BB99" i="4"/>
  <c r="BA99" i="4" s="1"/>
  <c r="AJ99" i="4"/>
  <c r="AI99" i="4" s="1"/>
  <c r="AS114" i="4"/>
  <c r="AR114" i="4" s="1"/>
  <c r="AA114" i="4"/>
  <c r="Z114" i="4" s="1"/>
  <c r="BB114" i="4"/>
  <c r="BA114" i="4" s="1"/>
  <c r="BB91" i="4"/>
  <c r="BA91" i="4" s="1"/>
  <c r="AJ91" i="4"/>
  <c r="AI91" i="4" s="1"/>
  <c r="AS155" i="4"/>
  <c r="AR155" i="4" s="1"/>
  <c r="AA72" i="4"/>
  <c r="Z72" i="4" s="1"/>
  <c r="AS72" i="4"/>
  <c r="AR72" i="4" s="1"/>
  <c r="AS83" i="4"/>
  <c r="AR83" i="4" s="1"/>
  <c r="BK91" i="4"/>
  <c r="BJ91" i="4" s="1"/>
  <c r="AJ147" i="4"/>
  <c r="AI147" i="4" s="1"/>
  <c r="BK75" i="4"/>
  <c r="BJ75" i="4" s="1"/>
  <c r="BB147" i="4"/>
  <c r="BA147" i="4" s="1"/>
  <c r="AA147" i="4"/>
  <c r="Z147" i="4" s="1"/>
  <c r="AJ115" i="4"/>
  <c r="AI115" i="4" s="1"/>
  <c r="AA106" i="4"/>
  <c r="Z106" i="4" s="1"/>
  <c r="R114" i="4"/>
  <c r="Q114" i="4" s="1"/>
  <c r="AJ146" i="4"/>
  <c r="AI146" i="4" s="1"/>
  <c r="AJ154" i="4"/>
  <c r="AI154" i="4" s="1"/>
  <c r="AJ162" i="4"/>
  <c r="AI162" i="4" s="1"/>
  <c r="AS128" i="4"/>
  <c r="AR128" i="4" s="1"/>
  <c r="R138" i="4"/>
  <c r="Q138" i="4" s="1"/>
  <c r="BB108" i="4"/>
  <c r="BA108" i="4" s="1"/>
  <c r="BB137" i="4"/>
  <c r="BA137" i="4" s="1"/>
  <c r="R146" i="4"/>
  <c r="Q146" i="4" s="1"/>
  <c r="BB146" i="4"/>
  <c r="BA146" i="4" s="1"/>
  <c r="BK147" i="4"/>
  <c r="BJ147" i="4" s="1"/>
  <c r="AJ153" i="4"/>
  <c r="AI153" i="4" s="1"/>
  <c r="R154" i="4"/>
  <c r="Q154" i="4" s="1"/>
  <c r="BB154" i="4"/>
  <c r="BA154" i="4" s="1"/>
  <c r="BK155" i="4"/>
  <c r="BJ155" i="4" s="1"/>
  <c r="AJ161" i="4"/>
  <c r="AI161" i="4" s="1"/>
  <c r="R162" i="4"/>
  <c r="Q162" i="4" s="1"/>
  <c r="BB162" i="4"/>
  <c r="BA162" i="4" s="1"/>
  <c r="AJ108" i="4"/>
  <c r="AI108" i="4" s="1"/>
  <c r="BK106" i="4"/>
  <c r="BJ106" i="4" s="1"/>
  <c r="AJ123" i="4"/>
  <c r="AI123" i="4" s="1"/>
  <c r="AA131" i="4"/>
  <c r="Z131" i="4" s="1"/>
  <c r="R161" i="4"/>
  <c r="Q161" i="4" s="1"/>
  <c r="R121" i="4"/>
  <c r="Q121" i="4" s="1"/>
  <c r="AJ122" i="4"/>
  <c r="AI122" i="4" s="1"/>
  <c r="R144" i="4"/>
  <c r="Q144" i="4" s="1"/>
  <c r="BB144" i="4"/>
  <c r="BA144" i="4" s="1"/>
  <c r="R152" i="4"/>
  <c r="Q152" i="4" s="1"/>
  <c r="R160" i="4"/>
  <c r="Q160" i="4" s="1"/>
  <c r="BK113" i="4"/>
  <c r="BJ113" i="4" s="1"/>
  <c r="BK114" i="4"/>
  <c r="BJ114" i="4" s="1"/>
  <c r="BK115" i="4"/>
  <c r="BJ115" i="4" s="1"/>
  <c r="AJ120" i="4"/>
  <c r="AI120" i="4" s="1"/>
  <c r="R122" i="4"/>
  <c r="Q122" i="4" s="1"/>
  <c r="AA130" i="4"/>
  <c r="Z130" i="4" s="1"/>
  <c r="AJ136" i="4"/>
  <c r="AI136" i="4" s="1"/>
  <c r="BK138" i="4"/>
  <c r="BJ138" i="4" s="1"/>
  <c r="AS113" i="4"/>
  <c r="AR113" i="4" s="1"/>
  <c r="BB121" i="4"/>
  <c r="BA121" i="4" s="1"/>
  <c r="BK137" i="4"/>
  <c r="BJ137" i="4" s="1"/>
  <c r="AJ144" i="4"/>
  <c r="AI144" i="4" s="1"/>
  <c r="BK146" i="4"/>
  <c r="BJ146" i="4" s="1"/>
  <c r="BK154" i="4"/>
  <c r="BJ154" i="4" s="1"/>
  <c r="BK162" i="4"/>
  <c r="BJ162" i="4" s="1"/>
  <c r="BB85" i="4"/>
  <c r="BA85" i="4" s="1"/>
  <c r="BB93" i="4"/>
  <c r="BA93" i="4" s="1"/>
  <c r="BB101" i="4"/>
  <c r="BA101" i="4" s="1"/>
  <c r="R123" i="4"/>
  <c r="Q123" i="4" s="1"/>
  <c r="BK128" i="4"/>
  <c r="BJ128" i="4" s="1"/>
  <c r="R128" i="4"/>
  <c r="Q128" i="4" s="1"/>
  <c r="BK161" i="4"/>
  <c r="BJ161" i="4" s="1"/>
  <c r="BK107" i="4"/>
  <c r="BJ107" i="4" s="1"/>
  <c r="AJ129" i="4"/>
  <c r="AI129" i="4" s="1"/>
  <c r="BK129" i="4"/>
  <c r="BJ129" i="4" s="1"/>
  <c r="AJ131" i="4"/>
  <c r="AI131" i="4" s="1"/>
  <c r="AS137" i="4"/>
  <c r="AR137" i="4" s="1"/>
  <c r="BB84" i="4"/>
  <c r="BA84" i="4" s="1"/>
  <c r="BB92" i="4"/>
  <c r="BA92" i="4" s="1"/>
  <c r="BB100" i="4"/>
  <c r="BA100" i="4" s="1"/>
  <c r="AA107" i="4"/>
  <c r="Z107" i="4" s="1"/>
  <c r="BK152" i="4"/>
  <c r="BJ152" i="4" s="1"/>
  <c r="AS153" i="4"/>
  <c r="AR153" i="4" s="1"/>
  <c r="BK160" i="4"/>
  <c r="BJ160" i="4" s="1"/>
  <c r="AS161" i="4"/>
  <c r="AR161" i="4" s="1"/>
  <c r="AS120" i="4"/>
  <c r="AR120" i="4" s="1"/>
  <c r="AS136" i="4"/>
  <c r="AR136" i="4" s="1"/>
  <c r="BB155" i="4"/>
  <c r="BA155" i="4" s="1"/>
  <c r="BK121" i="4"/>
  <c r="BJ121" i="4" s="1"/>
  <c r="BK123" i="4"/>
  <c r="BJ123" i="4" s="1"/>
  <c r="AJ128" i="4"/>
  <c r="AI128" i="4" s="1"/>
  <c r="AA137" i="4"/>
  <c r="Z137" i="4" s="1"/>
  <c r="AS144" i="4"/>
  <c r="AR144" i="4" s="1"/>
  <c r="AS152" i="4"/>
  <c r="AR152" i="4" s="1"/>
  <c r="AS160" i="4"/>
  <c r="AR160" i="4" s="1"/>
  <c r="BI164" i="4"/>
  <c r="BH164" i="4"/>
  <c r="BG164" i="4"/>
  <c r="BI163" i="4"/>
  <c r="BH163" i="4"/>
  <c r="BG163" i="4"/>
  <c r="BI20" i="4"/>
  <c r="BH20" i="4"/>
  <c r="BG20" i="4"/>
  <c r="BI19" i="4"/>
  <c r="BH19" i="4"/>
  <c r="BG19" i="4"/>
  <c r="A30" i="19" a="1"/>
  <c r="A30" i="19" s="1"/>
  <c r="A47" i="18" a="1"/>
  <c r="A47" i="18" s="1"/>
  <c r="A17" i="18" a="1"/>
  <c r="A17" i="18" s="1"/>
  <c r="A8" i="18" a="1"/>
  <c r="A8" i="18" s="1"/>
  <c r="A4" i="18" a="1"/>
  <c r="A4" i="18" s="1"/>
  <c r="A3" i="18" a="1"/>
  <c r="A3" i="18" s="1"/>
  <c r="A45" i="17" a="1"/>
  <c r="A45" i="17" s="1"/>
  <c r="A30" i="17" a="1"/>
  <c r="A30" i="17" s="1"/>
  <c r="A24" i="17" a="1"/>
  <c r="A24" i="17" s="1"/>
  <c r="A20" i="17" a="1"/>
  <c r="A20" i="17" s="1"/>
  <c r="A19" i="17" a="1"/>
  <c r="A19" i="17" s="1"/>
  <c r="A18" i="17" a="1"/>
  <c r="A18" i="17" s="1"/>
  <c r="A16" i="17" a="1"/>
  <c r="A16" i="17" s="1"/>
  <c r="A14" i="17" a="1"/>
  <c r="A14" i="17" s="1"/>
  <c r="A13" i="17" a="1"/>
  <c r="A13" i="17" s="1"/>
  <c r="A12" i="17" a="1"/>
  <c r="A12" i="17" s="1"/>
  <c r="A10" i="17" a="1"/>
  <c r="A10" i="17" s="1"/>
  <c r="A8" i="17" a="1"/>
  <c r="A8" i="17" s="1"/>
  <c r="A7" i="17" a="1"/>
  <c r="A7" i="17" s="1"/>
  <c r="A6" i="17" a="1"/>
  <c r="A6" i="17" s="1"/>
  <c r="A5" i="17" a="1"/>
  <c r="A5" i="17" s="1"/>
  <c r="A4" i="17" a="1"/>
  <c r="A4" i="17" s="1"/>
  <c r="A3" i="17" a="1"/>
  <c r="A3" i="17" s="1"/>
  <c r="I72" i="16" a="1"/>
  <c r="I72" i="16" s="1"/>
  <c r="H72" i="16" a="1"/>
  <c r="H72" i="16" s="1"/>
  <c r="A72" i="16" a="1"/>
  <c r="A72" i="16" s="1"/>
  <c r="I71" i="16" a="1"/>
  <c r="I71" i="16" s="1"/>
  <c r="H71" i="16" a="1"/>
  <c r="H71" i="16" s="1"/>
  <c r="A71" i="16" a="1"/>
  <c r="A71" i="16" s="1"/>
  <c r="A70" i="16" a="1"/>
  <c r="A70" i="16" s="1"/>
  <c r="A67" i="16" a="1"/>
  <c r="A67" i="16" s="1"/>
  <c r="A66" i="16" a="1"/>
  <c r="A66" i="16" s="1"/>
  <c r="A65" i="16" a="1"/>
  <c r="A65" i="16" s="1"/>
  <c r="A64" i="16" a="1"/>
  <c r="A64" i="16" s="1"/>
  <c r="A63" i="16" a="1"/>
  <c r="A63" i="16" s="1"/>
  <c r="A62" i="16" a="1"/>
  <c r="A62" i="16" s="1"/>
  <c r="A61" i="16" a="1"/>
  <c r="A61" i="16" s="1"/>
  <c r="A60" i="16" a="1"/>
  <c r="A60" i="16" s="1"/>
  <c r="A59" i="16" a="1"/>
  <c r="A59" i="16" s="1"/>
  <c r="A58" i="16" a="1"/>
  <c r="A58" i="16" s="1"/>
  <c r="A57" i="16" a="1"/>
  <c r="A57" i="16" s="1"/>
  <c r="A56" i="16" a="1"/>
  <c r="A56" i="16" s="1"/>
  <c r="A55" i="16" a="1"/>
  <c r="A55" i="16" s="1"/>
  <c r="A54" i="16" a="1"/>
  <c r="A54" i="16" s="1"/>
  <c r="A53" i="16" a="1"/>
  <c r="A53" i="16" s="1"/>
  <c r="A52" i="16" a="1"/>
  <c r="A52" i="16" s="1"/>
  <c r="A51" i="16" a="1"/>
  <c r="A51" i="16" s="1"/>
  <c r="A50" i="16" a="1"/>
  <c r="A50" i="16" s="1"/>
  <c r="A49" i="16" a="1"/>
  <c r="A49" i="16" s="1"/>
  <c r="A48" i="16" a="1"/>
  <c r="A48" i="16" s="1"/>
  <c r="A47" i="16" a="1"/>
  <c r="A47" i="16" s="1"/>
  <c r="A46" i="16" a="1"/>
  <c r="A46" i="16" s="1"/>
  <c r="A45" i="16" a="1"/>
  <c r="A45" i="16" s="1"/>
  <c r="A44" i="16" a="1"/>
  <c r="A44" i="16" s="1"/>
  <c r="A43" i="16" a="1"/>
  <c r="A43" i="16" s="1"/>
  <c r="A42" i="16" a="1"/>
  <c r="A42" i="16" s="1"/>
  <c r="A41" i="16" a="1"/>
  <c r="A41" i="16" s="1"/>
  <c r="A40" i="16" a="1"/>
  <c r="A40" i="16" s="1"/>
  <c r="A39" i="16" a="1"/>
  <c r="A39" i="16" s="1"/>
  <c r="A38" i="16" a="1"/>
  <c r="A38" i="16" s="1"/>
  <c r="A37" i="16" a="1"/>
  <c r="A37" i="16" s="1"/>
  <c r="A36" i="16" a="1"/>
  <c r="A36" i="16" s="1"/>
  <c r="A35" i="16" a="1"/>
  <c r="A35" i="16" s="1"/>
  <c r="A34" i="16" a="1"/>
  <c r="A34" i="16" s="1"/>
  <c r="A33" i="16" a="1"/>
  <c r="A33" i="16" s="1"/>
  <c r="A32" i="16" a="1"/>
  <c r="A32" i="16" s="1"/>
  <c r="A31" i="16" a="1"/>
  <c r="A31" i="16" s="1"/>
  <c r="A30" i="16" a="1"/>
  <c r="A30" i="16" s="1"/>
  <c r="A29" i="16" a="1"/>
  <c r="A29" i="16" s="1"/>
  <c r="A28" i="16" a="1"/>
  <c r="A28" i="16" s="1"/>
  <c r="A27" i="16" a="1"/>
  <c r="A27" i="16" s="1"/>
  <c r="A26" i="16" a="1"/>
  <c r="A26" i="16" s="1"/>
  <c r="A25" i="16" a="1"/>
  <c r="A25" i="16" s="1"/>
  <c r="A24" i="16" a="1"/>
  <c r="A24" i="16" s="1"/>
  <c r="A23" i="16" a="1"/>
  <c r="A23" i="16" s="1"/>
  <c r="A22" i="16" a="1"/>
  <c r="A22" i="16" s="1"/>
  <c r="A21" i="16" a="1"/>
  <c r="A21" i="16" s="1"/>
  <c r="A20" i="16" a="1"/>
  <c r="A20" i="16" s="1"/>
  <c r="A19" i="16" a="1"/>
  <c r="A19" i="16" s="1"/>
  <c r="A18" i="16" a="1"/>
  <c r="A18" i="16" s="1"/>
  <c r="A17" i="16" a="1"/>
  <c r="A17" i="16" s="1"/>
  <c r="A16" i="16" a="1"/>
  <c r="A16" i="16" s="1"/>
  <c r="A15" i="16" a="1"/>
  <c r="A15" i="16" s="1"/>
  <c r="A14" i="16" a="1"/>
  <c r="A14" i="16" s="1"/>
  <c r="A13" i="16" a="1"/>
  <c r="A13" i="16" s="1"/>
  <c r="A12" i="16" a="1"/>
  <c r="A12" i="16" s="1"/>
  <c r="A11" i="16" a="1"/>
  <c r="A11" i="16" s="1"/>
  <c r="A10" i="16" a="1"/>
  <c r="A10" i="16" s="1"/>
  <c r="A9" i="16" a="1"/>
  <c r="A9" i="16" s="1"/>
  <c r="A8" i="16" a="1"/>
  <c r="A8" i="16" s="1"/>
  <c r="A7" i="16" a="1"/>
  <c r="A7" i="16" s="1"/>
  <c r="A6" i="16" a="1"/>
  <c r="A6" i="16" s="1"/>
  <c r="A5" i="16" a="1"/>
  <c r="A5" i="16" s="1"/>
  <c r="A4" i="16" a="1"/>
  <c r="A4" i="16" s="1"/>
  <c r="A3" i="16" a="1"/>
  <c r="A3" i="16" s="1"/>
  <c r="I72" i="15" a="1"/>
  <c r="I72" i="15" s="1"/>
  <c r="H72" i="15" a="1"/>
  <c r="H72" i="15" s="1"/>
  <c r="A72" i="15" a="1"/>
  <c r="A72" i="15" s="1"/>
  <c r="A71" i="15" a="1"/>
  <c r="A71" i="15" s="1"/>
  <c r="A70" i="15" a="1"/>
  <c r="A70" i="15" s="1"/>
  <c r="A69" i="15" a="1"/>
  <c r="A69" i="15" s="1"/>
  <c r="A68" i="15" a="1"/>
  <c r="A68" i="15" s="1"/>
  <c r="A67" i="15" a="1"/>
  <c r="A67" i="15" s="1"/>
  <c r="A66" i="15" a="1"/>
  <c r="A66" i="15" s="1"/>
  <c r="A65" i="15" a="1"/>
  <c r="A65" i="15" s="1"/>
  <c r="A64" i="15" a="1"/>
  <c r="A64" i="15" s="1"/>
  <c r="A63" i="15" a="1"/>
  <c r="A63" i="15" s="1"/>
  <c r="A62" i="15" a="1"/>
  <c r="A62" i="15" s="1"/>
  <c r="A61" i="15" a="1"/>
  <c r="A61" i="15" s="1"/>
  <c r="A60" i="15" a="1"/>
  <c r="A60" i="15" s="1"/>
  <c r="A59" i="15" a="1"/>
  <c r="A59" i="15" s="1"/>
  <c r="A58" i="15" a="1"/>
  <c r="A58" i="15" s="1"/>
  <c r="A57" i="15" a="1"/>
  <c r="A57" i="15" s="1"/>
  <c r="A56" i="15" a="1"/>
  <c r="A56" i="15" s="1"/>
  <c r="A55" i="15" a="1"/>
  <c r="A55" i="15" s="1"/>
  <c r="A54" i="15" a="1"/>
  <c r="A54" i="15" s="1"/>
  <c r="A53" i="15" a="1"/>
  <c r="A53" i="15" s="1"/>
  <c r="A52" i="15" a="1"/>
  <c r="A52" i="15" s="1"/>
  <c r="A51" i="15" a="1"/>
  <c r="A51" i="15" s="1"/>
  <c r="A50" i="15" a="1"/>
  <c r="A50" i="15" s="1"/>
  <c r="A49" i="15" a="1"/>
  <c r="A49" i="15" s="1"/>
  <c r="A48" i="15" a="1"/>
  <c r="A48" i="15" s="1"/>
  <c r="A47" i="15" a="1"/>
  <c r="A47" i="15" s="1"/>
  <c r="A46" i="15" a="1"/>
  <c r="A46" i="15" s="1"/>
  <c r="A45" i="15" a="1"/>
  <c r="A45" i="15" s="1"/>
  <c r="A44" i="15" a="1"/>
  <c r="A44" i="15" s="1"/>
  <c r="A43" i="15" a="1"/>
  <c r="A43" i="15" s="1"/>
  <c r="A42" i="15" a="1"/>
  <c r="A42" i="15" s="1"/>
  <c r="A41" i="15" a="1"/>
  <c r="A41" i="15" s="1"/>
  <c r="A40" i="15" a="1"/>
  <c r="A40" i="15" s="1"/>
  <c r="A39" i="15" a="1"/>
  <c r="A39" i="15" s="1"/>
  <c r="A38" i="15" a="1"/>
  <c r="A38" i="15" s="1"/>
  <c r="A37" i="15" a="1"/>
  <c r="A37" i="15" s="1"/>
  <c r="A36" i="15" a="1"/>
  <c r="A36" i="15" s="1"/>
  <c r="A35" i="15" a="1"/>
  <c r="A35" i="15" s="1"/>
  <c r="A34" i="15" a="1"/>
  <c r="A34" i="15" s="1"/>
  <c r="A33" i="15" a="1"/>
  <c r="A33" i="15" s="1"/>
  <c r="A32" i="15" a="1"/>
  <c r="A32" i="15" s="1"/>
  <c r="A31" i="15" a="1"/>
  <c r="A31" i="15" s="1"/>
  <c r="A30" i="15" a="1"/>
  <c r="A30" i="15" s="1"/>
  <c r="A29" i="15" a="1"/>
  <c r="A29" i="15" s="1"/>
  <c r="A28" i="15" a="1"/>
  <c r="A28" i="15" s="1"/>
  <c r="A27" i="15" a="1"/>
  <c r="A27" i="15" s="1"/>
  <c r="A26" i="15" a="1"/>
  <c r="A26" i="15" s="1"/>
  <c r="A25" i="15" a="1"/>
  <c r="A25" i="15" s="1"/>
  <c r="A24" i="15" a="1"/>
  <c r="A24" i="15" s="1"/>
  <c r="A23" i="15" a="1"/>
  <c r="A23" i="15" s="1"/>
  <c r="A22" i="15" a="1"/>
  <c r="A22" i="15" s="1"/>
  <c r="A21" i="15" a="1"/>
  <c r="A21" i="15" s="1"/>
  <c r="A20" i="15" a="1"/>
  <c r="A20" i="15" s="1"/>
  <c r="A19" i="15" a="1"/>
  <c r="A19" i="15" s="1"/>
  <c r="A18" i="15" a="1"/>
  <c r="A18" i="15" s="1"/>
  <c r="A17" i="15" a="1"/>
  <c r="A17" i="15" s="1"/>
  <c r="A16" i="15" a="1"/>
  <c r="A16" i="15" s="1"/>
  <c r="A15" i="15" a="1"/>
  <c r="A15" i="15" s="1"/>
  <c r="A14" i="15" a="1"/>
  <c r="A14" i="15" s="1"/>
  <c r="A13" i="15" a="1"/>
  <c r="A13" i="15" s="1"/>
  <c r="A12" i="15" a="1"/>
  <c r="A12" i="15" s="1"/>
  <c r="A11" i="15" a="1"/>
  <c r="A11" i="15" s="1"/>
  <c r="A10" i="15" a="1"/>
  <c r="A10" i="15" s="1"/>
  <c r="A9" i="15" a="1"/>
  <c r="A9" i="15" s="1"/>
  <c r="A8" i="15" a="1"/>
  <c r="A8" i="15" s="1"/>
  <c r="A7" i="15" a="1"/>
  <c r="A7" i="15" s="1"/>
  <c r="A6" i="15" a="1"/>
  <c r="A6" i="15" s="1"/>
  <c r="A5" i="15" a="1"/>
  <c r="A5" i="15" s="1"/>
  <c r="A4" i="15" a="1"/>
  <c r="A4" i="15" s="1"/>
  <c r="A3" i="15" a="1"/>
  <c r="A3" i="15" s="1"/>
  <c r="AK1" i="9"/>
  <c r="F1" i="19" s="1" a="1"/>
  <c r="F1" i="19" s="1"/>
  <c r="AZ164" i="4"/>
  <c r="AY164" i="4"/>
  <c r="AX164" i="4"/>
  <c r="AZ163" i="4"/>
  <c r="AY163" i="4"/>
  <c r="AX163" i="4"/>
  <c r="AZ20" i="4"/>
  <c r="AY20" i="4"/>
  <c r="AX20" i="4"/>
  <c r="AZ19" i="4"/>
  <c r="AY19" i="4"/>
  <c r="AX19" i="4"/>
  <c r="AB1" i="9"/>
  <c r="F1" i="18" s="1" a="1"/>
  <c r="F1" i="18" s="1"/>
  <c r="AQ164" i="4"/>
  <c r="AP164" i="4"/>
  <c r="AO164" i="4"/>
  <c r="AQ163" i="4"/>
  <c r="AP163" i="4"/>
  <c r="AO163" i="4"/>
  <c r="AQ20" i="4"/>
  <c r="AP20" i="4"/>
  <c r="AO20" i="4"/>
  <c r="AQ19" i="4"/>
  <c r="AP19" i="4"/>
  <c r="AO19" i="4"/>
  <c r="S1" i="9"/>
  <c r="F1" i="17" s="1" a="1"/>
  <c r="F1" i="17" s="1"/>
  <c r="J1" i="9"/>
  <c r="F1" i="16" s="1" a="1"/>
  <c r="F1" i="16" s="1"/>
  <c r="A1" i="9"/>
  <c r="F1" i="15" s="1" a="1"/>
  <c r="F1" i="15" s="1"/>
  <c r="A10" i="19" l="1" a="1"/>
  <c r="A10" i="19" s="1"/>
  <c r="A5" i="19" a="1"/>
  <c r="A5" i="19" s="1"/>
  <c r="A11" i="19" a="1"/>
  <c r="A11" i="19" s="1"/>
  <c r="A19" i="19" a="1"/>
  <c r="A19" i="19" s="1"/>
  <c r="A20" i="19" a="1"/>
  <c r="A20" i="19" s="1"/>
  <c r="A6" i="19" a="1"/>
  <c r="A6" i="19" s="1"/>
  <c r="A12" i="19" a="1"/>
  <c r="A12" i="19" s="1"/>
  <c r="A22" i="19" a="1"/>
  <c r="A22" i="19" s="1"/>
  <c r="A7" i="19" a="1"/>
  <c r="A7" i="19" s="1"/>
  <c r="A8" i="19" a="1"/>
  <c r="A8" i="19" s="1"/>
  <c r="A15" i="19" a="1"/>
  <c r="A15" i="19" s="1"/>
  <c r="A25" i="19" a="1"/>
  <c r="A25" i="19" s="1"/>
  <c r="A17" i="19" a="1"/>
  <c r="A17" i="19" s="1"/>
  <c r="A26" i="19" a="1"/>
  <c r="A26" i="19" s="1"/>
  <c r="A3" i="19" a="1"/>
  <c r="A3" i="19" s="1"/>
  <c r="A16" i="19" a="1"/>
  <c r="A16" i="19" s="1"/>
  <c r="A4" i="19" a="1"/>
  <c r="A4" i="19" s="1"/>
  <c r="A9" i="19" a="1"/>
  <c r="A9" i="19" s="1"/>
  <c r="A16" i="18" a="1"/>
  <c r="A16" i="18" s="1"/>
  <c r="A10" i="18" a="1"/>
  <c r="A10" i="18" s="1"/>
  <c r="A20" i="18" a="1"/>
  <c r="A20" i="18" s="1"/>
  <c r="A5" i="18" a="1"/>
  <c r="A5" i="18" s="1"/>
  <c r="A6" i="18" a="1"/>
  <c r="A6" i="18" s="1"/>
  <c r="A12" i="18" a="1"/>
  <c r="A12" i="18" s="1"/>
  <c r="A28" i="18" a="1"/>
  <c r="A28" i="18" s="1"/>
  <c r="A7" i="18" a="1"/>
  <c r="A7" i="18" s="1"/>
  <c r="A13" i="18" a="1"/>
  <c r="A13" i="18" s="1"/>
  <c r="A32" i="18" a="1"/>
  <c r="A32" i="18" s="1"/>
  <c r="A14" i="18" a="1"/>
  <c r="A14" i="18" s="1"/>
  <c r="A68" i="16" a="1"/>
  <c r="A68" i="16" s="1"/>
  <c r="A69" i="16" a="1"/>
  <c r="A69" i="16" s="1"/>
  <c r="BG165" i="4"/>
  <c r="A31" i="19" a="1"/>
  <c r="A31" i="19" s="1"/>
  <c r="A39" i="19" a="1"/>
  <c r="A39" i="19" s="1"/>
  <c r="A32" i="19" a="1"/>
  <c r="A32" i="19" s="1"/>
  <c r="A47" i="19" a="1"/>
  <c r="A47" i="19" s="1"/>
  <c r="A56" i="19" a="1"/>
  <c r="A56" i="19" s="1"/>
  <c r="I72" i="19" a="1"/>
  <c r="I72" i="19" s="1"/>
  <c r="A72" i="19" a="1"/>
  <c r="A72" i="19" s="1"/>
  <c r="A68" i="19" a="1"/>
  <c r="A68" i="19" s="1"/>
  <c r="A64" i="19" a="1"/>
  <c r="A64" i="19" s="1"/>
  <c r="A60" i="19" a="1"/>
  <c r="A60" i="19" s="1"/>
  <c r="H72" i="19" a="1"/>
  <c r="H72" i="19" s="1"/>
  <c r="I71" i="19" a="1"/>
  <c r="I71" i="19" s="1"/>
  <c r="A71" i="19" a="1"/>
  <c r="A71" i="19" s="1"/>
  <c r="A67" i="19" a="1"/>
  <c r="A67" i="19" s="1"/>
  <c r="A63" i="19" a="1"/>
  <c r="A63" i="19" s="1"/>
  <c r="A59" i="19" a="1"/>
  <c r="A59" i="19" s="1"/>
  <c r="A55" i="19" a="1"/>
  <c r="A55" i="19" s="1"/>
  <c r="A51" i="19" a="1"/>
  <c r="A51" i="19" s="1"/>
  <c r="H71" i="19" a="1"/>
  <c r="H71" i="19" s="1"/>
  <c r="A70" i="19" a="1"/>
  <c r="A70" i="19" s="1"/>
  <c r="A66" i="19" a="1"/>
  <c r="A66" i="19" s="1"/>
  <c r="A62" i="19" a="1"/>
  <c r="A62" i="19" s="1"/>
  <c r="A58" i="19" a="1"/>
  <c r="A58" i="19" s="1"/>
  <c r="A69" i="19" a="1"/>
  <c r="A69" i="19" s="1"/>
  <c r="A45" i="19" a="1"/>
  <c r="A45" i="19" s="1"/>
  <c r="A37" i="19" a="1"/>
  <c r="A37" i="19" s="1"/>
  <c r="A34" i="19" a="1"/>
  <c r="A34" i="19" s="1"/>
  <c r="A61" i="19" a="1"/>
  <c r="A61" i="19" s="1"/>
  <c r="A43" i="19" a="1"/>
  <c r="A43" i="19" s="1"/>
  <c r="A36" i="19" a="1"/>
  <c r="A36" i="19" s="1"/>
  <c r="A33" i="19" a="1"/>
  <c r="A33" i="19" s="1"/>
  <c r="A42" i="19" a="1"/>
  <c r="A42" i="19" s="1"/>
  <c r="A50" i="19" a="1"/>
  <c r="A50" i="19" s="1"/>
  <c r="A57" i="19" a="1"/>
  <c r="A57" i="19" s="1"/>
  <c r="A54" i="19" a="1"/>
  <c r="A54" i="19" s="1"/>
  <c r="A53" i="19" a="1"/>
  <c r="A53" i="19" s="1"/>
  <c r="A52" i="19" a="1"/>
  <c r="A52" i="19" s="1"/>
  <c r="A49" i="19" a="1"/>
  <c r="A49" i="19" s="1"/>
  <c r="A41" i="19" a="1"/>
  <c r="A41" i="19" s="1"/>
  <c r="A48" i="19" a="1"/>
  <c r="A48" i="19" s="1"/>
  <c r="A40" i="19" a="1"/>
  <c r="A40" i="19" s="1"/>
  <c r="A46" i="19" a="1"/>
  <c r="A46" i="19" s="1"/>
  <c r="A23" i="19" a="1"/>
  <c r="A23" i="19" s="1"/>
  <c r="A27" i="19" a="1"/>
  <c r="A27" i="19" s="1"/>
  <c r="A13" i="19" a="1"/>
  <c r="A13" i="19" s="1"/>
  <c r="A18" i="19" a="1"/>
  <c r="A18" i="19" s="1"/>
  <c r="A24" i="19" a="1"/>
  <c r="A24" i="19" s="1"/>
  <c r="A65" i="19" a="1"/>
  <c r="A65" i="19" s="1"/>
  <c r="A28" i="19" a="1"/>
  <c r="A28" i="19" s="1"/>
  <c r="A21" i="19" a="1"/>
  <c r="A21" i="19" s="1"/>
  <c r="A35" i="19" a="1"/>
  <c r="A35" i="19" s="1"/>
  <c r="A44" i="19" a="1"/>
  <c r="A44" i="19" s="1"/>
  <c r="A29" i="19" a="1"/>
  <c r="A29" i="19" s="1"/>
  <c r="A14" i="19" a="1"/>
  <c r="A14" i="19" s="1"/>
  <c r="A38" i="19" a="1"/>
  <c r="A38" i="19" s="1"/>
  <c r="A57" i="18" a="1"/>
  <c r="A57" i="18" s="1"/>
  <c r="A15" i="18" a="1"/>
  <c r="A15" i="18" s="1"/>
  <c r="A9" i="18" a="1"/>
  <c r="A9" i="18" s="1"/>
  <c r="A11" i="18" a="1"/>
  <c r="A11" i="18" s="1"/>
  <c r="A24" i="18" a="1"/>
  <c r="A24" i="18" s="1"/>
  <c r="I72" i="18" a="1"/>
  <c r="I72" i="18" s="1"/>
  <c r="A72" i="18" a="1"/>
  <c r="A72" i="18" s="1"/>
  <c r="A68" i="18" a="1"/>
  <c r="A68" i="18" s="1"/>
  <c r="A64" i="18" a="1"/>
  <c r="A64" i="18" s="1"/>
  <c r="A60" i="18" a="1"/>
  <c r="A60" i="18" s="1"/>
  <c r="A56" i="18" a="1"/>
  <c r="A56" i="18" s="1"/>
  <c r="A52" i="18" a="1"/>
  <c r="A52" i="18" s="1"/>
  <c r="A48" i="18" a="1"/>
  <c r="A48" i="18" s="1"/>
  <c r="A44" i="18" a="1"/>
  <c r="A44" i="18" s="1"/>
  <c r="A40" i="18" a="1"/>
  <c r="A40" i="18" s="1"/>
  <c r="H72" i="18" a="1"/>
  <c r="H72" i="18" s="1"/>
  <c r="I71" i="18" a="1"/>
  <c r="I71" i="18" s="1"/>
  <c r="A71" i="18" a="1"/>
  <c r="A71" i="18" s="1"/>
  <c r="A67" i="18" a="1"/>
  <c r="A67" i="18" s="1"/>
  <c r="A63" i="18" a="1"/>
  <c r="A63" i="18" s="1"/>
  <c r="A59" i="18" a="1"/>
  <c r="A59" i="18" s="1"/>
  <c r="A55" i="18" a="1"/>
  <c r="A55" i="18" s="1"/>
  <c r="A51" i="18" a="1"/>
  <c r="A51" i="18" s="1"/>
  <c r="H71" i="18" a="1"/>
  <c r="H71" i="18" s="1"/>
  <c r="A70" i="18" a="1"/>
  <c r="A70" i="18" s="1"/>
  <c r="A66" i="18" a="1"/>
  <c r="A66" i="18" s="1"/>
  <c r="A62" i="18" a="1"/>
  <c r="A62" i="18" s="1"/>
  <c r="A69" i="18" a="1"/>
  <c r="A69" i="18" s="1"/>
  <c r="A54" i="18" a="1"/>
  <c r="A54" i="18" s="1"/>
  <c r="A35" i="18" a="1"/>
  <c r="A35" i="18" s="1"/>
  <c r="A31" i="18" a="1"/>
  <c r="A31" i="18" s="1"/>
  <c r="A27" i="18" a="1"/>
  <c r="A27" i="18" s="1"/>
  <c r="A23" i="18" a="1"/>
  <c r="A23" i="18" s="1"/>
  <c r="A19" i="18" a="1"/>
  <c r="A19" i="18" s="1"/>
  <c r="A65" i="18" a="1"/>
  <c r="A65" i="18" s="1"/>
  <c r="A49" i="18" a="1"/>
  <c r="A49" i="18" s="1"/>
  <c r="A61" i="18" a="1"/>
  <c r="A61" i="18" s="1"/>
  <c r="A39" i="18" a="1"/>
  <c r="A39" i="18" s="1"/>
  <c r="A34" i="18" a="1"/>
  <c r="A34" i="18" s="1"/>
  <c r="A30" i="18" a="1"/>
  <c r="A30" i="18" s="1"/>
  <c r="A26" i="18" a="1"/>
  <c r="A26" i="18" s="1"/>
  <c r="A22" i="18" a="1"/>
  <c r="A22" i="18" s="1"/>
  <c r="A18" i="18" a="1"/>
  <c r="A18" i="18" s="1"/>
  <c r="A58" i="18" a="1"/>
  <c r="A58" i="18" s="1"/>
  <c r="A43" i="18" a="1"/>
  <c r="A43" i="18" s="1"/>
  <c r="A42" i="18" a="1"/>
  <c r="A42" i="18" s="1"/>
  <c r="A41" i="18" a="1"/>
  <c r="A41" i="18" s="1"/>
  <c r="A50" i="18" a="1"/>
  <c r="A50" i="18" s="1"/>
  <c r="A38" i="18" a="1"/>
  <c r="A38" i="18" s="1"/>
  <c r="A45" i="18" a="1"/>
  <c r="A45" i="18" s="1"/>
  <c r="A53" i="18" a="1"/>
  <c r="A53" i="18" s="1"/>
  <c r="A37" i="18" a="1"/>
  <c r="A37" i="18" s="1"/>
  <c r="A33" i="18" a="1"/>
  <c r="A33" i="18" s="1"/>
  <c r="A29" i="18" a="1"/>
  <c r="A29" i="18" s="1"/>
  <c r="A25" i="18" a="1"/>
  <c r="A25" i="18" s="1"/>
  <c r="A21" i="18" a="1"/>
  <c r="A21" i="18" s="1"/>
  <c r="A46" i="18" a="1"/>
  <c r="A46" i="18" s="1"/>
  <c r="A36" i="18" a="1"/>
  <c r="A36" i="18" s="1"/>
  <c r="A26" i="17" a="1"/>
  <c r="A26" i="17" s="1"/>
  <c r="A28" i="17" a="1"/>
  <c r="A28" i="17" s="1"/>
  <c r="A34" i="17" a="1"/>
  <c r="A34" i="17" s="1"/>
  <c r="A23" i="17" a="1"/>
  <c r="A23" i="17" s="1"/>
  <c r="A57" i="17" a="1"/>
  <c r="A57" i="17" s="1"/>
  <c r="A48" i="17" a="1"/>
  <c r="A48" i="17" s="1"/>
  <c r="A22" i="17" a="1"/>
  <c r="A22" i="17" s="1"/>
  <c r="A9" i="17" a="1"/>
  <c r="A9" i="17" s="1"/>
  <c r="I72" i="17" a="1"/>
  <c r="I72" i="17" s="1"/>
  <c r="A72" i="17" a="1"/>
  <c r="A72" i="17" s="1"/>
  <c r="A68" i="17" a="1"/>
  <c r="A68" i="17" s="1"/>
  <c r="A64" i="17" a="1"/>
  <c r="A64" i="17" s="1"/>
  <c r="A60" i="17" a="1"/>
  <c r="A60" i="17" s="1"/>
  <c r="H72" i="17" a="1"/>
  <c r="H72" i="17" s="1"/>
  <c r="I71" i="17" a="1"/>
  <c r="I71" i="17" s="1"/>
  <c r="A71" i="17" a="1"/>
  <c r="A71" i="17" s="1"/>
  <c r="A67" i="17" a="1"/>
  <c r="A67" i="17" s="1"/>
  <c r="A63" i="17" a="1"/>
  <c r="A63" i="17" s="1"/>
  <c r="A59" i="17" a="1"/>
  <c r="A59" i="17" s="1"/>
  <c r="A55" i="17" a="1"/>
  <c r="A55" i="17" s="1"/>
  <c r="A51" i="17" a="1"/>
  <c r="A51" i="17" s="1"/>
  <c r="A47" i="17" a="1"/>
  <c r="A47" i="17" s="1"/>
  <c r="H71" i="17" a="1"/>
  <c r="H71" i="17" s="1"/>
  <c r="A70" i="17" a="1"/>
  <c r="A70" i="17" s="1"/>
  <c r="A66" i="17" a="1"/>
  <c r="A66" i="17" s="1"/>
  <c r="A62" i="17" a="1"/>
  <c r="A62" i="17" s="1"/>
  <c r="A44" i="17" a="1"/>
  <c r="A44" i="17" s="1"/>
  <c r="A69" i="17" a="1"/>
  <c r="A69" i="17" s="1"/>
  <c r="A49" i="17" a="1"/>
  <c r="A49" i="17" s="1"/>
  <c r="A40" i="17" a="1"/>
  <c r="A40" i="17" s="1"/>
  <c r="A50" i="17" a="1"/>
  <c r="A50" i="17" s="1"/>
  <c r="A36" i="17" a="1"/>
  <c r="A36" i="17" s="1"/>
  <c r="A33" i="17" a="1"/>
  <c r="A33" i="17" s="1"/>
  <c r="A29" i="17" a="1"/>
  <c r="A29" i="17" s="1"/>
  <c r="A25" i="17" a="1"/>
  <c r="A25" i="17" s="1"/>
  <c r="A21" i="17" a="1"/>
  <c r="A21" i="17" s="1"/>
  <c r="A17" i="17" a="1"/>
  <c r="A17" i="17" s="1"/>
  <c r="A65" i="17" a="1"/>
  <c r="A65" i="17" s="1"/>
  <c r="A58" i="17" a="1"/>
  <c r="A58" i="17" s="1"/>
  <c r="A43" i="17" a="1"/>
  <c r="A43" i="17" s="1"/>
  <c r="A61" i="17" a="1"/>
  <c r="A61" i="17" s="1"/>
  <c r="A39" i="17" a="1"/>
  <c r="A39" i="17" s="1"/>
  <c r="A32" i="17" a="1"/>
  <c r="A32" i="17" s="1"/>
  <c r="A56" i="17" a="1"/>
  <c r="A56" i="17" s="1"/>
  <c r="A52" i="17" a="1"/>
  <c r="A52" i="17" s="1"/>
  <c r="A42" i="17" a="1"/>
  <c r="A42" i="17" s="1"/>
  <c r="A38" i="17" a="1"/>
  <c r="A38" i="17" s="1"/>
  <c r="A35" i="17" a="1"/>
  <c r="A35" i="17" s="1"/>
  <c r="A31" i="17" a="1"/>
  <c r="A31" i="17" s="1"/>
  <c r="A53" i="17" a="1"/>
  <c r="A53" i="17" s="1"/>
  <c r="A54" i="17" a="1"/>
  <c r="A54" i="17" s="1"/>
  <c r="A46" i="17" a="1"/>
  <c r="A46" i="17" s="1"/>
  <c r="A41" i="17" a="1"/>
  <c r="A41" i="17" s="1"/>
  <c r="A11" i="17" a="1"/>
  <c r="A11" i="17" s="1"/>
  <c r="A15" i="17" a="1"/>
  <c r="A15" i="17" s="1"/>
  <c r="A27" i="17" a="1"/>
  <c r="A27" i="17" s="1"/>
  <c r="A37" i="17" a="1"/>
  <c r="A37" i="17" s="1"/>
  <c r="AX165" i="4"/>
  <c r="AO165" i="4"/>
  <c r="AH164" i="4"/>
  <c r="AG164" i="4"/>
  <c r="AF164" i="4"/>
  <c r="AH163" i="4"/>
  <c r="AG163" i="4"/>
  <c r="AF163" i="4"/>
  <c r="AH20" i="4"/>
  <c r="AG20" i="4"/>
  <c r="AF20" i="4"/>
  <c r="AH19" i="4"/>
  <c r="AG19" i="4"/>
  <c r="AF19" i="4"/>
  <c r="Y164" i="4"/>
  <c r="X164" i="4"/>
  <c r="W164" i="4"/>
  <c r="Y163" i="4"/>
  <c r="X163" i="4"/>
  <c r="W163" i="4"/>
  <c r="Y20" i="4"/>
  <c r="X20" i="4"/>
  <c r="W20" i="4"/>
  <c r="Y19" i="4"/>
  <c r="X19" i="4"/>
  <c r="W19" i="4"/>
  <c r="N19" i="4"/>
  <c r="N20" i="4"/>
  <c r="N163" i="4"/>
  <c r="N164" i="4"/>
  <c r="AF165" i="4" l="1"/>
  <c r="W165" i="4"/>
  <c r="N165" i="4"/>
  <c r="D1" i="4" l="1"/>
  <c r="P164" i="4" l="1"/>
  <c r="O164" i="4"/>
  <c r="P163" i="4"/>
  <c r="O163" i="4"/>
  <c r="P20" i="4"/>
  <c r="O20" i="4"/>
  <c r="P19" i="4"/>
  <c r="O19" i="4"/>
  <c r="J19" i="4" l="1"/>
  <c r="BK19" i="4" s="1"/>
  <c r="BJ19" i="4" s="1"/>
  <c r="J20" i="4"/>
  <c r="G16" i="6"/>
  <c r="A3" i="6"/>
  <c r="A9" i="6"/>
  <c r="A7" i="6"/>
  <c r="F31" i="6"/>
  <c r="E15" i="4"/>
  <c r="D15" i="4"/>
  <c r="D7" i="4"/>
  <c r="E13" i="4"/>
  <c r="D13" i="4"/>
  <c r="D6" i="4"/>
  <c r="D4" i="4"/>
  <c r="D3" i="4"/>
  <c r="D2" i="4"/>
  <c r="P5" i="10" a="1"/>
  <c r="P5" i="10" s="1"/>
  <c r="BB20" i="4" l="1"/>
  <c r="BK20" i="4"/>
  <c r="BJ20" i="4" s="1"/>
  <c r="R19" i="4"/>
  <c r="Q19" i="4" s="1"/>
  <c r="BB19" i="4"/>
  <c r="BA19" i="4" s="1"/>
  <c r="AS19" i="4"/>
  <c r="AR19" i="4" s="1"/>
  <c r="AJ20" i="4"/>
  <c r="AS20" i="4"/>
  <c r="AR20" i="4" s="1"/>
  <c r="AA19" i="4"/>
  <c r="Z19" i="4" s="1"/>
  <c r="AJ19" i="4"/>
  <c r="AI19" i="4" s="1"/>
  <c r="R20" i="4"/>
  <c r="Q20" i="4" s="1"/>
  <c r="AA20" i="4"/>
  <c r="Z20" i="4" s="1"/>
  <c r="O7" i="10"/>
  <c r="L3" i="10" s="1"/>
  <c r="BJ23" i="4" l="1"/>
  <c r="AI20" i="4"/>
  <c r="BA20" i="4"/>
  <c r="Z23" i="4"/>
  <c r="BA23" i="4"/>
  <c r="AI23" i="4"/>
  <c r="AR23" i="4"/>
  <c r="Q23" i="4"/>
  <c r="A31" i="6"/>
  <c r="P7" i="10"/>
  <c r="O8" i="10" l="1"/>
  <c r="P8" i="10" s="1"/>
  <c r="O9" i="10" l="1"/>
  <c r="K3" i="10" s="1"/>
  <c r="P9" i="10" l="1"/>
  <c r="O10" i="10" l="1"/>
  <c r="J3" i="10" s="1"/>
  <c r="D8" i="4" l="1"/>
  <c r="G24" i="6"/>
  <c r="P10" i="10"/>
  <c r="M3" i="10" s="1"/>
  <c r="J163" i="4"/>
  <c r="J164" i="4"/>
  <c r="BB164" i="4" l="1"/>
  <c r="BA164" i="4" s="1"/>
  <c r="BK164" i="4"/>
  <c r="BJ164" i="4" s="1"/>
  <c r="BB163" i="4"/>
  <c r="BA163" i="4" s="1"/>
  <c r="BK163" i="4"/>
  <c r="BJ163" i="4" s="1"/>
  <c r="AS164" i="4"/>
  <c r="AR164" i="4" s="1"/>
  <c r="AS163" i="4"/>
  <c r="AR163" i="4" s="1"/>
  <c r="R164" i="4"/>
  <c r="Q164" i="4" s="1"/>
  <c r="AA163" i="4"/>
  <c r="Z163" i="4" s="1"/>
  <c r="AJ163" i="4"/>
  <c r="AI163" i="4" s="1"/>
  <c r="AA164" i="4"/>
  <c r="Z164" i="4" s="1"/>
  <c r="AJ164" i="4"/>
  <c r="AI164" i="4" s="1"/>
  <c r="R163" i="4"/>
  <c r="Q163" i="4" s="1"/>
  <c r="J165" i="4"/>
  <c r="D5" i="4"/>
  <c r="D24" i="6"/>
  <c r="AY30" i="9" l="1"/>
  <c r="AW72" i="9"/>
  <c r="AY58" i="9"/>
  <c r="AY35" i="9"/>
  <c r="AW49" i="9"/>
  <c r="AY10" i="9"/>
  <c r="AY22" i="9"/>
  <c r="AY50" i="9"/>
  <c r="AW4" i="9"/>
  <c r="AY72" i="9"/>
  <c r="AY18" i="9"/>
  <c r="AW5" i="9"/>
  <c r="AY15" i="9"/>
  <c r="AW59" i="9"/>
  <c r="AY41" i="9"/>
  <c r="AY51" i="9"/>
  <c r="AY3" i="9"/>
  <c r="AY17" i="9"/>
  <c r="AW25" i="9"/>
  <c r="AY23" i="9"/>
  <c r="AW6" i="9"/>
  <c r="AW24" i="9"/>
  <c r="AY55" i="9"/>
  <c r="AY39" i="9"/>
  <c r="AW40" i="9"/>
  <c r="AY19" i="9"/>
  <c r="AY70" i="9"/>
  <c r="AY52" i="9"/>
  <c r="AY67" i="9"/>
  <c r="AY61" i="9"/>
  <c r="AW56" i="9"/>
  <c r="AW8" i="9"/>
  <c r="AW12" i="9"/>
  <c r="AY60" i="9"/>
  <c r="AY7" i="9"/>
  <c r="AW51" i="9"/>
  <c r="AY11" i="9"/>
  <c r="AW67" i="9"/>
  <c r="AW15" i="9"/>
  <c r="AW22" i="9"/>
  <c r="AW16" i="9"/>
  <c r="AY5" i="9"/>
  <c r="AW14" i="9"/>
  <c r="AY21" i="9"/>
  <c r="AW7" i="9"/>
  <c r="AY46" i="9"/>
  <c r="AY32" i="9"/>
  <c r="AY33" i="9"/>
  <c r="AY20" i="9"/>
  <c r="AY40" i="9"/>
  <c r="AW52" i="9"/>
  <c r="AY27" i="9"/>
  <c r="AW43" i="9"/>
  <c r="AY36" i="9"/>
  <c r="AW53" i="9"/>
  <c r="AY65" i="9"/>
  <c r="AW50" i="9"/>
  <c r="AY6" i="9"/>
  <c r="AW39" i="9"/>
  <c r="AW9" i="9"/>
  <c r="AW35" i="9"/>
  <c r="AY53" i="9"/>
  <c r="AW54" i="9"/>
  <c r="AW57" i="9"/>
  <c r="AW44" i="9"/>
  <c r="AY48" i="9"/>
  <c r="AW64" i="9"/>
  <c r="AW29" i="9"/>
  <c r="AY34" i="9"/>
  <c r="AW38" i="9"/>
  <c r="AW61" i="9"/>
  <c r="AW18" i="9"/>
  <c r="AW47" i="9"/>
  <c r="AY25" i="9"/>
  <c r="AW27" i="9"/>
  <c r="AW69" i="9"/>
  <c r="AW10" i="9"/>
  <c r="AY49" i="9"/>
  <c r="AY28" i="9"/>
  <c r="AY42" i="9"/>
  <c r="AW21" i="9"/>
  <c r="AY63" i="9"/>
  <c r="AW60" i="9"/>
  <c r="AW70" i="9"/>
  <c r="AW45" i="9"/>
  <c r="AW17" i="9"/>
  <c r="AY68" i="9"/>
  <c r="AW63" i="9"/>
  <c r="AW32" i="9"/>
  <c r="AW13" i="9"/>
  <c r="AW58" i="9"/>
  <c r="AW3" i="9"/>
  <c r="AW46" i="9"/>
  <c r="AW34" i="9"/>
  <c r="AY44" i="9"/>
  <c r="AY57" i="9"/>
  <c r="AW42" i="9"/>
  <c r="AW71" i="9"/>
  <c r="AW19" i="9"/>
  <c r="AW26" i="9"/>
  <c r="AY66" i="9"/>
  <c r="AY8" i="9"/>
  <c r="AY43" i="9"/>
  <c r="AY56" i="9"/>
  <c r="AW55" i="9"/>
  <c r="AY31" i="9"/>
  <c r="AW33" i="9"/>
  <c r="AY16" i="9"/>
  <c r="AY45" i="9"/>
  <c r="AW48" i="9"/>
  <c r="AY9" i="9"/>
  <c r="AY47" i="9"/>
  <c r="AY71" i="9"/>
  <c r="AW41" i="9"/>
  <c r="AW68" i="9"/>
  <c r="AW20" i="9"/>
  <c r="AW37" i="9"/>
  <c r="AY24" i="9"/>
  <c r="AW62" i="9"/>
  <c r="AW66" i="9"/>
  <c r="AY69" i="9"/>
  <c r="AY26" i="9"/>
  <c r="AY37" i="9"/>
  <c r="AY4" i="9"/>
  <c r="AY12" i="9"/>
  <c r="AY59" i="9"/>
  <c r="AY14" i="9"/>
  <c r="AY38" i="9"/>
  <c r="AY62" i="9"/>
  <c r="AW31" i="9"/>
  <c r="AY13" i="9"/>
  <c r="AW30" i="9"/>
  <c r="AW36" i="9"/>
  <c r="AY29" i="9"/>
  <c r="AW65" i="9"/>
  <c r="AW28" i="9"/>
  <c r="AY54" i="9"/>
  <c r="AW11" i="9"/>
  <c r="AY64" i="9"/>
  <c r="AW23" i="9"/>
  <c r="BI165" i="4"/>
  <c r="BJ165" i="4"/>
  <c r="AZ165" i="4"/>
  <c r="BA165" i="4"/>
  <c r="AQ165" i="4"/>
  <c r="AR165" i="4"/>
  <c r="AH165" i="4"/>
  <c r="AI165" i="4"/>
  <c r="Y165" i="4"/>
  <c r="Z165" i="4"/>
  <c r="P165" i="4"/>
  <c r="Q165" i="4"/>
  <c r="AX8" i="9" a="1"/>
  <c r="BB8" i="9" a="1"/>
  <c r="BA8" i="9" a="1"/>
  <c r="AX57" i="9" a="1"/>
  <c r="BB57" i="9" a="1"/>
  <c r="BA57" i="9" a="1"/>
  <c r="AX31" i="9" a="1"/>
  <c r="BB31" i="9" a="1"/>
  <c r="BA31" i="9" a="1"/>
  <c r="AX36" i="9" a="1"/>
  <c r="BB36" i="9" a="1"/>
  <c r="BA36" i="9" a="1"/>
  <c r="AX66" i="9" a="1"/>
  <c r="BA66" i="9" a="1"/>
  <c r="BB66" i="9" a="1"/>
  <c r="AX12" i="9" a="1"/>
  <c r="BA12" i="9" a="1"/>
  <c r="BB12" i="9" a="1"/>
  <c r="AX44" i="9" a="1"/>
  <c r="BB44" i="9" a="1"/>
  <c r="BA44" i="9" a="1"/>
  <c r="AX21" i="9" a="1"/>
  <c r="BB21" i="9" a="1"/>
  <c r="BA21" i="9" a="1"/>
  <c r="AX42" i="9" a="1"/>
  <c r="BB42" i="9" a="1"/>
  <c r="BA42" i="9" a="1"/>
  <c r="AX37" i="9" a="1"/>
  <c r="BB37" i="9" a="1"/>
  <c r="BA37" i="9" a="1"/>
  <c r="AX56" i="9" a="1"/>
  <c r="BB56" i="9" a="1"/>
  <c r="BA56" i="9" a="1"/>
  <c r="AX72" i="9" a="1"/>
  <c r="AX71" i="9" a="1"/>
  <c r="BB71" i="9" a="1"/>
  <c r="BA71" i="9" a="1"/>
  <c r="AX41" i="9" a="1"/>
  <c r="BB41" i="9" a="1"/>
  <c r="BA41" i="9" a="1"/>
  <c r="AX30" i="9" a="1"/>
  <c r="BA30" i="9" a="1"/>
  <c r="BB30" i="9" a="1"/>
  <c r="AX62" i="9" a="1"/>
  <c r="BA62" i="9" a="1"/>
  <c r="BB62" i="9" a="1"/>
  <c r="AX25" i="9" a="1"/>
  <c r="BB25" i="9" a="1"/>
  <c r="BA25" i="9" a="1"/>
  <c r="AX52" i="9" a="1"/>
  <c r="BB52" i="9" a="1"/>
  <c r="BA52" i="9" a="1"/>
  <c r="AX64" i="9" a="1"/>
  <c r="BB64" i="9" a="1"/>
  <c r="BA64" i="9" a="1"/>
  <c r="AX60" i="9" a="1"/>
  <c r="BB60" i="9" a="1"/>
  <c r="BA60" i="9" a="1"/>
  <c r="AX19" i="9" a="1"/>
  <c r="BB19" i="9" a="1"/>
  <c r="BA19" i="9" a="1"/>
  <c r="AX68" i="9" a="1"/>
  <c r="BB68" i="9" a="1"/>
  <c r="BA68" i="9" a="1"/>
  <c r="AX23" i="9" a="1"/>
  <c r="BB23" i="9" a="1"/>
  <c r="BA23" i="9" a="1"/>
  <c r="AX51" i="9" a="1"/>
  <c r="BB51" i="9" a="1"/>
  <c r="BA51" i="9" a="1"/>
  <c r="AX29" i="9" a="1"/>
  <c r="BB29" i="9" a="1"/>
  <c r="BA29" i="9" a="1"/>
  <c r="AX70" i="9" a="1"/>
  <c r="BB70" i="9" a="1"/>
  <c r="BA70" i="9" a="1"/>
  <c r="AX26" i="9" a="1"/>
  <c r="BB26" i="9" a="1"/>
  <c r="BA26" i="9" a="1"/>
  <c r="AX20" i="9" a="1"/>
  <c r="BB20" i="9" a="1"/>
  <c r="BA20" i="9" a="1"/>
  <c r="AX11" i="9" a="1"/>
  <c r="BA11" i="9" a="1"/>
  <c r="BB11" i="9" a="1"/>
  <c r="AX49" i="9" a="1"/>
  <c r="BB49" i="9" a="1"/>
  <c r="BA49" i="9" a="1"/>
  <c r="AX6" i="9" a="1"/>
  <c r="BB6" i="9" a="1"/>
  <c r="BA6" i="9" a="1"/>
  <c r="AX43" i="9" a="1"/>
  <c r="BA43" i="9" a="1"/>
  <c r="BB43" i="9" a="1"/>
  <c r="AX45" i="9" a="1"/>
  <c r="BB45" i="9" a="1"/>
  <c r="BA45" i="9" a="1"/>
  <c r="AX65" i="9" a="1"/>
  <c r="BB65" i="9" a="1"/>
  <c r="BA65" i="9" a="1"/>
  <c r="AX24" i="9" a="1"/>
  <c r="BB24" i="9" a="1"/>
  <c r="BA24" i="9" a="1"/>
  <c r="AX67" i="9" a="1"/>
  <c r="BB67" i="9" a="1"/>
  <c r="BA67" i="9" a="1"/>
  <c r="AX38" i="9" a="1"/>
  <c r="BB38" i="9" a="1"/>
  <c r="BA38" i="9" a="1"/>
  <c r="AX17" i="9" a="1"/>
  <c r="BB17" i="9" a="1"/>
  <c r="BA17" i="9" a="1"/>
  <c r="AX15" i="9" a="1"/>
  <c r="BB15" i="9" a="1"/>
  <c r="BA15" i="9" a="1"/>
  <c r="AX53" i="9" a="1"/>
  <c r="BB53" i="9" a="1"/>
  <c r="BA53" i="9" a="1"/>
  <c r="AX61" i="9" a="1"/>
  <c r="BB61" i="9" a="1"/>
  <c r="BA61" i="9" a="1"/>
  <c r="AX22" i="9" a="1"/>
  <c r="BB22" i="9" a="1"/>
  <c r="BA22" i="9" a="1"/>
  <c r="AX18" i="9" a="1"/>
  <c r="BB18" i="9" a="1"/>
  <c r="BA18" i="9" a="1"/>
  <c r="AX63" i="9" a="1"/>
  <c r="BB63" i="9" a="1"/>
  <c r="BA63" i="9" a="1"/>
  <c r="AX28" i="9" a="1"/>
  <c r="BA28" i="9" a="1"/>
  <c r="BB28" i="9" a="1"/>
  <c r="AX4" i="9" a="1"/>
  <c r="BB4" i="9" a="1"/>
  <c r="BA4" i="9" a="1"/>
  <c r="AX40" i="9" a="1"/>
  <c r="BB40" i="9" a="1"/>
  <c r="BA40" i="9" a="1"/>
  <c r="AX16" i="9" a="1"/>
  <c r="BB16" i="9" a="1"/>
  <c r="BA16" i="9" a="1"/>
  <c r="AX50" i="9" a="1"/>
  <c r="BA50" i="9" a="1"/>
  <c r="BB50" i="9" a="1"/>
  <c r="AX47" i="9" a="1"/>
  <c r="BB47" i="9" a="1"/>
  <c r="BA47" i="9" a="1"/>
  <c r="AX32" i="9" a="1"/>
  <c r="BB32" i="9" a="1"/>
  <c r="BA32" i="9" a="1"/>
  <c r="AX55" i="9" a="1"/>
  <c r="BB55" i="9" a="1"/>
  <c r="BA55" i="9" a="1"/>
  <c r="AX13" i="9" a="1"/>
  <c r="BB13" i="9" a="1"/>
  <c r="BA13" i="9" a="1"/>
  <c r="AX14" i="9" a="1"/>
  <c r="BA14" i="9" a="1"/>
  <c r="BB14" i="9" a="1"/>
  <c r="AX39" i="9" a="1"/>
  <c r="BB39" i="9" a="1"/>
  <c r="BA39" i="9" a="1"/>
  <c r="AX27" i="9" a="1"/>
  <c r="BA27" i="9" a="1"/>
  <c r="BB27" i="9" a="1"/>
  <c r="AX58" i="9" a="1"/>
  <c r="BB58" i="9" a="1"/>
  <c r="BA58" i="9" a="1"/>
  <c r="AX33" i="9" a="1"/>
  <c r="BB33" i="9" a="1"/>
  <c r="BA33" i="9" a="1"/>
  <c r="AX5" i="9" a="1"/>
  <c r="BB5" i="9" a="1"/>
  <c r="BA5" i="9" a="1"/>
  <c r="AX9" i="9" a="1"/>
  <c r="BA9" i="9" a="1"/>
  <c r="BB9" i="9" a="1"/>
  <c r="AX69" i="9" a="1"/>
  <c r="BB69" i="9" a="1"/>
  <c r="BA69" i="9" a="1"/>
  <c r="AX3" i="9" a="1"/>
  <c r="AX48" i="9" a="1"/>
  <c r="BB48" i="9" a="1"/>
  <c r="BA48" i="9" a="1"/>
  <c r="AX7" i="9" a="1"/>
  <c r="BB7" i="9" a="1"/>
  <c r="BA7" i="9" a="1"/>
  <c r="AX35" i="9" a="1"/>
  <c r="BB35" i="9" a="1"/>
  <c r="BA35" i="9" a="1"/>
  <c r="AX10" i="9" a="1"/>
  <c r="BB10" i="9" a="1"/>
  <c r="BA10" i="9" a="1"/>
  <c r="AX46" i="9" a="1"/>
  <c r="BA46" i="9" a="1"/>
  <c r="BB46" i="9" a="1"/>
  <c r="AX54" i="9" a="1"/>
  <c r="BB54" i="9" a="1"/>
  <c r="BA54" i="9" a="1"/>
  <c r="AX59" i="9" a="1"/>
  <c r="BA59" i="9" a="1"/>
  <c r="BB59" i="9" a="1"/>
  <c r="AX34" i="9" a="1"/>
  <c r="BB34" i="9" a="1"/>
  <c r="BA34" i="9" a="1"/>
  <c r="BA34" i="9" l="1"/>
  <c r="BB34" i="9"/>
  <c r="AX34" i="9"/>
  <c r="BB59" i="9"/>
  <c r="BA59" i="9"/>
  <c r="AX59" i="9"/>
  <c r="BA54" i="9"/>
  <c r="BB54" i="9"/>
  <c r="AX54" i="9"/>
  <c r="BB46" i="9"/>
  <c r="BA46" i="9"/>
  <c r="AX46" i="9"/>
  <c r="BA10" i="9"/>
  <c r="BB10" i="9"/>
  <c r="AX10" i="9"/>
  <c r="BA35" i="9"/>
  <c r="BB35" i="9"/>
  <c r="AX35" i="9"/>
  <c r="BA7" i="9"/>
  <c r="BB7" i="9"/>
  <c r="AX7" i="9"/>
  <c r="BA48" i="9"/>
  <c r="BB48" i="9"/>
  <c r="AX48" i="9"/>
  <c r="AX3" i="9"/>
  <c r="BA69" i="9"/>
  <c r="BB69" i="9"/>
  <c r="AX69" i="9"/>
  <c r="BB9" i="9"/>
  <c r="BA9" i="9"/>
  <c r="AX9" i="9"/>
  <c r="BA5" i="9"/>
  <c r="BB5" i="9"/>
  <c r="AX5" i="9"/>
  <c r="BA33" i="9"/>
  <c r="BB33" i="9"/>
  <c r="AX33" i="9"/>
  <c r="BA58" i="9"/>
  <c r="BB58" i="9"/>
  <c r="AX58" i="9"/>
  <c r="BB27" i="9"/>
  <c r="BA27" i="9"/>
  <c r="AX27" i="9"/>
  <c r="BA39" i="9"/>
  <c r="BB39" i="9"/>
  <c r="AX39" i="9"/>
  <c r="BB14" i="9"/>
  <c r="BA14" i="9"/>
  <c r="AX14" i="9"/>
  <c r="BA13" i="9"/>
  <c r="BB13" i="9"/>
  <c r="AX13" i="9"/>
  <c r="BA55" i="9"/>
  <c r="BB55" i="9"/>
  <c r="AX55" i="9"/>
  <c r="BA32" i="9"/>
  <c r="BB32" i="9"/>
  <c r="AX32" i="9"/>
  <c r="BA47" i="9"/>
  <c r="BB47" i="9"/>
  <c r="AX47" i="9"/>
  <c r="BB50" i="9"/>
  <c r="BA50" i="9"/>
  <c r="AX50" i="9"/>
  <c r="BA16" i="9"/>
  <c r="BB16" i="9"/>
  <c r="AX16" i="9"/>
  <c r="BA40" i="9"/>
  <c r="BB40" i="9"/>
  <c r="AX40" i="9"/>
  <c r="BA4" i="9"/>
  <c r="BB4" i="9"/>
  <c r="AX4" i="9"/>
  <c r="BB28" i="9"/>
  <c r="BA28" i="9"/>
  <c r="AX28" i="9"/>
  <c r="BA63" i="9"/>
  <c r="BB63" i="9"/>
  <c r="AX63" i="9"/>
  <c r="BA18" i="9"/>
  <c r="BB18" i="9"/>
  <c r="AX18" i="9"/>
  <c r="BA22" i="9"/>
  <c r="BB22" i="9"/>
  <c r="AX22" i="9"/>
  <c r="BA61" i="9"/>
  <c r="BB61" i="9"/>
  <c r="AX61" i="9"/>
  <c r="BA53" i="9"/>
  <c r="BB53" i="9"/>
  <c r="AX53" i="9"/>
  <c r="BA15" i="9"/>
  <c r="BB15" i="9"/>
  <c r="AX15" i="9"/>
  <c r="BA17" i="9"/>
  <c r="BB17" i="9"/>
  <c r="AX17" i="9"/>
  <c r="BA38" i="9"/>
  <c r="BB38" i="9"/>
  <c r="AX38" i="9"/>
  <c r="BA67" i="9"/>
  <c r="BB67" i="9"/>
  <c r="AX67" i="9"/>
  <c r="BA24" i="9"/>
  <c r="BB24" i="9"/>
  <c r="AX24" i="9"/>
  <c r="BA65" i="9"/>
  <c r="BB65" i="9"/>
  <c r="AX65" i="9"/>
  <c r="BA45" i="9"/>
  <c r="BB45" i="9"/>
  <c r="AX45" i="9"/>
  <c r="BB43" i="9"/>
  <c r="BA43" i="9"/>
  <c r="AX43" i="9"/>
  <c r="BA6" i="9"/>
  <c r="BB6" i="9"/>
  <c r="AX6" i="9"/>
  <c r="BA49" i="9"/>
  <c r="BB49" i="9"/>
  <c r="AX49" i="9"/>
  <c r="BB11" i="9"/>
  <c r="BA11" i="9"/>
  <c r="AX11" i="9"/>
  <c r="BA20" i="9"/>
  <c r="BB20" i="9"/>
  <c r="AX20" i="9"/>
  <c r="BA26" i="9"/>
  <c r="BB26" i="9"/>
  <c r="AX26" i="9"/>
  <c r="BA70" i="9"/>
  <c r="BB70" i="9"/>
  <c r="AX70" i="9"/>
  <c r="BA29" i="9"/>
  <c r="BB29" i="9"/>
  <c r="AX29" i="9"/>
  <c r="BA51" i="9"/>
  <c r="BB51" i="9"/>
  <c r="AX51" i="9"/>
  <c r="BA23" i="9"/>
  <c r="BB23" i="9"/>
  <c r="AX23" i="9"/>
  <c r="BA68" i="9"/>
  <c r="BB68" i="9"/>
  <c r="AX68" i="9"/>
  <c r="BA19" i="9"/>
  <c r="BB19" i="9"/>
  <c r="AX19" i="9"/>
  <c r="BA60" i="9"/>
  <c r="BB60" i="9"/>
  <c r="AX60" i="9"/>
  <c r="BA64" i="9"/>
  <c r="BB64" i="9"/>
  <c r="AX64" i="9"/>
  <c r="BA52" i="9"/>
  <c r="BB52" i="9"/>
  <c r="AX52" i="9"/>
  <c r="BA25" i="9"/>
  <c r="BB25" i="9"/>
  <c r="AX25" i="9"/>
  <c r="BB62" i="9"/>
  <c r="BA62" i="9"/>
  <c r="AX62" i="9"/>
  <c r="BB30" i="9"/>
  <c r="BA30" i="9"/>
  <c r="AX30" i="9"/>
  <c r="BA41" i="9"/>
  <c r="BB41" i="9"/>
  <c r="AX41" i="9"/>
  <c r="BA71" i="9"/>
  <c r="BB71" i="9"/>
  <c r="AX71" i="9"/>
  <c r="AX72" i="9"/>
  <c r="BA56" i="9"/>
  <c r="BB56" i="9"/>
  <c r="AX56" i="9"/>
  <c r="BA37" i="9"/>
  <c r="BB37" i="9"/>
  <c r="AX37" i="9"/>
  <c r="BA42" i="9"/>
  <c r="BB42" i="9"/>
  <c r="AX42" i="9"/>
  <c r="BA21" i="9"/>
  <c r="BB21" i="9"/>
  <c r="AX21" i="9"/>
  <c r="BA44" i="9"/>
  <c r="BB44" i="9"/>
  <c r="AX44" i="9"/>
  <c r="BB12" i="9"/>
  <c r="BA12" i="9"/>
  <c r="AX12" i="9"/>
  <c r="BB66" i="9"/>
  <c r="BA66" i="9"/>
  <c r="AX66" i="9"/>
  <c r="BA36" i="9"/>
  <c r="BB36" i="9"/>
  <c r="AX36" i="9"/>
  <c r="BA31" i="9"/>
  <c r="BB31" i="9"/>
  <c r="AX31" i="9"/>
  <c r="BA57" i="9"/>
  <c r="BB57" i="9"/>
  <c r="AX57" i="9"/>
  <c r="BA8" i="9"/>
  <c r="BB8" i="9"/>
  <c r="AX8" i="9"/>
  <c r="D33" i="20" a="1"/>
  <c r="D33" i="20" s="1"/>
  <c r="AV49" i="9"/>
  <c r="C48" i="20" s="1" a="1"/>
  <c r="C48" i="20" s="1"/>
  <c r="AZ49" i="9"/>
  <c r="G48" i="20" s="1" a="1"/>
  <c r="G48" i="20" s="1"/>
  <c r="F48" i="20" a="1"/>
  <c r="F48" i="20" s="1"/>
  <c r="AU49" i="9"/>
  <c r="B48" i="20" s="1" a="1"/>
  <c r="B48" i="20" s="1"/>
  <c r="AZ53" i="9"/>
  <c r="G52" i="20" s="1" a="1"/>
  <c r="G52" i="20" s="1"/>
  <c r="AU53" i="9"/>
  <c r="B52" i="20" s="1" a="1"/>
  <c r="B52" i="20" s="1"/>
  <c r="AV53" i="9"/>
  <c r="C52" i="20" s="1" a="1"/>
  <c r="C52" i="20" s="1"/>
  <c r="F52" i="20" a="1"/>
  <c r="F52" i="20" s="1"/>
  <c r="AV46" i="9"/>
  <c r="C45" i="20" s="1" a="1"/>
  <c r="C45" i="20" s="1"/>
  <c r="AU46" i="9"/>
  <c r="B45" i="20" s="1" a="1"/>
  <c r="B45" i="20" s="1"/>
  <c r="AZ46" i="9"/>
  <c r="G45" i="20" s="1" a="1"/>
  <c r="G45" i="20" s="1"/>
  <c r="F45" i="20" a="1"/>
  <c r="F45" i="20" s="1"/>
  <c r="AZ61" i="9"/>
  <c r="G60" i="20" s="1" a="1"/>
  <c r="G60" i="20" s="1"/>
  <c r="AU61" i="9"/>
  <c r="B60" i="20" s="1" a="1"/>
  <c r="B60" i="20" s="1"/>
  <c r="AV61" i="9"/>
  <c r="C60" i="20" s="1" a="1"/>
  <c r="C60" i="20" s="1"/>
  <c r="F60" i="20" a="1"/>
  <c r="F60" i="20" s="1"/>
  <c r="D58" i="20" a="1"/>
  <c r="D58" i="20" s="1"/>
  <c r="D53" i="20" a="1"/>
  <c r="D53" i="20" s="1"/>
  <c r="D45" i="20" a="1"/>
  <c r="D45" i="20" s="1"/>
  <c r="D9" i="20" a="1"/>
  <c r="D9" i="20" s="1"/>
  <c r="D34" i="20" a="1"/>
  <c r="D34" i="20" s="1"/>
  <c r="D6" i="20" a="1"/>
  <c r="D6" i="20" s="1"/>
  <c r="AU67" i="9"/>
  <c r="B66" i="20" s="1" a="1"/>
  <c r="B66" i="20" s="1"/>
  <c r="AZ67" i="9"/>
  <c r="G66" i="20" s="1" a="1"/>
  <c r="G66" i="20" s="1"/>
  <c r="AV67" i="9"/>
  <c r="C66" i="20" s="1" a="1"/>
  <c r="C66" i="20" s="1"/>
  <c r="F66" i="20" a="1"/>
  <c r="F66" i="20" s="1"/>
  <c r="AZ15" i="9"/>
  <c r="G14" i="20" s="1" a="1"/>
  <c r="G14" i="20" s="1"/>
  <c r="AV15" i="9"/>
  <c r="C14" i="20" s="1" a="1"/>
  <c r="C14" i="20" s="1"/>
  <c r="F14" i="20" a="1"/>
  <c r="F14" i="20" s="1"/>
  <c r="AU15" i="9"/>
  <c r="B14" i="20" s="1" a="1"/>
  <c r="B14" i="20" s="1"/>
  <c r="AV9" i="9"/>
  <c r="C8" i="20" s="1" a="1"/>
  <c r="C8" i="20" s="1"/>
  <c r="AZ9" i="9"/>
  <c r="G8" i="20" s="1" a="1"/>
  <c r="G8" i="20" s="1"/>
  <c r="F8" i="20" a="1"/>
  <c r="F8" i="20" s="1"/>
  <c r="AU9" i="9"/>
  <c r="B8" i="20" s="1" a="1"/>
  <c r="B8" i="20" s="1"/>
  <c r="D47" i="20" a="1"/>
  <c r="D47" i="20" s="1"/>
  <c r="D68" i="20" a="1"/>
  <c r="D68" i="20" s="1"/>
  <c r="D8" i="20" a="1"/>
  <c r="D8" i="20" s="1"/>
  <c r="AZ21" i="9"/>
  <c r="G20" i="20" s="1" a="1"/>
  <c r="G20" i="20" s="1"/>
  <c r="AV21" i="9"/>
  <c r="C20" i="20" s="1" a="1"/>
  <c r="C20" i="20" s="1"/>
  <c r="AU21" i="9"/>
  <c r="B20" i="20" s="1" a="1"/>
  <c r="B20" i="20" s="1"/>
  <c r="F20" i="20" a="1"/>
  <c r="F20" i="20" s="1"/>
  <c r="AV52" i="9"/>
  <c r="C51" i="20" s="1" a="1"/>
  <c r="C51" i="20" s="1"/>
  <c r="AZ52" i="9"/>
  <c r="G51" i="20" s="1" a="1"/>
  <c r="G51" i="20" s="1"/>
  <c r="F51" i="20" a="1"/>
  <c r="F51" i="20" s="1"/>
  <c r="AU52" i="9"/>
  <c r="B51" i="20" s="1" a="1"/>
  <c r="B51" i="20" s="1"/>
  <c r="D4" i="20" a="1"/>
  <c r="D4" i="20" s="1"/>
  <c r="AU59" i="9"/>
  <c r="B58" i="20" s="1" a="1"/>
  <c r="B58" i="20" s="1"/>
  <c r="AZ59" i="9"/>
  <c r="G58" i="20" s="1" a="1"/>
  <c r="G58" i="20" s="1"/>
  <c r="AV59" i="9"/>
  <c r="C58" i="20" s="1" a="1"/>
  <c r="C58" i="20" s="1"/>
  <c r="F58" i="20" a="1"/>
  <c r="F58" i="20" s="1"/>
  <c r="D32" i="20" a="1"/>
  <c r="D32" i="20" s="1"/>
  <c r="D57" i="20" a="1"/>
  <c r="D57" i="20" s="1"/>
  <c r="D26" i="20" a="1"/>
  <c r="D26" i="20" s="1"/>
  <c r="D38" i="20" a="1"/>
  <c r="D38" i="20" s="1"/>
  <c r="D13" i="20" a="1"/>
  <c r="D13" i="20" s="1"/>
  <c r="AZ70" i="9"/>
  <c r="G69" i="20" s="1" a="1"/>
  <c r="G69" i="20" s="1"/>
  <c r="F69" i="20" a="1"/>
  <c r="F69" i="20" s="1"/>
  <c r="AV70" i="9"/>
  <c r="C69" i="20" s="1" a="1"/>
  <c r="C69" i="20" s="1"/>
  <c r="AU70" i="9"/>
  <c r="B69" i="20" s="1" a="1"/>
  <c r="B69" i="20" s="1"/>
  <c r="AZ18" i="9"/>
  <c r="G17" i="20" s="1" a="1"/>
  <c r="G17" i="20" s="1"/>
  <c r="AU18" i="9"/>
  <c r="B17" i="20" s="1" a="1"/>
  <c r="B17" i="20" s="1"/>
  <c r="F17" i="20" a="1"/>
  <c r="F17" i="20" s="1"/>
  <c r="AV18" i="9"/>
  <c r="C17" i="20" s="1" a="1"/>
  <c r="C17" i="20" s="1"/>
  <c r="AU45" i="9"/>
  <c r="B44" i="20" s="1" a="1"/>
  <c r="B44" i="20" s="1"/>
  <c r="AZ45" i="9"/>
  <c r="G44" i="20" s="1" a="1"/>
  <c r="G44" i="20" s="1"/>
  <c r="AV45" i="9"/>
  <c r="C44" i="20" s="1" a="1"/>
  <c r="C44" i="20" s="1"/>
  <c r="F44" i="20" a="1"/>
  <c r="F44" i="20" s="1"/>
  <c r="D12" i="20" a="1"/>
  <c r="D12" i="20" s="1"/>
  <c r="AV25" i="9"/>
  <c r="C24" i="20" s="1" a="1"/>
  <c r="C24" i="20" s="1"/>
  <c r="AZ25" i="9"/>
  <c r="G24" i="20" s="1" a="1"/>
  <c r="G24" i="20" s="1"/>
  <c r="AU25" i="9"/>
  <c r="B24" i="20" s="1" a="1"/>
  <c r="B24" i="20" s="1"/>
  <c r="F24" i="20" a="1"/>
  <c r="F24" i="20" s="1"/>
  <c r="AZ6" i="9"/>
  <c r="G5" i="20" s="1" a="1"/>
  <c r="G5" i="20" s="1"/>
  <c r="F5" i="20" a="1"/>
  <c r="F5" i="20" s="1"/>
  <c r="AU6" i="9"/>
  <c r="B5" i="20" s="1" a="1"/>
  <c r="B5" i="20" s="1"/>
  <c r="AV6" i="9"/>
  <c r="C5" i="20" s="1" a="1"/>
  <c r="C5" i="20" s="1"/>
  <c r="AZ5" i="9"/>
  <c r="G4" i="20" s="1" a="1"/>
  <c r="G4" i="20" s="1"/>
  <c r="AU5" i="9"/>
  <c r="B4" i="20" s="1" a="1"/>
  <c r="B4" i="20" s="1"/>
  <c r="F4" i="20" a="1"/>
  <c r="F4" i="20" s="1"/>
  <c r="AV5" i="9"/>
  <c r="C4" i="20" s="1" a="1"/>
  <c r="C4" i="20" s="1"/>
  <c r="AV19" i="9"/>
  <c r="C18" i="20" s="1" a="1"/>
  <c r="C18" i="20" s="1"/>
  <c r="AZ19" i="9"/>
  <c r="G18" i="20" s="1" a="1"/>
  <c r="G18" i="20" s="1"/>
  <c r="AU19" i="9"/>
  <c r="B18" i="20" s="1" a="1"/>
  <c r="B18" i="20" s="1"/>
  <c r="F18" i="20" a="1"/>
  <c r="F18" i="20" s="1"/>
  <c r="AZ72" i="9"/>
  <c r="G71" i="20" s="1" a="1"/>
  <c r="G71" i="20" s="1"/>
  <c r="AU72" i="9"/>
  <c r="B71" i="20" s="1" a="1"/>
  <c r="B71" i="20" s="1"/>
  <c r="AV72" i="9"/>
  <c r="C71" i="20" s="1" a="1"/>
  <c r="C71" i="20" s="1"/>
  <c r="F71" i="20" a="1"/>
  <c r="F71" i="20" s="1"/>
  <c r="AV4" i="9"/>
  <c r="C3" i="20" s="1" a="1"/>
  <c r="C3" i="20" s="1"/>
  <c r="F3" i="20" a="1"/>
  <c r="F3" i="20" s="1"/>
  <c r="AZ4" i="9"/>
  <c r="G3" i="20" s="1" a="1"/>
  <c r="G3" i="20" s="1"/>
  <c r="AU4" i="9"/>
  <c r="B3" i="20" s="1" a="1"/>
  <c r="B3" i="20" s="1"/>
  <c r="AZ54" i="9"/>
  <c r="G53" i="20" s="1" a="1"/>
  <c r="G53" i="20" s="1"/>
  <c r="F53" i="20" a="1"/>
  <c r="F53" i="20" s="1"/>
  <c r="AU54" i="9"/>
  <c r="B53" i="20" s="1" a="1"/>
  <c r="B53" i="20" s="1"/>
  <c r="AV54" i="9"/>
  <c r="C53" i="20" s="1" a="1"/>
  <c r="C53" i="20" s="1"/>
  <c r="AV69" i="9"/>
  <c r="C68" i="20" s="1" a="1"/>
  <c r="C68" i="20" s="1"/>
  <c r="AZ69" i="9"/>
  <c r="G68" i="20" s="1" a="1"/>
  <c r="G68" i="20" s="1"/>
  <c r="AU69" i="9"/>
  <c r="B68" i="20" s="1" a="1"/>
  <c r="B68" i="20" s="1"/>
  <c r="F68" i="20" a="1"/>
  <c r="F68" i="20" s="1"/>
  <c r="D54" i="20" a="1"/>
  <c r="D54" i="20" s="1"/>
  <c r="D31" i="20" a="1"/>
  <c r="D31" i="20" s="1"/>
  <c r="D46" i="20" a="1"/>
  <c r="D46" i="20" s="1"/>
  <c r="D49" i="20" a="1"/>
  <c r="D49" i="20" s="1"/>
  <c r="D15" i="20" a="1"/>
  <c r="D15" i="20" s="1"/>
  <c r="D39" i="20" a="1"/>
  <c r="D39" i="20" s="1"/>
  <c r="D3" i="20" a="1"/>
  <c r="D3" i="20" s="1"/>
  <c r="AV12" i="9"/>
  <c r="C11" i="20" s="1" a="1"/>
  <c r="C11" i="20" s="1"/>
  <c r="AZ12" i="9"/>
  <c r="G11" i="20" s="1" a="1"/>
  <c r="G11" i="20" s="1"/>
  <c r="AU12" i="9"/>
  <c r="B11" i="20" s="1" a="1"/>
  <c r="B11" i="20" s="1"/>
  <c r="F11" i="20" a="1"/>
  <c r="F11" i="20" s="1"/>
  <c r="D27" i="20" a="1"/>
  <c r="D27" i="20" s="1"/>
  <c r="D62" i="20" a="1"/>
  <c r="D62" i="20" s="1"/>
  <c r="D17" i="20" a="1"/>
  <c r="D17" i="20" s="1"/>
  <c r="AV65" i="9"/>
  <c r="C64" i="20" s="1" a="1"/>
  <c r="C64" i="20" s="1"/>
  <c r="AZ65" i="9"/>
  <c r="G64" i="20" s="1" a="1"/>
  <c r="G64" i="20" s="1"/>
  <c r="F64" i="20" a="1"/>
  <c r="F64" i="20" s="1"/>
  <c r="AU65" i="9"/>
  <c r="B64" i="20" s="1" a="1"/>
  <c r="B64" i="20" s="1"/>
  <c r="D21" i="20" a="1"/>
  <c r="D21" i="20" s="1"/>
  <c r="AV39" i="9"/>
  <c r="C38" i="20" s="1" a="1"/>
  <c r="C38" i="20" s="1"/>
  <c r="AU39" i="9"/>
  <c r="B38" i="20" s="1" a="1"/>
  <c r="B38" i="20" s="1"/>
  <c r="AZ39" i="9"/>
  <c r="G38" i="20" s="1" a="1"/>
  <c r="G38" i="20" s="1"/>
  <c r="F38" i="20" a="1"/>
  <c r="F38" i="20" s="1"/>
  <c r="AZ50" i="9"/>
  <c r="G49" i="20" s="1" a="1"/>
  <c r="G49" i="20" s="1"/>
  <c r="AV50" i="9"/>
  <c r="C49" i="20" s="1" a="1"/>
  <c r="C49" i="20" s="1"/>
  <c r="AU50" i="9"/>
  <c r="B49" i="20" s="1" a="1"/>
  <c r="B49" i="20" s="1"/>
  <c r="F49" i="20" a="1"/>
  <c r="F49" i="20" s="1"/>
  <c r="AZ64" i="9"/>
  <c r="G63" i="20" s="1" a="1"/>
  <c r="G63" i="20" s="1"/>
  <c r="AV64" i="9"/>
  <c r="C63" i="20" s="1" a="1"/>
  <c r="C63" i="20" s="1"/>
  <c r="AU64" i="9"/>
  <c r="B63" i="20" s="1" a="1"/>
  <c r="B63" i="20" s="1"/>
  <c r="F63" i="20" a="1"/>
  <c r="F63" i="20" s="1"/>
  <c r="AV68" i="9"/>
  <c r="C67" i="20" s="1" a="1"/>
  <c r="C67" i="20" s="1"/>
  <c r="F67" i="20" a="1"/>
  <c r="F67" i="20" s="1"/>
  <c r="AU68" i="9"/>
  <c r="B67" i="20" s="1" a="1"/>
  <c r="B67" i="20" s="1"/>
  <c r="AZ68" i="9"/>
  <c r="G67" i="20" s="1" a="1"/>
  <c r="G67" i="20" s="1"/>
  <c r="D60" i="20" a="1"/>
  <c r="D60" i="20" s="1"/>
  <c r="D52" i="20" a="1"/>
  <c r="D52" i="20" s="1"/>
  <c r="D14" i="20" a="1"/>
  <c r="D14" i="20" s="1"/>
  <c r="AV55" i="9"/>
  <c r="C54" i="20" s="1" a="1"/>
  <c r="C54" i="20" s="1"/>
  <c r="AU55" i="9"/>
  <c r="B54" i="20" s="1" a="1"/>
  <c r="B54" i="20" s="1"/>
  <c r="AZ55" i="9"/>
  <c r="G54" i="20" s="1" a="1"/>
  <c r="G54" i="20" s="1"/>
  <c r="F54" i="20" a="1"/>
  <c r="F54" i="20" s="1"/>
  <c r="AZ22" i="9"/>
  <c r="G21" i="20" s="1" a="1"/>
  <c r="G21" i="20" s="1"/>
  <c r="AV22" i="9"/>
  <c r="C21" i="20" s="1" a="1"/>
  <c r="C21" i="20" s="1"/>
  <c r="AU22" i="9"/>
  <c r="B21" i="20" s="1" a="1"/>
  <c r="B21" i="20" s="1"/>
  <c r="F21" i="20" a="1"/>
  <c r="F21" i="20" s="1"/>
  <c r="AV14" i="9"/>
  <c r="C13" i="20" s="1" a="1"/>
  <c r="C13" i="20" s="1"/>
  <c r="AZ14" i="9"/>
  <c r="G13" i="20" s="1" a="1"/>
  <c r="G13" i="20" s="1"/>
  <c r="F13" i="20" a="1"/>
  <c r="F13" i="20" s="1"/>
  <c r="AU14" i="9"/>
  <c r="B13" i="20" s="1" a="1"/>
  <c r="B13" i="20" s="1"/>
  <c r="AZ37" i="9"/>
  <c r="G36" i="20" s="1" a="1"/>
  <c r="G36" i="20" s="1"/>
  <c r="AU37" i="9"/>
  <c r="B36" i="20" s="1" a="1"/>
  <c r="B36" i="20" s="1"/>
  <c r="AV37" i="9"/>
  <c r="C36" i="20" s="1" a="1"/>
  <c r="C36" i="20" s="1"/>
  <c r="F36" i="20" a="1"/>
  <c r="F36" i="20" s="1"/>
  <c r="F28" i="20" a="1"/>
  <c r="F28" i="20" s="1"/>
  <c r="AZ29" i="9"/>
  <c r="G28" i="20" s="1" a="1"/>
  <c r="G28" i="20" s="1"/>
  <c r="AV29" i="9"/>
  <c r="C28" i="20" s="1" a="1"/>
  <c r="C28" i="20" s="1"/>
  <c r="AU29" i="9"/>
  <c r="B28" i="20" s="1" a="1"/>
  <c r="B28" i="20" s="1"/>
  <c r="AV8" i="9"/>
  <c r="C7" i="20" s="1" a="1"/>
  <c r="C7" i="20" s="1"/>
  <c r="AU8" i="9"/>
  <c r="B7" i="20" s="1" a="1"/>
  <c r="B7" i="20" s="1"/>
  <c r="AZ8" i="9"/>
  <c r="G7" i="20" s="1" a="1"/>
  <c r="G7" i="20" s="1"/>
  <c r="F7" i="20" a="1"/>
  <c r="F7" i="20" s="1"/>
  <c r="D16" i="20" a="1"/>
  <c r="D16" i="20" s="1"/>
  <c r="D37" i="20" a="1"/>
  <c r="D37" i="20" s="1"/>
  <c r="AV36" i="9"/>
  <c r="C35" i="20" s="1" a="1"/>
  <c r="C35" i="20" s="1"/>
  <c r="AZ36" i="9"/>
  <c r="G35" i="20" s="1" a="1"/>
  <c r="G35" i="20" s="1"/>
  <c r="F35" i="20" a="1"/>
  <c r="F35" i="20" s="1"/>
  <c r="AU36" i="9"/>
  <c r="B35" i="20" s="1" a="1"/>
  <c r="B35" i="20" s="1"/>
  <c r="D66" i="20" a="1"/>
  <c r="D66" i="20" s="1"/>
  <c r="D23" i="20" a="1"/>
  <c r="D23" i="20" s="1"/>
  <c r="AZ10" i="9"/>
  <c r="G9" i="20" s="1" a="1"/>
  <c r="G9" i="20" s="1"/>
  <c r="AU10" i="9"/>
  <c r="B9" i="20" s="1" a="1"/>
  <c r="B9" i="20" s="1"/>
  <c r="AV10" i="9"/>
  <c r="C9" i="20" s="1" a="1"/>
  <c r="C9" i="20" s="1"/>
  <c r="F9" i="20" a="1"/>
  <c r="F9" i="20" s="1"/>
  <c r="AV44" i="9"/>
  <c r="C43" i="20" s="1" a="1"/>
  <c r="C43" i="20" s="1"/>
  <c r="AZ44" i="9"/>
  <c r="G43" i="20" s="1" a="1"/>
  <c r="G43" i="20" s="1"/>
  <c r="F43" i="20" a="1"/>
  <c r="F43" i="20" s="1"/>
  <c r="AU44" i="9"/>
  <c r="B43" i="20" s="1" a="1"/>
  <c r="B43" i="20" s="1"/>
  <c r="AZ31" i="9"/>
  <c r="G30" i="20" s="1" a="1"/>
  <c r="G30" i="20" s="1"/>
  <c r="F30" i="20" a="1"/>
  <c r="F30" i="20" s="1"/>
  <c r="AV31" i="9"/>
  <c r="C30" i="20" s="1" a="1"/>
  <c r="C30" i="20" s="1"/>
  <c r="AU31" i="9"/>
  <c r="B30" i="20" s="1" a="1"/>
  <c r="B30" i="20" s="1"/>
  <c r="D64" i="20" a="1"/>
  <c r="D64" i="20" s="1"/>
  <c r="AZ66" i="9"/>
  <c r="G65" i="20" s="1" a="1"/>
  <c r="G65" i="20" s="1"/>
  <c r="F65" i="20" a="1"/>
  <c r="F65" i="20" s="1"/>
  <c r="AU66" i="9"/>
  <c r="B65" i="20" s="1" a="1"/>
  <c r="B65" i="20" s="1"/>
  <c r="AV66" i="9"/>
  <c r="C65" i="20" s="1" a="1"/>
  <c r="C65" i="20" s="1"/>
  <c r="D44" i="20" a="1"/>
  <c r="D44" i="20" s="1"/>
  <c r="AZ34" i="9"/>
  <c r="G33" i="20" s="1" a="1"/>
  <c r="G33" i="20" s="1"/>
  <c r="AU34" i="9"/>
  <c r="B33" i="20" s="1" a="1"/>
  <c r="B33" i="20" s="1"/>
  <c r="F33" i="20" a="1"/>
  <c r="F33" i="20" s="1"/>
  <c r="AV34" i="9"/>
  <c r="C33" i="20" s="1" a="1"/>
  <c r="C33" i="20" s="1"/>
  <c r="D42" i="20" a="1"/>
  <c r="D42" i="20" s="1"/>
  <c r="AZ11" i="9"/>
  <c r="G10" i="20" s="1" a="1"/>
  <c r="G10" i="20" s="1"/>
  <c r="AV11" i="9"/>
  <c r="C10" i="20" s="1" a="1"/>
  <c r="C10" i="20" s="1"/>
  <c r="AU11" i="9"/>
  <c r="B10" i="20" s="1" a="1"/>
  <c r="B10" i="20" s="1"/>
  <c r="F10" i="20" a="1"/>
  <c r="F10" i="20" s="1"/>
  <c r="D5" i="20" a="1"/>
  <c r="D5" i="20" s="1"/>
  <c r="D48" i="20" a="1"/>
  <c r="D48" i="20" s="1"/>
  <c r="AV41" i="9"/>
  <c r="C40" i="20" s="1" a="1"/>
  <c r="C40" i="20" s="1"/>
  <c r="AZ41" i="9"/>
  <c r="G40" i="20" s="1" a="1"/>
  <c r="G40" i="20" s="1"/>
  <c r="AU41" i="9"/>
  <c r="B40" i="20" s="1" a="1"/>
  <c r="B40" i="20" s="1"/>
  <c r="F40" i="20" a="1"/>
  <c r="F40" i="20" s="1"/>
  <c r="D10" i="20" a="1"/>
  <c r="D10" i="20" s="1"/>
  <c r="AZ24" i="9"/>
  <c r="G23" i="20" s="1" a="1"/>
  <c r="G23" i="20" s="1"/>
  <c r="AV24" i="9"/>
  <c r="C23" i="20" s="1" a="1"/>
  <c r="C23" i="20" s="1"/>
  <c r="AU24" i="9"/>
  <c r="B23" i="20" s="1" a="1"/>
  <c r="B23" i="20" s="1"/>
  <c r="F23" i="20" a="1"/>
  <c r="F23" i="20" s="1"/>
  <c r="D19" i="20" a="1"/>
  <c r="D19" i="20" s="1"/>
  <c r="D25" i="20" a="1"/>
  <c r="D25" i="20" s="1"/>
  <c r="D69" i="20" a="1"/>
  <c r="D69" i="20" s="1"/>
  <c r="D28" i="20" a="1"/>
  <c r="D28" i="20" s="1"/>
  <c r="AZ27" i="9"/>
  <c r="G26" i="20" s="1" a="1"/>
  <c r="G26" i="20" s="1"/>
  <c r="AU27" i="9"/>
  <c r="B26" i="20" s="1" a="1"/>
  <c r="B26" i="20" s="1"/>
  <c r="AV27" i="9"/>
  <c r="C26" i="20" s="1" a="1"/>
  <c r="C26" i="20" s="1"/>
  <c r="F26" i="20" a="1"/>
  <c r="F26" i="20" s="1"/>
  <c r="D50" i="20" a="1"/>
  <c r="D50" i="20" s="1"/>
  <c r="AU23" i="9"/>
  <c r="B22" i="20" s="1" a="1"/>
  <c r="B22" i="20" s="1"/>
  <c r="AZ23" i="9"/>
  <c r="G22" i="20" s="1" a="1"/>
  <c r="G22" i="20" s="1"/>
  <c r="AV23" i="9"/>
  <c r="C22" i="20" s="1" a="1"/>
  <c r="C22" i="20" s="1"/>
  <c r="F22" i="20" a="1"/>
  <c r="F22" i="20" s="1"/>
  <c r="AV35" i="9"/>
  <c r="C34" i="20" s="1" a="1"/>
  <c r="C34" i="20" s="1"/>
  <c r="AZ35" i="9"/>
  <c r="G34" i="20" s="1" a="1"/>
  <c r="G34" i="20" s="1"/>
  <c r="AU35" i="9"/>
  <c r="B34" i="20" s="1" a="1"/>
  <c r="B34" i="20" s="1"/>
  <c r="F34" i="20" a="1"/>
  <c r="F34" i="20" s="1"/>
  <c r="AZ32" i="9"/>
  <c r="G31" i="20" s="1" a="1"/>
  <c r="G31" i="20" s="1"/>
  <c r="AU32" i="9"/>
  <c r="B31" i="20" s="1" a="1"/>
  <c r="B31" i="20" s="1"/>
  <c r="AV32" i="9"/>
  <c r="C31" i="20" s="1" a="1"/>
  <c r="C31" i="20" s="1"/>
  <c r="F31" i="20" a="1"/>
  <c r="F31" i="20" s="1"/>
  <c r="D22" i="20" a="1"/>
  <c r="D22" i="20" s="1"/>
  <c r="AV43" i="9"/>
  <c r="C42" i="20" s="1" a="1"/>
  <c r="C42" i="20" s="1"/>
  <c r="AU43" i="9"/>
  <c r="B42" i="20" s="1" a="1"/>
  <c r="B42" i="20" s="1"/>
  <c r="AZ43" i="9"/>
  <c r="G42" i="20" s="1" a="1"/>
  <c r="G42" i="20" s="1"/>
  <c r="F42" i="20" a="1"/>
  <c r="F42" i="20" s="1"/>
  <c r="AU13" i="9"/>
  <c r="B12" i="20" s="1" a="1"/>
  <c r="B12" i="20" s="1"/>
  <c r="AZ13" i="9"/>
  <c r="G12" i="20" s="1" a="1"/>
  <c r="G12" i="20" s="1"/>
  <c r="AV13" i="9"/>
  <c r="C12" i="20" s="1" a="1"/>
  <c r="C12" i="20" s="1"/>
  <c r="F12" i="20" a="1"/>
  <c r="F12" i="20" s="1"/>
  <c r="D67" i="20" a="1"/>
  <c r="D67" i="20" s="1"/>
  <c r="D18" i="20" a="1"/>
  <c r="D18" i="20" s="1"/>
  <c r="D59" i="20" a="1"/>
  <c r="D59" i="20" s="1"/>
  <c r="D63" i="20" a="1"/>
  <c r="D63" i="20" s="1"/>
  <c r="D51" i="20" a="1"/>
  <c r="D51" i="20" s="1"/>
  <c r="AU7" i="9"/>
  <c r="B6" i="20" s="1" a="1"/>
  <c r="B6" i="20" s="1"/>
  <c r="AZ7" i="9"/>
  <c r="G6" i="20" s="1" a="1"/>
  <c r="G6" i="20" s="1"/>
  <c r="AV7" i="9"/>
  <c r="C6" i="20" s="1" a="1"/>
  <c r="C6" i="20" s="1"/>
  <c r="F6" i="20" a="1"/>
  <c r="F6" i="20" s="1"/>
  <c r="D24" i="20" a="1"/>
  <c r="D24" i="20" s="1"/>
  <c r="AU58" i="9"/>
  <c r="B57" i="20" s="1" a="1"/>
  <c r="B57" i="20" s="1"/>
  <c r="AV58" i="9"/>
  <c r="C57" i="20" s="1" a="1"/>
  <c r="C57" i="20" s="1"/>
  <c r="F57" i="20" a="1"/>
  <c r="F57" i="20" s="1"/>
  <c r="AZ58" i="9"/>
  <c r="G57" i="20" s="1" a="1"/>
  <c r="G57" i="20" s="1"/>
  <c r="AV28" i="9"/>
  <c r="C27" i="20" s="1" a="1"/>
  <c r="C27" i="20" s="1"/>
  <c r="AZ28" i="9"/>
  <c r="G27" i="20" s="1" a="1"/>
  <c r="G27" i="20" s="1"/>
  <c r="AU28" i="9"/>
  <c r="B27" i="20" s="1" a="1"/>
  <c r="B27" i="20" s="1"/>
  <c r="F27" i="20" a="1"/>
  <c r="F27" i="20" s="1"/>
  <c r="AU26" i="9"/>
  <c r="B25" i="20" s="1" a="1"/>
  <c r="B25" i="20" s="1"/>
  <c r="AV26" i="9"/>
  <c r="C25" i="20" s="1" a="1"/>
  <c r="C25" i="20" s="1"/>
  <c r="AZ26" i="9"/>
  <c r="G25" i="20" s="1" a="1"/>
  <c r="G25" i="20" s="1"/>
  <c r="F25" i="20" a="1"/>
  <c r="F25" i="20" s="1"/>
  <c r="D61" i="20" a="1"/>
  <c r="D61" i="20" s="1"/>
  <c r="D29" i="20" a="1"/>
  <c r="D29" i="20" s="1"/>
  <c r="D40" i="20" a="1"/>
  <c r="D40" i="20" s="1"/>
  <c r="D70" i="20" a="1"/>
  <c r="D70" i="20" s="1"/>
  <c r="AZ63" i="9"/>
  <c r="G62" i="20" s="1" a="1"/>
  <c r="G62" i="20" s="1"/>
  <c r="AV63" i="9"/>
  <c r="C62" i="20" s="1" a="1"/>
  <c r="C62" i="20" s="1"/>
  <c r="AU63" i="9"/>
  <c r="B62" i="20" s="1" a="1"/>
  <c r="B62" i="20" s="1"/>
  <c r="F62" i="20" a="1"/>
  <c r="F62" i="20" s="1"/>
  <c r="AZ48" i="9"/>
  <c r="G47" i="20" s="1" a="1"/>
  <c r="G47" i="20" s="1"/>
  <c r="AV48" i="9"/>
  <c r="C47" i="20" s="1" a="1"/>
  <c r="C47" i="20" s="1"/>
  <c r="AU48" i="9"/>
  <c r="B47" i="20" s="1" a="1"/>
  <c r="B47" i="20" s="1"/>
  <c r="F47" i="20" a="1"/>
  <c r="F47" i="20" s="1"/>
  <c r="AZ40" i="9"/>
  <c r="G39" i="20" s="1" a="1"/>
  <c r="G39" i="20" s="1"/>
  <c r="AV40" i="9"/>
  <c r="C39" i="20" s="1" a="1"/>
  <c r="C39" i="20" s="1"/>
  <c r="AU40" i="9"/>
  <c r="B39" i="20" s="1" a="1"/>
  <c r="B39" i="20" s="1"/>
  <c r="F39" i="20" a="1"/>
  <c r="F39" i="20" s="1"/>
  <c r="AV60" i="9"/>
  <c r="C59" i="20" s="1" a="1"/>
  <c r="C59" i="20" s="1"/>
  <c r="AZ60" i="9"/>
  <c r="G59" i="20" s="1" a="1"/>
  <c r="G59" i="20" s="1"/>
  <c r="F59" i="20" a="1"/>
  <c r="F59" i="20" s="1"/>
  <c r="AU60" i="9"/>
  <c r="B59" i="20" s="1" a="1"/>
  <c r="B59" i="20" s="1"/>
  <c r="AV17" i="9"/>
  <c r="C16" i="20" s="1" a="1"/>
  <c r="C16" i="20" s="1"/>
  <c r="AZ17" i="9"/>
  <c r="G16" i="20" s="1" a="1"/>
  <c r="G16" i="20" s="1"/>
  <c r="AU17" i="9"/>
  <c r="B16" i="20" s="1" a="1"/>
  <c r="B16" i="20" s="1"/>
  <c r="F16" i="20" a="1"/>
  <c r="F16" i="20" s="1"/>
  <c r="D71" i="20" a="1"/>
  <c r="D71" i="20" s="1"/>
  <c r="D55" i="20" a="1"/>
  <c r="D55" i="20" s="1"/>
  <c r="AZ56" i="9"/>
  <c r="G55" i="20" s="1" a="1"/>
  <c r="G55" i="20" s="1"/>
  <c r="AU56" i="9"/>
  <c r="B55" i="20" s="1" a="1"/>
  <c r="B55" i="20" s="1"/>
  <c r="AV56" i="9"/>
  <c r="C55" i="20" s="1" a="1"/>
  <c r="C55" i="20" s="1"/>
  <c r="F55" i="20" a="1"/>
  <c r="F55" i="20" s="1"/>
  <c r="D36" i="20" a="1"/>
  <c r="D36" i="20" s="1"/>
  <c r="AV62" i="9"/>
  <c r="C61" i="20" s="1" a="1"/>
  <c r="C61" i="20" s="1"/>
  <c r="AU62" i="9"/>
  <c r="B61" i="20" s="1" a="1"/>
  <c r="B61" i="20" s="1"/>
  <c r="F61" i="20" a="1"/>
  <c r="F61" i="20" s="1"/>
  <c r="AZ62" i="9"/>
  <c r="G61" i="20" s="1" a="1"/>
  <c r="G61" i="20" s="1"/>
  <c r="AV71" i="9"/>
  <c r="C70" i="20" s="1" a="1"/>
  <c r="C70" i="20" s="1"/>
  <c r="AU71" i="9"/>
  <c r="B70" i="20" s="1" a="1"/>
  <c r="B70" i="20" s="1"/>
  <c r="AZ71" i="9"/>
  <c r="G70" i="20" s="1" a="1"/>
  <c r="G70" i="20" s="1"/>
  <c r="F70" i="20" a="1"/>
  <c r="F70" i="20" s="1"/>
  <c r="D41" i="20" a="1"/>
  <c r="D41" i="20" s="1"/>
  <c r="D20" i="20" a="1"/>
  <c r="D20" i="20" s="1"/>
  <c r="D43" i="20" a="1"/>
  <c r="D43" i="20" s="1"/>
  <c r="AV20" i="9"/>
  <c r="C19" i="20" s="1" a="1"/>
  <c r="C19" i="20" s="1"/>
  <c r="AU20" i="9"/>
  <c r="B19" i="20" s="1" a="1"/>
  <c r="B19" i="20" s="1"/>
  <c r="F19" i="20" a="1"/>
  <c r="F19" i="20" s="1"/>
  <c r="AZ20" i="9"/>
  <c r="G19" i="20" s="1" a="1"/>
  <c r="G19" i="20" s="1"/>
  <c r="D11" i="20" a="1"/>
  <c r="D11" i="20" s="1"/>
  <c r="AZ3" i="9"/>
  <c r="AV3" i="9"/>
  <c r="AV30" i="9"/>
  <c r="C29" i="20" s="1" a="1"/>
  <c r="C29" i="20" s="1"/>
  <c r="AZ30" i="9"/>
  <c r="G29" i="20" s="1" a="1"/>
  <c r="G29" i="20" s="1"/>
  <c r="AU30" i="9"/>
  <c r="B29" i="20" s="1" a="1"/>
  <c r="B29" i="20" s="1"/>
  <c r="F29" i="20" a="1"/>
  <c r="F29" i="20" s="1"/>
  <c r="AZ16" i="9"/>
  <c r="G15" i="20" s="1" a="1"/>
  <c r="G15" i="20" s="1"/>
  <c r="AV16" i="9"/>
  <c r="C15" i="20" s="1" a="1"/>
  <c r="C15" i="20" s="1"/>
  <c r="AU16" i="9"/>
  <c r="B15" i="20" s="1" a="1"/>
  <c r="B15" i="20" s="1"/>
  <c r="F15" i="20" a="1"/>
  <c r="F15" i="20" s="1"/>
  <c r="D65" i="20" a="1"/>
  <c r="D65" i="20" s="1"/>
  <c r="D35" i="20" a="1"/>
  <c r="D35" i="20" s="1"/>
  <c r="D30" i="20" a="1"/>
  <c r="D30" i="20" s="1"/>
  <c r="AZ38" i="9"/>
  <c r="G37" i="20" s="1" a="1"/>
  <c r="G37" i="20" s="1"/>
  <c r="AV38" i="9"/>
  <c r="C37" i="20" s="1" a="1"/>
  <c r="C37" i="20" s="1"/>
  <c r="F37" i="20" a="1"/>
  <c r="F37" i="20" s="1"/>
  <c r="AU38" i="9"/>
  <c r="B37" i="20" s="1" a="1"/>
  <c r="B37" i="20" s="1"/>
  <c r="AZ47" i="9"/>
  <c r="G46" i="20" s="1" a="1"/>
  <c r="G46" i="20" s="1"/>
  <c r="AU47" i="9"/>
  <c r="B46" i="20" s="1" a="1"/>
  <c r="B46" i="20" s="1"/>
  <c r="AV47" i="9"/>
  <c r="C46" i="20" s="1" a="1"/>
  <c r="C46" i="20" s="1"/>
  <c r="F46" i="20" a="1"/>
  <c r="F46" i="20" s="1"/>
  <c r="AV57" i="9"/>
  <c r="C56" i="20" s="1" a="1"/>
  <c r="C56" i="20" s="1"/>
  <c r="AU57" i="9"/>
  <c r="B56" i="20" s="1" a="1"/>
  <c r="B56" i="20" s="1"/>
  <c r="AZ57" i="9"/>
  <c r="G56" i="20" s="1" a="1"/>
  <c r="G56" i="20" s="1"/>
  <c r="F56" i="20" a="1"/>
  <c r="F56" i="20" s="1"/>
  <c r="AU42" i="9"/>
  <c r="B41" i="20" s="1" a="1"/>
  <c r="B41" i="20" s="1"/>
  <c r="AV42" i="9"/>
  <c r="C41" i="20" s="1" a="1"/>
  <c r="C41" i="20" s="1"/>
  <c r="F41" i="20" a="1"/>
  <c r="F41" i="20" s="1"/>
  <c r="AZ42" i="9"/>
  <c r="G41" i="20" s="1" a="1"/>
  <c r="G41" i="20" s="1"/>
  <c r="D56" i="20" a="1"/>
  <c r="D56" i="20" s="1"/>
  <c r="AV33" i="9"/>
  <c r="C32" i="20" s="1" a="1"/>
  <c r="C32" i="20" s="1"/>
  <c r="AZ33" i="9"/>
  <c r="G32" i="20" s="1" a="1"/>
  <c r="G32" i="20" s="1"/>
  <c r="F32" i="20" a="1"/>
  <c r="F32" i="20" s="1"/>
  <c r="AU33" i="9"/>
  <c r="B32" i="20" s="1" a="1"/>
  <c r="B32" i="20" s="1"/>
  <c r="D7" i="20" a="1"/>
  <c r="D7" i="20" s="1"/>
  <c r="AV51" i="9"/>
  <c r="C50" i="20" s="1" a="1"/>
  <c r="C50" i="20" s="1"/>
  <c r="AU51" i="9"/>
  <c r="B50" i="20" s="1" a="1"/>
  <c r="B50" i="20" s="1"/>
  <c r="AZ51" i="9"/>
  <c r="G50" i="20" s="1" a="1"/>
  <c r="G50" i="20" s="1"/>
  <c r="F50" i="20" a="1"/>
  <c r="F50" i="20" s="1"/>
  <c r="AU3" i="9"/>
  <c r="AN3" i="9"/>
  <c r="AN5" i="9"/>
  <c r="AP3" i="9"/>
  <c r="AG3" i="9"/>
  <c r="AE3" i="9"/>
  <c r="O3" i="9"/>
  <c r="M3" i="9"/>
  <c r="BB3" i="9" a="1"/>
  <c r="BA3" i="9" a="1"/>
  <c r="AR5" i="9" a="1"/>
  <c r="AS5" i="9" a="1"/>
  <c r="AO3" i="9" a="1"/>
  <c r="AO5" i="9" a="1"/>
  <c r="AF3" i="9" a="1"/>
  <c r="N3" i="9" a="1"/>
  <c r="BA3" i="9" l="1"/>
  <c r="BB3" i="9"/>
  <c r="AS5" i="9"/>
  <c r="AR5" i="9"/>
  <c r="N3" i="9"/>
  <c r="AF3" i="9"/>
  <c r="AO5" i="9"/>
  <c r="E4" i="20" s="1" a="1"/>
  <c r="E4" i="20" s="1"/>
  <c r="AO3" i="9"/>
  <c r="AP6" i="9"/>
  <c r="AN6" i="9"/>
  <c r="AP7" i="9"/>
  <c r="AP4" i="9"/>
  <c r="F3" i="19" s="1" a="1"/>
  <c r="F3" i="19" s="1"/>
  <c r="AN4" i="9"/>
  <c r="AQ3" i="9"/>
  <c r="AM3" i="9"/>
  <c r="AL3" i="9"/>
  <c r="AP5" i="9"/>
  <c r="AH3" i="9"/>
  <c r="AD3" i="9"/>
  <c r="AC3" i="9"/>
  <c r="AE4" i="9"/>
  <c r="AG4" i="9"/>
  <c r="F3" i="18" s="1" a="1"/>
  <c r="F3" i="18" s="1"/>
  <c r="P3" i="9"/>
  <c r="K3" i="9"/>
  <c r="L3" i="9"/>
  <c r="AJ3" i="9" a="1"/>
  <c r="Q3" i="9" a="1"/>
  <c r="AI3" i="9" a="1"/>
  <c r="R3" i="9" a="1"/>
  <c r="AR3" i="9" a="1"/>
  <c r="AS3" i="9" a="1"/>
  <c r="AI4" i="9" a="1"/>
  <c r="AJ4" i="9" a="1"/>
  <c r="AR6" i="9" a="1"/>
  <c r="AS6" i="9" a="1"/>
  <c r="AR4" i="9" a="1"/>
  <c r="AS4" i="9" a="1"/>
  <c r="AO6" i="9" a="1"/>
  <c r="AF4" i="9" a="1"/>
  <c r="AO4" i="9" a="1"/>
  <c r="AS3" i="9" l="1"/>
  <c r="AR3" i="9"/>
  <c r="R3" i="9"/>
  <c r="AI3" i="9"/>
  <c r="Q3" i="9"/>
  <c r="AJ3" i="9"/>
  <c r="H4" i="19" a="1"/>
  <c r="H4" i="19" s="1"/>
  <c r="H4" i="20" a="1"/>
  <c r="H4" i="20" s="1"/>
  <c r="I4" i="19" a="1"/>
  <c r="I4" i="19" s="1"/>
  <c r="I4" i="20" a="1"/>
  <c r="I4" i="20" s="1"/>
  <c r="AS4" i="9"/>
  <c r="AR4" i="9"/>
  <c r="AS6" i="9"/>
  <c r="AR6" i="9"/>
  <c r="AJ4" i="9"/>
  <c r="I3" i="18" s="1" a="1"/>
  <c r="I3" i="18" s="1"/>
  <c r="AI4" i="9"/>
  <c r="H3" i="18" s="1" a="1"/>
  <c r="H3" i="18" s="1"/>
  <c r="AO4" i="9"/>
  <c r="E3" i="20" s="1" a="1"/>
  <c r="E3" i="20" s="1"/>
  <c r="AO6" i="9"/>
  <c r="E5" i="20" s="1" a="1"/>
  <c r="E5" i="20" s="1"/>
  <c r="AF4" i="9"/>
  <c r="D3" i="19" a="1"/>
  <c r="D3" i="19" s="1"/>
  <c r="D5" i="19" a="1"/>
  <c r="D5" i="19" s="1"/>
  <c r="D3" i="18" a="1"/>
  <c r="D3" i="18" s="1"/>
  <c r="D4" i="19" a="1"/>
  <c r="D4" i="19" s="1"/>
  <c r="C3" i="19" a="1"/>
  <c r="C3" i="19" s="1"/>
  <c r="AQ7" i="9"/>
  <c r="AM7" i="9"/>
  <c r="AL7" i="9"/>
  <c r="F6" i="19" a="1"/>
  <c r="F6" i="19" s="1"/>
  <c r="AQ6" i="9"/>
  <c r="AM6" i="9"/>
  <c r="AL6" i="9"/>
  <c r="AN7" i="9"/>
  <c r="AN8" i="9"/>
  <c r="F4" i="19" a="1"/>
  <c r="F4" i="19" s="1"/>
  <c r="AQ4" i="9"/>
  <c r="AM4" i="9"/>
  <c r="AL4" i="9"/>
  <c r="B3" i="19" s="1" a="1"/>
  <c r="B3" i="19" s="1"/>
  <c r="F5" i="19" a="1"/>
  <c r="F5" i="19" s="1"/>
  <c r="AQ5" i="9"/>
  <c r="AM5" i="9"/>
  <c r="AL5" i="9"/>
  <c r="O4" i="9"/>
  <c r="AH4" i="9"/>
  <c r="G3" i="18" s="1" a="1"/>
  <c r="G3" i="18" s="1"/>
  <c r="AD4" i="9"/>
  <c r="AC4" i="9"/>
  <c r="AE5" i="9"/>
  <c r="AG5" i="9"/>
  <c r="F4" i="18" s="1" a="1"/>
  <c r="F4" i="18" s="1"/>
  <c r="V3" i="9"/>
  <c r="M5" i="9"/>
  <c r="O5" i="9"/>
  <c r="X3" i="9"/>
  <c r="M4" i="9"/>
  <c r="AI5" i="9" a="1"/>
  <c r="AJ5" i="9" a="1"/>
  <c r="AR7" i="9" a="1"/>
  <c r="AS7" i="9" a="1"/>
  <c r="Q5" i="9" a="1"/>
  <c r="R5" i="9" a="1"/>
  <c r="AR8" i="9" a="1"/>
  <c r="AS8" i="9" a="1"/>
  <c r="Q4" i="9" a="1"/>
  <c r="R4" i="9" a="1"/>
  <c r="W3" i="9" a="1"/>
  <c r="AO8" i="9" a="1"/>
  <c r="AO7" i="9" a="1"/>
  <c r="AF5" i="9" a="1"/>
  <c r="N5" i="9" a="1"/>
  <c r="N4" i="9" a="1"/>
  <c r="H5" i="19" l="1" a="1"/>
  <c r="H5" i="19" s="1"/>
  <c r="H5" i="20" a="1"/>
  <c r="H5" i="20" s="1"/>
  <c r="I5" i="19" a="1"/>
  <c r="I5" i="19" s="1"/>
  <c r="I5" i="20" a="1"/>
  <c r="I5" i="20" s="1"/>
  <c r="H3" i="19" a="1"/>
  <c r="H3" i="19" s="1"/>
  <c r="H3" i="20" a="1"/>
  <c r="H3" i="20" s="1"/>
  <c r="I3" i="19" a="1"/>
  <c r="I3" i="19" s="1"/>
  <c r="I3" i="20" a="1"/>
  <c r="I3" i="20" s="1"/>
  <c r="R4" i="9"/>
  <c r="I3" i="16" s="1" a="1"/>
  <c r="I3" i="16" s="1"/>
  <c r="Q4" i="9"/>
  <c r="H3" i="16" s="1" a="1"/>
  <c r="H3" i="16" s="1"/>
  <c r="AS8" i="9"/>
  <c r="AR8" i="9"/>
  <c r="R5" i="9"/>
  <c r="I4" i="16" s="1" a="1"/>
  <c r="I4" i="16" s="1"/>
  <c r="Q5" i="9"/>
  <c r="H4" i="16" s="1" a="1"/>
  <c r="H4" i="16" s="1"/>
  <c r="AS7" i="9"/>
  <c r="AR7" i="9"/>
  <c r="AJ5" i="9"/>
  <c r="I4" i="18" s="1" a="1"/>
  <c r="I4" i="18" s="1"/>
  <c r="AI5" i="9"/>
  <c r="H4" i="18" s="1" a="1"/>
  <c r="H4" i="18" s="1"/>
  <c r="AF5" i="9"/>
  <c r="N4" i="9"/>
  <c r="N5" i="9"/>
  <c r="AO8" i="9"/>
  <c r="E7" i="20" s="1" a="1"/>
  <c r="E7" i="20" s="1"/>
  <c r="W3" i="9"/>
  <c r="AO7" i="9"/>
  <c r="E6" i="20" s="1" a="1"/>
  <c r="E6" i="20" s="1"/>
  <c r="D4" i="18" a="1"/>
  <c r="D4" i="18" s="1"/>
  <c r="D6" i="19" a="1"/>
  <c r="D6" i="19" s="1"/>
  <c r="G5" i="19" a="1"/>
  <c r="G5" i="19" s="1"/>
  <c r="G4" i="19" a="1"/>
  <c r="G4" i="19" s="1"/>
  <c r="G6" i="19" a="1"/>
  <c r="G6" i="19" s="1"/>
  <c r="G3" i="19" a="1"/>
  <c r="G3" i="19" s="1"/>
  <c r="F3" i="16" a="1"/>
  <c r="F3" i="16" s="1"/>
  <c r="D3" i="16" a="1"/>
  <c r="D3" i="16" s="1"/>
  <c r="E3" i="19" a="1"/>
  <c r="E3" i="19" s="1"/>
  <c r="E4" i="19" a="1"/>
  <c r="E4" i="19" s="1"/>
  <c r="D7" i="19" a="1"/>
  <c r="D7" i="19" s="1"/>
  <c r="C4" i="19" a="1"/>
  <c r="C4" i="19" s="1"/>
  <c r="B4" i="19" a="1"/>
  <c r="B4" i="19" s="1"/>
  <c r="AP8" i="9"/>
  <c r="F7" i="19" s="1" a="1"/>
  <c r="F7" i="19" s="1"/>
  <c r="AN9" i="9"/>
  <c r="AP10" i="9"/>
  <c r="AN11" i="9"/>
  <c r="K4" i="9"/>
  <c r="E3" i="18" a="1"/>
  <c r="E3" i="18" s="1"/>
  <c r="L4" i="9"/>
  <c r="P4" i="9"/>
  <c r="V4" i="9"/>
  <c r="AH5" i="9"/>
  <c r="G4" i="18" s="1" a="1"/>
  <c r="G4" i="18" s="1"/>
  <c r="AC5" i="9"/>
  <c r="B5" i="19" s="1" a="1"/>
  <c r="B5" i="19" s="1"/>
  <c r="AD5" i="9"/>
  <c r="C5" i="19" s="1" a="1"/>
  <c r="C5" i="19" s="1"/>
  <c r="AE6" i="9"/>
  <c r="AG6" i="9"/>
  <c r="F5" i="18" s="1" a="1"/>
  <c r="F5" i="18" s="1"/>
  <c r="X4" i="9"/>
  <c r="F3" i="17" s="1" a="1"/>
  <c r="F3" i="17" s="1"/>
  <c r="P5" i="9"/>
  <c r="L5" i="9"/>
  <c r="K5" i="9"/>
  <c r="Y3" i="9"/>
  <c r="U3" i="9"/>
  <c r="T3" i="9"/>
  <c r="Z3" i="9" a="1"/>
  <c r="AA3" i="9" a="1"/>
  <c r="AR11" i="9" a="1"/>
  <c r="AS11" i="9" a="1"/>
  <c r="Z4" i="9" a="1"/>
  <c r="AA4" i="9" a="1"/>
  <c r="AI6" i="9" a="1"/>
  <c r="AJ6" i="9" a="1"/>
  <c r="AR9" i="9" a="1"/>
  <c r="AS9" i="9" a="1"/>
  <c r="W4" i="9" a="1"/>
  <c r="AF6" i="9" a="1"/>
  <c r="AO9" i="9" a="1"/>
  <c r="AO11" i="9" a="1"/>
  <c r="AA3" i="9" l="1"/>
  <c r="Z3" i="9"/>
  <c r="I6" i="19" a="1"/>
  <c r="I6" i="19" s="1"/>
  <c r="I6" i="20" a="1"/>
  <c r="I6" i="20" s="1"/>
  <c r="I7" i="19" a="1"/>
  <c r="I7" i="19" s="1"/>
  <c r="I7" i="20" a="1"/>
  <c r="I7" i="20" s="1"/>
  <c r="H6" i="19" a="1"/>
  <c r="H6" i="19" s="1"/>
  <c r="H6" i="20" a="1"/>
  <c r="H6" i="20" s="1"/>
  <c r="H7" i="19" a="1"/>
  <c r="H7" i="19" s="1"/>
  <c r="H7" i="20" a="1"/>
  <c r="H7" i="20" s="1"/>
  <c r="AS9" i="9"/>
  <c r="AR9" i="9"/>
  <c r="AJ6" i="9"/>
  <c r="I5" i="18" s="1" a="1"/>
  <c r="I5" i="18" s="1"/>
  <c r="AI6" i="9"/>
  <c r="H5" i="18" s="1" a="1"/>
  <c r="H5" i="18" s="1"/>
  <c r="AA4" i="9"/>
  <c r="I3" i="17" s="1" a="1"/>
  <c r="I3" i="17" s="1"/>
  <c r="Z4" i="9"/>
  <c r="H3" i="17" s="1" a="1"/>
  <c r="H3" i="17" s="1"/>
  <c r="AS11" i="9"/>
  <c r="AR11" i="9"/>
  <c r="W4" i="9"/>
  <c r="E3" i="17" s="1" a="1"/>
  <c r="E3" i="17" s="1"/>
  <c r="AO9" i="9"/>
  <c r="E8" i="20" s="1" a="1"/>
  <c r="E8" i="20" s="1"/>
  <c r="AO11" i="9"/>
  <c r="E10" i="20" s="1" a="1"/>
  <c r="E10" i="20" s="1"/>
  <c r="AF6" i="9"/>
  <c r="D3" i="17" a="1"/>
  <c r="D3" i="17" s="1"/>
  <c r="D5" i="18" a="1"/>
  <c r="D5" i="18" s="1"/>
  <c r="D8" i="19" a="1"/>
  <c r="D8" i="19" s="1"/>
  <c r="G3" i="16" a="1"/>
  <c r="G3" i="16" s="1"/>
  <c r="D4" i="16" a="1"/>
  <c r="D4" i="16" s="1"/>
  <c r="F4" i="16" a="1"/>
  <c r="F4" i="16" s="1"/>
  <c r="E5" i="19" a="1"/>
  <c r="E5" i="19" s="1"/>
  <c r="AP11" i="9"/>
  <c r="F10" i="19" s="1" a="1"/>
  <c r="F10" i="19" s="1"/>
  <c r="AQ8" i="9"/>
  <c r="AM8" i="9"/>
  <c r="AL8" i="9"/>
  <c r="AN10" i="9"/>
  <c r="AQ10" i="9"/>
  <c r="AM10" i="9"/>
  <c r="AL10" i="9"/>
  <c r="AP9" i="9"/>
  <c r="F8" i="19" s="1" a="1"/>
  <c r="F8" i="19" s="1"/>
  <c r="B3" i="18" a="1"/>
  <c r="B3" i="18" s="1"/>
  <c r="C3" i="18" a="1"/>
  <c r="C3" i="18" s="1"/>
  <c r="AH6" i="9"/>
  <c r="G5" i="18" s="1" a="1"/>
  <c r="G5" i="18" s="1"/>
  <c r="AD6" i="9"/>
  <c r="C6" i="19" s="1" a="1"/>
  <c r="C6" i="19" s="1"/>
  <c r="AC6" i="9"/>
  <c r="B6" i="19" s="1" a="1"/>
  <c r="B6" i="19" s="1"/>
  <c r="T4" i="9"/>
  <c r="B3" i="17" s="1" a="1"/>
  <c r="B3" i="17" s="1"/>
  <c r="U4" i="9"/>
  <c r="C3" i="17" s="1" a="1"/>
  <c r="C3" i="17" s="1"/>
  <c r="Y4" i="9"/>
  <c r="G3" i="17" s="1" a="1"/>
  <c r="G3" i="17" s="1"/>
  <c r="AE7" i="9"/>
  <c r="AG7" i="9"/>
  <c r="F6" i="18" s="1" a="1"/>
  <c r="F6" i="18" s="1"/>
  <c r="AJ7" i="9" a="1"/>
  <c r="AI7" i="9" a="1"/>
  <c r="AR10" i="9" a="1"/>
  <c r="AS10" i="9" a="1"/>
  <c r="AF7" i="9" a="1"/>
  <c r="AO10" i="9" a="1"/>
  <c r="H10" i="19" l="1" a="1"/>
  <c r="H10" i="19" s="1"/>
  <c r="H10" i="20" a="1"/>
  <c r="H10" i="20" s="1"/>
  <c r="I10" i="19" a="1"/>
  <c r="I10" i="19" s="1"/>
  <c r="I10" i="20" a="1"/>
  <c r="I10" i="20" s="1"/>
  <c r="H8" i="19" a="1"/>
  <c r="H8" i="19" s="1"/>
  <c r="H8" i="20" a="1"/>
  <c r="H8" i="20" s="1"/>
  <c r="I8" i="19" a="1"/>
  <c r="I8" i="19" s="1"/>
  <c r="I8" i="20" a="1"/>
  <c r="I8" i="20" s="1"/>
  <c r="AS10" i="9"/>
  <c r="AR10" i="9"/>
  <c r="AI7" i="9"/>
  <c r="H6" i="18" s="1" a="1"/>
  <c r="H6" i="18" s="1"/>
  <c r="AJ7" i="9"/>
  <c r="I6" i="18" s="1" a="1"/>
  <c r="I6" i="18" s="1"/>
  <c r="AF7" i="9"/>
  <c r="AO10" i="9"/>
  <c r="E9" i="20" s="1" a="1"/>
  <c r="E9" i="20" s="1"/>
  <c r="D9" i="19" a="1"/>
  <c r="D9" i="19" s="1"/>
  <c r="G7" i="19" a="1"/>
  <c r="G7" i="19" s="1"/>
  <c r="E4" i="18" a="1"/>
  <c r="E4" i="18" s="1"/>
  <c r="D6" i="18" a="1"/>
  <c r="D6" i="18" s="1"/>
  <c r="G4" i="16" a="1"/>
  <c r="G4" i="16" s="1"/>
  <c r="E6" i="19" a="1"/>
  <c r="E6" i="19" s="1"/>
  <c r="D10" i="19" a="1"/>
  <c r="D10" i="19" s="1"/>
  <c r="F9" i="19" a="1"/>
  <c r="F9" i="19" s="1"/>
  <c r="AQ9" i="9"/>
  <c r="G9" i="19" s="1" a="1"/>
  <c r="G9" i="19" s="1"/>
  <c r="AM9" i="9"/>
  <c r="AL9" i="9"/>
  <c r="AQ11" i="9"/>
  <c r="AM11" i="9"/>
  <c r="AL11" i="9"/>
  <c r="AP12" i="9"/>
  <c r="F11" i="19" s="1" a="1"/>
  <c r="F11" i="19" s="1"/>
  <c r="AN13" i="9"/>
  <c r="AN12" i="9"/>
  <c r="B4" i="18" a="1"/>
  <c r="B4" i="18" s="1"/>
  <c r="C4" i="18" a="1"/>
  <c r="C4" i="18" s="1"/>
  <c r="AH7" i="9"/>
  <c r="AD7" i="9"/>
  <c r="C7" i="19" s="1" a="1"/>
  <c r="C7" i="19" s="1"/>
  <c r="AC7" i="9"/>
  <c r="B7" i="19" s="1" a="1"/>
  <c r="B7" i="19" s="1"/>
  <c r="AG8" i="9"/>
  <c r="F7" i="18" s="1" a="1"/>
  <c r="F7" i="18" s="1"/>
  <c r="AE8" i="9"/>
  <c r="AR13" i="9" a="1"/>
  <c r="AS13" i="9" a="1"/>
  <c r="AS12" i="9" a="1"/>
  <c r="AR12" i="9" a="1"/>
  <c r="AI8" i="9" a="1"/>
  <c r="AJ8" i="9" a="1"/>
  <c r="AO12" i="9" a="1"/>
  <c r="AO13" i="9" a="1"/>
  <c r="AF8" i="9" a="1"/>
  <c r="I9" i="19" l="1" a="1"/>
  <c r="I9" i="19" s="1"/>
  <c r="I9" i="20" a="1"/>
  <c r="I9" i="20" s="1"/>
  <c r="H9" i="19" a="1"/>
  <c r="H9" i="19" s="1"/>
  <c r="H9" i="20" a="1"/>
  <c r="H9" i="20" s="1"/>
  <c r="AJ8" i="9"/>
  <c r="I7" i="18" s="1" a="1"/>
  <c r="I7" i="18" s="1"/>
  <c r="AI8" i="9"/>
  <c r="H7" i="18" s="1" a="1"/>
  <c r="H7" i="18" s="1"/>
  <c r="AR12" i="9"/>
  <c r="AS12" i="9"/>
  <c r="AS13" i="9"/>
  <c r="AR13" i="9"/>
  <c r="AF8" i="9"/>
  <c r="AO12" i="9"/>
  <c r="E11" i="20" s="1" a="1"/>
  <c r="E11" i="20" s="1"/>
  <c r="AO13" i="9"/>
  <c r="E12" i="20" s="1" a="1"/>
  <c r="E12" i="20" s="1"/>
  <c r="D7" i="18" a="1"/>
  <c r="D7" i="18" s="1"/>
  <c r="D11" i="19" a="1"/>
  <c r="D11" i="19" s="1"/>
  <c r="G8" i="19" a="1"/>
  <c r="G8" i="19" s="1"/>
  <c r="G6" i="18" a="1"/>
  <c r="G6" i="18" s="1"/>
  <c r="G10" i="19" a="1"/>
  <c r="G10" i="19" s="1"/>
  <c r="E7" i="19" a="1"/>
  <c r="E7" i="19" s="1"/>
  <c r="D12" i="19" a="1"/>
  <c r="D12" i="19" s="1"/>
  <c r="AP14" i="9"/>
  <c r="AQ12" i="9"/>
  <c r="AM12" i="9"/>
  <c r="AL12" i="9"/>
  <c r="AP13" i="9"/>
  <c r="F12" i="19" s="1" a="1"/>
  <c r="F12" i="19" s="1"/>
  <c r="AH8" i="9"/>
  <c r="G7" i="18" s="1" a="1"/>
  <c r="G7" i="18" s="1"/>
  <c r="AC8" i="9"/>
  <c r="B8" i="19" s="1" a="1"/>
  <c r="B8" i="19" s="1"/>
  <c r="AD8" i="9"/>
  <c r="C8" i="19" s="1" a="1"/>
  <c r="C8" i="19" s="1"/>
  <c r="AG9" i="9"/>
  <c r="F8" i="18" s="1" a="1"/>
  <c r="F8" i="18" s="1"/>
  <c r="H11" i="19" l="1" a="1"/>
  <c r="H11" i="19" s="1"/>
  <c r="H11" i="20" a="1"/>
  <c r="H11" i="20" s="1"/>
  <c r="H12" i="19" a="1"/>
  <c r="H12" i="19" s="1"/>
  <c r="H12" i="20" a="1"/>
  <c r="H12" i="20" s="1"/>
  <c r="I12" i="19" a="1"/>
  <c r="I12" i="19" s="1"/>
  <c r="I12" i="20" a="1"/>
  <c r="I12" i="20" s="1"/>
  <c r="I11" i="19" a="1"/>
  <c r="I11" i="19" s="1"/>
  <c r="I11" i="20" a="1"/>
  <c r="I11" i="20" s="1"/>
  <c r="G11" i="19" a="1"/>
  <c r="G11" i="19" s="1"/>
  <c r="E8" i="19" a="1"/>
  <c r="E8" i="19" s="1"/>
  <c r="AQ14" i="9"/>
  <c r="AM14" i="9"/>
  <c r="AL14" i="9"/>
  <c r="AQ13" i="9"/>
  <c r="G13" i="19" s="1" a="1"/>
  <c r="G13" i="19" s="1"/>
  <c r="F13" i="19" a="1"/>
  <c r="F13" i="19" s="1"/>
  <c r="AM13" i="9"/>
  <c r="AL13" i="9"/>
  <c r="AG10" i="9"/>
  <c r="F9" i="18" s="1" a="1"/>
  <c r="F9" i="18" s="1"/>
  <c r="AE9" i="9"/>
  <c r="AC9" i="9"/>
  <c r="B9" i="19" s="1" a="1"/>
  <c r="B9" i="19" s="1"/>
  <c r="AD9" i="9"/>
  <c r="C9" i="19" s="1" a="1"/>
  <c r="C9" i="19" s="1"/>
  <c r="AH9" i="9"/>
  <c r="G8" i="18" s="1" a="1"/>
  <c r="G8" i="18" s="1"/>
  <c r="AI9" i="9" a="1"/>
  <c r="AJ9" i="9" a="1"/>
  <c r="AF9" i="9" a="1"/>
  <c r="AJ9" i="9" l="1"/>
  <c r="I8" i="18" s="1" a="1"/>
  <c r="I8" i="18" s="1"/>
  <c r="AI9" i="9"/>
  <c r="H8" i="18" s="1" a="1"/>
  <c r="H8" i="18" s="1"/>
  <c r="AF9" i="9"/>
  <c r="D8" i="18" a="1"/>
  <c r="D8" i="18" s="1"/>
  <c r="G12" i="19" a="1"/>
  <c r="G12" i="19" s="1"/>
  <c r="AH10" i="9"/>
  <c r="G9" i="18" s="1" a="1"/>
  <c r="G9" i="18" s="1"/>
  <c r="AC10" i="9"/>
  <c r="B10" i="19" a="1"/>
  <c r="B10" i="19" s="1"/>
  <c r="E3" i="16" a="1"/>
  <c r="E3" i="16" s="1"/>
  <c r="AD10" i="9"/>
  <c r="E9" i="19" l="1" a="1"/>
  <c r="E9" i="19" s="1"/>
  <c r="C10" i="19" a="1"/>
  <c r="C10" i="19" s="1"/>
  <c r="E4" i="16" a="1"/>
  <c r="E4" i="16" s="1"/>
  <c r="D4" i="9"/>
  <c r="F4" i="9"/>
  <c r="C4" i="9" s="1"/>
  <c r="I4" i="9" a="1"/>
  <c r="H4" i="9" a="1"/>
  <c r="E4" i="9" a="1"/>
  <c r="H4" i="9" l="1"/>
  <c r="I4" i="9"/>
  <c r="I3" i="15" a="1"/>
  <c r="I3" i="15" s="1"/>
  <c r="H3" i="15" a="1"/>
  <c r="H3" i="15" s="1"/>
  <c r="E4" i="9"/>
  <c r="G4" i="9"/>
  <c r="AE10" i="9"/>
  <c r="AE18" i="9"/>
  <c r="AG44" i="9"/>
  <c r="AE36" i="9"/>
  <c r="AE21" i="9"/>
  <c r="AE58" i="9"/>
  <c r="AE26" i="9"/>
  <c r="AG57" i="9"/>
  <c r="AE39" i="9"/>
  <c r="AG49" i="9"/>
  <c r="AG46" i="9"/>
  <c r="AG71" i="9"/>
  <c r="AE14" i="9"/>
  <c r="AG23" i="9"/>
  <c r="AG27" i="9"/>
  <c r="AE71" i="9"/>
  <c r="AE23" i="9"/>
  <c r="AE40" i="9"/>
  <c r="AE29" i="9"/>
  <c r="AG59" i="9"/>
  <c r="AE55" i="9"/>
  <c r="AG16" i="9"/>
  <c r="AG41" i="9"/>
  <c r="AG20" i="9"/>
  <c r="AG11" i="9"/>
  <c r="F10" i="18" s="1" a="1"/>
  <c r="F10" i="18" s="1"/>
  <c r="AE68" i="9"/>
  <c r="AE13" i="9"/>
  <c r="AG58" i="9"/>
  <c r="AG29" i="9"/>
  <c r="AG19" i="9"/>
  <c r="AG66" i="9"/>
  <c r="AE34" i="9"/>
  <c r="AG51" i="9"/>
  <c r="AG64" i="9"/>
  <c r="AE54" i="9"/>
  <c r="AE48" i="9"/>
  <c r="AG52" i="9"/>
  <c r="AG14" i="9"/>
  <c r="AG30" i="9"/>
  <c r="AG37" i="9"/>
  <c r="AG35" i="9"/>
  <c r="AE57" i="9"/>
  <c r="AE19" i="9"/>
  <c r="AG54" i="9"/>
  <c r="AG62" i="9"/>
  <c r="AE37" i="9"/>
  <c r="AG21" i="9"/>
  <c r="AE59" i="9"/>
  <c r="AE35" i="9"/>
  <c r="AG50" i="9"/>
  <c r="AE47" i="9"/>
  <c r="AE62" i="9"/>
  <c r="AG39" i="9"/>
  <c r="AG33" i="9"/>
  <c r="AE45" i="9"/>
  <c r="AG24" i="9"/>
  <c r="AE64" i="9"/>
  <c r="AG68" i="9"/>
  <c r="AE52" i="9"/>
  <c r="AE56" i="9"/>
  <c r="AG13" i="9"/>
  <c r="AG31" i="9"/>
  <c r="AG15" i="9"/>
  <c r="AG48" i="9"/>
  <c r="AG63" i="9"/>
  <c r="AE63" i="9"/>
  <c r="AG43" i="9"/>
  <c r="AE70" i="9"/>
  <c r="AE32" i="9"/>
  <c r="AG18" i="9"/>
  <c r="AE33" i="9"/>
  <c r="AG69" i="9"/>
  <c r="AG26" i="9"/>
  <c r="AE44" i="9"/>
  <c r="AG70" i="9"/>
  <c r="AE60" i="9"/>
  <c r="AG56" i="9"/>
  <c r="AE22" i="9"/>
  <c r="AE53" i="9"/>
  <c r="AE11" i="9"/>
  <c r="AG60" i="9"/>
  <c r="AE12" i="9"/>
  <c r="AE15" i="9"/>
  <c r="AE42" i="9"/>
  <c r="AG65" i="9"/>
  <c r="AE17" i="9"/>
  <c r="AE69" i="9"/>
  <c r="AG40" i="9"/>
  <c r="AE16" i="9"/>
  <c r="AE30" i="9"/>
  <c r="AE61" i="9"/>
  <c r="AG22" i="9"/>
  <c r="AG67" i="9"/>
  <c r="AG12" i="9"/>
  <c r="AG17" i="9"/>
  <c r="AE46" i="9"/>
  <c r="AE28" i="9"/>
  <c r="AE24" i="9"/>
  <c r="AG36" i="9"/>
  <c r="AE38" i="9"/>
  <c r="AE67" i="9"/>
  <c r="AE31" i="9"/>
  <c r="AG47" i="9"/>
  <c r="AG25" i="9"/>
  <c r="AE41" i="9"/>
  <c r="AG34" i="9"/>
  <c r="AG32" i="9"/>
  <c r="AG45" i="9"/>
  <c r="AE27" i="9"/>
  <c r="AE72" i="9"/>
  <c r="AG38" i="9"/>
  <c r="AE50" i="9"/>
  <c r="AE43" i="9"/>
  <c r="AG61" i="9"/>
  <c r="AE49" i="9"/>
  <c r="AE65" i="9"/>
  <c r="AE20" i="9"/>
  <c r="AG72" i="9"/>
  <c r="AG42" i="9"/>
  <c r="AE25" i="9"/>
  <c r="AG53" i="9"/>
  <c r="AE66" i="9"/>
  <c r="AE51" i="9"/>
  <c r="AG55" i="9"/>
  <c r="AG28" i="9"/>
  <c r="B4" i="9"/>
  <c r="F5" i="9"/>
  <c r="AI13" i="9" a="1"/>
  <c r="AJ13" i="9" a="1"/>
  <c r="AI19" i="9" a="1"/>
  <c r="AJ19" i="9" a="1"/>
  <c r="AI52" i="9" a="1"/>
  <c r="AJ52" i="9" a="1"/>
  <c r="AI61" i="9" a="1"/>
  <c r="AJ61" i="9" a="1"/>
  <c r="AI51" i="9" a="1"/>
  <c r="AJ51" i="9" a="1"/>
  <c r="AI67" i="9" a="1"/>
  <c r="AJ67" i="9" a="1"/>
  <c r="AI69" i="9" a="1"/>
  <c r="AJ69" i="9" a="1"/>
  <c r="AI68" i="9" a="1"/>
  <c r="AJ68" i="9" a="1"/>
  <c r="AI56" i="9" a="1"/>
  <c r="AJ56" i="9" a="1"/>
  <c r="AI60" i="9" a="1"/>
  <c r="AJ60" i="9" a="1"/>
  <c r="AI14" i="9" a="1"/>
  <c r="AJ14" i="9" a="1"/>
  <c r="AI27" i="9" a="1"/>
  <c r="AJ27" i="9" a="1"/>
  <c r="AI17" i="9" a="1"/>
  <c r="AJ17" i="9" a="1"/>
  <c r="AI41" i="9" a="1"/>
  <c r="AJ41" i="9" a="1"/>
  <c r="AI66" i="9" a="1"/>
  <c r="AJ66" i="9" a="1"/>
  <c r="AI37" i="9" a="1"/>
  <c r="AJ37" i="9" a="1"/>
  <c r="AI22" i="9" a="1"/>
  <c r="AJ22" i="9" a="1"/>
  <c r="AI38" i="9" a="1"/>
  <c r="AJ38" i="9" a="1"/>
  <c r="AI33" i="9" a="1"/>
  <c r="AJ33" i="9" a="1"/>
  <c r="AI53" i="9" a="1"/>
  <c r="AJ53" i="9" a="1"/>
  <c r="AI20" i="9" a="1"/>
  <c r="AJ20" i="9" a="1"/>
  <c r="AI71" i="9" a="1"/>
  <c r="AJ71" i="9" a="1"/>
  <c r="AI34" i="9" a="1"/>
  <c r="AJ34" i="9" a="1"/>
  <c r="AI59" i="9" a="1"/>
  <c r="AJ59" i="9" a="1"/>
  <c r="AI11" i="9" a="1"/>
  <c r="AJ11" i="9" a="1"/>
  <c r="AI46" i="9" a="1"/>
  <c r="AJ46" i="9" a="1"/>
  <c r="AI50" i="9" a="1"/>
  <c r="AJ50" i="9" a="1"/>
  <c r="AJ24" i="9" a="1"/>
  <c r="AI24" i="9" a="1"/>
  <c r="AI10" i="9" a="1"/>
  <c r="AJ10" i="9" a="1"/>
  <c r="AI23" i="9" a="1"/>
  <c r="AJ23" i="9" a="1"/>
  <c r="AI35" i="9" a="1"/>
  <c r="AJ35" i="9" a="1"/>
  <c r="AI28" i="9" a="1"/>
  <c r="AJ28" i="9" a="1"/>
  <c r="AI43" i="9" a="1"/>
  <c r="AJ43" i="9" a="1"/>
  <c r="AI25" i="9" a="1"/>
  <c r="AJ25" i="9" a="1"/>
  <c r="AI30" i="9" a="1"/>
  <c r="AJ30" i="9" a="1"/>
  <c r="AI18" i="9" a="1"/>
  <c r="AJ18" i="9" a="1"/>
  <c r="AI40" i="9" a="1"/>
  <c r="AJ40" i="9" a="1"/>
  <c r="AI63" i="9" a="1"/>
  <c r="AJ63" i="9" a="1"/>
  <c r="AI12" i="9" a="1"/>
  <c r="AJ12" i="9" a="1"/>
  <c r="AI49" i="9" a="1"/>
  <c r="AJ49" i="9" a="1"/>
  <c r="AI31" i="9" a="1"/>
  <c r="AJ31" i="9" a="1"/>
  <c r="AI29" i="9" a="1"/>
  <c r="AJ29" i="9" a="1"/>
  <c r="AI54" i="9" a="1"/>
  <c r="AJ54" i="9" a="1"/>
  <c r="AI47" i="9" a="1"/>
  <c r="AJ47" i="9" a="1"/>
  <c r="AI15" i="9" a="1"/>
  <c r="AJ15" i="9" a="1"/>
  <c r="AI57" i="9" a="1"/>
  <c r="AJ57" i="9" a="1"/>
  <c r="AI36" i="9" a="1"/>
  <c r="AJ36" i="9" a="1"/>
  <c r="AI48" i="9" a="1"/>
  <c r="AJ48" i="9" a="1"/>
  <c r="AI62" i="9" a="1"/>
  <c r="AJ62" i="9" a="1"/>
  <c r="AI70" i="9" a="1"/>
  <c r="AJ70" i="9" a="1"/>
  <c r="AI42" i="9" a="1"/>
  <c r="AJ42" i="9" a="1"/>
  <c r="AI65" i="9" a="1"/>
  <c r="AJ65" i="9" a="1"/>
  <c r="AI21" i="9" a="1"/>
  <c r="AJ21" i="9" a="1"/>
  <c r="AI55" i="9" a="1"/>
  <c r="AJ55" i="9" a="1"/>
  <c r="AI32" i="9" a="1"/>
  <c r="AJ32" i="9" a="1"/>
  <c r="AI58" i="9" a="1"/>
  <c r="AJ58" i="9" a="1"/>
  <c r="AI16" i="9" a="1"/>
  <c r="AJ16" i="9" a="1"/>
  <c r="AI26" i="9" a="1"/>
  <c r="AJ26" i="9" a="1"/>
  <c r="AI45" i="9" a="1"/>
  <c r="AJ45" i="9" a="1"/>
  <c r="AI39" i="9" a="1"/>
  <c r="AJ39" i="9" a="1"/>
  <c r="AI64" i="9" a="1"/>
  <c r="AJ64" i="9" a="1"/>
  <c r="AI44" i="9" a="1"/>
  <c r="AJ44" i="9" a="1"/>
  <c r="AF53" i="9" a="1"/>
  <c r="AF63" i="9" a="1"/>
  <c r="AF67" i="9" a="1"/>
  <c r="AF66" i="9" a="1"/>
  <c r="AF57" i="9" a="1"/>
  <c r="AF62" i="9" a="1"/>
  <c r="AF23" i="9" a="1"/>
  <c r="AF16" i="9" a="1"/>
  <c r="AF41" i="9" a="1"/>
  <c r="AF28" i="9" a="1"/>
  <c r="AF12" i="9" a="1"/>
  <c r="AF20" i="9" a="1"/>
  <c r="AF68" i="9" a="1"/>
  <c r="AF61" i="9" a="1"/>
  <c r="AF14" i="9" a="1"/>
  <c r="AF43" i="9" a="1"/>
  <c r="AF24" i="9" a="1"/>
  <c r="AF31" i="9" a="1"/>
  <c r="AF45" i="9" a="1"/>
  <c r="AF35" i="9" a="1"/>
  <c r="AF15" i="9" a="1"/>
  <c r="AF29" i="9" a="1"/>
  <c r="AF51" i="9" a="1"/>
  <c r="AF13" i="9" a="1"/>
  <c r="AF52" i="9" a="1"/>
  <c r="AF60" i="9" a="1"/>
  <c r="AF64" i="9" a="1"/>
  <c r="AF65" i="9" a="1"/>
  <c r="AF49" i="9" a="1"/>
  <c r="AF32" i="9" a="1"/>
  <c r="AF71" i="9" a="1"/>
  <c r="AF54" i="9" a="1"/>
  <c r="AF58" i="9" a="1"/>
  <c r="AF19" i="9" a="1"/>
  <c r="AF56" i="9" a="1"/>
  <c r="AF27" i="9" a="1"/>
  <c r="AF30" i="9" a="1"/>
  <c r="AF34" i="9" a="1"/>
  <c r="AF47" i="9" a="1"/>
  <c r="AF17" i="9" a="1"/>
  <c r="AF48" i="9" a="1"/>
  <c r="AF21" i="9" a="1"/>
  <c r="AF59" i="9" a="1"/>
  <c r="AF36" i="9" a="1"/>
  <c r="AF26" i="9" a="1"/>
  <c r="AF33" i="9" a="1"/>
  <c r="AF38" i="9" a="1"/>
  <c r="AF22" i="9" a="1"/>
  <c r="AF72" i="9" a="1"/>
  <c r="AF11" i="9" a="1"/>
  <c r="AF46" i="9" a="1"/>
  <c r="AF40" i="9" a="1"/>
  <c r="AF50" i="9" a="1"/>
  <c r="AF70" i="9" a="1"/>
  <c r="AF69" i="9" a="1"/>
  <c r="AF10" i="9" a="1"/>
  <c r="AF42" i="9" a="1"/>
  <c r="AF39" i="9" a="1"/>
  <c r="AF37" i="9" a="1"/>
  <c r="AF18" i="9" a="1"/>
  <c r="AF55" i="9" a="1"/>
  <c r="AF44" i="9" a="1"/>
  <c r="AF25" i="9" a="1"/>
  <c r="AJ44" i="9" l="1"/>
  <c r="I43" i="18" s="1" a="1"/>
  <c r="I43" i="18" s="1"/>
  <c r="AI44" i="9"/>
  <c r="H43" i="18" s="1" a="1"/>
  <c r="H43" i="18" s="1"/>
  <c r="AJ64" i="9"/>
  <c r="I63" i="18" s="1" a="1"/>
  <c r="I63" i="18" s="1"/>
  <c r="AI64" i="9"/>
  <c r="H63" i="18" s="1" a="1"/>
  <c r="H63" i="18" s="1"/>
  <c r="AJ39" i="9"/>
  <c r="I38" i="18" s="1" a="1"/>
  <c r="I38" i="18" s="1"/>
  <c r="AI39" i="9"/>
  <c r="H38" i="18" s="1" a="1"/>
  <c r="H38" i="18" s="1"/>
  <c r="AJ45" i="9"/>
  <c r="I44" i="18" s="1" a="1"/>
  <c r="I44" i="18" s="1"/>
  <c r="AI45" i="9"/>
  <c r="H44" i="18" s="1" a="1"/>
  <c r="H44" i="18" s="1"/>
  <c r="AJ26" i="9"/>
  <c r="I25" i="18" s="1" a="1"/>
  <c r="I25" i="18" s="1"/>
  <c r="AI26" i="9"/>
  <c r="H25" i="18" s="1" a="1"/>
  <c r="H25" i="18" s="1"/>
  <c r="AJ16" i="9"/>
  <c r="I15" i="18" s="1" a="1"/>
  <c r="I15" i="18" s="1"/>
  <c r="AI16" i="9"/>
  <c r="H15" i="18" s="1" a="1"/>
  <c r="H15" i="18" s="1"/>
  <c r="AJ58" i="9"/>
  <c r="I57" i="18" s="1" a="1"/>
  <c r="I57" i="18" s="1"/>
  <c r="AI58" i="9"/>
  <c r="H57" i="18" s="1" a="1"/>
  <c r="H57" i="18" s="1"/>
  <c r="AJ32" i="9"/>
  <c r="I31" i="18" s="1" a="1"/>
  <c r="I31" i="18" s="1"/>
  <c r="AI32" i="9"/>
  <c r="H31" i="18" s="1" a="1"/>
  <c r="H31" i="18" s="1"/>
  <c r="AJ55" i="9"/>
  <c r="I54" i="18" s="1" a="1"/>
  <c r="I54" i="18" s="1"/>
  <c r="AI55" i="9"/>
  <c r="H54" i="18" s="1" a="1"/>
  <c r="H54" i="18" s="1"/>
  <c r="AJ21" i="9"/>
  <c r="I20" i="18" s="1" a="1"/>
  <c r="I20" i="18" s="1"/>
  <c r="AI21" i="9"/>
  <c r="H20" i="18" s="1" a="1"/>
  <c r="H20" i="18" s="1"/>
  <c r="AJ65" i="9"/>
  <c r="I64" i="18" s="1" a="1"/>
  <c r="I64" i="18" s="1"/>
  <c r="AI65" i="9"/>
  <c r="H64" i="18" s="1" a="1"/>
  <c r="H64" i="18" s="1"/>
  <c r="AJ42" i="9"/>
  <c r="I41" i="18" s="1" a="1"/>
  <c r="I41" i="18" s="1"/>
  <c r="AI42" i="9"/>
  <c r="H41" i="18" s="1" a="1"/>
  <c r="H41" i="18" s="1"/>
  <c r="AJ70" i="9"/>
  <c r="I69" i="18" s="1" a="1"/>
  <c r="I69" i="18" s="1"/>
  <c r="AI70" i="9"/>
  <c r="H69" i="18" s="1" a="1"/>
  <c r="H69" i="18" s="1"/>
  <c r="AJ62" i="9"/>
  <c r="I61" i="18" s="1" a="1"/>
  <c r="I61" i="18" s="1"/>
  <c r="AI62" i="9"/>
  <c r="H61" i="18" s="1" a="1"/>
  <c r="H61" i="18" s="1"/>
  <c r="AJ48" i="9"/>
  <c r="I47" i="18" s="1" a="1"/>
  <c r="I47" i="18" s="1"/>
  <c r="AI48" i="9"/>
  <c r="H47" i="18" s="1" a="1"/>
  <c r="H47" i="18" s="1"/>
  <c r="AJ36" i="9"/>
  <c r="I35" i="18" s="1" a="1"/>
  <c r="I35" i="18" s="1"/>
  <c r="AI36" i="9"/>
  <c r="H35" i="18" s="1" a="1"/>
  <c r="H35" i="18" s="1"/>
  <c r="AJ57" i="9"/>
  <c r="I56" i="18" s="1" a="1"/>
  <c r="I56" i="18" s="1"/>
  <c r="AI57" i="9"/>
  <c r="H56" i="18" s="1" a="1"/>
  <c r="H56" i="18" s="1"/>
  <c r="AJ15" i="9"/>
  <c r="I14" i="18" s="1" a="1"/>
  <c r="I14" i="18" s="1"/>
  <c r="AI15" i="9"/>
  <c r="H14" i="18" s="1" a="1"/>
  <c r="H14" i="18" s="1"/>
  <c r="AJ47" i="9"/>
  <c r="I46" i="18" s="1" a="1"/>
  <c r="I46" i="18" s="1"/>
  <c r="AI47" i="9"/>
  <c r="H46" i="18" s="1" a="1"/>
  <c r="H46" i="18" s="1"/>
  <c r="AJ54" i="9"/>
  <c r="I53" i="18" s="1" a="1"/>
  <c r="I53" i="18" s="1"/>
  <c r="AI54" i="9"/>
  <c r="H53" i="18" s="1" a="1"/>
  <c r="H53" i="18" s="1"/>
  <c r="AJ29" i="9"/>
  <c r="I28" i="18" s="1" a="1"/>
  <c r="I28" i="18" s="1"/>
  <c r="AI29" i="9"/>
  <c r="H28" i="18" s="1" a="1"/>
  <c r="H28" i="18" s="1"/>
  <c r="AJ31" i="9"/>
  <c r="I30" i="18" s="1" a="1"/>
  <c r="I30" i="18" s="1"/>
  <c r="AI31" i="9"/>
  <c r="H30" i="18" s="1" a="1"/>
  <c r="H30" i="18" s="1"/>
  <c r="AJ49" i="9"/>
  <c r="I48" i="18" s="1" a="1"/>
  <c r="I48" i="18" s="1"/>
  <c r="AI49" i="9"/>
  <c r="H48" i="18" s="1" a="1"/>
  <c r="H48" i="18" s="1"/>
  <c r="AJ12" i="9"/>
  <c r="I11" i="18" s="1" a="1"/>
  <c r="I11" i="18" s="1"/>
  <c r="AI12" i="9"/>
  <c r="H11" i="18" s="1" a="1"/>
  <c r="H11" i="18" s="1"/>
  <c r="AJ63" i="9"/>
  <c r="I62" i="18" s="1" a="1"/>
  <c r="I62" i="18" s="1"/>
  <c r="AI63" i="9"/>
  <c r="H62" i="18" s="1" a="1"/>
  <c r="H62" i="18" s="1"/>
  <c r="AJ40" i="9"/>
  <c r="I39" i="18" s="1" a="1"/>
  <c r="I39" i="18" s="1"/>
  <c r="AI40" i="9"/>
  <c r="H39" i="18" s="1" a="1"/>
  <c r="H39" i="18" s="1"/>
  <c r="AJ18" i="9"/>
  <c r="I17" i="18" s="1" a="1"/>
  <c r="I17" i="18" s="1"/>
  <c r="AI18" i="9"/>
  <c r="H17" i="18" s="1" a="1"/>
  <c r="H17" i="18" s="1"/>
  <c r="AJ30" i="9"/>
  <c r="I29" i="18" s="1" a="1"/>
  <c r="I29" i="18" s="1"/>
  <c r="AI30" i="9"/>
  <c r="H29" i="18" s="1" a="1"/>
  <c r="H29" i="18" s="1"/>
  <c r="AJ25" i="9"/>
  <c r="I24" i="18" s="1" a="1"/>
  <c r="I24" i="18" s="1"/>
  <c r="AI25" i="9"/>
  <c r="H24" i="18" s="1" a="1"/>
  <c r="H24" i="18" s="1"/>
  <c r="AJ43" i="9"/>
  <c r="I42" i="18" s="1" a="1"/>
  <c r="I42" i="18" s="1"/>
  <c r="AI43" i="9"/>
  <c r="H42" i="18" s="1" a="1"/>
  <c r="H42" i="18" s="1"/>
  <c r="AJ28" i="9"/>
  <c r="I27" i="18" s="1" a="1"/>
  <c r="I27" i="18" s="1"/>
  <c r="AI28" i="9"/>
  <c r="H27" i="18" s="1" a="1"/>
  <c r="H27" i="18" s="1"/>
  <c r="AJ35" i="9"/>
  <c r="I34" i="18" s="1" a="1"/>
  <c r="I34" i="18" s="1"/>
  <c r="AI35" i="9"/>
  <c r="H34" i="18" s="1" a="1"/>
  <c r="H34" i="18" s="1"/>
  <c r="AJ23" i="9"/>
  <c r="I22" i="18" s="1" a="1"/>
  <c r="I22" i="18" s="1"/>
  <c r="AI23" i="9"/>
  <c r="H22" i="18" s="1" a="1"/>
  <c r="H22" i="18" s="1"/>
  <c r="AJ10" i="9"/>
  <c r="I9" i="18" s="1" a="1"/>
  <c r="I9" i="18" s="1"/>
  <c r="AI10" i="9"/>
  <c r="H9" i="18" s="1" a="1"/>
  <c r="H9" i="18" s="1"/>
  <c r="AI24" i="9"/>
  <c r="H23" i="18" s="1" a="1"/>
  <c r="H23" i="18" s="1"/>
  <c r="AJ24" i="9"/>
  <c r="I23" i="18" s="1" a="1"/>
  <c r="I23" i="18" s="1"/>
  <c r="AJ50" i="9"/>
  <c r="I49" i="18" s="1" a="1"/>
  <c r="I49" i="18" s="1"/>
  <c r="AI50" i="9"/>
  <c r="H49" i="18" s="1" a="1"/>
  <c r="H49" i="18" s="1"/>
  <c r="AJ46" i="9"/>
  <c r="I45" i="18" s="1" a="1"/>
  <c r="I45" i="18" s="1"/>
  <c r="AI46" i="9"/>
  <c r="H45" i="18" s="1" a="1"/>
  <c r="H45" i="18" s="1"/>
  <c r="AJ11" i="9"/>
  <c r="I10" i="18" s="1" a="1"/>
  <c r="I10" i="18" s="1"/>
  <c r="AI11" i="9"/>
  <c r="H10" i="18" s="1" a="1"/>
  <c r="H10" i="18" s="1"/>
  <c r="AJ59" i="9"/>
  <c r="I58" i="18" s="1" a="1"/>
  <c r="I58" i="18" s="1"/>
  <c r="AI59" i="9"/>
  <c r="H58" i="18" s="1" a="1"/>
  <c r="H58" i="18" s="1"/>
  <c r="AJ34" i="9"/>
  <c r="I33" i="18" s="1" a="1"/>
  <c r="I33" i="18" s="1"/>
  <c r="AI34" i="9"/>
  <c r="H33" i="18" s="1" a="1"/>
  <c r="H33" i="18" s="1"/>
  <c r="AJ71" i="9"/>
  <c r="I70" i="18" s="1" a="1"/>
  <c r="I70" i="18" s="1"/>
  <c r="AI71" i="9"/>
  <c r="H70" i="18" s="1" a="1"/>
  <c r="H70" i="18" s="1"/>
  <c r="AJ20" i="9"/>
  <c r="I19" i="18" s="1" a="1"/>
  <c r="I19" i="18" s="1"/>
  <c r="AI20" i="9"/>
  <c r="H19" i="18" s="1" a="1"/>
  <c r="H19" i="18" s="1"/>
  <c r="AJ53" i="9"/>
  <c r="I52" i="18" s="1" a="1"/>
  <c r="I52" i="18" s="1"/>
  <c r="AI53" i="9"/>
  <c r="H52" i="18" s="1" a="1"/>
  <c r="H52" i="18" s="1"/>
  <c r="AJ33" i="9"/>
  <c r="I32" i="18" s="1" a="1"/>
  <c r="I32" i="18" s="1"/>
  <c r="AI33" i="9"/>
  <c r="H32" i="18" s="1" a="1"/>
  <c r="H32" i="18" s="1"/>
  <c r="AJ38" i="9"/>
  <c r="I37" i="18" s="1" a="1"/>
  <c r="I37" i="18" s="1"/>
  <c r="AI38" i="9"/>
  <c r="H37" i="18" s="1" a="1"/>
  <c r="H37" i="18" s="1"/>
  <c r="AJ22" i="9"/>
  <c r="I21" i="18" s="1" a="1"/>
  <c r="I21" i="18" s="1"/>
  <c r="AI22" i="9"/>
  <c r="H21" i="18" s="1" a="1"/>
  <c r="H21" i="18" s="1"/>
  <c r="AJ37" i="9"/>
  <c r="I36" i="18" s="1" a="1"/>
  <c r="I36" i="18" s="1"/>
  <c r="AI37" i="9"/>
  <c r="H36" i="18" s="1" a="1"/>
  <c r="H36" i="18" s="1"/>
  <c r="AJ66" i="9"/>
  <c r="I65" i="18" s="1" a="1"/>
  <c r="I65" i="18" s="1"/>
  <c r="AI66" i="9"/>
  <c r="H65" i="18" s="1" a="1"/>
  <c r="H65" i="18" s="1"/>
  <c r="AJ41" i="9"/>
  <c r="I40" i="18" s="1" a="1"/>
  <c r="I40" i="18" s="1"/>
  <c r="AI41" i="9"/>
  <c r="H40" i="18" s="1" a="1"/>
  <c r="H40" i="18" s="1"/>
  <c r="AJ17" i="9"/>
  <c r="I16" i="18" s="1" a="1"/>
  <c r="I16" i="18" s="1"/>
  <c r="AI17" i="9"/>
  <c r="H16" i="18" s="1" a="1"/>
  <c r="H16" i="18" s="1"/>
  <c r="AJ27" i="9"/>
  <c r="I26" i="18" s="1" a="1"/>
  <c r="I26" i="18" s="1"/>
  <c r="AI27" i="9"/>
  <c r="H26" i="18" s="1" a="1"/>
  <c r="H26" i="18" s="1"/>
  <c r="AJ14" i="9"/>
  <c r="I13" i="18" s="1" a="1"/>
  <c r="I13" i="18" s="1"/>
  <c r="AI14" i="9"/>
  <c r="H13" i="18" s="1" a="1"/>
  <c r="H13" i="18" s="1"/>
  <c r="AJ60" i="9"/>
  <c r="I59" i="18" s="1" a="1"/>
  <c r="I59" i="18" s="1"/>
  <c r="AI60" i="9"/>
  <c r="H59" i="18" s="1" a="1"/>
  <c r="H59" i="18" s="1"/>
  <c r="AJ56" i="9"/>
  <c r="I55" i="18" s="1" a="1"/>
  <c r="I55" i="18" s="1"/>
  <c r="AI56" i="9"/>
  <c r="H55" i="18" s="1" a="1"/>
  <c r="H55" i="18" s="1"/>
  <c r="AJ68" i="9"/>
  <c r="I67" i="18" s="1" a="1"/>
  <c r="I67" i="18" s="1"/>
  <c r="AI68" i="9"/>
  <c r="H67" i="18" s="1" a="1"/>
  <c r="H67" i="18" s="1"/>
  <c r="AJ69" i="9"/>
  <c r="I68" i="18" s="1" a="1"/>
  <c r="I68" i="18" s="1"/>
  <c r="AI69" i="9"/>
  <c r="H68" i="18" s="1" a="1"/>
  <c r="H68" i="18" s="1"/>
  <c r="AJ67" i="9"/>
  <c r="I66" i="18" s="1" a="1"/>
  <c r="I66" i="18" s="1"/>
  <c r="AI67" i="9"/>
  <c r="H66" i="18" s="1" a="1"/>
  <c r="H66" i="18" s="1"/>
  <c r="AJ51" i="9"/>
  <c r="I50" i="18" s="1" a="1"/>
  <c r="I50" i="18" s="1"/>
  <c r="AI51" i="9"/>
  <c r="H50" i="18" s="1" a="1"/>
  <c r="H50" i="18" s="1"/>
  <c r="AJ61" i="9"/>
  <c r="I60" i="18" s="1" a="1"/>
  <c r="I60" i="18" s="1"/>
  <c r="AI61" i="9"/>
  <c r="H60" i="18" s="1" a="1"/>
  <c r="H60" i="18" s="1"/>
  <c r="AJ52" i="9"/>
  <c r="I51" i="18" s="1" a="1"/>
  <c r="I51" i="18" s="1"/>
  <c r="AI52" i="9"/>
  <c r="H51" i="18" s="1" a="1"/>
  <c r="H51" i="18" s="1"/>
  <c r="AJ19" i="9"/>
  <c r="I18" i="18" s="1" a="1"/>
  <c r="I18" i="18" s="1"/>
  <c r="AI19" i="9"/>
  <c r="H18" i="18" s="1" a="1"/>
  <c r="H18" i="18" s="1"/>
  <c r="AJ13" i="9"/>
  <c r="I12" i="18" s="1" a="1"/>
  <c r="I12" i="18" s="1"/>
  <c r="AI13" i="9"/>
  <c r="H12" i="18" s="1" a="1"/>
  <c r="H12" i="18" s="1"/>
  <c r="AF25" i="9"/>
  <c r="AF72" i="9"/>
  <c r="AF22" i="9"/>
  <c r="AF37" i="9"/>
  <c r="AF27" i="9"/>
  <c r="AF14" i="9"/>
  <c r="AF60" i="9"/>
  <c r="AF56" i="9"/>
  <c r="AF61" i="9"/>
  <c r="AF52" i="9"/>
  <c r="AF19" i="9"/>
  <c r="AF13" i="9"/>
  <c r="AF57" i="9"/>
  <c r="AF68" i="9"/>
  <c r="AF66" i="9"/>
  <c r="AF30" i="9"/>
  <c r="AF44" i="9"/>
  <c r="AF41" i="9"/>
  <c r="AF16" i="9"/>
  <c r="AF64" i="9"/>
  <c r="AF39" i="9"/>
  <c r="AF69" i="9"/>
  <c r="AF33" i="9"/>
  <c r="AF45" i="9"/>
  <c r="AF26" i="9"/>
  <c r="AF17" i="9"/>
  <c r="AF58" i="9"/>
  <c r="AF51" i="9"/>
  <c r="AF31" i="9"/>
  <c r="AF20" i="9"/>
  <c r="AF67" i="9"/>
  <c r="AF32" i="9"/>
  <c r="AF55" i="9"/>
  <c r="AF21" i="9"/>
  <c r="AF65" i="9"/>
  <c r="AF38" i="9"/>
  <c r="AF42" i="9"/>
  <c r="AF70" i="9"/>
  <c r="AF62" i="9"/>
  <c r="AF48" i="9"/>
  <c r="AF36" i="9"/>
  <c r="AF47" i="9"/>
  <c r="AF54" i="9"/>
  <c r="AF29" i="9"/>
  <c r="AF24" i="9"/>
  <c r="AF12" i="9"/>
  <c r="AF63" i="9"/>
  <c r="AF40" i="9"/>
  <c r="AF18" i="9"/>
  <c r="AF49" i="9"/>
  <c r="AF35" i="9"/>
  <c r="AF23" i="9"/>
  <c r="AF10" i="9"/>
  <c r="AF50" i="9"/>
  <c r="AF46" i="9"/>
  <c r="AF11" i="9"/>
  <c r="AF59" i="9"/>
  <c r="AF34" i="9"/>
  <c r="AF71" i="9"/>
  <c r="AF15" i="9"/>
  <c r="AF43" i="9"/>
  <c r="AF28" i="9"/>
  <c r="AF53" i="9"/>
  <c r="D9" i="18" a="1"/>
  <c r="D9" i="18" s="1"/>
  <c r="F4" i="15" a="1"/>
  <c r="F4" i="15" s="1"/>
  <c r="F27" i="18" a="1"/>
  <c r="F27" i="18" s="1"/>
  <c r="D43" i="18" a="1"/>
  <c r="D43" i="18" s="1"/>
  <c r="F12" i="18" a="1"/>
  <c r="F12" i="18" s="1"/>
  <c r="F23" i="18" a="1"/>
  <c r="F23" i="18" s="1"/>
  <c r="D18" i="18" a="1"/>
  <c r="D18" i="18" s="1"/>
  <c r="F13" i="18" a="1"/>
  <c r="F13" i="18" s="1"/>
  <c r="F29" i="18" a="1"/>
  <c r="F29" i="18" s="1"/>
  <c r="D14" i="18" a="1"/>
  <c r="D14" i="18" s="1"/>
  <c r="F22" i="18" a="1"/>
  <c r="F22" i="18" s="1"/>
  <c r="D60" i="18" a="1"/>
  <c r="D60" i="18" s="1"/>
  <c r="D51" i="18" a="1"/>
  <c r="D51" i="18" s="1"/>
  <c r="F32" i="18" a="1"/>
  <c r="F32" i="18" s="1"/>
  <c r="D13" i="18" a="1"/>
  <c r="D13" i="18" s="1"/>
  <c r="D12" i="18" a="1"/>
  <c r="D12" i="18" s="1"/>
  <c r="F11" i="18" a="1"/>
  <c r="F11" i="18" s="1"/>
  <c r="F63" i="18" a="1"/>
  <c r="F63" i="18" s="1"/>
  <c r="F37" i="18" a="1"/>
  <c r="F37" i="18" s="1"/>
  <c r="D11" i="18" a="1"/>
  <c r="D11" i="18" s="1"/>
  <c r="D26" i="18" a="1"/>
  <c r="D26" i="18" s="1"/>
  <c r="F14" i="18" a="1"/>
  <c r="F14" i="18" s="1"/>
  <c r="F47" i="18" a="1"/>
  <c r="F47" i="18" s="1"/>
  <c r="F65" i="18" a="1"/>
  <c r="F65" i="18" s="1"/>
  <c r="D70" i="18" a="1"/>
  <c r="D70" i="18" s="1"/>
  <c r="F36" i="18" a="1"/>
  <c r="F36" i="18" s="1"/>
  <c r="D10" i="18" a="1"/>
  <c r="D10" i="18" s="1"/>
  <c r="AN54" i="9"/>
  <c r="AP23" i="9"/>
  <c r="AP34" i="9"/>
  <c r="F34" i="18" s="1" a="1"/>
  <c r="F34" i="18" s="1"/>
  <c r="AP66" i="9"/>
  <c r="F66" i="18" s="1" a="1"/>
  <c r="F66" i="18" s="1"/>
  <c r="AN70" i="9"/>
  <c r="AP65" i="9"/>
  <c r="AP71" i="9"/>
  <c r="F71" i="18" s="1" a="1"/>
  <c r="F71" i="18" s="1"/>
  <c r="AN50" i="9"/>
  <c r="AN60" i="9"/>
  <c r="AP48" i="9"/>
  <c r="F48" i="18" s="1" a="1"/>
  <c r="F48" i="18" s="1"/>
  <c r="AN27" i="9"/>
  <c r="AN42" i="9"/>
  <c r="AN19" i="9"/>
  <c r="AN67" i="9"/>
  <c r="AN57" i="9"/>
  <c r="AP21" i="9"/>
  <c r="F21" i="18" s="1" a="1"/>
  <c r="F21" i="18" s="1"/>
  <c r="AP41" i="9"/>
  <c r="F41" i="18" s="1" a="1"/>
  <c r="F41" i="18" s="1"/>
  <c r="AP35" i="9"/>
  <c r="F35" i="18" s="1" a="1"/>
  <c r="F35" i="18" s="1"/>
  <c r="AP31" i="9"/>
  <c r="F31" i="18" s="1" a="1"/>
  <c r="F31" i="18" s="1"/>
  <c r="AN55" i="9"/>
  <c r="AN47" i="9"/>
  <c r="AP58" i="9"/>
  <c r="F58" i="18" s="1" a="1"/>
  <c r="F58" i="18" s="1"/>
  <c r="AN22" i="9"/>
  <c r="AP16" i="9"/>
  <c r="F16" i="18" s="1" a="1"/>
  <c r="F16" i="18" s="1"/>
  <c r="AN24" i="9"/>
  <c r="AN37" i="9"/>
  <c r="AN17" i="9"/>
  <c r="AP50" i="9"/>
  <c r="F50" i="18" s="1" a="1"/>
  <c r="F50" i="18" s="1"/>
  <c r="AN53" i="9"/>
  <c r="AP53" i="9"/>
  <c r="F53" i="18" s="1" a="1"/>
  <c r="F53" i="18" s="1"/>
  <c r="AN49" i="9"/>
  <c r="AN39" i="9"/>
  <c r="AN28" i="9"/>
  <c r="AN69" i="9"/>
  <c r="AN59" i="9"/>
  <c r="AP69" i="9"/>
  <c r="F69" i="18" s="1" a="1"/>
  <c r="F69" i="18" s="1"/>
  <c r="AP45" i="9"/>
  <c r="F45" i="18" s="1" a="1"/>
  <c r="F45" i="18" s="1"/>
  <c r="AN56" i="9"/>
  <c r="AN20" i="9"/>
  <c r="AN62" i="9"/>
  <c r="AP68" i="9"/>
  <c r="F68" i="18" s="1" a="1"/>
  <c r="F68" i="18" s="1"/>
  <c r="AP54" i="9"/>
  <c r="F54" i="18" s="1" a="1"/>
  <c r="F54" i="18" s="1"/>
  <c r="AN36" i="9"/>
  <c r="AP52" i="9"/>
  <c r="F52" i="18" s="1" a="1"/>
  <c r="F52" i="18" s="1"/>
  <c r="AN18" i="9"/>
  <c r="AN40" i="9"/>
  <c r="AP70" i="9"/>
  <c r="F70" i="18" s="1" a="1"/>
  <c r="F70" i="18" s="1"/>
  <c r="AP43" i="9"/>
  <c r="F43" i="18" s="1" a="1"/>
  <c r="F43" i="18" s="1"/>
  <c r="AP19" i="9"/>
  <c r="F19" i="18" s="1" a="1"/>
  <c r="F19" i="18" s="1"/>
  <c r="AP64" i="9"/>
  <c r="F64" i="18" s="1" a="1"/>
  <c r="F64" i="18" s="1"/>
  <c r="AP33" i="9"/>
  <c r="F33" i="18" s="1" a="1"/>
  <c r="F33" i="18" s="1"/>
  <c r="AP61" i="9"/>
  <c r="F61" i="18" s="1" a="1"/>
  <c r="F61" i="18" s="1"/>
  <c r="AN45" i="9"/>
  <c r="AN31" i="9"/>
  <c r="AN71" i="9"/>
  <c r="AP27" i="9"/>
  <c r="AP42" i="9"/>
  <c r="F42" i="18" s="1" a="1"/>
  <c r="F42" i="18" s="1"/>
  <c r="AN16" i="9"/>
  <c r="AN44" i="9"/>
  <c r="AP55" i="9"/>
  <c r="F55" i="18" s="1" a="1"/>
  <c r="F55" i="18" s="1"/>
  <c r="AP15" i="9"/>
  <c r="AN14" i="9"/>
  <c r="AN51" i="9"/>
  <c r="AP39" i="9"/>
  <c r="F39" i="18" s="1" a="1"/>
  <c r="F39" i="18" s="1"/>
  <c r="AN34" i="9"/>
  <c r="AN58" i="9"/>
  <c r="AP40" i="9"/>
  <c r="F40" i="18" s="1" a="1"/>
  <c r="F40" i="18" s="1"/>
  <c r="AN64" i="9"/>
  <c r="AP44" i="9"/>
  <c r="F44" i="18" s="1" a="1"/>
  <c r="F44" i="18" s="1"/>
  <c r="AN61" i="9"/>
  <c r="AP29" i="9"/>
  <c r="AN23" i="9"/>
  <c r="AP17" i="9"/>
  <c r="F17" i="18" s="1" a="1"/>
  <c r="F17" i="18" s="1"/>
  <c r="AN21" i="9"/>
  <c r="AN29" i="9"/>
  <c r="AP28" i="9"/>
  <c r="F28" i="18" s="1" a="1"/>
  <c r="F28" i="18" s="1"/>
  <c r="AN41" i="9"/>
  <c r="AP72" i="9"/>
  <c r="F72" i="18" s="1" a="1"/>
  <c r="F72" i="18" s="1"/>
  <c r="AP37" i="9"/>
  <c r="AP18" i="9"/>
  <c r="F18" i="18" s="1" a="1"/>
  <c r="F18" i="18" s="1"/>
  <c r="AN66" i="9"/>
  <c r="AN43" i="9"/>
  <c r="AN46" i="9"/>
  <c r="AP20" i="9"/>
  <c r="F20" i="18" s="1" a="1"/>
  <c r="F20" i="18" s="1"/>
  <c r="AN68" i="9"/>
  <c r="AP26" i="9"/>
  <c r="F26" i="18" s="1" a="1"/>
  <c r="F26" i="18" s="1"/>
  <c r="AP57" i="9"/>
  <c r="F57" i="18" s="1" a="1"/>
  <c r="F57" i="18" s="1"/>
  <c r="AP25" i="9"/>
  <c r="F25" i="18" s="1" a="1"/>
  <c r="F25" i="18" s="1"/>
  <c r="AN63" i="9"/>
  <c r="AN52" i="9"/>
  <c r="AP49" i="9"/>
  <c r="F49" i="18" s="1" a="1"/>
  <c r="F49" i="18" s="1"/>
  <c r="AP51" i="9"/>
  <c r="F51" i="18" s="1" a="1"/>
  <c r="F51" i="18" s="1"/>
  <c r="AP24" i="9"/>
  <c r="F24" i="18" s="1" a="1"/>
  <c r="F24" i="18" s="1"/>
  <c r="AP63" i="9"/>
  <c r="AN15" i="9"/>
  <c r="AN30" i="9"/>
  <c r="AP46" i="9"/>
  <c r="F46" i="18" s="1" a="1"/>
  <c r="F46" i="18" s="1"/>
  <c r="AP36" i="9"/>
  <c r="AN72" i="9"/>
  <c r="AP47" i="9"/>
  <c r="AN35" i="9"/>
  <c r="AP22" i="9"/>
  <c r="AP38" i="9"/>
  <c r="F38" i="18" s="1" a="1"/>
  <c r="F38" i="18" s="1"/>
  <c r="AN25" i="9"/>
  <c r="AN48" i="9"/>
  <c r="AP30" i="9"/>
  <c r="F30" i="18" s="1" a="1"/>
  <c r="F30" i="18" s="1"/>
  <c r="AN33" i="9"/>
  <c r="AP60" i="9"/>
  <c r="F60" i="18" s="1" a="1"/>
  <c r="F60" i="18" s="1"/>
  <c r="AN26" i="9"/>
  <c r="AN65" i="9"/>
  <c r="AP56" i="9"/>
  <c r="F56" i="18" s="1" a="1"/>
  <c r="F56" i="18" s="1"/>
  <c r="AP67" i="9"/>
  <c r="F67" i="18" s="1" a="1"/>
  <c r="F67" i="18" s="1"/>
  <c r="AN38" i="9"/>
  <c r="AP62" i="9"/>
  <c r="F62" i="18" s="1" a="1"/>
  <c r="F62" i="18" s="1"/>
  <c r="AN32" i="9"/>
  <c r="AP32" i="9"/>
  <c r="AP59" i="9"/>
  <c r="F59" i="18" s="1" a="1"/>
  <c r="F59" i="18" s="1"/>
  <c r="B4" i="16" a="1"/>
  <c r="B4" i="16" s="1"/>
  <c r="C4" i="16" a="1"/>
  <c r="C4" i="16" s="1"/>
  <c r="AH60" i="9"/>
  <c r="AD60" i="9"/>
  <c r="AC60" i="9"/>
  <c r="AD39" i="9"/>
  <c r="AH39" i="9"/>
  <c r="AC39" i="9"/>
  <c r="AH17" i="9"/>
  <c r="AD17" i="9"/>
  <c r="AC17" i="9"/>
  <c r="AH62" i="9"/>
  <c r="AD62" i="9"/>
  <c r="AC62" i="9"/>
  <c r="AH11" i="9"/>
  <c r="G10" i="18" s="1" a="1"/>
  <c r="G10" i="18" s="1"/>
  <c r="AD11" i="9"/>
  <c r="C10" i="18" s="1" a="1"/>
  <c r="C10" i="18" s="1"/>
  <c r="AC11" i="9"/>
  <c r="B10" i="18" s="1" a="1"/>
  <c r="B10" i="18" s="1"/>
  <c r="AH54" i="9"/>
  <c r="AD54" i="9"/>
  <c r="AC54" i="9"/>
  <c r="AH64" i="9"/>
  <c r="AC64" i="9"/>
  <c r="AD64" i="9"/>
  <c r="AH53" i="9"/>
  <c r="AD53" i="9"/>
  <c r="AC53" i="9"/>
  <c r="AH12" i="9"/>
  <c r="AD12" i="9"/>
  <c r="AC12" i="9"/>
  <c r="AH40" i="9"/>
  <c r="AD40" i="9"/>
  <c r="AC40" i="9"/>
  <c r="AH43" i="9"/>
  <c r="AC43" i="9"/>
  <c r="AD43" i="9"/>
  <c r="AC51" i="9"/>
  <c r="AH51" i="9"/>
  <c r="AD51" i="9"/>
  <c r="AH20" i="9"/>
  <c r="AD20" i="9"/>
  <c r="AC20" i="9"/>
  <c r="AC67" i="9"/>
  <c r="AH67" i="9"/>
  <c r="AD67" i="9"/>
  <c r="AD50" i="9"/>
  <c r="AC50" i="9"/>
  <c r="AH50" i="9"/>
  <c r="AH41" i="9"/>
  <c r="AD41" i="9"/>
  <c r="AC41" i="9"/>
  <c r="AH27" i="9"/>
  <c r="AD27" i="9"/>
  <c r="AC27" i="9"/>
  <c r="AD23" i="9"/>
  <c r="AH23" i="9"/>
  <c r="AC23" i="9"/>
  <c r="AH47" i="9"/>
  <c r="AC47" i="9"/>
  <c r="AD47" i="9"/>
  <c r="AC68" i="9"/>
  <c r="AD68" i="9"/>
  <c r="AH68" i="9"/>
  <c r="AH35" i="9"/>
  <c r="AD35" i="9"/>
  <c r="AC35" i="9"/>
  <c r="AD66" i="9"/>
  <c r="AH66" i="9"/>
  <c r="AC66" i="9"/>
  <c r="AH16" i="9"/>
  <c r="AD16" i="9"/>
  <c r="AC16" i="9"/>
  <c r="AD57" i="9"/>
  <c r="AC57" i="9"/>
  <c r="AH57" i="9"/>
  <c r="AH19" i="9"/>
  <c r="AD19" i="9"/>
  <c r="AC19" i="9"/>
  <c r="AD42" i="9"/>
  <c r="AC42" i="9"/>
  <c r="AH42" i="9"/>
  <c r="AH65" i="9"/>
  <c r="AD65" i="9"/>
  <c r="AC65" i="9"/>
  <c r="AH70" i="9"/>
  <c r="AD70" i="9"/>
  <c r="AC70" i="9"/>
  <c r="AH63" i="9"/>
  <c r="AC63" i="9"/>
  <c r="AD63" i="9"/>
  <c r="AH37" i="9"/>
  <c r="AD37" i="9"/>
  <c r="AC37" i="9"/>
  <c r="AH29" i="9"/>
  <c r="AD29" i="9"/>
  <c r="AC29" i="9"/>
  <c r="AC59" i="9"/>
  <c r="AD59" i="9"/>
  <c r="AH59" i="9"/>
  <c r="AH72" i="9"/>
  <c r="AD72" i="9"/>
  <c r="AC72" i="9"/>
  <c r="AH45" i="9"/>
  <c r="AD45" i="9"/>
  <c r="AC45" i="9"/>
  <c r="AH48" i="9"/>
  <c r="AD48" i="9"/>
  <c r="AC48" i="9"/>
  <c r="AD58" i="9"/>
  <c r="AH58" i="9"/>
  <c r="AC58" i="9"/>
  <c r="AC28" i="9"/>
  <c r="AD28" i="9"/>
  <c r="AH28" i="9"/>
  <c r="AH32" i="9"/>
  <c r="AD32" i="9"/>
  <c r="AC32" i="9"/>
  <c r="AH56" i="9"/>
  <c r="AD56" i="9"/>
  <c r="AC56" i="9"/>
  <c r="AD26" i="9"/>
  <c r="AC26" i="9"/>
  <c r="AH26" i="9"/>
  <c r="AH24" i="9"/>
  <c r="AD24" i="9"/>
  <c r="AC24" i="9"/>
  <c r="AH21" i="9"/>
  <c r="AD21" i="9"/>
  <c r="AC21" i="9"/>
  <c r="AH30" i="9"/>
  <c r="AD30" i="9"/>
  <c r="AC30" i="9"/>
  <c r="AH25" i="9"/>
  <c r="AD25" i="9"/>
  <c r="AC25" i="9"/>
  <c r="AH61" i="9"/>
  <c r="AC61" i="9"/>
  <c r="AD61" i="9"/>
  <c r="AH36" i="9"/>
  <c r="AD36" i="9"/>
  <c r="AC36" i="9"/>
  <c r="AC69" i="9"/>
  <c r="AH69" i="9"/>
  <c r="AD69" i="9"/>
  <c r="AH14" i="9"/>
  <c r="AD14" i="9"/>
  <c r="AC14" i="9"/>
  <c r="AH71" i="9"/>
  <c r="AD71" i="9"/>
  <c r="AC71" i="9"/>
  <c r="AH15" i="9"/>
  <c r="AD15" i="9"/>
  <c r="AC15" i="9"/>
  <c r="AH55" i="9"/>
  <c r="AC55" i="9"/>
  <c r="AD55" i="9"/>
  <c r="AD34" i="9"/>
  <c r="AC34" i="9"/>
  <c r="AH34" i="9"/>
  <c r="AH22" i="9"/>
  <c r="AD22" i="9"/>
  <c r="AC22" i="9"/>
  <c r="AH18" i="9"/>
  <c r="AD18" i="9"/>
  <c r="AC18" i="9"/>
  <c r="AD31" i="9"/>
  <c r="AH31" i="9"/>
  <c r="AC31" i="9"/>
  <c r="AH46" i="9"/>
  <c r="AD46" i="9"/>
  <c r="AC46" i="9"/>
  <c r="AH44" i="9"/>
  <c r="AD44" i="9"/>
  <c r="AC44" i="9"/>
  <c r="AH13" i="9"/>
  <c r="AD13" i="9"/>
  <c r="AC13" i="9"/>
  <c r="AH38" i="9"/>
  <c r="AD38" i="9"/>
  <c r="AC38" i="9"/>
  <c r="AD33" i="9"/>
  <c r="AC33" i="9"/>
  <c r="AH33" i="9"/>
  <c r="AD52" i="9"/>
  <c r="AC52" i="9"/>
  <c r="AH52" i="9"/>
  <c r="AH49" i="9"/>
  <c r="AD49" i="9"/>
  <c r="AC49" i="9"/>
  <c r="G5" i="9"/>
  <c r="C5" i="9"/>
  <c r="C4" i="15" s="1" a="1"/>
  <c r="C4" i="15" s="1"/>
  <c r="B5" i="9"/>
  <c r="B4" i="15" s="1" a="1"/>
  <c r="B4" i="15" s="1"/>
  <c r="AR27" i="9" a="1"/>
  <c r="AS27" i="9" a="1"/>
  <c r="AR17" i="9" a="1"/>
  <c r="AS17" i="9" a="1"/>
  <c r="AR36" i="9" a="1"/>
  <c r="AS36" i="9" a="1"/>
  <c r="AR44" i="9" a="1"/>
  <c r="AS44" i="9" a="1"/>
  <c r="AR29" i="9" a="1"/>
  <c r="AS29" i="9" a="1"/>
  <c r="AR33" i="9" a="1"/>
  <c r="AS33" i="9" a="1"/>
  <c r="AR41" i="9" a="1"/>
  <c r="AS41" i="9" a="1"/>
  <c r="AR42" i="9" a="1"/>
  <c r="AS42" i="9" a="1"/>
  <c r="AR19" i="9" a="1"/>
  <c r="AS19" i="9" a="1"/>
  <c r="AR53" i="9" a="1"/>
  <c r="AS53" i="9" a="1"/>
  <c r="AR18" i="9" a="1"/>
  <c r="AS18" i="9" a="1"/>
  <c r="AR62" i="9" a="1"/>
  <c r="AS62" i="9" a="1"/>
  <c r="AR67" i="9" a="1"/>
  <c r="AS67" i="9" a="1"/>
  <c r="AR40" i="9" a="1"/>
  <c r="AS40" i="9" a="1"/>
  <c r="AR14" i="9" a="1"/>
  <c r="AS14" i="9" a="1"/>
  <c r="AR65" i="9" a="1"/>
  <c r="AS65" i="9" a="1"/>
  <c r="AR32" i="9" a="1"/>
  <c r="AS32" i="9" a="1"/>
  <c r="AR57" i="9" a="1"/>
  <c r="AS57" i="9" a="1"/>
  <c r="AR49" i="9" a="1"/>
  <c r="AS49" i="9" a="1"/>
  <c r="AR51" i="9" a="1"/>
  <c r="AS51" i="9" a="1"/>
  <c r="AR15" i="9" a="1"/>
  <c r="AS15" i="9" a="1"/>
  <c r="AR39" i="9" a="1"/>
  <c r="AS39" i="9" a="1"/>
  <c r="AR30" i="9" a="1"/>
  <c r="AS30" i="9" a="1"/>
  <c r="AR54" i="9" a="1"/>
  <c r="AS54" i="9" a="1"/>
  <c r="AS28" i="9" a="1"/>
  <c r="AR28" i="9" a="1"/>
  <c r="AR34" i="9" a="1"/>
  <c r="AS34" i="9" a="1"/>
  <c r="AR66" i="9" a="1"/>
  <c r="AS66" i="9" a="1"/>
  <c r="AR38" i="9" a="1"/>
  <c r="AS38" i="9" a="1"/>
  <c r="AR46" i="9" a="1"/>
  <c r="AS46" i="9" a="1"/>
  <c r="AR69" i="9" a="1"/>
  <c r="AS69" i="9" a="1"/>
  <c r="AR58" i="9" a="1"/>
  <c r="AS58" i="9" a="1"/>
  <c r="AR43" i="9" a="1"/>
  <c r="AS43" i="9" a="1"/>
  <c r="AR59" i="9" a="1"/>
  <c r="AS59" i="9" a="1"/>
  <c r="AR55" i="9" a="1"/>
  <c r="AS55" i="9" a="1"/>
  <c r="AR64" i="9" a="1"/>
  <c r="AS64" i="9" a="1"/>
  <c r="AR70" i="9" a="1"/>
  <c r="AS70" i="9" a="1"/>
  <c r="AR47" i="9" a="1"/>
  <c r="AS47" i="9" a="1"/>
  <c r="AR45" i="9" a="1"/>
  <c r="AS45" i="9" a="1"/>
  <c r="AR68" i="9" a="1"/>
  <c r="AS68" i="9" a="1"/>
  <c r="AR35" i="9" a="1"/>
  <c r="AS35" i="9" a="1"/>
  <c r="AR56" i="9" a="1"/>
  <c r="AS56" i="9" a="1"/>
  <c r="AR31" i="9" a="1"/>
  <c r="AS31" i="9" a="1"/>
  <c r="AR61" i="9" a="1"/>
  <c r="AS61" i="9" a="1"/>
  <c r="AR22" i="9" a="1"/>
  <c r="AS22" i="9" a="1"/>
  <c r="AR20" i="9" a="1"/>
  <c r="AS20" i="9" a="1"/>
  <c r="AR71" i="9" a="1"/>
  <c r="AS71" i="9" a="1"/>
  <c r="AR50" i="9" a="1"/>
  <c r="AS50" i="9" a="1"/>
  <c r="AR23" i="9" a="1"/>
  <c r="AS23" i="9" a="1"/>
  <c r="AR60" i="9" a="1"/>
  <c r="AS60" i="9" a="1"/>
  <c r="AS24" i="9" a="1"/>
  <c r="AR24" i="9" a="1"/>
  <c r="AR63" i="9" a="1"/>
  <c r="AS63" i="9" a="1"/>
  <c r="AR48" i="9" a="1"/>
  <c r="AS48" i="9" a="1"/>
  <c r="AR26" i="9" a="1"/>
  <c r="AS26" i="9" a="1"/>
  <c r="AR37" i="9" a="1"/>
  <c r="AS37" i="9" a="1"/>
  <c r="AR16" i="9" a="1"/>
  <c r="AS16" i="9" a="1"/>
  <c r="AR21" i="9" a="1"/>
  <c r="AS21" i="9" a="1"/>
  <c r="AR52" i="9" a="1"/>
  <c r="AS52" i="9" a="1"/>
  <c r="AR25" i="9" a="1"/>
  <c r="AS25" i="9" a="1"/>
  <c r="AO71" i="9" a="1"/>
  <c r="AO27" i="9" a="1"/>
  <c r="AO55" i="9" a="1"/>
  <c r="AO58" i="9" a="1"/>
  <c r="AO66" i="9" a="1"/>
  <c r="AO61" i="9" a="1"/>
  <c r="AO17" i="9" a="1"/>
  <c r="AO57" i="9" a="1"/>
  <c r="AO43" i="9" a="1"/>
  <c r="AO45" i="9" a="1"/>
  <c r="AO65" i="9" a="1"/>
  <c r="AO50" i="9" a="1"/>
  <c r="AO36" i="9" a="1"/>
  <c r="AO49" i="9" a="1"/>
  <c r="AO64" i="9" a="1"/>
  <c r="AO46" i="9" a="1"/>
  <c r="AO62" i="9" a="1"/>
  <c r="AO44" i="9" a="1"/>
  <c r="AO51" i="9" a="1"/>
  <c r="AO70" i="9" a="1"/>
  <c r="AO26" i="9" a="1"/>
  <c r="AO23" i="9" a="1"/>
  <c r="AO29" i="9" a="1"/>
  <c r="AO15" i="9" a="1"/>
  <c r="AO47" i="9" a="1"/>
  <c r="AO25" i="9" a="1"/>
  <c r="AO32" i="9" a="1"/>
  <c r="AO38" i="9" a="1"/>
  <c r="AO33" i="9" a="1"/>
  <c r="AO37" i="9" a="1"/>
  <c r="AO60" i="9" a="1"/>
  <c r="AO42" i="9" a="1"/>
  <c r="AO39" i="9" a="1"/>
  <c r="AO68" i="9" a="1"/>
  <c r="AO24" i="9" a="1"/>
  <c r="AO19" i="9" a="1"/>
  <c r="AO30" i="9" a="1"/>
  <c r="AO35" i="9" a="1"/>
  <c r="AO20" i="9" a="1"/>
  <c r="AO63" i="9" a="1"/>
  <c r="AO53" i="9" a="1"/>
  <c r="AO54" i="9" a="1"/>
  <c r="AO56" i="9" a="1"/>
  <c r="AO48" i="9" a="1"/>
  <c r="AO18" i="9" a="1"/>
  <c r="AO28" i="9" a="1"/>
  <c r="AO59" i="9" a="1"/>
  <c r="AO41" i="9" a="1"/>
  <c r="AO34" i="9" a="1"/>
  <c r="AO16" i="9" a="1"/>
  <c r="AO67" i="9" a="1"/>
  <c r="AO21" i="9" a="1"/>
  <c r="AO40" i="9" a="1"/>
  <c r="AO69" i="9" a="1"/>
  <c r="AO22" i="9" a="1"/>
  <c r="AO52" i="9" a="1"/>
  <c r="AO14" i="9" a="1"/>
  <c r="AO31" i="9" a="1"/>
  <c r="AO72" i="9" a="1"/>
  <c r="AS25" i="9" l="1"/>
  <c r="AR25" i="9"/>
  <c r="AS52" i="9"/>
  <c r="AR52" i="9"/>
  <c r="AS21" i="9"/>
  <c r="AR21" i="9"/>
  <c r="AS16" i="9"/>
  <c r="AR16" i="9"/>
  <c r="AS37" i="9"/>
  <c r="AR37" i="9"/>
  <c r="AS26" i="9"/>
  <c r="AR26" i="9"/>
  <c r="AS48" i="9"/>
  <c r="AR48" i="9"/>
  <c r="AS63" i="9"/>
  <c r="AR63" i="9"/>
  <c r="AR24" i="9"/>
  <c r="AS24" i="9"/>
  <c r="AS60" i="9"/>
  <c r="AR60" i="9"/>
  <c r="AS23" i="9"/>
  <c r="AR23" i="9"/>
  <c r="AS50" i="9"/>
  <c r="AR50" i="9"/>
  <c r="AS71" i="9"/>
  <c r="AR71" i="9"/>
  <c r="AS20" i="9"/>
  <c r="AR20" i="9"/>
  <c r="AS22" i="9"/>
  <c r="AR22" i="9"/>
  <c r="AS61" i="9"/>
  <c r="AR61" i="9"/>
  <c r="AS31" i="9"/>
  <c r="AR31" i="9"/>
  <c r="AS56" i="9"/>
  <c r="AR56" i="9"/>
  <c r="AS35" i="9"/>
  <c r="AR35" i="9"/>
  <c r="AS68" i="9"/>
  <c r="AR68" i="9"/>
  <c r="AS45" i="9"/>
  <c r="AR45" i="9"/>
  <c r="AS47" i="9"/>
  <c r="AR47" i="9"/>
  <c r="AS70" i="9"/>
  <c r="AR70" i="9"/>
  <c r="AS64" i="9"/>
  <c r="AR64" i="9"/>
  <c r="AS55" i="9"/>
  <c r="AR55" i="9"/>
  <c r="AS59" i="9"/>
  <c r="AR59" i="9"/>
  <c r="AS43" i="9"/>
  <c r="AR43" i="9"/>
  <c r="AS58" i="9"/>
  <c r="AR58" i="9"/>
  <c r="AS69" i="9"/>
  <c r="AR69" i="9"/>
  <c r="AS46" i="9"/>
  <c r="AR46" i="9"/>
  <c r="AS38" i="9"/>
  <c r="AR38" i="9"/>
  <c r="AS66" i="9"/>
  <c r="AR66" i="9"/>
  <c r="AS34" i="9"/>
  <c r="AR34" i="9"/>
  <c r="AR28" i="9"/>
  <c r="AS28" i="9"/>
  <c r="AS54" i="9"/>
  <c r="AR54" i="9"/>
  <c r="AS30" i="9"/>
  <c r="AR30" i="9"/>
  <c r="AS39" i="9"/>
  <c r="AR39" i="9"/>
  <c r="AS15" i="9"/>
  <c r="AR15" i="9"/>
  <c r="AS51" i="9"/>
  <c r="AR51" i="9"/>
  <c r="AS49" i="9"/>
  <c r="AR49" i="9"/>
  <c r="AS57" i="9"/>
  <c r="AR57" i="9"/>
  <c r="AS32" i="9"/>
  <c r="AR32" i="9"/>
  <c r="AS65" i="9"/>
  <c r="AR65" i="9"/>
  <c r="AS14" i="9"/>
  <c r="AR14" i="9"/>
  <c r="AS40" i="9"/>
  <c r="AR40" i="9"/>
  <c r="AS67" i="9"/>
  <c r="AR67" i="9"/>
  <c r="AS62" i="9"/>
  <c r="AR62" i="9"/>
  <c r="AS18" i="9"/>
  <c r="AR18" i="9"/>
  <c r="AS53" i="9"/>
  <c r="AR53" i="9"/>
  <c r="AS19" i="9"/>
  <c r="AR19" i="9"/>
  <c r="AS42" i="9"/>
  <c r="AR42" i="9"/>
  <c r="AS41" i="9"/>
  <c r="AR41" i="9"/>
  <c r="AS33" i="9"/>
  <c r="AR33" i="9"/>
  <c r="AS29" i="9"/>
  <c r="AR29" i="9"/>
  <c r="AS44" i="9"/>
  <c r="AR44" i="9"/>
  <c r="AS36" i="9"/>
  <c r="AR36" i="9"/>
  <c r="AS17" i="9"/>
  <c r="AR17" i="9"/>
  <c r="AS27" i="9"/>
  <c r="AR27" i="9"/>
  <c r="AO56" i="9"/>
  <c r="E55" i="20" s="1" a="1"/>
  <c r="E55" i="20" s="1"/>
  <c r="AO35" i="9"/>
  <c r="E34" i="20" s="1" a="1"/>
  <c r="E34" i="20" s="1"/>
  <c r="AO68" i="9"/>
  <c r="E67" i="20" s="1" a="1"/>
  <c r="E67" i="20" s="1"/>
  <c r="AO45" i="9"/>
  <c r="E44" i="20" s="1" a="1"/>
  <c r="E44" i="20" s="1"/>
  <c r="AO47" i="9"/>
  <c r="E46" i="20" s="1" a="1"/>
  <c r="E46" i="20" s="1"/>
  <c r="AO70" i="9"/>
  <c r="E69" i="20" s="1" a="1"/>
  <c r="E69" i="20" s="1"/>
  <c r="AO64" i="9"/>
  <c r="E63" i="20" s="1" a="1"/>
  <c r="E63" i="20" s="1"/>
  <c r="AO43" i="9"/>
  <c r="E42" i="20" s="1" a="1"/>
  <c r="E42" i="20" s="1"/>
  <c r="AO58" i="9"/>
  <c r="E57" i="20" s="1" a="1"/>
  <c r="E57" i="20" s="1"/>
  <c r="AO69" i="9"/>
  <c r="E68" i="20" s="1" a="1"/>
  <c r="E68" i="20" s="1"/>
  <c r="AO31" i="9"/>
  <c r="E30" i="20" s="1" a="1"/>
  <c r="E30" i="20" s="1"/>
  <c r="AO46" i="9"/>
  <c r="E45" i="20" s="1" a="1"/>
  <c r="E45" i="20" s="1"/>
  <c r="AO38" i="9"/>
  <c r="E37" i="20" s="1" a="1"/>
  <c r="E37" i="20" s="1"/>
  <c r="AO66" i="9"/>
  <c r="E65" i="20" s="1" a="1"/>
  <c r="E65" i="20" s="1"/>
  <c r="AO34" i="9"/>
  <c r="E33" i="20" s="1" a="1"/>
  <c r="E33" i="20" s="1"/>
  <c r="AO28" i="9"/>
  <c r="E27" i="20" s="1" a="1"/>
  <c r="E27" i="20" s="1"/>
  <c r="AO54" i="9"/>
  <c r="E53" i="20" s="1" a="1"/>
  <c r="E53" i="20" s="1"/>
  <c r="AO30" i="9"/>
  <c r="E29" i="20" s="1" a="1"/>
  <c r="E29" i="20" s="1"/>
  <c r="AO39" i="9"/>
  <c r="E38" i="20" s="1" a="1"/>
  <c r="E38" i="20" s="1"/>
  <c r="AO32" i="9"/>
  <c r="E31" i="20" s="1" a="1"/>
  <c r="E31" i="20" s="1"/>
  <c r="AO15" i="9"/>
  <c r="E14" i="20" s="1" a="1"/>
  <c r="E14" i="20" s="1"/>
  <c r="AO51" i="9"/>
  <c r="E50" i="20" s="1" a="1"/>
  <c r="E50" i="20" s="1"/>
  <c r="AO49" i="9"/>
  <c r="E48" i="20" s="1" a="1"/>
  <c r="E48" i="20" s="1"/>
  <c r="AO57" i="9"/>
  <c r="E56" i="20" s="1" a="1"/>
  <c r="E56" i="20" s="1"/>
  <c r="AO55" i="9"/>
  <c r="E54" i="20" s="1" a="1"/>
  <c r="E54" i="20" s="1"/>
  <c r="AO65" i="9"/>
  <c r="E64" i="20" s="1" a="1"/>
  <c r="E64" i="20" s="1"/>
  <c r="AO14" i="9"/>
  <c r="E13" i="20" s="1" a="1"/>
  <c r="E13" i="20" s="1"/>
  <c r="AO40" i="9"/>
  <c r="E39" i="20" s="1" a="1"/>
  <c r="E39" i="20" s="1"/>
  <c r="AO67" i="9"/>
  <c r="E66" i="20" s="1" a="1"/>
  <c r="E66" i="20" s="1"/>
  <c r="AO26" i="9"/>
  <c r="E25" i="20" s="1" a="1"/>
  <c r="E25" i="20" s="1"/>
  <c r="AO41" i="9"/>
  <c r="E40" i="20" s="1" a="1"/>
  <c r="E40" i="20" s="1"/>
  <c r="AO18" i="9"/>
  <c r="E17" i="20" s="1" a="1"/>
  <c r="E17" i="20" s="1"/>
  <c r="AO53" i="9"/>
  <c r="E52" i="20" s="1" a="1"/>
  <c r="E52" i="20" s="1"/>
  <c r="AO19" i="9"/>
  <c r="E18" i="20" s="1" a="1"/>
  <c r="E18" i="20" s="1"/>
  <c r="AO42" i="9"/>
  <c r="E41" i="20" s="1" a="1"/>
  <c r="E41" i="20" s="1"/>
  <c r="AO33" i="9"/>
  <c r="E32" i="20" s="1" a="1"/>
  <c r="E32" i="20" s="1"/>
  <c r="AO29" i="9"/>
  <c r="E28" i="20" s="1" a="1"/>
  <c r="E28" i="20" s="1"/>
  <c r="AO44" i="9"/>
  <c r="E43" i="20" s="1" a="1"/>
  <c r="E43" i="20" s="1"/>
  <c r="AO36" i="9"/>
  <c r="E35" i="20" s="1" a="1"/>
  <c r="E35" i="20" s="1"/>
  <c r="AO17" i="9"/>
  <c r="E16" i="20" s="1" a="1"/>
  <c r="E16" i="20" s="1"/>
  <c r="AO27" i="9"/>
  <c r="E26" i="20" s="1" a="1"/>
  <c r="E26" i="20" s="1"/>
  <c r="AO72" i="9"/>
  <c r="E71" i="20" s="1" a="1"/>
  <c r="E71" i="20" s="1"/>
  <c r="AO52" i="9"/>
  <c r="E51" i="20" s="1" a="1"/>
  <c r="E51" i="20" s="1"/>
  <c r="AO21" i="9"/>
  <c r="E20" i="20" s="1" a="1"/>
  <c r="E20" i="20" s="1"/>
  <c r="AO16" i="9"/>
  <c r="E15" i="20" s="1" a="1"/>
  <c r="E15" i="20" s="1"/>
  <c r="AO37" i="9"/>
  <c r="E36" i="20" s="1" a="1"/>
  <c r="E36" i="20" s="1"/>
  <c r="AO59" i="9"/>
  <c r="E58" i="20" s="1" a="1"/>
  <c r="E58" i="20" s="1"/>
  <c r="AO48" i="9"/>
  <c r="E47" i="20" s="1" a="1"/>
  <c r="E47" i="20" s="1"/>
  <c r="AO63" i="9"/>
  <c r="E62" i="20" s="1" a="1"/>
  <c r="E62" i="20" s="1"/>
  <c r="AO24" i="9"/>
  <c r="E23" i="20" s="1" a="1"/>
  <c r="E23" i="20" s="1"/>
  <c r="AO60" i="9"/>
  <c r="E59" i="20" s="1" a="1"/>
  <c r="E59" i="20" s="1"/>
  <c r="AO25" i="9"/>
  <c r="E24" i="20" s="1" a="1"/>
  <c r="E24" i="20" s="1"/>
  <c r="AO23" i="9"/>
  <c r="E22" i="20" s="1" a="1"/>
  <c r="E22" i="20" s="1"/>
  <c r="AO62" i="9"/>
  <c r="E61" i="20" s="1" a="1"/>
  <c r="E61" i="20" s="1"/>
  <c r="AO50" i="9"/>
  <c r="E49" i="20" s="1" a="1"/>
  <c r="E49" i="20" s="1"/>
  <c r="AO61" i="9"/>
  <c r="E60" i="20" s="1" a="1"/>
  <c r="E60" i="20" s="1"/>
  <c r="AO71" i="9"/>
  <c r="E70" i="20" s="1" a="1"/>
  <c r="E70" i="20" s="1"/>
  <c r="AO20" i="9"/>
  <c r="E19" i="20" s="1" a="1"/>
  <c r="E19" i="20" s="1"/>
  <c r="AO22" i="9"/>
  <c r="E21" i="20" s="1" a="1"/>
  <c r="E21" i="20" s="1"/>
  <c r="D56" i="18" a="1"/>
  <c r="D56" i="18" s="1"/>
  <c r="D35" i="18" a="1"/>
  <c r="D35" i="18" s="1"/>
  <c r="D68" i="18" a="1"/>
  <c r="D68" i="18" s="1"/>
  <c r="D45" i="18" a="1"/>
  <c r="D45" i="18" s="1"/>
  <c r="D47" i="18" a="1"/>
  <c r="D47" i="18" s="1"/>
  <c r="D64" i="18" a="1"/>
  <c r="D64" i="18" s="1"/>
  <c r="D58" i="18" a="1"/>
  <c r="D58" i="18" s="1"/>
  <c r="D69" i="18" a="1"/>
  <c r="D69" i="18" s="1"/>
  <c r="D31" i="18" a="1"/>
  <c r="D31" i="18" s="1"/>
  <c r="D46" i="18" a="1"/>
  <c r="D46" i="18" s="1"/>
  <c r="D38" i="18" a="1"/>
  <c r="D38" i="18" s="1"/>
  <c r="D66" i="18" a="1"/>
  <c r="D66" i="18" s="1"/>
  <c r="D34" i="18" a="1"/>
  <c r="D34" i="18" s="1"/>
  <c r="D28" i="18" a="1"/>
  <c r="D28" i="18" s="1"/>
  <c r="D54" i="18" a="1"/>
  <c r="D54" i="18" s="1"/>
  <c r="D30" i="18" a="1"/>
  <c r="D30" i="18" s="1"/>
  <c r="D39" i="18" a="1"/>
  <c r="D39" i="18" s="1"/>
  <c r="D32" i="18" a="1"/>
  <c r="D32" i="18" s="1"/>
  <c r="D15" i="19" a="1"/>
  <c r="D15" i="19" s="1"/>
  <c r="D49" i="18" a="1"/>
  <c r="D49" i="18" s="1"/>
  <c r="D57" i="18" a="1"/>
  <c r="D57" i="18" s="1"/>
  <c r="D55" i="18" a="1"/>
  <c r="D55" i="18" s="1"/>
  <c r="D65" i="18" a="1"/>
  <c r="D65" i="18" s="1"/>
  <c r="D40" i="18" a="1"/>
  <c r="D40" i="18" s="1"/>
  <c r="D67" i="18" a="1"/>
  <c r="D67" i="18" s="1"/>
  <c r="D41" i="18" a="1"/>
  <c r="D41" i="18" s="1"/>
  <c r="D18" i="19" a="1"/>
  <c r="D18" i="19" s="1"/>
  <c r="D53" i="18" a="1"/>
  <c r="D53" i="18" s="1"/>
  <c r="D42" i="18" a="1"/>
  <c r="D42" i="18" s="1"/>
  <c r="D33" i="18" a="1"/>
  <c r="D33" i="18" s="1"/>
  <c r="D29" i="18" a="1"/>
  <c r="D29" i="18" s="1"/>
  <c r="D44" i="18" a="1"/>
  <c r="D44" i="18" s="1"/>
  <c r="D36" i="18" a="1"/>
  <c r="D36" i="18" s="1"/>
  <c r="D27" i="18" a="1"/>
  <c r="D27" i="18" s="1"/>
  <c r="D72" i="18" a="1"/>
  <c r="D72" i="18" s="1"/>
  <c r="D52" i="18" a="1"/>
  <c r="D52" i="18" s="1"/>
  <c r="D21" i="18" a="1"/>
  <c r="D21" i="18" s="1"/>
  <c r="D16" i="19" a="1"/>
  <c r="D16" i="19" s="1"/>
  <c r="D37" i="18" a="1"/>
  <c r="D37" i="18" s="1"/>
  <c r="D59" i="18" a="1"/>
  <c r="D59" i="18" s="1"/>
  <c r="D48" i="18" a="1"/>
  <c r="D48" i="18" s="1"/>
  <c r="D63" i="18" a="1"/>
  <c r="D63" i="18" s="1"/>
  <c r="D24" i="18" a="1"/>
  <c r="D24" i="18" s="1"/>
  <c r="D25" i="18" a="1"/>
  <c r="D25" i="18" s="1"/>
  <c r="D23" i="18" a="1"/>
  <c r="D23" i="18" s="1"/>
  <c r="D62" i="18" a="1"/>
  <c r="D62" i="18" s="1"/>
  <c r="D50" i="18" a="1"/>
  <c r="D50" i="18" s="1"/>
  <c r="D61" i="18" a="1"/>
  <c r="D61" i="18" s="1"/>
  <c r="D71" i="18" a="1"/>
  <c r="D71" i="18" s="1"/>
  <c r="D22" i="18" a="1"/>
  <c r="D22" i="18" s="1"/>
  <c r="D14" i="19" a="1"/>
  <c r="D14" i="19" s="1"/>
  <c r="D13" i="19" a="1"/>
  <c r="D13" i="19" s="1"/>
  <c r="F15" i="18" a="1"/>
  <c r="F15" i="18" s="1"/>
  <c r="F14" i="19" a="1"/>
  <c r="F14" i="19" s="1"/>
  <c r="D19" i="19" a="1"/>
  <c r="D19" i="19" s="1"/>
  <c r="D17" i="19" a="1"/>
  <c r="D17" i="19" s="1"/>
  <c r="D20" i="19" a="1"/>
  <c r="D20" i="19" s="1"/>
  <c r="G4" i="15" a="1"/>
  <c r="G4" i="15" s="1"/>
  <c r="C48" i="18" a="1"/>
  <c r="C48" i="18" s="1"/>
  <c r="D15" i="18" a="1"/>
  <c r="D15" i="18" s="1"/>
  <c r="G55" i="18" a="1"/>
  <c r="G55" i="18" s="1"/>
  <c r="C53" i="18" a="1"/>
  <c r="C53" i="18" s="1"/>
  <c r="C64" i="18" a="1"/>
  <c r="C64" i="18" s="1"/>
  <c r="G39" i="18" a="1"/>
  <c r="G39" i="18" s="1"/>
  <c r="G12" i="18" a="1"/>
  <c r="G12" i="18" s="1"/>
  <c r="C23" i="18" a="1"/>
  <c r="C23" i="18" s="1"/>
  <c r="C51" i="18" a="1"/>
  <c r="C51" i="18" s="1"/>
  <c r="D17" i="18" a="1"/>
  <c r="D17" i="18" s="1"/>
  <c r="B27" i="18" a="1"/>
  <c r="B27" i="18" s="1"/>
  <c r="G25" i="18" a="1"/>
  <c r="G25" i="18" s="1"/>
  <c r="C32" i="18" a="1"/>
  <c r="C32" i="18" s="1"/>
  <c r="D19" i="18" a="1"/>
  <c r="D19" i="18" s="1"/>
  <c r="B52" i="18" a="1"/>
  <c r="B52" i="18" s="1"/>
  <c r="G18" i="18" a="1"/>
  <c r="G18" i="18" s="1"/>
  <c r="C30" i="18" a="1"/>
  <c r="C30" i="18" s="1"/>
  <c r="G54" i="18" a="1"/>
  <c r="G54" i="18" s="1"/>
  <c r="G28" i="18" a="1"/>
  <c r="G28" i="18" s="1"/>
  <c r="C41" i="18" a="1"/>
  <c r="C41" i="18" s="1"/>
  <c r="G43" i="18" a="1"/>
  <c r="G43" i="18" s="1"/>
  <c r="C22" i="18" a="1"/>
  <c r="C22" i="18" s="1"/>
  <c r="G14" i="18" a="1"/>
  <c r="G14" i="18" s="1"/>
  <c r="C35" i="18" a="1"/>
  <c r="C35" i="18" s="1"/>
  <c r="G41" i="18" a="1"/>
  <c r="G41" i="18" s="1"/>
  <c r="B40" i="18" a="1"/>
  <c r="B40" i="18" s="1"/>
  <c r="B42" i="18" a="1"/>
  <c r="B42" i="18" s="1"/>
  <c r="G11" i="18" a="1"/>
  <c r="G11" i="18" s="1"/>
  <c r="G50" i="18" a="1"/>
  <c r="G50" i="18" s="1"/>
  <c r="G13" i="18" a="1"/>
  <c r="G13" i="18" s="1"/>
  <c r="G68" i="18" a="1"/>
  <c r="G68" i="18" s="1"/>
  <c r="B50" i="18" a="1"/>
  <c r="B50" i="18" s="1"/>
  <c r="G38" i="18" a="1"/>
  <c r="G38" i="18" s="1"/>
  <c r="B69" i="18" a="1"/>
  <c r="B69" i="18" s="1"/>
  <c r="B24" i="18" a="1"/>
  <c r="B24" i="18" s="1"/>
  <c r="B48" i="18" a="1"/>
  <c r="B48" i="18" s="1"/>
  <c r="C63" i="18" a="1"/>
  <c r="C63" i="18" s="1"/>
  <c r="G22" i="18" a="1"/>
  <c r="G22" i="18" s="1"/>
  <c r="B28" i="18" a="1"/>
  <c r="B28" i="18" s="1"/>
  <c r="B37" i="18" a="1"/>
  <c r="B37" i="18" s="1"/>
  <c r="C19" i="18" a="1"/>
  <c r="C19" i="18" s="1"/>
  <c r="D20" i="18" a="1"/>
  <c r="D20" i="18" s="1"/>
  <c r="D16" i="18" a="1"/>
  <c r="D16" i="18" s="1"/>
  <c r="E72" i="19" a="1"/>
  <c r="E72" i="19" s="1"/>
  <c r="D47" i="19" a="1"/>
  <c r="D47" i="19" s="1"/>
  <c r="D55" i="19" a="1"/>
  <c r="D55" i="19" s="1"/>
  <c r="D35" i="19" a="1"/>
  <c r="D35" i="19" s="1"/>
  <c r="AL37" i="9"/>
  <c r="AM37" i="9"/>
  <c r="F37" i="19" a="1"/>
  <c r="F37" i="19" s="1"/>
  <c r="AQ37" i="9"/>
  <c r="AQ55" i="9"/>
  <c r="AM55" i="9"/>
  <c r="F55" i="19" a="1"/>
  <c r="F55" i="19" s="1"/>
  <c r="AL55" i="9"/>
  <c r="D62" i="19" a="1"/>
  <c r="D62" i="19" s="1"/>
  <c r="AQ31" i="9"/>
  <c r="AM31" i="9"/>
  <c r="AL31" i="9"/>
  <c r="F31" i="19" a="1"/>
  <c r="F31" i="19" s="1"/>
  <c r="AQ47" i="9"/>
  <c r="F47" i="19" a="1"/>
  <c r="F47" i="19" s="1"/>
  <c r="AM47" i="9"/>
  <c r="AL47" i="9"/>
  <c r="AQ72" i="9"/>
  <c r="G72" i="19" s="1" a="1"/>
  <c r="G72" i="19" s="1"/>
  <c r="AL72" i="9"/>
  <c r="B72" i="19" s="1" a="1"/>
  <c r="B72" i="19" s="1"/>
  <c r="F72" i="19" a="1"/>
  <c r="F72" i="19" s="1"/>
  <c r="AM72" i="9"/>
  <c r="C72" i="19" s="1" a="1"/>
  <c r="C72" i="19" s="1"/>
  <c r="D44" i="19" a="1"/>
  <c r="D44" i="19" s="1"/>
  <c r="AM35" i="9"/>
  <c r="AL35" i="9"/>
  <c r="F35" i="19" a="1"/>
  <c r="F35" i="19" s="1"/>
  <c r="AQ35" i="9"/>
  <c r="D72" i="19" a="1"/>
  <c r="D72" i="19" s="1"/>
  <c r="D41" i="19" a="1"/>
  <c r="D41" i="19" s="1"/>
  <c r="D56" i="19" a="1"/>
  <c r="D56" i="19" s="1"/>
  <c r="F41" i="19" a="1"/>
  <c r="F41" i="19" s="1"/>
  <c r="AM41" i="9"/>
  <c r="AL41" i="9"/>
  <c r="AQ41" i="9"/>
  <c r="AQ36" i="9"/>
  <c r="AM36" i="9"/>
  <c r="AL36" i="9"/>
  <c r="F36" i="19" a="1"/>
  <c r="F36" i="19" s="1"/>
  <c r="AQ28" i="9"/>
  <c r="F28" i="19" a="1"/>
  <c r="F28" i="19" s="1"/>
  <c r="AM28" i="9"/>
  <c r="AL28" i="9"/>
  <c r="AL45" i="9"/>
  <c r="AM45" i="9"/>
  <c r="AQ45" i="9"/>
  <c r="F45" i="19" a="1"/>
  <c r="F45" i="19" s="1"/>
  <c r="AL21" i="9"/>
  <c r="AM21" i="9"/>
  <c r="F21" i="19" a="1"/>
  <c r="F21" i="19" s="1"/>
  <c r="AQ21" i="9"/>
  <c r="AQ18" i="9"/>
  <c r="F18" i="19" a="1"/>
  <c r="F18" i="19" s="1"/>
  <c r="AM18" i="9"/>
  <c r="AL18" i="9"/>
  <c r="F46" i="19" a="1"/>
  <c r="F46" i="19" s="1"/>
  <c r="AM46" i="9"/>
  <c r="C46" i="19" s="1" a="1"/>
  <c r="C46" i="19" s="1"/>
  <c r="AL46" i="9"/>
  <c r="B46" i="19" s="1" a="1"/>
  <c r="B46" i="19" s="1"/>
  <c r="AQ46" i="9"/>
  <c r="AQ42" i="9"/>
  <c r="AM42" i="9"/>
  <c r="AL42" i="9"/>
  <c r="F42" i="19" a="1"/>
  <c r="F42" i="19" s="1"/>
  <c r="AL69" i="9"/>
  <c r="AM69" i="9"/>
  <c r="AQ69" i="9"/>
  <c r="F69" i="19" a="1"/>
  <c r="F69" i="19" s="1"/>
  <c r="D57" i="19" a="1"/>
  <c r="D57" i="19" s="1"/>
  <c r="AM59" i="9"/>
  <c r="AQ59" i="9"/>
  <c r="AL59" i="9"/>
  <c r="F59" i="19" a="1"/>
  <c r="F59" i="19" s="1"/>
  <c r="D30" i="19" a="1"/>
  <c r="D30" i="19" s="1"/>
  <c r="D29" i="19" a="1"/>
  <c r="D29" i="19" s="1"/>
  <c r="AM27" i="9"/>
  <c r="AL27" i="9"/>
  <c r="AQ27" i="9"/>
  <c r="F27" i="19" a="1"/>
  <c r="F27" i="19" s="1"/>
  <c r="D59" i="19" a="1"/>
  <c r="D59" i="19" s="1"/>
  <c r="D67" i="19" a="1"/>
  <c r="D67" i="19" s="1"/>
  <c r="AQ32" i="9"/>
  <c r="AL32" i="9"/>
  <c r="AM32" i="9"/>
  <c r="F32" i="19" a="1"/>
  <c r="F32" i="19" s="1"/>
  <c r="D21" i="19" a="1"/>
  <c r="D21" i="19" s="1"/>
  <c r="D71" i="19" a="1"/>
  <c r="D71" i="19" s="1"/>
  <c r="AQ63" i="9"/>
  <c r="F63" i="19" a="1"/>
  <c r="F63" i="19" s="1"/>
  <c r="AL63" i="9"/>
  <c r="AM63" i="9"/>
  <c r="D32" i="19" a="1"/>
  <c r="D32" i="19" s="1"/>
  <c r="AQ17" i="9"/>
  <c r="F17" i="19" a="1"/>
  <c r="F17" i="19" s="1"/>
  <c r="AM17" i="9"/>
  <c r="AL17" i="9"/>
  <c r="D31" i="19" a="1"/>
  <c r="D31" i="19" s="1"/>
  <c r="D69" i="19" a="1"/>
  <c r="D69" i="19" s="1"/>
  <c r="D42" i="19" a="1"/>
  <c r="D42" i="19" s="1"/>
  <c r="AM62" i="9"/>
  <c r="F62" i="19" a="1"/>
  <c r="F62" i="19" s="1"/>
  <c r="AL62" i="9"/>
  <c r="AQ62" i="9"/>
  <c r="AQ24" i="9"/>
  <c r="AM24" i="9"/>
  <c r="F24" i="19" a="1"/>
  <c r="F24" i="19" s="1"/>
  <c r="AL24" i="9"/>
  <c r="D23" i="19" a="1"/>
  <c r="D23" i="19" s="1"/>
  <c r="D45" i="19" a="1"/>
  <c r="D45" i="19" s="1"/>
  <c r="D28" i="19" a="1"/>
  <c r="D28" i="19" s="1"/>
  <c r="D27" i="19" a="1"/>
  <c r="D27" i="19" s="1"/>
  <c r="AQ38" i="9"/>
  <c r="AM38" i="9"/>
  <c r="AL38" i="9"/>
  <c r="F38" i="19" a="1"/>
  <c r="F38" i="19" s="1"/>
  <c r="D38" i="19" a="1"/>
  <c r="D38" i="19" s="1"/>
  <c r="AM51" i="9"/>
  <c r="F51" i="19" a="1"/>
  <c r="F51" i="19" s="1"/>
  <c r="AL51" i="9"/>
  <c r="AQ51" i="9"/>
  <c r="AL61" i="9"/>
  <c r="AM61" i="9"/>
  <c r="C61" i="19" s="1" a="1"/>
  <c r="C61" i="19" s="1"/>
  <c r="AQ61" i="9"/>
  <c r="F61" i="19" a="1"/>
  <c r="F61" i="19" s="1"/>
  <c r="D39" i="19" a="1"/>
  <c r="D39" i="19" s="1"/>
  <c r="AQ48" i="9"/>
  <c r="F48" i="19" a="1"/>
  <c r="F48" i="19" s="1"/>
  <c r="AM48" i="9"/>
  <c r="AL48" i="9"/>
  <c r="AM67" i="9"/>
  <c r="AQ67" i="9"/>
  <c r="AL67" i="9"/>
  <c r="F67" i="19" a="1"/>
  <c r="F67" i="19" s="1"/>
  <c r="AQ49" i="9"/>
  <c r="AM49" i="9"/>
  <c r="AL49" i="9"/>
  <c r="F49" i="19" a="1"/>
  <c r="F49" i="19" s="1"/>
  <c r="AL29" i="9"/>
  <c r="AQ29" i="9"/>
  <c r="F29" i="19" a="1"/>
  <c r="F29" i="19" s="1"/>
  <c r="AM29" i="9"/>
  <c r="AL33" i="9"/>
  <c r="AM33" i="9"/>
  <c r="AQ33" i="9"/>
  <c r="F33" i="19" a="1"/>
  <c r="F33" i="19" s="1"/>
  <c r="D49" i="19" a="1"/>
  <c r="D49" i="19" s="1"/>
  <c r="D60" i="19" a="1"/>
  <c r="D60" i="19" s="1"/>
  <c r="D52" i="19" a="1"/>
  <c r="D52" i="19" s="1"/>
  <c r="D61" i="19" a="1"/>
  <c r="D61" i="19" s="1"/>
  <c r="AQ64" i="9"/>
  <c r="AL64" i="9"/>
  <c r="F64" i="19" a="1"/>
  <c r="F64" i="19" s="1"/>
  <c r="AM64" i="9"/>
  <c r="AL53" i="9"/>
  <c r="B53" i="19" s="1" a="1"/>
  <c r="B53" i="19" s="1"/>
  <c r="AM53" i="9"/>
  <c r="F53" i="19" a="1"/>
  <c r="F53" i="19" s="1"/>
  <c r="AQ53" i="9"/>
  <c r="D50" i="19" a="1"/>
  <c r="D50" i="19" s="1"/>
  <c r="AL68" i="9"/>
  <c r="AQ68" i="9"/>
  <c r="F68" i="19" a="1"/>
  <c r="F68" i="19" s="1"/>
  <c r="AM68" i="9"/>
  <c r="C68" i="19" s="1" a="1"/>
  <c r="C68" i="19" s="1"/>
  <c r="AQ56" i="9"/>
  <c r="F56" i="19" a="1"/>
  <c r="F56" i="19" s="1"/>
  <c r="AM56" i="9"/>
  <c r="AL56" i="9"/>
  <c r="F19" i="19" a="1"/>
  <c r="F19" i="19" s="1"/>
  <c r="AQ19" i="9"/>
  <c r="AM19" i="9"/>
  <c r="AL19" i="9"/>
  <c r="D53" i="19" a="1"/>
  <c r="D53" i="19" s="1"/>
  <c r="AQ71" i="9"/>
  <c r="F71" i="19" a="1"/>
  <c r="F71" i="19" s="1"/>
  <c r="AL71" i="9"/>
  <c r="AM71" i="9"/>
  <c r="D63" i="19" a="1"/>
  <c r="D63" i="19" s="1"/>
  <c r="D65" i="19" a="1"/>
  <c r="D65" i="19" s="1"/>
  <c r="AQ25" i="9"/>
  <c r="F25" i="19" a="1"/>
  <c r="F25" i="19" s="1"/>
  <c r="AM25" i="9"/>
  <c r="AL25" i="9"/>
  <c r="AL44" i="9"/>
  <c r="AQ44" i="9"/>
  <c r="AM44" i="9"/>
  <c r="F44" i="19" a="1"/>
  <c r="F44" i="19" s="1"/>
  <c r="AM43" i="9"/>
  <c r="AL43" i="9"/>
  <c r="F43" i="19" a="1"/>
  <c r="F43" i="19" s="1"/>
  <c r="AQ43" i="9"/>
  <c r="AQ50" i="9"/>
  <c r="AM50" i="9"/>
  <c r="AL50" i="9"/>
  <c r="F50" i="19" a="1"/>
  <c r="F50" i="19" s="1"/>
  <c r="AQ15" i="9"/>
  <c r="F15" i="19" a="1"/>
  <c r="F15" i="19" s="1"/>
  <c r="AM15" i="9"/>
  <c r="AL15" i="9"/>
  <c r="D26" i="19" a="1"/>
  <c r="D26" i="19" s="1"/>
  <c r="F57" i="19" a="1"/>
  <c r="F57" i="19" s="1"/>
  <c r="AM57" i="9"/>
  <c r="AQ57" i="9"/>
  <c r="AL57" i="9"/>
  <c r="D64" i="19" a="1"/>
  <c r="D64" i="19" s="1"/>
  <c r="AQ70" i="9"/>
  <c r="AL70" i="9"/>
  <c r="F70" i="19" a="1"/>
  <c r="F70" i="19" s="1"/>
  <c r="AM70" i="9"/>
  <c r="C70" i="19" s="1" a="1"/>
  <c r="C70" i="19" s="1"/>
  <c r="AQ65" i="9"/>
  <c r="AL65" i="9"/>
  <c r="AM65" i="9"/>
  <c r="F65" i="19" a="1"/>
  <c r="F65" i="19" s="1"/>
  <c r="AQ22" i="9"/>
  <c r="AL22" i="9"/>
  <c r="AM22" i="9"/>
  <c r="F22" i="19" a="1"/>
  <c r="F22" i="19" s="1"/>
  <c r="AM60" i="9"/>
  <c r="AQ60" i="9"/>
  <c r="AL60" i="9"/>
  <c r="F60" i="19" a="1"/>
  <c r="F60" i="19" s="1"/>
  <c r="AL26" i="9"/>
  <c r="AM26" i="9"/>
  <c r="AQ26" i="9"/>
  <c r="G26" i="19" s="1" a="1"/>
  <c r="G26" i="19" s="1"/>
  <c r="F26" i="19" a="1"/>
  <c r="F26" i="19" s="1"/>
  <c r="AQ40" i="9"/>
  <c r="G40" i="19" s="1" a="1"/>
  <c r="G40" i="19" s="1"/>
  <c r="AM40" i="9"/>
  <c r="C40" i="19" s="1" a="1"/>
  <c r="C40" i="19" s="1"/>
  <c r="AL40" i="9"/>
  <c r="B40" i="19" s="1" a="1"/>
  <c r="B40" i="19" s="1"/>
  <c r="F40" i="19" a="1"/>
  <c r="F40" i="19" s="1"/>
  <c r="D40" i="19" a="1"/>
  <c r="D40" i="19" s="1"/>
  <c r="D37" i="19" a="1"/>
  <c r="D37" i="19" s="1"/>
  <c r="D70" i="19" a="1"/>
  <c r="D70" i="19" s="1"/>
  <c r="D33" i="19" a="1"/>
  <c r="D33" i="19" s="1"/>
  <c r="D68" i="19" a="1"/>
  <c r="D68" i="19" s="1"/>
  <c r="D58" i="19" a="1"/>
  <c r="D58" i="19" s="1"/>
  <c r="D24" i="19" a="1"/>
  <c r="D24" i="19" s="1"/>
  <c r="AM66" i="9"/>
  <c r="C66" i="19" s="1" a="1"/>
  <c r="C66" i="19" s="1"/>
  <c r="AQ66" i="9"/>
  <c r="F66" i="19" a="1"/>
  <c r="F66" i="19" s="1"/>
  <c r="AL66" i="9"/>
  <c r="D66" i="19" a="1"/>
  <c r="D66" i="19" s="1"/>
  <c r="AM30" i="9"/>
  <c r="AQ30" i="9"/>
  <c r="AL30" i="9"/>
  <c r="F30" i="19" a="1"/>
  <c r="F30" i="19" s="1"/>
  <c r="AQ20" i="9"/>
  <c r="G20" i="19" s="1" a="1"/>
  <c r="G20" i="19" s="1"/>
  <c r="F20" i="19" a="1"/>
  <c r="F20" i="19" s="1"/>
  <c r="AM20" i="9"/>
  <c r="C20" i="19" s="1" a="1"/>
  <c r="C20" i="19" s="1"/>
  <c r="AL20" i="9"/>
  <c r="B20" i="19" s="1" a="1"/>
  <c r="B20" i="19" s="1"/>
  <c r="D34" i="19" a="1"/>
  <c r="D34" i="19" s="1"/>
  <c r="AL52" i="9"/>
  <c r="F52" i="19" a="1"/>
  <c r="F52" i="19" s="1"/>
  <c r="AM52" i="9"/>
  <c r="C52" i="19" s="1" a="1"/>
  <c r="C52" i="19" s="1"/>
  <c r="AQ52" i="9"/>
  <c r="AQ16" i="9"/>
  <c r="G16" i="19" s="1" a="1"/>
  <c r="G16" i="19" s="1"/>
  <c r="F16" i="19" a="1"/>
  <c r="F16" i="19" s="1"/>
  <c r="AM16" i="9"/>
  <c r="C16" i="19" s="1" a="1"/>
  <c r="C16" i="19" s="1"/>
  <c r="AL16" i="9"/>
  <c r="B16" i="19" s="1" a="1"/>
  <c r="B16" i="19" s="1"/>
  <c r="AQ34" i="9"/>
  <c r="AL34" i="9"/>
  <c r="AM34" i="9"/>
  <c r="F34" i="19" a="1"/>
  <c r="F34" i="19" s="1"/>
  <c r="D48" i="19" a="1"/>
  <c r="D48" i="19" s="1"/>
  <c r="D46" i="19" a="1"/>
  <c r="D46" i="19" s="1"/>
  <c r="AQ39" i="9"/>
  <c r="AM39" i="9"/>
  <c r="F39" i="19" a="1"/>
  <c r="F39" i="19" s="1"/>
  <c r="AL39" i="9"/>
  <c r="B39" i="19" s="1" a="1"/>
  <c r="B39" i="19" s="1"/>
  <c r="D36" i="19" a="1"/>
  <c r="D36" i="19" s="1"/>
  <c r="D22" i="19" a="1"/>
  <c r="D22" i="19" s="1"/>
  <c r="AQ23" i="9"/>
  <c r="AL23" i="9"/>
  <c r="AM23" i="9"/>
  <c r="F23" i="19" a="1"/>
  <c r="F23" i="19" s="1"/>
  <c r="D25" i="19" a="1"/>
  <c r="D25" i="19" s="1"/>
  <c r="D43" i="19" a="1"/>
  <c r="D43" i="19" s="1"/>
  <c r="D51" i="19" a="1"/>
  <c r="D51" i="19" s="1"/>
  <c r="AQ54" i="9"/>
  <c r="AL54" i="9"/>
  <c r="AM54" i="9"/>
  <c r="F54" i="19" a="1"/>
  <c r="F54" i="19" s="1"/>
  <c r="AL58" i="9"/>
  <c r="B58" i="19" s="1" a="1"/>
  <c r="B58" i="19" s="1"/>
  <c r="AM58" i="9"/>
  <c r="C58" i="19" s="1" a="1"/>
  <c r="C58" i="19" s="1"/>
  <c r="AQ58" i="9"/>
  <c r="G58" i="19" s="1" a="1"/>
  <c r="G58" i="19" s="1"/>
  <c r="F58" i="19" a="1"/>
  <c r="F58" i="19" s="1"/>
  <c r="D54" i="19" a="1"/>
  <c r="D54" i="19" s="1"/>
  <c r="B14" i="18" a="1"/>
  <c r="B14" i="18" s="1"/>
  <c r="B11" i="18" a="1"/>
  <c r="B11" i="18" s="1"/>
  <c r="B11" i="19" a="1"/>
  <c r="B11" i="19" s="1"/>
  <c r="C11" i="18" a="1"/>
  <c r="C11" i="18" s="1"/>
  <c r="C11" i="19" a="1"/>
  <c r="C11" i="19" s="1"/>
  <c r="C12" i="18" a="1"/>
  <c r="C12" i="18" s="1"/>
  <c r="C12" i="19" a="1"/>
  <c r="C12" i="19" s="1"/>
  <c r="C13" i="18" a="1"/>
  <c r="C13" i="18" s="1"/>
  <c r="C13" i="19" a="1"/>
  <c r="C13" i="19" s="1"/>
  <c r="B13" i="18" a="1"/>
  <c r="B13" i="18" s="1"/>
  <c r="B13" i="19" a="1"/>
  <c r="B13" i="19" s="1"/>
  <c r="C14" i="18" a="1"/>
  <c r="C14" i="18" s="1"/>
  <c r="C14" i="19" a="1"/>
  <c r="C14" i="19" s="1"/>
  <c r="B12" i="18" a="1"/>
  <c r="B12" i="18" s="1"/>
  <c r="B12" i="19" a="1"/>
  <c r="B12" i="19" s="1"/>
  <c r="B36" i="19" l="1" a="1"/>
  <c r="B36" i="19" s="1"/>
  <c r="B71" i="19" a="1"/>
  <c r="B71" i="19" s="1"/>
  <c r="G71" i="19" a="1"/>
  <c r="G71" i="19" s="1"/>
  <c r="G46" i="19" a="1"/>
  <c r="G46" i="19" s="1"/>
  <c r="B60" i="19" a="1"/>
  <c r="B60" i="19" s="1"/>
  <c r="B57" i="19" a="1"/>
  <c r="B57" i="19" s="1"/>
  <c r="C43" i="19" a="1"/>
  <c r="C43" i="19" s="1"/>
  <c r="B54" i="19" a="1"/>
  <c r="B54" i="19" s="1"/>
  <c r="B34" i="19" a="1"/>
  <c r="B34" i="19" s="1"/>
  <c r="C71" i="19" a="1"/>
  <c r="C71" i="19" s="1"/>
  <c r="G23" i="19" a="1"/>
  <c r="G23" i="19" s="1"/>
  <c r="C27" i="19" a="1"/>
  <c r="C27" i="19" s="1"/>
  <c r="C50" i="19" a="1"/>
  <c r="C50" i="19" s="1"/>
  <c r="G17" i="19" a="1"/>
  <c r="G17" i="19" s="1"/>
  <c r="G35" i="19" a="1"/>
  <c r="G35" i="19" s="1"/>
  <c r="G31" i="19" a="1"/>
  <c r="G31" i="19" s="1"/>
  <c r="H35" i="19" a="1"/>
  <c r="H35" i="19" s="1"/>
  <c r="H35" i="20" a="1"/>
  <c r="H35" i="20" s="1"/>
  <c r="H17" i="19" a="1"/>
  <c r="H17" i="19" s="1"/>
  <c r="H17" i="20" a="1"/>
  <c r="H17" i="20" s="1"/>
  <c r="H48" i="19" a="1"/>
  <c r="H48" i="19" s="1"/>
  <c r="H48" i="20" a="1"/>
  <c r="H48" i="20" s="1"/>
  <c r="H65" i="19" a="1"/>
  <c r="H65" i="19" s="1"/>
  <c r="H65" i="20" a="1"/>
  <c r="H65" i="20" s="1"/>
  <c r="H63" i="19" a="1"/>
  <c r="H63" i="19" s="1"/>
  <c r="H63" i="20" a="1"/>
  <c r="H63" i="20" s="1"/>
  <c r="H60" i="19" a="1"/>
  <c r="H60" i="19" s="1"/>
  <c r="H60" i="20" a="1"/>
  <c r="H60" i="20" s="1"/>
  <c r="H62" i="19" a="1"/>
  <c r="H62" i="19" s="1"/>
  <c r="H62" i="20" a="1"/>
  <c r="H62" i="20" s="1"/>
  <c r="I35" i="19" a="1"/>
  <c r="I35" i="19" s="1"/>
  <c r="I35" i="20" a="1"/>
  <c r="I35" i="20" s="1"/>
  <c r="I17" i="19" a="1"/>
  <c r="I17" i="19" s="1"/>
  <c r="I17" i="20" a="1"/>
  <c r="I17" i="20" s="1"/>
  <c r="I48" i="19" a="1"/>
  <c r="I48" i="19" s="1"/>
  <c r="I48" i="20" a="1"/>
  <c r="I48" i="20" s="1"/>
  <c r="I65" i="19" a="1"/>
  <c r="I65" i="19" s="1"/>
  <c r="I65" i="20" a="1"/>
  <c r="I65" i="20" s="1"/>
  <c r="I63" i="19" a="1"/>
  <c r="I63" i="19" s="1"/>
  <c r="I63" i="20" a="1"/>
  <c r="I63" i="20" s="1"/>
  <c r="I60" i="19" a="1"/>
  <c r="I60" i="19" s="1"/>
  <c r="I60" i="20" a="1"/>
  <c r="I60" i="20" s="1"/>
  <c r="I62" i="19" a="1"/>
  <c r="I62" i="19" s="1"/>
  <c r="I62" i="20" a="1"/>
  <c r="I62" i="20" s="1"/>
  <c r="H61" i="19" a="1"/>
  <c r="H61" i="19" s="1"/>
  <c r="H61" i="20" a="1"/>
  <c r="H61" i="20" s="1"/>
  <c r="I43" i="19" a="1"/>
  <c r="I43" i="19" s="1"/>
  <c r="I43" i="20" a="1"/>
  <c r="I43" i="20" s="1"/>
  <c r="H66" i="19" a="1"/>
  <c r="H66" i="19" s="1"/>
  <c r="H66" i="20" a="1"/>
  <c r="H66" i="20" s="1"/>
  <c r="H19" i="19" a="1"/>
  <c r="H19" i="19" s="1"/>
  <c r="H19" i="20" a="1"/>
  <c r="H19" i="20" s="1"/>
  <c r="H25" i="19" a="1"/>
  <c r="H25" i="19" s="1"/>
  <c r="H25" i="20" a="1"/>
  <c r="H25" i="20" s="1"/>
  <c r="I28" i="19" a="1"/>
  <c r="I28" i="19" s="1"/>
  <c r="I28" i="20" a="1"/>
  <c r="I28" i="20" s="1"/>
  <c r="I66" i="19" a="1"/>
  <c r="I66" i="19" s="1"/>
  <c r="I66" i="20" a="1"/>
  <c r="I66" i="20" s="1"/>
  <c r="I14" i="19" a="1"/>
  <c r="I14" i="19" s="1"/>
  <c r="I14" i="20" a="1"/>
  <c r="I14" i="20" s="1"/>
  <c r="I45" i="19" a="1"/>
  <c r="I45" i="19" s="1"/>
  <c r="I45" i="20" a="1"/>
  <c r="I45" i="20" s="1"/>
  <c r="I46" i="19" a="1"/>
  <c r="I46" i="19" s="1"/>
  <c r="I46" i="20" a="1"/>
  <c r="I46" i="20" s="1"/>
  <c r="I19" i="19" a="1"/>
  <c r="I19" i="19" s="1"/>
  <c r="I19" i="20" a="1"/>
  <c r="I19" i="20" s="1"/>
  <c r="I25" i="19" a="1"/>
  <c r="I25" i="19" s="1"/>
  <c r="I25" i="20" a="1"/>
  <c r="I25" i="20" s="1"/>
  <c r="H43" i="19" a="1"/>
  <c r="H43" i="19" s="1"/>
  <c r="H43" i="20" a="1"/>
  <c r="H43" i="20" s="1"/>
  <c r="I37" i="19" a="1"/>
  <c r="I37" i="19" s="1"/>
  <c r="I37" i="20" a="1"/>
  <c r="I37" i="20" s="1"/>
  <c r="H32" i="19" a="1"/>
  <c r="H32" i="19" s="1"/>
  <c r="H32" i="20" a="1"/>
  <c r="H32" i="20" s="1"/>
  <c r="H39" i="19" a="1"/>
  <c r="H39" i="19" s="1"/>
  <c r="H39" i="20" a="1"/>
  <c r="H39" i="20" s="1"/>
  <c r="H38" i="19" a="1"/>
  <c r="H38" i="19" s="1"/>
  <c r="H38" i="20" a="1"/>
  <c r="H38" i="20" s="1"/>
  <c r="H68" i="19" a="1"/>
  <c r="H68" i="19" s="1"/>
  <c r="H68" i="20" a="1"/>
  <c r="H68" i="20" s="1"/>
  <c r="H44" i="19" a="1"/>
  <c r="H44" i="19" s="1"/>
  <c r="H44" i="20" a="1"/>
  <c r="H44" i="20" s="1"/>
  <c r="H70" i="19" a="1"/>
  <c r="H70" i="19" s="1"/>
  <c r="H70" i="20" a="1"/>
  <c r="H70" i="20" s="1"/>
  <c r="H36" i="19" a="1"/>
  <c r="H36" i="19" s="1"/>
  <c r="H36" i="20" a="1"/>
  <c r="H36" i="20" s="1"/>
  <c r="I21" i="19" a="1"/>
  <c r="I21" i="19" s="1"/>
  <c r="I21" i="20" a="1"/>
  <c r="I21" i="20" s="1"/>
  <c r="I32" i="19" a="1"/>
  <c r="I32" i="19" s="1"/>
  <c r="I32" i="20" a="1"/>
  <c r="I32" i="20" s="1"/>
  <c r="I39" i="19" a="1"/>
  <c r="I39" i="19" s="1"/>
  <c r="I39" i="20" a="1"/>
  <c r="I39" i="20" s="1"/>
  <c r="I38" i="19" a="1"/>
  <c r="I38" i="19" s="1"/>
  <c r="I38" i="20" a="1"/>
  <c r="I38" i="20" s="1"/>
  <c r="I68" i="19" a="1"/>
  <c r="I68" i="19" s="1"/>
  <c r="I68" i="20" a="1"/>
  <c r="I68" i="20" s="1"/>
  <c r="I44" i="19" a="1"/>
  <c r="I44" i="19" s="1"/>
  <c r="I44" i="20" a="1"/>
  <c r="I44" i="20" s="1"/>
  <c r="I70" i="19" a="1"/>
  <c r="I70" i="19" s="1"/>
  <c r="I70" i="20" a="1"/>
  <c r="I70" i="20" s="1"/>
  <c r="I36" i="19" a="1"/>
  <c r="I36" i="19" s="1"/>
  <c r="I36" i="20" a="1"/>
  <c r="I36" i="20" s="1"/>
  <c r="H50" i="19" a="1"/>
  <c r="H50" i="19" s="1"/>
  <c r="H50" i="20" a="1"/>
  <c r="H50" i="20" s="1"/>
  <c r="I47" i="19" a="1"/>
  <c r="I47" i="19" s="1"/>
  <c r="I47" i="20" a="1"/>
  <c r="I47" i="20" s="1"/>
  <c r="H46" i="19" a="1"/>
  <c r="H46" i="19" s="1"/>
  <c r="H46" i="20" a="1"/>
  <c r="H46" i="20" s="1"/>
  <c r="H40" i="19" a="1"/>
  <c r="H40" i="19" s="1"/>
  <c r="H40" i="20" a="1"/>
  <c r="H40" i="20" s="1"/>
  <c r="H13" i="19" a="1"/>
  <c r="H13" i="19" s="1"/>
  <c r="H13" i="20" a="1"/>
  <c r="H13" i="20" s="1"/>
  <c r="H29" i="19" a="1"/>
  <c r="H29" i="19" s="1"/>
  <c r="H29" i="20" a="1"/>
  <c r="H29" i="20" s="1"/>
  <c r="H57" i="19" a="1"/>
  <c r="H57" i="19" s="1"/>
  <c r="H57" i="20" a="1"/>
  <c r="H57" i="20" s="1"/>
  <c r="H67" i="19" a="1"/>
  <c r="H67" i="19" s="1"/>
  <c r="H67" i="20" a="1"/>
  <c r="H67" i="20" s="1"/>
  <c r="H49" i="19" a="1"/>
  <c r="H49" i="19" s="1"/>
  <c r="H49" i="20" a="1"/>
  <c r="H49" i="20" s="1"/>
  <c r="H15" i="19" a="1"/>
  <c r="H15" i="19" s="1"/>
  <c r="H15" i="20" a="1"/>
  <c r="H15" i="20" s="1"/>
  <c r="I40" i="19" a="1"/>
  <c r="I40" i="19" s="1"/>
  <c r="I40" i="20" a="1"/>
  <c r="I40" i="20" s="1"/>
  <c r="I13" i="19" a="1"/>
  <c r="I13" i="19" s="1"/>
  <c r="I13" i="20" a="1"/>
  <c r="I13" i="20" s="1"/>
  <c r="I29" i="19" a="1"/>
  <c r="I29" i="19" s="1"/>
  <c r="I29" i="20" a="1"/>
  <c r="I29" i="20" s="1"/>
  <c r="I57" i="19" a="1"/>
  <c r="I57" i="19" s="1"/>
  <c r="I57" i="20" a="1"/>
  <c r="I57" i="20" s="1"/>
  <c r="I67" i="19" a="1"/>
  <c r="I67" i="19" s="1"/>
  <c r="I67" i="20" a="1"/>
  <c r="I67" i="20" s="1"/>
  <c r="I49" i="19" a="1"/>
  <c r="I49" i="19" s="1"/>
  <c r="I49" i="20" a="1"/>
  <c r="I49" i="20" s="1"/>
  <c r="I15" i="19" a="1"/>
  <c r="I15" i="19" s="1"/>
  <c r="I15" i="20" a="1"/>
  <c r="I15" i="20" s="1"/>
  <c r="I61" i="19" a="1"/>
  <c r="I61" i="19" s="1"/>
  <c r="I61" i="20" a="1"/>
  <c r="I61" i="20" s="1"/>
  <c r="H45" i="19" a="1"/>
  <c r="H45" i="19" s="1"/>
  <c r="H45" i="20" a="1"/>
  <c r="H45" i="20" s="1"/>
  <c r="H41" i="19" a="1"/>
  <c r="H41" i="19" s="1"/>
  <c r="H41" i="20" a="1"/>
  <c r="H41" i="20" s="1"/>
  <c r="H64" i="19" a="1"/>
  <c r="H64" i="19" s="1"/>
  <c r="H64" i="20" a="1"/>
  <c r="H64" i="20" s="1"/>
  <c r="H53" i="19" a="1"/>
  <c r="H53" i="19" s="1"/>
  <c r="H53" i="20" a="1"/>
  <c r="H53" i="20" s="1"/>
  <c r="H42" i="19" a="1"/>
  <c r="H42" i="19" s="1"/>
  <c r="H42" i="20" a="1"/>
  <c r="H42" i="20" s="1"/>
  <c r="H34" i="19" a="1"/>
  <c r="H34" i="19" s="1"/>
  <c r="H34" i="20" a="1"/>
  <c r="H34" i="20" s="1"/>
  <c r="H22" i="19" a="1"/>
  <c r="H22" i="19" s="1"/>
  <c r="H22" i="20" a="1"/>
  <c r="H22" i="20" s="1"/>
  <c r="H20" i="19" a="1"/>
  <c r="H20" i="19" s="1"/>
  <c r="H20" i="20" a="1"/>
  <c r="H20" i="20" s="1"/>
  <c r="H69" i="19" a="1"/>
  <c r="H69" i="19" s="1"/>
  <c r="H69" i="20" a="1"/>
  <c r="H69" i="20" s="1"/>
  <c r="I41" i="19" a="1"/>
  <c r="I41" i="19" s="1"/>
  <c r="I41" i="20" a="1"/>
  <c r="I41" i="20" s="1"/>
  <c r="I64" i="19" a="1"/>
  <c r="I64" i="19" s="1"/>
  <c r="I64" i="20" a="1"/>
  <c r="I64" i="20" s="1"/>
  <c r="I53" i="19" a="1"/>
  <c r="I53" i="19" s="1"/>
  <c r="I53" i="20" a="1"/>
  <c r="I53" i="20" s="1"/>
  <c r="I42" i="19" a="1"/>
  <c r="I42" i="19" s="1"/>
  <c r="I42" i="20" a="1"/>
  <c r="I42" i="20" s="1"/>
  <c r="I34" i="19" a="1"/>
  <c r="I34" i="19" s="1"/>
  <c r="I34" i="20" a="1"/>
  <c r="I34" i="20" s="1"/>
  <c r="I22" i="19" a="1"/>
  <c r="I22" i="19" s="1"/>
  <c r="I22" i="20" a="1"/>
  <c r="I22" i="20" s="1"/>
  <c r="I20" i="19" a="1"/>
  <c r="I20" i="19" s="1"/>
  <c r="I20" i="20" a="1"/>
  <c r="I20" i="20" s="1"/>
  <c r="H47" i="19" a="1"/>
  <c r="H47" i="19" s="1"/>
  <c r="H47" i="20" a="1"/>
  <c r="H47" i="20" s="1"/>
  <c r="H26" i="19" a="1"/>
  <c r="H26" i="19" s="1"/>
  <c r="H26" i="20" a="1"/>
  <c r="H26" i="20" s="1"/>
  <c r="H18" i="19" a="1"/>
  <c r="H18" i="19" s="1"/>
  <c r="H18" i="20" a="1"/>
  <c r="H18" i="20" s="1"/>
  <c r="H31" i="19" a="1"/>
  <c r="H31" i="19" s="1"/>
  <c r="H31" i="20" a="1"/>
  <c r="H31" i="20" s="1"/>
  <c r="I27" i="19" a="1"/>
  <c r="I27" i="19" s="1"/>
  <c r="I27" i="20" a="1"/>
  <c r="I27" i="20" s="1"/>
  <c r="H58" i="19" a="1"/>
  <c r="H58" i="19" s="1"/>
  <c r="H58" i="20" a="1"/>
  <c r="H58" i="20" s="1"/>
  <c r="H55" i="19" a="1"/>
  <c r="H55" i="19" s="1"/>
  <c r="H55" i="20" a="1"/>
  <c r="H55" i="20" s="1"/>
  <c r="H59" i="19" a="1"/>
  <c r="H59" i="19" s="1"/>
  <c r="H59" i="20" a="1"/>
  <c r="H59" i="20" s="1"/>
  <c r="H51" i="19" a="1"/>
  <c r="H51" i="19" s="1"/>
  <c r="H51" i="20" a="1"/>
  <c r="H51" i="20" s="1"/>
  <c r="H21" i="19" a="1"/>
  <c r="H21" i="19" s="1"/>
  <c r="H21" i="20" a="1"/>
  <c r="H21" i="20" s="1"/>
  <c r="I50" i="19" a="1"/>
  <c r="I50" i="19" s="1"/>
  <c r="I50" i="20" a="1"/>
  <c r="I50" i="20" s="1"/>
  <c r="H28" i="19" a="1"/>
  <c r="H28" i="19" s="1"/>
  <c r="H28" i="20" a="1"/>
  <c r="H28" i="20" s="1"/>
  <c r="I26" i="19" a="1"/>
  <c r="I26" i="19" s="1"/>
  <c r="I26" i="20" a="1"/>
  <c r="I26" i="20" s="1"/>
  <c r="I18" i="19" a="1"/>
  <c r="I18" i="19" s="1"/>
  <c r="I18" i="20" a="1"/>
  <c r="I18" i="20" s="1"/>
  <c r="I31" i="19" a="1"/>
  <c r="I31" i="19" s="1"/>
  <c r="I31" i="20" a="1"/>
  <c r="I31" i="20" s="1"/>
  <c r="H27" i="19" a="1"/>
  <c r="H27" i="19" s="1"/>
  <c r="H27" i="20" a="1"/>
  <c r="H27" i="20" s="1"/>
  <c r="I58" i="19" a="1"/>
  <c r="I58" i="19" s="1"/>
  <c r="I58" i="20" a="1"/>
  <c r="I58" i="20" s="1"/>
  <c r="I55" i="19" a="1"/>
  <c r="I55" i="19" s="1"/>
  <c r="I55" i="20" a="1"/>
  <c r="I55" i="20" s="1"/>
  <c r="I59" i="19" a="1"/>
  <c r="I59" i="19" s="1"/>
  <c r="I59" i="20" a="1"/>
  <c r="I59" i="20" s="1"/>
  <c r="I51" i="19" a="1"/>
  <c r="I51" i="19" s="1"/>
  <c r="I51" i="20" a="1"/>
  <c r="I51" i="20" s="1"/>
  <c r="I69" i="19" a="1"/>
  <c r="I69" i="19" s="1"/>
  <c r="I69" i="20" a="1"/>
  <c r="I69" i="20" s="1"/>
  <c r="H14" i="19" a="1"/>
  <c r="H14" i="19" s="1"/>
  <c r="H14" i="20" a="1"/>
  <c r="H14" i="20" s="1"/>
  <c r="H16" i="19" a="1"/>
  <c r="H16" i="19" s="1"/>
  <c r="H16" i="20" a="1"/>
  <c r="H16" i="20" s="1"/>
  <c r="H52" i="19" a="1"/>
  <c r="H52" i="19" s="1"/>
  <c r="H52" i="20" a="1"/>
  <c r="H52" i="20" s="1"/>
  <c r="H56" i="19" a="1"/>
  <c r="H56" i="19" s="1"/>
  <c r="H56" i="20" a="1"/>
  <c r="H56" i="20" s="1"/>
  <c r="H33" i="19" a="1"/>
  <c r="H33" i="19" s="1"/>
  <c r="H33" i="20" a="1"/>
  <c r="H33" i="20" s="1"/>
  <c r="H54" i="19" a="1"/>
  <c r="H54" i="19" s="1"/>
  <c r="H54" i="20" a="1"/>
  <c r="H54" i="20" s="1"/>
  <c r="H30" i="19" a="1"/>
  <c r="H30" i="19" s="1"/>
  <c r="H30" i="20" a="1"/>
  <c r="H30" i="20" s="1"/>
  <c r="I23" i="19" a="1"/>
  <c r="I23" i="19" s="1"/>
  <c r="I23" i="20" a="1"/>
  <c r="I23" i="20" s="1"/>
  <c r="H24" i="19" a="1"/>
  <c r="H24" i="19" s="1"/>
  <c r="H24" i="20" a="1"/>
  <c r="H24" i="20" s="1"/>
  <c r="H37" i="19" a="1"/>
  <c r="H37" i="19" s="1"/>
  <c r="H37" i="20" a="1"/>
  <c r="H37" i="20" s="1"/>
  <c r="I16" i="19" a="1"/>
  <c r="I16" i="19" s="1"/>
  <c r="I16" i="20" a="1"/>
  <c r="I16" i="20" s="1"/>
  <c r="I52" i="19" a="1"/>
  <c r="I52" i="19" s="1"/>
  <c r="I52" i="20" a="1"/>
  <c r="I52" i="20" s="1"/>
  <c r="I56" i="19" a="1"/>
  <c r="I56" i="19" s="1"/>
  <c r="I56" i="20" a="1"/>
  <c r="I56" i="20" s="1"/>
  <c r="I33" i="19" a="1"/>
  <c r="I33" i="19" s="1"/>
  <c r="I33" i="20" a="1"/>
  <c r="I33" i="20" s="1"/>
  <c r="I54" i="19" a="1"/>
  <c r="I54" i="19" s="1"/>
  <c r="I54" i="20" a="1"/>
  <c r="I54" i="20" s="1"/>
  <c r="I30" i="19" a="1"/>
  <c r="I30" i="19" s="1"/>
  <c r="I30" i="20" a="1"/>
  <c r="I30" i="20" s="1"/>
  <c r="H23" i="19" a="1"/>
  <c r="H23" i="19" s="1"/>
  <c r="H23" i="20" a="1"/>
  <c r="H23" i="20" s="1"/>
  <c r="I24" i="19" a="1"/>
  <c r="I24" i="19" s="1"/>
  <c r="I24" i="20" a="1"/>
  <c r="I24" i="20" s="1"/>
  <c r="C36" i="19" a="1"/>
  <c r="C36" i="19" s="1"/>
  <c r="G54" i="19" a="1"/>
  <c r="G54" i="19" s="1"/>
  <c r="C34" i="19" a="1"/>
  <c r="C34" i="19" s="1"/>
  <c r="B68" i="19" a="1"/>
  <c r="B68" i="19" s="1"/>
  <c r="C26" i="19" a="1"/>
  <c r="C26" i="19" s="1"/>
  <c r="C35" i="19" a="1"/>
  <c r="C35" i="19" s="1"/>
  <c r="G62" i="19" a="1"/>
  <c r="G62" i="19" s="1"/>
  <c r="G60" i="19" a="1"/>
  <c r="G60" i="19" s="1"/>
  <c r="B61" i="19" a="1"/>
  <c r="B61" i="19" s="1"/>
  <c r="G70" i="19" a="1"/>
  <c r="G70" i="19" s="1"/>
  <c r="G44" i="19" a="1"/>
  <c r="G44" i="19" s="1"/>
  <c r="B30" i="19" a="1"/>
  <c r="B30" i="19" s="1"/>
  <c r="B29" i="19" a="1"/>
  <c r="B29" i="19" s="1"/>
  <c r="B19" i="19" a="1"/>
  <c r="B19" i="19" s="1"/>
  <c r="C39" i="19" a="1"/>
  <c r="C39" i="19" s="1"/>
  <c r="E32" i="19" a="1"/>
  <c r="E32" i="19" s="1"/>
  <c r="E36" i="19" a="1"/>
  <c r="E36" i="19" s="1"/>
  <c r="E71" i="19" a="1"/>
  <c r="E71" i="19" s="1"/>
  <c r="E48" i="19" a="1"/>
  <c r="E48" i="19" s="1"/>
  <c r="E29" i="19" a="1"/>
  <c r="E29" i="19" s="1"/>
  <c r="C64" i="19" a="1"/>
  <c r="C64" i="19" s="1"/>
  <c r="G52" i="19" a="1"/>
  <c r="G52" i="19" s="1"/>
  <c r="B26" i="19" a="1"/>
  <c r="B26" i="19" s="1"/>
  <c r="B24" i="19" a="1"/>
  <c r="B24" i="19" s="1"/>
  <c r="C29" i="19" a="1"/>
  <c r="C29" i="19" s="1"/>
  <c r="B52" i="19" a="1"/>
  <c r="B52" i="19" s="1"/>
  <c r="C60" i="19" a="1"/>
  <c r="C60" i="19" s="1"/>
  <c r="G39" i="19" a="1"/>
  <c r="G39" i="19" s="1"/>
  <c r="B64" i="19" a="1"/>
  <c r="B64" i="19" s="1"/>
  <c r="C30" i="19" a="1"/>
  <c r="C30" i="19" s="1"/>
  <c r="G45" i="19" a="1"/>
  <c r="G45" i="19" s="1"/>
  <c r="B27" i="19" a="1"/>
  <c r="B27" i="19" s="1"/>
  <c r="C19" i="19" a="1"/>
  <c r="C19" i="19" s="1"/>
  <c r="C24" i="19" a="1"/>
  <c r="C24" i="19" s="1"/>
  <c r="G28" i="19" a="1"/>
  <c r="G28" i="19" s="1"/>
  <c r="C55" i="19" a="1"/>
  <c r="C55" i="19" s="1"/>
  <c r="C44" i="19" a="1"/>
  <c r="C44" i="19" s="1"/>
  <c r="G19" i="19" a="1"/>
  <c r="G19" i="19" s="1"/>
  <c r="B49" i="19" a="1"/>
  <c r="B49" i="19" s="1"/>
  <c r="C49" i="19" a="1"/>
  <c r="C49" i="19" s="1"/>
  <c r="G37" i="19" a="1"/>
  <c r="G37" i="19" s="1"/>
  <c r="C22" i="19" a="1"/>
  <c r="C22" i="19" s="1"/>
  <c r="B44" i="19" a="1"/>
  <c r="B44" i="19" s="1"/>
  <c r="G64" i="19" a="1"/>
  <c r="G64" i="19" s="1"/>
  <c r="G49" i="19" a="1"/>
  <c r="G49" i="19" s="1"/>
  <c r="B62" i="19" a="1"/>
  <c r="B62" i="19" s="1"/>
  <c r="B70" i="19" a="1"/>
  <c r="B70" i="19" s="1"/>
  <c r="B22" i="19" a="1"/>
  <c r="B22" i="19" s="1"/>
  <c r="B15" i="19" a="1"/>
  <c r="B15" i="19" s="1"/>
  <c r="E13" i="19" a="1"/>
  <c r="E13" i="19" s="1"/>
  <c r="G67" i="19" a="1"/>
  <c r="G67" i="19" s="1"/>
  <c r="B32" i="19" a="1"/>
  <c r="B32" i="19" s="1"/>
  <c r="G69" i="19" a="1"/>
  <c r="G69" i="19" s="1"/>
  <c r="B41" i="19" a="1"/>
  <c r="B41" i="19" s="1"/>
  <c r="C47" i="19" a="1"/>
  <c r="C47" i="19" s="1"/>
  <c r="C65" i="19" a="1"/>
  <c r="C65" i="19" s="1"/>
  <c r="G25" i="19" a="1"/>
  <c r="G25" i="19" s="1"/>
  <c r="G32" i="19" a="1"/>
  <c r="G32" i="19" s="1"/>
  <c r="C41" i="19" a="1"/>
  <c r="C41" i="19" s="1"/>
  <c r="G34" i="19" a="1"/>
  <c r="G34" i="19" s="1"/>
  <c r="G30" i="19" a="1"/>
  <c r="G30" i="19" s="1"/>
  <c r="B65" i="19" a="1"/>
  <c r="B65" i="19" s="1"/>
  <c r="E67" i="19" a="1"/>
  <c r="E67" i="19" s="1"/>
  <c r="E31" i="19" a="1"/>
  <c r="E31" i="19" s="1"/>
  <c r="E66" i="19" a="1"/>
  <c r="E66" i="19" s="1"/>
  <c r="E16" i="19" a="1"/>
  <c r="E16" i="19" s="1"/>
  <c r="E25" i="19" a="1"/>
  <c r="E25" i="19" s="1"/>
  <c r="E54" i="19" a="1"/>
  <c r="E54" i="19" s="1"/>
  <c r="E22" i="19" a="1"/>
  <c r="E22" i="19" s="1"/>
  <c r="E46" i="19" a="1"/>
  <c r="E46" i="19" s="1"/>
  <c r="E50" i="19" a="1"/>
  <c r="E50" i="19" s="1"/>
  <c r="E53" i="19" a="1"/>
  <c r="E53" i="19" s="1"/>
  <c r="E63" i="19" a="1"/>
  <c r="E63" i="19" s="1"/>
  <c r="E60" i="19" a="1"/>
  <c r="E60" i="19" s="1"/>
  <c r="E58" i="19" a="1"/>
  <c r="E58" i="19" s="1"/>
  <c r="E39" i="19" a="1"/>
  <c r="E39" i="19" s="1"/>
  <c r="E68" i="19" a="1"/>
  <c r="E68" i="19" s="1"/>
  <c r="E33" i="19" a="1"/>
  <c r="E33" i="19" s="1"/>
  <c r="E41" i="19" a="1"/>
  <c r="E41" i="19" s="1"/>
  <c r="E61" i="19" a="1"/>
  <c r="E61" i="19" s="1"/>
  <c r="E34" i="19" a="1"/>
  <c r="E34" i="19" s="1"/>
  <c r="B56" i="19" a="1"/>
  <c r="B56" i="19" s="1"/>
  <c r="G43" i="19" a="1"/>
  <c r="G43" i="19" s="1"/>
  <c r="G53" i="19" a="1"/>
  <c r="G53" i="19" s="1"/>
  <c r="G42" i="19" a="1"/>
  <c r="G42" i="19" s="1"/>
  <c r="B45" i="19" a="1"/>
  <c r="B45" i="19" s="1"/>
  <c r="E65" i="19" a="1"/>
  <c r="E65" i="19" s="1"/>
  <c r="E47" i="19" a="1"/>
  <c r="E47" i="19" s="1"/>
  <c r="G66" i="19" a="1"/>
  <c r="G66" i="19" s="1"/>
  <c r="B28" i="19" a="1"/>
  <c r="B28" i="19" s="1"/>
  <c r="B43" i="19" a="1"/>
  <c r="B43" i="19" s="1"/>
  <c r="C53" i="19" a="1"/>
  <c r="C53" i="19" s="1"/>
  <c r="G29" i="19" a="1"/>
  <c r="G29" i="19" s="1"/>
  <c r="G61" i="19" a="1"/>
  <c r="G61" i="19" s="1"/>
  <c r="C63" i="19" a="1"/>
  <c r="C63" i="19" s="1"/>
  <c r="C28" i="19" a="1"/>
  <c r="C28" i="19" s="1"/>
  <c r="B35" i="19" a="1"/>
  <c r="B35" i="19" s="1"/>
  <c r="B55" i="19" a="1"/>
  <c r="B55" i="19" s="1"/>
  <c r="B63" i="19" a="1"/>
  <c r="B63" i="19" s="1"/>
  <c r="E21" i="19" a="1"/>
  <c r="E21" i="19" s="1"/>
  <c r="C57" i="19" a="1"/>
  <c r="C57" i="19" s="1"/>
  <c r="G51" i="19" a="1"/>
  <c r="G51" i="19" s="1"/>
  <c r="G24" i="19" a="1"/>
  <c r="G24" i="19" s="1"/>
  <c r="G63" i="19" a="1"/>
  <c r="G63" i="19" s="1"/>
  <c r="B59" i="19" a="1"/>
  <c r="B59" i="19" s="1"/>
  <c r="B18" i="19" a="1"/>
  <c r="B18" i="19" s="1"/>
  <c r="G55" i="19" a="1"/>
  <c r="G55" i="19" s="1"/>
  <c r="E52" i="19" a="1"/>
  <c r="E52" i="19" s="1"/>
  <c r="E59" i="19" a="1"/>
  <c r="E59" i="19" s="1"/>
  <c r="B51" i="19" a="1"/>
  <c r="B51" i="19" s="1"/>
  <c r="G59" i="19" a="1"/>
  <c r="G59" i="19" s="1"/>
  <c r="C18" i="19" a="1"/>
  <c r="C18" i="19" s="1"/>
  <c r="E24" i="19" a="1"/>
  <c r="E24" i="19" s="1"/>
  <c r="E49" i="19" a="1"/>
  <c r="E49" i="19" s="1"/>
  <c r="E30" i="19" a="1"/>
  <c r="E30" i="19" s="1"/>
  <c r="C59" i="19" a="1"/>
  <c r="C59" i="19" s="1"/>
  <c r="B25" i="19" a="1"/>
  <c r="B25" i="19" s="1"/>
  <c r="C56" i="19" a="1"/>
  <c r="C56" i="19" s="1"/>
  <c r="C51" i="19" a="1"/>
  <c r="C51" i="19" s="1"/>
  <c r="G18" i="19" a="1"/>
  <c r="G18" i="19" s="1"/>
  <c r="G36" i="19" a="1"/>
  <c r="G36" i="19" s="1"/>
  <c r="C37" i="19" a="1"/>
  <c r="C37" i="19" s="1"/>
  <c r="E57" i="19" a="1"/>
  <c r="E57" i="19" s="1"/>
  <c r="C54" i="19" a="1"/>
  <c r="C54" i="19" s="1"/>
  <c r="G22" i="19" a="1"/>
  <c r="G22" i="19" s="1"/>
  <c r="C15" i="19" a="1"/>
  <c r="C15" i="19" s="1"/>
  <c r="C25" i="19" a="1"/>
  <c r="C25" i="19" s="1"/>
  <c r="B67" i="19" a="1"/>
  <c r="B67" i="19" s="1"/>
  <c r="C62" i="19" a="1"/>
  <c r="C62" i="19" s="1"/>
  <c r="C32" i="19" a="1"/>
  <c r="C32" i="19" s="1"/>
  <c r="G21" i="19" a="1"/>
  <c r="G21" i="19" s="1"/>
  <c r="G41" i="19" a="1"/>
  <c r="G41" i="19" s="1"/>
  <c r="B47" i="19" a="1"/>
  <c r="B47" i="19" s="1"/>
  <c r="B37" i="19" a="1"/>
  <c r="B37" i="19" s="1"/>
  <c r="E38" i="19" a="1"/>
  <c r="E38" i="19" s="1"/>
  <c r="E56" i="19" a="1"/>
  <c r="E56" i="19" s="1"/>
  <c r="G56" i="19" a="1"/>
  <c r="G56" i="19" s="1"/>
  <c r="E27" i="19" a="1"/>
  <c r="E27" i="19" s="1"/>
  <c r="C67" i="19" a="1"/>
  <c r="C67" i="19" s="1"/>
  <c r="B38" i="19" a="1"/>
  <c r="B38" i="19" s="1"/>
  <c r="C69" i="19" a="1"/>
  <c r="C69" i="19" s="1"/>
  <c r="C21" i="19" a="1"/>
  <c r="C21" i="19" s="1"/>
  <c r="E70" i="19" a="1"/>
  <c r="E70" i="19" s="1"/>
  <c r="E28" i="19" a="1"/>
  <c r="E28" i="19" s="1"/>
  <c r="B48" i="19" a="1"/>
  <c r="B48" i="19" s="1"/>
  <c r="C38" i="19" a="1"/>
  <c r="C38" i="19" s="1"/>
  <c r="B69" i="19" a="1"/>
  <c r="B69" i="19" s="1"/>
  <c r="B21" i="19" a="1"/>
  <c r="B21" i="19" s="1"/>
  <c r="G47" i="19" a="1"/>
  <c r="G47" i="19" s="1"/>
  <c r="E37" i="19" a="1"/>
  <c r="E37" i="19" s="1"/>
  <c r="E45" i="19" a="1"/>
  <c r="E45" i="19" s="1"/>
  <c r="E44" i="19" a="1"/>
  <c r="E44" i="19" s="1"/>
  <c r="G65" i="19" a="1"/>
  <c r="G65" i="19" s="1"/>
  <c r="B50" i="19" a="1"/>
  <c r="B50" i="19" s="1"/>
  <c r="G68" i="19" a="1"/>
  <c r="G68" i="19" s="1"/>
  <c r="G33" i="19" a="1"/>
  <c r="G33" i="19" s="1"/>
  <c r="C48" i="19" a="1"/>
  <c r="C48" i="19" s="1"/>
  <c r="G38" i="19" a="1"/>
  <c r="G38" i="19" s="1"/>
  <c r="B17" i="19" a="1"/>
  <c r="B17" i="19" s="1"/>
  <c r="E40" i="19" a="1"/>
  <c r="E40" i="19" s="1"/>
  <c r="E23" i="19" a="1"/>
  <c r="E23" i="19" s="1"/>
  <c r="E62" i="19" a="1"/>
  <c r="E62" i="19" s="1"/>
  <c r="C23" i="19" a="1"/>
  <c r="C23" i="19" s="1"/>
  <c r="C17" i="19" a="1"/>
  <c r="C17" i="19" s="1"/>
  <c r="B42" i="19" a="1"/>
  <c r="B42" i="19" s="1"/>
  <c r="B31" i="19" a="1"/>
  <c r="B31" i="19" s="1"/>
  <c r="E51" i="19" a="1"/>
  <c r="E51" i="19" s="1"/>
  <c r="E64" i="19" a="1"/>
  <c r="E64" i="19" s="1"/>
  <c r="E42" i="19" a="1"/>
  <c r="E42" i="19" s="1"/>
  <c r="E35" i="19" a="1"/>
  <c r="E35" i="19" s="1"/>
  <c r="G57" i="19" a="1"/>
  <c r="G57" i="19" s="1"/>
  <c r="G15" i="19" a="1"/>
  <c r="G15" i="19" s="1"/>
  <c r="G14" i="19" a="1"/>
  <c r="G14" i="19" s="1"/>
  <c r="C33" i="19" a="1"/>
  <c r="C33" i="19" s="1"/>
  <c r="B14" i="19" a="1"/>
  <c r="B14" i="19" s="1"/>
  <c r="B23" i="19" a="1"/>
  <c r="B23" i="19" s="1"/>
  <c r="B66" i="19" a="1"/>
  <c r="B66" i="19" s="1"/>
  <c r="G50" i="19" a="1"/>
  <c r="G50" i="19" s="1"/>
  <c r="B33" i="19" a="1"/>
  <c r="B33" i="19" s="1"/>
  <c r="G48" i="19" a="1"/>
  <c r="G48" i="19" s="1"/>
  <c r="G27" i="19" a="1"/>
  <c r="G27" i="19" s="1"/>
  <c r="C42" i="19" a="1"/>
  <c r="C42" i="19" s="1"/>
  <c r="C45" i="19" a="1"/>
  <c r="C45" i="19" s="1"/>
  <c r="C31" i="19" a="1"/>
  <c r="C31" i="19" s="1"/>
  <c r="E43" i="19" a="1"/>
  <c r="E43" i="19" s="1"/>
  <c r="E26" i="19" a="1"/>
  <c r="E26" i="19" s="1"/>
  <c r="E69" i="19" a="1"/>
  <c r="E69" i="19" s="1"/>
  <c r="E55" i="19" a="1"/>
  <c r="E55" i="19" s="1"/>
  <c r="G72" i="18" a="1"/>
  <c r="G72" i="18" s="1"/>
  <c r="G16" i="18" a="1"/>
  <c r="G16" i="18" s="1"/>
  <c r="G70" i="18" a="1"/>
  <c r="G70" i="18" s="1"/>
  <c r="G24" i="18" a="1"/>
  <c r="G24" i="18" s="1"/>
  <c r="G37" i="18" a="1"/>
  <c r="G37" i="18" s="1"/>
  <c r="E12" i="19" a="1"/>
  <c r="E12" i="19" s="1"/>
  <c r="C58" i="18" a="1"/>
  <c r="C58" i="18" s="1"/>
  <c r="G65" i="18" a="1"/>
  <c r="G65" i="18" s="1"/>
  <c r="C62" i="18" a="1"/>
  <c r="C62" i="18" s="1"/>
  <c r="B34" i="18" a="1"/>
  <c r="B34" i="18" s="1"/>
  <c r="C31" i="18" a="1"/>
  <c r="C31" i="18" s="1"/>
  <c r="C42" i="18" a="1"/>
  <c r="C42" i="18" s="1"/>
  <c r="G35" i="18" a="1"/>
  <c r="G35" i="18" s="1"/>
  <c r="B60" i="18" a="1"/>
  <c r="B60" i="18" s="1"/>
  <c r="B35" i="18" a="1"/>
  <c r="B35" i="18" s="1"/>
  <c r="G56" i="18" a="1"/>
  <c r="G56" i="18" s="1"/>
  <c r="B43" i="18" a="1"/>
  <c r="B43" i="18" s="1"/>
  <c r="C38" i="18" a="1"/>
  <c r="C38" i="18" s="1"/>
  <c r="C16" i="18" a="1"/>
  <c r="C16" i="18" s="1"/>
  <c r="G20" i="18" a="1"/>
  <c r="G20" i="18" s="1"/>
  <c r="C49" i="18" a="1"/>
  <c r="C49" i="18" s="1"/>
  <c r="G60" i="18" a="1"/>
  <c r="G60" i="18" s="1"/>
  <c r="B30" i="18" a="1"/>
  <c r="B30" i="18" s="1"/>
  <c r="C15" i="18" a="1"/>
  <c r="C15" i="18" s="1"/>
  <c r="C33" i="18" a="1"/>
  <c r="C33" i="18" s="1"/>
  <c r="B45" i="18" a="1"/>
  <c r="B45" i="18" s="1"/>
  <c r="G26" i="18" a="1"/>
  <c r="G26" i="18" s="1"/>
  <c r="C24" i="18" a="1"/>
  <c r="C24" i="18" s="1"/>
  <c r="B22" i="18" a="1"/>
  <c r="B22" i="18" s="1"/>
  <c r="C50" i="18" a="1"/>
  <c r="C50" i="18" s="1"/>
  <c r="B44" i="18" a="1"/>
  <c r="B44" i="18" s="1"/>
  <c r="G63" i="18" a="1"/>
  <c r="G63" i="18" s="1"/>
  <c r="C29" i="18" a="1"/>
  <c r="C29" i="18" s="1"/>
  <c r="C21" i="18" a="1"/>
  <c r="C21" i="18" s="1"/>
  <c r="B33" i="18" a="1"/>
  <c r="B33" i="18" s="1"/>
  <c r="G42" i="18" a="1"/>
  <c r="G42" i="18" s="1"/>
  <c r="C59" i="18" a="1"/>
  <c r="C59" i="18" s="1"/>
  <c r="G45" i="18" a="1"/>
  <c r="G45" i="18" s="1"/>
  <c r="B41" i="18" a="1"/>
  <c r="B41" i="18" s="1"/>
  <c r="B38" i="18" a="1"/>
  <c r="B38" i="18" s="1"/>
  <c r="B70" i="18" a="1"/>
  <c r="B70" i="18" s="1"/>
  <c r="G23" i="18" a="1"/>
  <c r="G23" i="18" s="1"/>
  <c r="C54" i="18" a="1"/>
  <c r="C54" i="18" s="1"/>
  <c r="G71" i="18" a="1"/>
  <c r="G71" i="18" s="1"/>
  <c r="G47" i="18" a="1"/>
  <c r="G47" i="18" s="1"/>
  <c r="B72" i="18" a="1"/>
  <c r="B72" i="18" s="1"/>
  <c r="B26" i="18" a="1"/>
  <c r="B26" i="18" s="1"/>
  <c r="C17" i="18" a="1"/>
  <c r="C17" i="18" s="1"/>
  <c r="G36" i="18" a="1"/>
  <c r="G36" i="18" s="1"/>
  <c r="B36" i="18" a="1"/>
  <c r="B36" i="18" s="1"/>
  <c r="G64" i="18" a="1"/>
  <c r="G64" i="18" s="1"/>
  <c r="C68" i="18" a="1"/>
  <c r="C68" i="18" s="1"/>
  <c r="C40" i="18" a="1"/>
  <c r="C40" i="18" s="1"/>
  <c r="C20" i="18" a="1"/>
  <c r="C20" i="18" s="1"/>
  <c r="B58" i="18" a="1"/>
  <c r="B58" i="18" s="1"/>
  <c r="C70" i="18" a="1"/>
  <c r="C70" i="18" s="1"/>
  <c r="G61" i="18" a="1"/>
  <c r="G61" i="18" s="1"/>
  <c r="B59" i="18" a="1"/>
  <c r="B59" i="18" s="1"/>
  <c r="C25" i="18" a="1"/>
  <c r="C25" i="18" s="1"/>
  <c r="B39" i="18" a="1"/>
  <c r="B39" i="18" s="1"/>
  <c r="C66" i="18" a="1"/>
  <c r="C66" i="18" s="1"/>
  <c r="C27" i="18" a="1"/>
  <c r="C27" i="18" s="1"/>
  <c r="G31" i="18" a="1"/>
  <c r="G31" i="18" s="1"/>
  <c r="B16" i="18" a="1"/>
  <c r="B16" i="18" s="1"/>
  <c r="C56" i="18" a="1"/>
  <c r="C56" i="18" s="1"/>
  <c r="C43" i="18" a="1"/>
  <c r="C43" i="18" s="1"/>
  <c r="C18" i="18" a="1"/>
  <c r="C18" i="18" s="1"/>
  <c r="C36" i="18" a="1"/>
  <c r="C36" i="18" s="1"/>
  <c r="B25" i="18" a="1"/>
  <c r="B25" i="18" s="1"/>
  <c r="C37" i="18" a="1"/>
  <c r="C37" i="18" s="1"/>
  <c r="B53" i="18" a="1"/>
  <c r="B53" i="18" s="1"/>
  <c r="B55" i="18" a="1"/>
  <c r="B55" i="18" s="1"/>
  <c r="G51" i="18" a="1"/>
  <c r="G51" i="18" s="1"/>
  <c r="E10" i="19" a="1"/>
  <c r="E10" i="19" s="1"/>
  <c r="G62" i="18" a="1"/>
  <c r="G62" i="18" s="1"/>
  <c r="C34" i="18" a="1"/>
  <c r="C34" i="18" s="1"/>
  <c r="B71" i="18" a="1"/>
  <c r="B71" i="18" s="1"/>
  <c r="B19" i="18" a="1"/>
  <c r="B19" i="18" s="1"/>
  <c r="B29" i="18" a="1"/>
  <c r="B29" i="18" s="1"/>
  <c r="C61" i="18" a="1"/>
  <c r="C61" i="18" s="1"/>
  <c r="G21" i="18" a="1"/>
  <c r="G21" i="18" s="1"/>
  <c r="G33" i="18" a="1"/>
  <c r="G33" i="18" s="1"/>
  <c r="C57" i="18" a="1"/>
  <c r="C57" i="18" s="1"/>
  <c r="C28" i="18" a="1"/>
  <c r="C28" i="18" s="1"/>
  <c r="G15" i="18" a="1"/>
  <c r="G15" i="18" s="1"/>
  <c r="G52" i="18" a="1"/>
  <c r="G52" i="18" s="1"/>
  <c r="C65" i="18" a="1"/>
  <c r="C65" i="18" s="1"/>
  <c r="B32" i="18" a="1"/>
  <c r="B32" i="18" s="1"/>
  <c r="B63" i="18" a="1"/>
  <c r="B63" i="18" s="1"/>
  <c r="B56" i="18" a="1"/>
  <c r="B56" i="18" s="1"/>
  <c r="G27" i="18" a="1"/>
  <c r="G27" i="18" s="1"/>
  <c r="B51" i="18" a="1"/>
  <c r="B51" i="18" s="1"/>
  <c r="C60" i="18" a="1"/>
  <c r="C60" i="18" s="1"/>
  <c r="C52" i="18" a="1"/>
  <c r="C52" i="18" s="1"/>
  <c r="B67" i="18" a="1"/>
  <c r="B67" i="18" s="1"/>
  <c r="B46" i="18" a="1"/>
  <c r="B46" i="18" s="1"/>
  <c r="C67" i="18" a="1"/>
  <c r="C67" i="18" s="1"/>
  <c r="C44" i="18" a="1"/>
  <c r="C44" i="18" s="1"/>
  <c r="C45" i="18" a="1"/>
  <c r="C45" i="18" s="1"/>
  <c r="G29" i="18" a="1"/>
  <c r="G29" i="18" s="1"/>
  <c r="C69" i="18" a="1"/>
  <c r="C69" i="18" s="1"/>
  <c r="B62" i="18" a="1"/>
  <c r="B62" i="18" s="1"/>
  <c r="G69" i="18" a="1"/>
  <c r="G69" i="18" s="1"/>
  <c r="B31" i="18" a="1"/>
  <c r="B31" i="18" s="1"/>
  <c r="B57" i="18" a="1"/>
  <c r="B57" i="18" s="1"/>
  <c r="B21" i="18" a="1"/>
  <c r="B21" i="18" s="1"/>
  <c r="B15" i="18" a="1"/>
  <c r="B15" i="18" s="1"/>
  <c r="B17" i="18" a="1"/>
  <c r="B17" i="18" s="1"/>
  <c r="G59" i="18" a="1"/>
  <c r="G59" i="18" s="1"/>
  <c r="B18" i="18" a="1"/>
  <c r="B18" i="18" s="1"/>
  <c r="C39" i="18" a="1"/>
  <c r="C39" i="18" s="1"/>
  <c r="B20" i="18" a="1"/>
  <c r="B20" i="18" s="1"/>
  <c r="G53" i="18" a="1"/>
  <c r="G53" i="18" s="1"/>
  <c r="G66" i="18" a="1"/>
  <c r="G66" i="18" s="1"/>
  <c r="C72" i="18" a="1"/>
  <c r="C72" i="18" s="1"/>
  <c r="B54" i="18" a="1"/>
  <c r="B54" i="18" s="1"/>
  <c r="C26" i="18" a="1"/>
  <c r="C26" i="18" s="1"/>
  <c r="B47" i="18" a="1"/>
  <c r="B47" i="18" s="1"/>
  <c r="G49" i="18" a="1"/>
  <c r="G49" i="18" s="1"/>
  <c r="E11" i="19" a="1"/>
  <c r="E11" i="19" s="1"/>
  <c r="G19" i="18" a="1"/>
  <c r="G19" i="18" s="1"/>
  <c r="B68" i="18" a="1"/>
  <c r="B68" i="18" s="1"/>
  <c r="B49" i="18" a="1"/>
  <c r="B49" i="18" s="1"/>
  <c r="B61" i="18" a="1"/>
  <c r="B61" i="18" s="1"/>
  <c r="G58" i="18" a="1"/>
  <c r="G58" i="18" s="1"/>
  <c r="G30" i="18" a="1"/>
  <c r="G30" i="18" s="1"/>
  <c r="G40" i="18" a="1"/>
  <c r="G40" i="18" s="1"/>
  <c r="G34" i="18" a="1"/>
  <c r="G34" i="18" s="1"/>
  <c r="G48" i="18" a="1"/>
  <c r="G48" i="18" s="1"/>
  <c r="G67" i="18" a="1"/>
  <c r="G67" i="18" s="1"/>
  <c r="C46" i="18" a="1"/>
  <c r="C46" i="18" s="1"/>
  <c r="C47" i="18" a="1"/>
  <c r="C47" i="18" s="1"/>
  <c r="G32" i="18" a="1"/>
  <c r="G32" i="18" s="1"/>
  <c r="B23" i="18" a="1"/>
  <c r="B23" i="18" s="1"/>
  <c r="B64" i="18" a="1"/>
  <c r="B64" i="18" s="1"/>
  <c r="G46" i="18" a="1"/>
  <c r="G46" i="18" s="1"/>
  <c r="C55" i="18" a="1"/>
  <c r="C55" i="18" s="1"/>
  <c r="B65" i="18" a="1"/>
  <c r="B65" i="18" s="1"/>
  <c r="C71" i="18" a="1"/>
  <c r="C71" i="18" s="1"/>
  <c r="B66" i="18" a="1"/>
  <c r="B66" i="18" s="1"/>
  <c r="G17" i="18" a="1"/>
  <c r="G17" i="18" s="1"/>
  <c r="G57" i="18" a="1"/>
  <c r="G57" i="18" s="1"/>
  <c r="G44" i="18" a="1"/>
  <c r="G44" i="18" s="1"/>
  <c r="E15" i="19" a="1"/>
  <c r="E15" i="19" s="1"/>
  <c r="E20" i="19" a="1"/>
  <c r="E20" i="19" s="1"/>
  <c r="V5" i="9"/>
  <c r="X5" i="9"/>
  <c r="F4" i="17" s="1" a="1"/>
  <c r="F4" i="17" s="1"/>
  <c r="AA5" i="9" a="1"/>
  <c r="Z5" i="9" a="1"/>
  <c r="W5" i="9" a="1"/>
  <c r="Z5" i="9" l="1"/>
  <c r="H4" i="17" s="1" a="1"/>
  <c r="H4" i="17" s="1"/>
  <c r="AA5" i="9"/>
  <c r="I4" i="17" s="1" a="1"/>
  <c r="I4" i="17" s="1"/>
  <c r="W5" i="9"/>
  <c r="D4" i="17" a="1"/>
  <c r="D4" i="17" s="1"/>
  <c r="E14" i="19" a="1"/>
  <c r="E14" i="19" s="1"/>
  <c r="E18" i="19" a="1"/>
  <c r="E18" i="19" s="1"/>
  <c r="E17" i="19" a="1"/>
  <c r="E17" i="19" s="1"/>
  <c r="E19" i="19" a="1"/>
  <c r="E19" i="19" s="1"/>
  <c r="E5" i="18" a="1"/>
  <c r="E5" i="18" s="1"/>
  <c r="T5" i="9"/>
  <c r="U5" i="9"/>
  <c r="Y5" i="9"/>
  <c r="G4" i="17" s="1" a="1"/>
  <c r="G4" i="17" s="1"/>
  <c r="C4" i="17" l="1" a="1"/>
  <c r="C4" i="17" s="1"/>
  <c r="B4" i="17" a="1"/>
  <c r="B4" i="17" s="1"/>
  <c r="E4" i="17" a="1"/>
  <c r="E4" i="17" s="1"/>
  <c r="B5" i="18" a="1"/>
  <c r="B5" i="18" s="1"/>
  <c r="C5" i="18" a="1"/>
  <c r="C5" i="18" s="1"/>
  <c r="X6" i="9" l="1"/>
  <c r="V6" i="9"/>
  <c r="X7" i="9"/>
  <c r="V8" i="9"/>
  <c r="X8" i="9"/>
  <c r="V7" i="9"/>
  <c r="X10" i="9"/>
  <c r="V10" i="9"/>
  <c r="V9" i="9"/>
  <c r="X11" i="9"/>
  <c r="V12" i="9"/>
  <c r="X23" i="9"/>
  <c r="V38" i="9"/>
  <c r="V39" i="9"/>
  <c r="V44" i="9"/>
  <c r="X68" i="9"/>
  <c r="V22" i="9"/>
  <c r="X48" i="9"/>
  <c r="V19" i="9"/>
  <c r="V20" i="9"/>
  <c r="V18" i="9"/>
  <c r="X12" i="9"/>
  <c r="V67" i="9"/>
  <c r="X29" i="9"/>
  <c r="X26" i="9"/>
  <c r="V23" i="9"/>
  <c r="V47" i="9"/>
  <c r="X27" i="9"/>
  <c r="X41" i="9"/>
  <c r="X33" i="9"/>
  <c r="F33" i="17" s="1" a="1"/>
  <c r="F33" i="17" s="1"/>
  <c r="X9" i="9"/>
  <c r="F9" i="17" s="1" a="1"/>
  <c r="F9" i="17" s="1"/>
  <c r="V72" i="9"/>
  <c r="V70" i="9"/>
  <c r="V28" i="9"/>
  <c r="V11" i="9"/>
  <c r="V31" i="9"/>
  <c r="X17" i="9"/>
  <c r="V30" i="9"/>
  <c r="X35" i="9"/>
  <c r="X49" i="9"/>
  <c r="V24" i="9"/>
  <c r="V50" i="9"/>
  <c r="V58" i="9"/>
  <c r="X36" i="9"/>
  <c r="X28" i="9"/>
  <c r="F28" i="17" s="1" a="1"/>
  <c r="F28" i="17" s="1"/>
  <c r="X50" i="9"/>
  <c r="V26" i="9"/>
  <c r="X22" i="9"/>
  <c r="V57" i="9"/>
  <c r="X13" i="9"/>
  <c r="X59" i="9"/>
  <c r="V21" i="9"/>
  <c r="V55" i="9"/>
  <c r="X34" i="9"/>
  <c r="F34" i="17" s="1" a="1"/>
  <c r="F34" i="17" s="1"/>
  <c r="V15" i="9"/>
  <c r="V68" i="9"/>
  <c r="V51" i="9"/>
  <c r="X30" i="9"/>
  <c r="X14" i="9"/>
  <c r="X18" i="9"/>
  <c r="X72" i="9"/>
  <c r="F72" i="17" s="1" a="1"/>
  <c r="F72" i="17" s="1"/>
  <c r="V25" i="9"/>
  <c r="X40" i="9"/>
  <c r="X43" i="9"/>
  <c r="V53" i="9"/>
  <c r="V52" i="9"/>
  <c r="V65" i="9"/>
  <c r="X58" i="9"/>
  <c r="X38" i="9"/>
  <c r="V49" i="9"/>
  <c r="V13" i="9"/>
  <c r="V14" i="9"/>
  <c r="X24" i="9"/>
  <c r="V29" i="9"/>
  <c r="X25" i="9"/>
  <c r="F25" i="17" s="1" a="1"/>
  <c r="F25" i="17" s="1"/>
  <c r="X56" i="9"/>
  <c r="X55" i="9"/>
  <c r="V59" i="9"/>
  <c r="V33" i="9"/>
  <c r="V56" i="9"/>
  <c r="X54" i="9"/>
  <c r="V66" i="9"/>
  <c r="X61" i="9"/>
  <c r="X32" i="9"/>
  <c r="X69" i="9"/>
  <c r="V48" i="9"/>
  <c r="X21" i="9"/>
  <c r="X31" i="9"/>
  <c r="X60" i="9"/>
  <c r="V41" i="9"/>
  <c r="V34" i="9"/>
  <c r="X20" i="9"/>
  <c r="F20" i="17" s="1" a="1"/>
  <c r="F20" i="17" s="1"/>
  <c r="X37" i="9"/>
  <c r="F37" i="17" s="1" a="1"/>
  <c r="F37" i="17" s="1"/>
  <c r="X47" i="9"/>
  <c r="F47" i="17" s="1" a="1"/>
  <c r="F47" i="17" s="1"/>
  <c r="X70" i="9"/>
  <c r="V45" i="9"/>
  <c r="X52" i="9"/>
  <c r="V62" i="9"/>
  <c r="X44" i="9"/>
  <c r="X42" i="9"/>
  <c r="V42" i="9"/>
  <c r="X64" i="9"/>
  <c r="X16" i="9"/>
  <c r="F16" i="17" s="1" a="1"/>
  <c r="F16" i="17" s="1"/>
  <c r="X39" i="9"/>
  <c r="X63" i="9"/>
  <c r="V64" i="9"/>
  <c r="V46" i="9"/>
  <c r="V16" i="9"/>
  <c r="X71" i="9"/>
  <c r="F71" i="17" s="1" a="1"/>
  <c r="F71" i="17" s="1"/>
  <c r="V71" i="9"/>
  <c r="X46" i="9"/>
  <c r="V43" i="9"/>
  <c r="X66" i="9"/>
  <c r="X65" i="9"/>
  <c r="V54" i="9"/>
  <c r="X53" i="9"/>
  <c r="F53" i="17" s="1" a="1"/>
  <c r="F53" i="17" s="1"/>
  <c r="V61" i="9"/>
  <c r="V35" i="9"/>
  <c r="X62" i="9"/>
  <c r="X45" i="9"/>
  <c r="V27" i="9"/>
  <c r="V40" i="9"/>
  <c r="X19" i="9"/>
  <c r="V32" i="9"/>
  <c r="V60" i="9"/>
  <c r="X51" i="9"/>
  <c r="F51" i="17" s="1" a="1"/>
  <c r="F51" i="17" s="1"/>
  <c r="V17" i="9"/>
  <c r="X15" i="9"/>
  <c r="V37" i="9"/>
  <c r="X57" i="9"/>
  <c r="F57" i="17" s="1" a="1"/>
  <c r="F57" i="17" s="1"/>
  <c r="V63" i="9"/>
  <c r="X67" i="9"/>
  <c r="V36" i="9"/>
  <c r="V69" i="9"/>
  <c r="Z22" i="9" a="1"/>
  <c r="AA22" i="9" a="1"/>
  <c r="Z70" i="9" a="1"/>
  <c r="AA70" i="9" a="1"/>
  <c r="Z57" i="9" a="1"/>
  <c r="AA57" i="9" a="1"/>
  <c r="Z53" i="9" a="1"/>
  <c r="AA53" i="9" a="1"/>
  <c r="Z37" i="9" a="1"/>
  <c r="AA37" i="9" a="1"/>
  <c r="Z6" i="9" a="1"/>
  <c r="AA6" i="9" a="1"/>
  <c r="Z28" i="9" a="1"/>
  <c r="AA28" i="9" a="1"/>
  <c r="Z52" i="9" a="1"/>
  <c r="AA52" i="9" a="1"/>
  <c r="Z66" i="9" a="1"/>
  <c r="AA66" i="9" a="1"/>
  <c r="Z62" i="9" a="1"/>
  <c r="AA62" i="9" a="1"/>
  <c r="Z36" i="9" a="1"/>
  <c r="AA36" i="9" a="1"/>
  <c r="Z60" i="9" a="1"/>
  <c r="AA60" i="9" a="1"/>
  <c r="Z19" i="9" a="1"/>
  <c r="AA19" i="9" a="1"/>
  <c r="Z11" i="9" a="1"/>
  <c r="AA11" i="9" a="1"/>
  <c r="Z65" i="9" a="1"/>
  <c r="AA65" i="9" a="1"/>
  <c r="Z54" i="9" a="1"/>
  <c r="AA54" i="9" a="1"/>
  <c r="Z63" i="9" a="1"/>
  <c r="AA63" i="9" a="1"/>
  <c r="Z42" i="9" a="1"/>
  <c r="AA42" i="9" a="1"/>
  <c r="Z35" i="9" a="1"/>
  <c r="AA35" i="9" a="1"/>
  <c r="Z59" i="9" a="1"/>
  <c r="AA59" i="9" a="1"/>
  <c r="Z8" i="9" a="1"/>
  <c r="AA8" i="9" a="1"/>
  <c r="Z20" i="9" a="1"/>
  <c r="AA20" i="9" a="1"/>
  <c r="Z31" i="9" a="1"/>
  <c r="AA31" i="9" a="1"/>
  <c r="Z21" i="9" a="1"/>
  <c r="AA21" i="9" a="1"/>
  <c r="Z18" i="9" a="1"/>
  <c r="AA18" i="9" a="1"/>
  <c r="Z55" i="9" a="1"/>
  <c r="AA55" i="9" a="1"/>
  <c r="Z61" i="9" a="1"/>
  <c r="AA61" i="9" a="1"/>
  <c r="AA7" i="9" a="1"/>
  <c r="Z7" i="9" a="1"/>
  <c r="Z30" i="9" a="1"/>
  <c r="AA30" i="9" a="1"/>
  <c r="Z49" i="9" a="1"/>
  <c r="AA49" i="9" a="1"/>
  <c r="Z48" i="9" a="1"/>
  <c r="AA48" i="9" a="1"/>
  <c r="Z69" i="9" a="1"/>
  <c r="AA69" i="9" a="1"/>
  <c r="Z71" i="9" a="1"/>
  <c r="AA71" i="9" a="1"/>
  <c r="Z56" i="9" a="1"/>
  <c r="AA56" i="9" a="1"/>
  <c r="Z67" i="9" a="1"/>
  <c r="AA67" i="9" a="1"/>
  <c r="Z15" i="9" a="1"/>
  <c r="AA15" i="9" a="1"/>
  <c r="Z13" i="9" a="1"/>
  <c r="AA13" i="9" a="1"/>
  <c r="Z10" i="9" a="1"/>
  <c r="AA10" i="9" a="1"/>
  <c r="Z68" i="9" a="1"/>
  <c r="AA68" i="9" a="1"/>
  <c r="Z14" i="9" a="1"/>
  <c r="AA14" i="9" a="1"/>
  <c r="Z25" i="9" a="1"/>
  <c r="AA25" i="9" a="1"/>
  <c r="Z45" i="9" a="1"/>
  <c r="AA45" i="9" a="1"/>
  <c r="Z9" i="9" a="1"/>
  <c r="AA9" i="9" a="1"/>
  <c r="Z24" i="9" a="1"/>
  <c r="AA24" i="9" a="1"/>
  <c r="Z51" i="9" a="1"/>
  <c r="AA51" i="9" a="1"/>
  <c r="Z27" i="9" a="1"/>
  <c r="AA27" i="9" a="1"/>
  <c r="Z29" i="9" a="1"/>
  <c r="AA29" i="9" a="1"/>
  <c r="Z41" i="9" a="1"/>
  <c r="AA41" i="9" a="1"/>
  <c r="Z64" i="9" a="1"/>
  <c r="AA64" i="9" a="1"/>
  <c r="Z34" i="9" a="1"/>
  <c r="AA34" i="9" a="1"/>
  <c r="Z46" i="9" a="1"/>
  <c r="AA46" i="9" a="1"/>
  <c r="Z17" i="9" a="1"/>
  <c r="AA17" i="9" a="1"/>
  <c r="Z23" i="9" a="1"/>
  <c r="AA23" i="9" a="1"/>
  <c r="Z50" i="9" a="1"/>
  <c r="AA50" i="9" a="1"/>
  <c r="Z40" i="9" a="1"/>
  <c r="AA40" i="9" a="1"/>
  <c r="AA12" i="9" a="1"/>
  <c r="Z12" i="9" a="1"/>
  <c r="Z47" i="9" a="1"/>
  <c r="AA47" i="9" a="1"/>
  <c r="Z58" i="9" a="1"/>
  <c r="AA58" i="9" a="1"/>
  <c r="Z16" i="9" a="1"/>
  <c r="AA16" i="9" a="1"/>
  <c r="Z32" i="9" a="1"/>
  <c r="AA32" i="9" a="1"/>
  <c r="Z38" i="9" a="1"/>
  <c r="AA38" i="9" a="1"/>
  <c r="Z43" i="9" a="1"/>
  <c r="AA43" i="9" a="1"/>
  <c r="Z39" i="9" a="1"/>
  <c r="AA39" i="9" a="1"/>
  <c r="Z44" i="9" a="1"/>
  <c r="AA44" i="9" a="1"/>
  <c r="Z26" i="9" a="1"/>
  <c r="AA26" i="9" a="1"/>
  <c r="Z33" i="9" a="1"/>
  <c r="AA33" i="9" a="1"/>
  <c r="W62" i="9" a="1"/>
  <c r="W55" i="9" a="1"/>
  <c r="W68" i="9" a="1"/>
  <c r="W38" i="9" a="1"/>
  <c r="W27" i="9" a="1"/>
  <c r="W19" i="9" a="1"/>
  <c r="W42" i="9" a="1"/>
  <c r="W14" i="9" a="1"/>
  <c r="W39" i="9" a="1"/>
  <c r="W11" i="9" a="1"/>
  <c r="W61" i="9" a="1"/>
  <c r="W9" i="9" a="1"/>
  <c r="W25" i="9" a="1"/>
  <c r="W50" i="9" a="1"/>
  <c r="W15" i="9" a="1"/>
  <c r="W65" i="9" a="1"/>
  <c r="W36" i="9" a="1"/>
  <c r="W24" i="9" a="1"/>
  <c r="W44" i="9" a="1"/>
  <c r="W71" i="9" a="1"/>
  <c r="W43" i="9" a="1"/>
  <c r="W28" i="9" a="1"/>
  <c r="W54" i="9" a="1"/>
  <c r="W35" i="9" a="1"/>
  <c r="W51" i="9" a="1"/>
  <c r="W26" i="9" a="1"/>
  <c r="W40" i="9" a="1"/>
  <c r="W72" i="9" a="1"/>
  <c r="W56" i="9" a="1"/>
  <c r="W67" i="9" a="1"/>
  <c r="W66" i="9" a="1"/>
  <c r="W63" i="9" a="1"/>
  <c r="W32" i="9" a="1"/>
  <c r="W41" i="9" a="1"/>
  <c r="W58" i="9" a="1"/>
  <c r="W60" i="9" a="1"/>
  <c r="W22" i="9" a="1"/>
  <c r="W33" i="9" a="1"/>
  <c r="W70" i="9" a="1"/>
  <c r="W59" i="9" a="1"/>
  <c r="W7" i="9" a="1"/>
  <c r="W23" i="9" a="1"/>
  <c r="W45" i="9" a="1"/>
  <c r="W12" i="9" a="1"/>
  <c r="W57" i="9" a="1"/>
  <c r="W8" i="9" a="1"/>
  <c r="W30" i="9" a="1"/>
  <c r="W53" i="9" a="1"/>
  <c r="W20" i="9" a="1"/>
  <c r="W49" i="9" a="1"/>
  <c r="W29" i="9" a="1"/>
  <c r="W10" i="9" a="1"/>
  <c r="W37" i="9" a="1"/>
  <c r="W31" i="9" a="1"/>
  <c r="W48" i="9" a="1"/>
  <c r="W64" i="9" a="1"/>
  <c r="W21" i="9" a="1"/>
  <c r="W17" i="9" a="1"/>
  <c r="W47" i="9" a="1"/>
  <c r="W34" i="9" a="1"/>
  <c r="W6" i="9" a="1"/>
  <c r="W69" i="9" a="1"/>
  <c r="W52" i="9" a="1"/>
  <c r="W16" i="9" a="1"/>
  <c r="W13" i="9" a="1"/>
  <c r="W46" i="9" a="1"/>
  <c r="W18" i="9" a="1"/>
  <c r="AA33" i="9" l="1"/>
  <c r="I32" i="17" s="1" a="1"/>
  <c r="I32" i="17" s="1"/>
  <c r="Z33" i="9"/>
  <c r="H32" i="17" s="1" a="1"/>
  <c r="H32" i="17" s="1"/>
  <c r="AA26" i="9"/>
  <c r="I25" i="17" s="1" a="1"/>
  <c r="I25" i="17" s="1"/>
  <c r="Z26" i="9"/>
  <c r="H25" i="17" s="1" a="1"/>
  <c r="H25" i="17" s="1"/>
  <c r="AA44" i="9"/>
  <c r="I43" i="17" s="1" a="1"/>
  <c r="I43" i="17" s="1"/>
  <c r="Z44" i="9"/>
  <c r="H43" i="17" s="1" a="1"/>
  <c r="H43" i="17" s="1"/>
  <c r="AA39" i="9"/>
  <c r="I38" i="17" s="1" a="1"/>
  <c r="I38" i="17" s="1"/>
  <c r="Z39" i="9"/>
  <c r="H38" i="17" s="1" a="1"/>
  <c r="H38" i="17" s="1"/>
  <c r="AA43" i="9"/>
  <c r="I42" i="17" s="1" a="1"/>
  <c r="I42" i="17" s="1"/>
  <c r="Z43" i="9"/>
  <c r="H42" i="17" s="1" a="1"/>
  <c r="H42" i="17" s="1"/>
  <c r="AA38" i="9"/>
  <c r="I37" i="17" s="1" a="1"/>
  <c r="I37" i="17" s="1"/>
  <c r="Z38" i="9"/>
  <c r="H37" i="17" s="1" a="1"/>
  <c r="H37" i="17" s="1"/>
  <c r="AA32" i="9"/>
  <c r="I31" i="17" s="1" a="1"/>
  <c r="I31" i="17" s="1"/>
  <c r="Z32" i="9"/>
  <c r="H31" i="17" s="1" a="1"/>
  <c r="H31" i="17" s="1"/>
  <c r="AA16" i="9"/>
  <c r="I15" i="17" s="1" a="1"/>
  <c r="I15" i="17" s="1"/>
  <c r="Z16" i="9"/>
  <c r="H15" i="17" s="1" a="1"/>
  <c r="H15" i="17" s="1"/>
  <c r="AA58" i="9"/>
  <c r="I57" i="17" s="1" a="1"/>
  <c r="I57" i="17" s="1"/>
  <c r="Z58" i="9"/>
  <c r="H57" i="17" s="1" a="1"/>
  <c r="H57" i="17" s="1"/>
  <c r="AA47" i="9"/>
  <c r="I46" i="17" s="1" a="1"/>
  <c r="I46" i="17" s="1"/>
  <c r="Z47" i="9"/>
  <c r="H46" i="17" s="1" a="1"/>
  <c r="H46" i="17" s="1"/>
  <c r="Z12" i="9"/>
  <c r="H11" i="17" s="1" a="1"/>
  <c r="H11" i="17" s="1"/>
  <c r="AA12" i="9"/>
  <c r="I11" i="17" s="1" a="1"/>
  <c r="I11" i="17" s="1"/>
  <c r="AA40" i="9"/>
  <c r="I39" i="17" s="1" a="1"/>
  <c r="I39" i="17" s="1"/>
  <c r="Z40" i="9"/>
  <c r="H39" i="17" s="1" a="1"/>
  <c r="H39" i="17" s="1"/>
  <c r="AA50" i="9"/>
  <c r="I49" i="17" s="1" a="1"/>
  <c r="I49" i="17" s="1"/>
  <c r="Z50" i="9"/>
  <c r="H49" i="17" s="1" a="1"/>
  <c r="H49" i="17" s="1"/>
  <c r="AA23" i="9"/>
  <c r="I22" i="17" s="1" a="1"/>
  <c r="I22" i="17" s="1"/>
  <c r="Z23" i="9"/>
  <c r="H22" i="17" s="1" a="1"/>
  <c r="H22" i="17" s="1"/>
  <c r="AA17" i="9"/>
  <c r="I16" i="17" s="1" a="1"/>
  <c r="I16" i="17" s="1"/>
  <c r="Z17" i="9"/>
  <c r="H16" i="17" s="1" a="1"/>
  <c r="H16" i="17" s="1"/>
  <c r="AA46" i="9"/>
  <c r="I45" i="17" s="1" a="1"/>
  <c r="I45" i="17" s="1"/>
  <c r="Z46" i="9"/>
  <c r="H45" i="17" s="1" a="1"/>
  <c r="H45" i="17" s="1"/>
  <c r="AA34" i="9"/>
  <c r="I33" i="17" s="1" a="1"/>
  <c r="I33" i="17" s="1"/>
  <c r="Z34" i="9"/>
  <c r="H33" i="17" s="1" a="1"/>
  <c r="H33" i="17" s="1"/>
  <c r="AA64" i="9"/>
  <c r="I63" i="17" s="1" a="1"/>
  <c r="I63" i="17" s="1"/>
  <c r="Z64" i="9"/>
  <c r="H63" i="17" s="1" a="1"/>
  <c r="H63" i="17" s="1"/>
  <c r="AA41" i="9"/>
  <c r="I40" i="17" s="1" a="1"/>
  <c r="I40" i="17" s="1"/>
  <c r="Z41" i="9"/>
  <c r="H40" i="17" s="1" a="1"/>
  <c r="H40" i="17" s="1"/>
  <c r="AA29" i="9"/>
  <c r="I28" i="17" s="1" a="1"/>
  <c r="I28" i="17" s="1"/>
  <c r="Z29" i="9"/>
  <c r="H28" i="17" s="1" a="1"/>
  <c r="H28" i="17" s="1"/>
  <c r="AA27" i="9"/>
  <c r="I26" i="17" s="1" a="1"/>
  <c r="I26" i="17" s="1"/>
  <c r="Z27" i="9"/>
  <c r="H26" i="17" s="1" a="1"/>
  <c r="H26" i="17" s="1"/>
  <c r="AA51" i="9"/>
  <c r="I50" i="17" s="1" a="1"/>
  <c r="I50" i="17" s="1"/>
  <c r="Z51" i="9"/>
  <c r="H50" i="17" s="1" a="1"/>
  <c r="H50" i="17" s="1"/>
  <c r="AA24" i="9"/>
  <c r="I23" i="17" s="1" a="1"/>
  <c r="I23" i="17" s="1"/>
  <c r="Z24" i="9"/>
  <c r="H23" i="17" s="1" a="1"/>
  <c r="H23" i="17" s="1"/>
  <c r="AA9" i="9"/>
  <c r="I8" i="17" s="1" a="1"/>
  <c r="I8" i="17" s="1"/>
  <c r="Z9" i="9"/>
  <c r="H8" i="17" s="1" a="1"/>
  <c r="H8" i="17" s="1"/>
  <c r="AA45" i="9"/>
  <c r="I44" i="17" s="1" a="1"/>
  <c r="I44" i="17" s="1"/>
  <c r="Z45" i="9"/>
  <c r="H44" i="17" s="1" a="1"/>
  <c r="H44" i="17" s="1"/>
  <c r="AA25" i="9"/>
  <c r="I24" i="17" s="1" a="1"/>
  <c r="I24" i="17" s="1"/>
  <c r="Z25" i="9"/>
  <c r="H24" i="17" s="1" a="1"/>
  <c r="H24" i="17" s="1"/>
  <c r="AA14" i="9"/>
  <c r="I13" i="17" s="1" a="1"/>
  <c r="I13" i="17" s="1"/>
  <c r="Z14" i="9"/>
  <c r="H13" i="17" s="1" a="1"/>
  <c r="H13" i="17" s="1"/>
  <c r="AA68" i="9"/>
  <c r="I67" i="17" s="1" a="1"/>
  <c r="I67" i="17" s="1"/>
  <c r="Z68" i="9"/>
  <c r="H67" i="17" s="1" a="1"/>
  <c r="H67" i="17" s="1"/>
  <c r="AA10" i="9"/>
  <c r="I9" i="17" s="1" a="1"/>
  <c r="I9" i="17" s="1"/>
  <c r="Z10" i="9"/>
  <c r="H9" i="17" s="1" a="1"/>
  <c r="H9" i="17" s="1"/>
  <c r="AA13" i="9"/>
  <c r="I12" i="17" s="1" a="1"/>
  <c r="I12" i="17" s="1"/>
  <c r="Z13" i="9"/>
  <c r="H12" i="17" s="1" a="1"/>
  <c r="H12" i="17" s="1"/>
  <c r="AA15" i="9"/>
  <c r="I14" i="17" s="1" a="1"/>
  <c r="I14" i="17" s="1"/>
  <c r="Z15" i="9"/>
  <c r="H14" i="17" s="1" a="1"/>
  <c r="H14" i="17" s="1"/>
  <c r="AA67" i="9"/>
  <c r="I66" i="17" s="1" a="1"/>
  <c r="I66" i="17" s="1"/>
  <c r="Z67" i="9"/>
  <c r="H66" i="17" s="1" a="1"/>
  <c r="H66" i="17" s="1"/>
  <c r="AA56" i="9"/>
  <c r="I55" i="17" s="1" a="1"/>
  <c r="I55" i="17" s="1"/>
  <c r="Z56" i="9"/>
  <c r="H55" i="17" s="1" a="1"/>
  <c r="H55" i="17" s="1"/>
  <c r="AA71" i="9"/>
  <c r="I70" i="17" s="1" a="1"/>
  <c r="I70" i="17" s="1"/>
  <c r="Z71" i="9"/>
  <c r="H70" i="17" s="1" a="1"/>
  <c r="H70" i="17" s="1"/>
  <c r="AA69" i="9"/>
  <c r="I68" i="17" s="1" a="1"/>
  <c r="I68" i="17" s="1"/>
  <c r="Z69" i="9"/>
  <c r="H68" i="17" s="1" a="1"/>
  <c r="H68" i="17" s="1"/>
  <c r="AA48" i="9"/>
  <c r="I47" i="17" s="1" a="1"/>
  <c r="I47" i="17" s="1"/>
  <c r="Z48" i="9"/>
  <c r="H47" i="17" s="1" a="1"/>
  <c r="H47" i="17" s="1"/>
  <c r="AA49" i="9"/>
  <c r="I48" i="17" s="1" a="1"/>
  <c r="I48" i="17" s="1"/>
  <c r="Z49" i="9"/>
  <c r="H48" i="17" s="1" a="1"/>
  <c r="H48" i="17" s="1"/>
  <c r="AA30" i="9"/>
  <c r="I29" i="17" s="1" a="1"/>
  <c r="I29" i="17" s="1"/>
  <c r="Z30" i="9"/>
  <c r="H29" i="17" s="1" a="1"/>
  <c r="H29" i="17" s="1"/>
  <c r="Z7" i="9"/>
  <c r="H6" i="17" s="1" a="1"/>
  <c r="H6" i="17" s="1"/>
  <c r="AA7" i="9"/>
  <c r="I6" i="17" s="1" a="1"/>
  <c r="I6" i="17" s="1"/>
  <c r="AA61" i="9"/>
  <c r="I60" i="17" s="1" a="1"/>
  <c r="I60" i="17" s="1"/>
  <c r="Z61" i="9"/>
  <c r="H60" i="17" s="1" a="1"/>
  <c r="H60" i="17" s="1"/>
  <c r="AA55" i="9"/>
  <c r="I54" i="17" s="1" a="1"/>
  <c r="I54" i="17" s="1"/>
  <c r="Z55" i="9"/>
  <c r="H54" i="17" s="1" a="1"/>
  <c r="H54" i="17" s="1"/>
  <c r="AA18" i="9"/>
  <c r="I17" i="17" s="1" a="1"/>
  <c r="I17" i="17" s="1"/>
  <c r="Z18" i="9"/>
  <c r="H17" i="17" s="1" a="1"/>
  <c r="H17" i="17" s="1"/>
  <c r="AA21" i="9"/>
  <c r="I20" i="17" s="1" a="1"/>
  <c r="I20" i="17" s="1"/>
  <c r="Z21" i="9"/>
  <c r="H20" i="17" s="1" a="1"/>
  <c r="H20" i="17" s="1"/>
  <c r="AA31" i="9"/>
  <c r="I30" i="17" s="1" a="1"/>
  <c r="I30" i="17" s="1"/>
  <c r="Z31" i="9"/>
  <c r="H30" i="17" s="1" a="1"/>
  <c r="H30" i="17" s="1"/>
  <c r="AA20" i="9"/>
  <c r="I19" i="17" s="1" a="1"/>
  <c r="I19" i="17" s="1"/>
  <c r="Z20" i="9"/>
  <c r="H19" i="17" s="1" a="1"/>
  <c r="H19" i="17" s="1"/>
  <c r="AA8" i="9"/>
  <c r="I7" i="17" s="1" a="1"/>
  <c r="I7" i="17" s="1"/>
  <c r="Z8" i="9"/>
  <c r="H7" i="17" s="1" a="1"/>
  <c r="H7" i="17" s="1"/>
  <c r="AA59" i="9"/>
  <c r="I58" i="17" s="1" a="1"/>
  <c r="I58" i="17" s="1"/>
  <c r="Z59" i="9"/>
  <c r="H58" i="17" s="1" a="1"/>
  <c r="H58" i="17" s="1"/>
  <c r="AA35" i="9"/>
  <c r="I34" i="17" s="1" a="1"/>
  <c r="I34" i="17" s="1"/>
  <c r="Z35" i="9"/>
  <c r="H34" i="17" s="1" a="1"/>
  <c r="H34" i="17" s="1"/>
  <c r="AA42" i="9"/>
  <c r="I41" i="17" s="1" a="1"/>
  <c r="I41" i="17" s="1"/>
  <c r="Z42" i="9"/>
  <c r="H41" i="17" s="1" a="1"/>
  <c r="H41" i="17" s="1"/>
  <c r="AA63" i="9"/>
  <c r="I62" i="17" s="1" a="1"/>
  <c r="I62" i="17" s="1"/>
  <c r="Z63" i="9"/>
  <c r="H62" i="17" s="1" a="1"/>
  <c r="H62" i="17" s="1"/>
  <c r="AA54" i="9"/>
  <c r="I53" i="17" s="1" a="1"/>
  <c r="I53" i="17" s="1"/>
  <c r="Z54" i="9"/>
  <c r="H53" i="17" s="1" a="1"/>
  <c r="H53" i="17" s="1"/>
  <c r="AA65" i="9"/>
  <c r="I64" i="17" s="1" a="1"/>
  <c r="I64" i="17" s="1"/>
  <c r="Z65" i="9"/>
  <c r="H64" i="17" s="1" a="1"/>
  <c r="H64" i="17" s="1"/>
  <c r="AA11" i="9"/>
  <c r="I10" i="17" s="1" a="1"/>
  <c r="I10" i="17" s="1"/>
  <c r="Z11" i="9"/>
  <c r="H10" i="17" s="1" a="1"/>
  <c r="H10" i="17" s="1"/>
  <c r="AA19" i="9"/>
  <c r="I18" i="17" s="1" a="1"/>
  <c r="I18" i="17" s="1"/>
  <c r="Z19" i="9"/>
  <c r="H18" i="17" s="1" a="1"/>
  <c r="H18" i="17" s="1"/>
  <c r="AA60" i="9"/>
  <c r="I59" i="17" s="1" a="1"/>
  <c r="I59" i="17" s="1"/>
  <c r="Z60" i="9"/>
  <c r="H59" i="17" s="1" a="1"/>
  <c r="H59" i="17" s="1"/>
  <c r="AA36" i="9"/>
  <c r="I35" i="17" s="1" a="1"/>
  <c r="I35" i="17" s="1"/>
  <c r="Z36" i="9"/>
  <c r="H35" i="17" s="1" a="1"/>
  <c r="H35" i="17" s="1"/>
  <c r="AA62" i="9"/>
  <c r="I61" i="17" s="1" a="1"/>
  <c r="I61" i="17" s="1"/>
  <c r="Z62" i="9"/>
  <c r="H61" i="17" s="1" a="1"/>
  <c r="H61" i="17" s="1"/>
  <c r="AA66" i="9"/>
  <c r="I65" i="17" s="1" a="1"/>
  <c r="I65" i="17" s="1"/>
  <c r="Z66" i="9"/>
  <c r="H65" i="17" s="1" a="1"/>
  <c r="H65" i="17" s="1"/>
  <c r="AA52" i="9"/>
  <c r="I51" i="17" s="1" a="1"/>
  <c r="I51" i="17" s="1"/>
  <c r="Z52" i="9"/>
  <c r="H51" i="17" s="1" a="1"/>
  <c r="H51" i="17" s="1"/>
  <c r="AA28" i="9"/>
  <c r="I27" i="17" s="1" a="1"/>
  <c r="I27" i="17" s="1"/>
  <c r="Z28" i="9"/>
  <c r="H27" i="17" s="1" a="1"/>
  <c r="H27" i="17" s="1"/>
  <c r="AA6" i="9"/>
  <c r="I5" i="17" s="1" a="1"/>
  <c r="I5" i="17" s="1"/>
  <c r="Z6" i="9"/>
  <c r="H5" i="17" s="1" a="1"/>
  <c r="H5" i="17" s="1"/>
  <c r="AA37" i="9"/>
  <c r="I36" i="17" s="1" a="1"/>
  <c r="I36" i="17" s="1"/>
  <c r="Z37" i="9"/>
  <c r="H36" i="17" s="1" a="1"/>
  <c r="H36" i="17" s="1"/>
  <c r="AA53" i="9"/>
  <c r="I52" i="17" s="1" a="1"/>
  <c r="I52" i="17" s="1"/>
  <c r="Z53" i="9"/>
  <c r="H52" i="17" s="1" a="1"/>
  <c r="H52" i="17" s="1"/>
  <c r="AA57" i="9"/>
  <c r="I56" i="17" s="1" a="1"/>
  <c r="I56" i="17" s="1"/>
  <c r="Z57" i="9"/>
  <c r="H56" i="17" s="1" a="1"/>
  <c r="H56" i="17" s="1"/>
  <c r="AA70" i="9"/>
  <c r="I69" i="17" s="1" a="1"/>
  <c r="I69" i="17" s="1"/>
  <c r="Z70" i="9"/>
  <c r="H69" i="17" s="1" a="1"/>
  <c r="H69" i="17" s="1"/>
  <c r="AA22" i="9"/>
  <c r="I21" i="17" s="1" a="1"/>
  <c r="I21" i="17" s="1"/>
  <c r="Z22" i="9"/>
  <c r="H21" i="17" s="1" a="1"/>
  <c r="H21" i="17" s="1"/>
  <c r="F11" i="17" a="1"/>
  <c r="F11" i="17" s="1"/>
  <c r="W43" i="9"/>
  <c r="W45" i="9"/>
  <c r="W56" i="9"/>
  <c r="W72" i="9"/>
  <c r="W26" i="9"/>
  <c r="W44" i="9"/>
  <c r="W25" i="9"/>
  <c r="W39" i="9"/>
  <c r="W38" i="9"/>
  <c r="W60" i="9"/>
  <c r="W46" i="9"/>
  <c r="W34" i="9"/>
  <c r="W58" i="9"/>
  <c r="W47" i="9"/>
  <c r="W12" i="9"/>
  <c r="W29" i="9"/>
  <c r="W50" i="9"/>
  <c r="W23" i="9"/>
  <c r="W71" i="9"/>
  <c r="W40" i="9"/>
  <c r="W51" i="9"/>
  <c r="W24" i="9"/>
  <c r="W9" i="9"/>
  <c r="W14" i="9"/>
  <c r="W68" i="9"/>
  <c r="W10" i="9"/>
  <c r="W13" i="9"/>
  <c r="W15" i="9"/>
  <c r="W67" i="9"/>
  <c r="W17" i="9"/>
  <c r="W48" i="9"/>
  <c r="W49" i="9"/>
  <c r="W30" i="9"/>
  <c r="W7" i="9"/>
  <c r="W33" i="9"/>
  <c r="W32" i="9"/>
  <c r="W35" i="9"/>
  <c r="W36" i="9"/>
  <c r="W61" i="9"/>
  <c r="W42" i="9"/>
  <c r="W55" i="9"/>
  <c r="W18" i="9"/>
  <c r="W16" i="9"/>
  <c r="W27" i="9"/>
  <c r="W69" i="9"/>
  <c r="W21" i="9"/>
  <c r="W31" i="9"/>
  <c r="W20" i="9"/>
  <c r="W8" i="9"/>
  <c r="W59" i="9"/>
  <c r="W41" i="9"/>
  <c r="W63" i="9"/>
  <c r="W54" i="9"/>
  <c r="W65" i="9"/>
  <c r="W11" i="9"/>
  <c r="W19" i="9"/>
  <c r="W62" i="9"/>
  <c r="W66" i="9"/>
  <c r="W52" i="9"/>
  <c r="W28" i="9"/>
  <c r="W6" i="9"/>
  <c r="W64" i="9"/>
  <c r="W37" i="9"/>
  <c r="W53" i="9"/>
  <c r="W57" i="9"/>
  <c r="W70" i="9"/>
  <c r="W22" i="9"/>
  <c r="D43" i="17" a="1"/>
  <c r="D43" i="17" s="1"/>
  <c r="D56" i="17" a="1"/>
  <c r="D56" i="17" s="1"/>
  <c r="D72" i="17" a="1"/>
  <c r="D72" i="17" s="1"/>
  <c r="F56" i="17" a="1"/>
  <c r="F56" i="17" s="1"/>
  <c r="D60" i="17" a="1"/>
  <c r="D60" i="17" s="1"/>
  <c r="D46" i="17" a="1"/>
  <c r="D46" i="17" s="1"/>
  <c r="D29" i="17" a="1"/>
  <c r="D29" i="17" s="1"/>
  <c r="D40" i="17" a="1"/>
  <c r="D40" i="17" s="1"/>
  <c r="D51" i="17" a="1"/>
  <c r="D51" i="17" s="1"/>
  <c r="D14" i="17" a="1"/>
  <c r="D14" i="17" s="1"/>
  <c r="D17" i="17" a="1"/>
  <c r="D17" i="17" s="1"/>
  <c r="D48" i="17" a="1"/>
  <c r="D48" i="17" s="1"/>
  <c r="D30" i="17" a="1"/>
  <c r="D30" i="17" s="1"/>
  <c r="D7" i="17" a="1"/>
  <c r="D7" i="17" s="1"/>
  <c r="D61" i="17" a="1"/>
  <c r="D61" i="17" s="1"/>
  <c r="D27" i="17" a="1"/>
  <c r="D27" i="17" s="1"/>
  <c r="D69" i="17" a="1"/>
  <c r="D69" i="17" s="1"/>
  <c r="D21" i="17" a="1"/>
  <c r="D21" i="17" s="1"/>
  <c r="D54" i="17" a="1"/>
  <c r="D54" i="17" s="1"/>
  <c r="D19" i="17" a="1"/>
  <c r="D19" i="17" s="1"/>
  <c r="D66" i="17" a="1"/>
  <c r="D66" i="17" s="1"/>
  <c r="D52" i="17" a="1"/>
  <c r="D52" i="17" s="1"/>
  <c r="D64" i="17" a="1"/>
  <c r="D64" i="17" s="1"/>
  <c r="D37" i="17" a="1"/>
  <c r="D37" i="17" s="1"/>
  <c r="F22" i="17" a="1"/>
  <c r="F22" i="17" s="1"/>
  <c r="F40" i="17" a="1"/>
  <c r="F40" i="17" s="1"/>
  <c r="F63" i="17" a="1"/>
  <c r="F63" i="17" s="1"/>
  <c r="D9" i="17" a="1"/>
  <c r="D9" i="17" s="1"/>
  <c r="D49" i="17" a="1"/>
  <c r="D49" i="17" s="1"/>
  <c r="D63" i="17" a="1"/>
  <c r="D63" i="17" s="1"/>
  <c r="D32" i="17" a="1"/>
  <c r="D32" i="17" s="1"/>
  <c r="D41" i="17" a="1"/>
  <c r="D41" i="17" s="1"/>
  <c r="D50" i="17" a="1"/>
  <c r="D50" i="17" s="1"/>
  <c r="D13" i="17" a="1"/>
  <c r="D13" i="17" s="1"/>
  <c r="F62" i="17" a="1"/>
  <c r="F62" i="17" s="1"/>
  <c r="D35" i="17" a="1"/>
  <c r="D35" i="17" s="1"/>
  <c r="D25" i="17" a="1"/>
  <c r="D25" i="17" s="1"/>
  <c r="F39" i="17" a="1"/>
  <c r="F39" i="17" s="1"/>
  <c r="F44" i="17" a="1"/>
  <c r="F44" i="17" s="1"/>
  <c r="D65" i="17" a="1"/>
  <c r="D65" i="17" s="1"/>
  <c r="D11" i="17" a="1"/>
  <c r="D11" i="17" s="1"/>
  <c r="F46" i="17" a="1"/>
  <c r="F46" i="17" s="1"/>
  <c r="F55" i="17" a="1"/>
  <c r="F55" i="17" s="1"/>
  <c r="D71" i="17" a="1"/>
  <c r="D71" i="17" s="1"/>
  <c r="F19" i="17" a="1"/>
  <c r="F19" i="17" s="1"/>
  <c r="D34" i="17" a="1"/>
  <c r="D34" i="17" s="1"/>
  <c r="F60" i="17" a="1"/>
  <c r="F60" i="17" s="1"/>
  <c r="F21" i="17" a="1"/>
  <c r="F21" i="17" s="1"/>
  <c r="F67" i="17" a="1"/>
  <c r="F67" i="17" s="1"/>
  <c r="F42" i="17" a="1"/>
  <c r="F42" i="17" s="1"/>
  <c r="F32" i="17" a="1"/>
  <c r="F32" i="17" s="1"/>
  <c r="F58" i="17" a="1"/>
  <c r="F58" i="17" s="1"/>
  <c r="F7" i="17" a="1"/>
  <c r="F7" i="17" s="1"/>
  <c r="F15" i="17" a="1"/>
  <c r="F15" i="17" s="1"/>
  <c r="D45" i="17" a="1"/>
  <c r="D45" i="17" s="1"/>
  <c r="F43" i="17" a="1"/>
  <c r="F43" i="17" s="1"/>
  <c r="F68" i="17" a="1"/>
  <c r="F68" i="17" s="1"/>
  <c r="F70" i="17" a="1"/>
  <c r="F70" i="17" s="1"/>
  <c r="D33" i="17" a="1"/>
  <c r="D33" i="17" s="1"/>
  <c r="D26" i="17" a="1"/>
  <c r="D26" i="17" s="1"/>
  <c r="D44" i="17" a="1"/>
  <c r="D44" i="17" s="1"/>
  <c r="D59" i="17" a="1"/>
  <c r="D59" i="17" s="1"/>
  <c r="F50" i="17" a="1"/>
  <c r="F50" i="17" s="1"/>
  <c r="D39" i="17" a="1"/>
  <c r="D39" i="17" s="1"/>
  <c r="F41" i="17" a="1"/>
  <c r="F41" i="17" s="1"/>
  <c r="D38" i="17" a="1"/>
  <c r="D38" i="17" s="1"/>
  <c r="F18" i="17" a="1"/>
  <c r="F18" i="17" s="1"/>
  <c r="F36" i="17" a="1"/>
  <c r="F36" i="17" s="1"/>
  <c r="F27" i="17" a="1"/>
  <c r="F27" i="17" s="1"/>
  <c r="F23" i="17" a="1"/>
  <c r="F23" i="17" s="1"/>
  <c r="F14" i="17" a="1"/>
  <c r="F14" i="17" s="1"/>
  <c r="D58" i="17" a="1"/>
  <c r="D58" i="17" s="1"/>
  <c r="D47" i="17" a="1"/>
  <c r="D47" i="17" s="1"/>
  <c r="D12" i="17" a="1"/>
  <c r="D12" i="17" s="1"/>
  <c r="F30" i="17" a="1"/>
  <c r="F30" i="17" s="1"/>
  <c r="D23" i="17" a="1"/>
  <c r="D23" i="17" s="1"/>
  <c r="F24" i="17" a="1"/>
  <c r="F24" i="17" s="1"/>
  <c r="D24" i="17" a="1"/>
  <c r="D24" i="17" s="1"/>
  <c r="F26" i="17" a="1"/>
  <c r="F26" i="17" s="1"/>
  <c r="D16" i="17" a="1"/>
  <c r="D16" i="17" s="1"/>
  <c r="F45" i="17" a="1"/>
  <c r="F45" i="17" s="1"/>
  <c r="F31" i="17" a="1"/>
  <c r="F31" i="17" s="1"/>
  <c r="D68" i="17" a="1"/>
  <c r="D68" i="17" s="1"/>
  <c r="F49" i="17" a="1"/>
  <c r="F49" i="17" s="1"/>
  <c r="F29" i="17" a="1"/>
  <c r="F29" i="17" s="1"/>
  <c r="D10" i="17" a="1"/>
  <c r="D10" i="17" s="1"/>
  <c r="D15" i="17" a="1"/>
  <c r="D15" i="17" s="1"/>
  <c r="F35" i="17" a="1"/>
  <c r="F35" i="17" s="1"/>
  <c r="D67" i="17" a="1"/>
  <c r="D67" i="17" s="1"/>
  <c r="F10" i="17" a="1"/>
  <c r="F10" i="17" s="1"/>
  <c r="F64" i="17" a="1"/>
  <c r="F64" i="17" s="1"/>
  <c r="F12" i="17" a="1"/>
  <c r="F12" i="17" s="1"/>
  <c r="D36" i="17" a="1"/>
  <c r="D36" i="17" s="1"/>
  <c r="D42" i="17" a="1"/>
  <c r="D42" i="17" s="1"/>
  <c r="F69" i="17" a="1"/>
  <c r="F69" i="17" s="1"/>
  <c r="F38" i="17" a="1"/>
  <c r="F38" i="17" s="1"/>
  <c r="D55" i="17" a="1"/>
  <c r="D55" i="17" s="1"/>
  <c r="F17" i="17" a="1"/>
  <c r="F17" i="17" s="1"/>
  <c r="D18" i="17" a="1"/>
  <c r="D18" i="17" s="1"/>
  <c r="F8" i="17" a="1"/>
  <c r="F8" i="17" s="1"/>
  <c r="D31" i="17" a="1"/>
  <c r="D31" i="17" s="1"/>
  <c r="D20" i="17" a="1"/>
  <c r="D20" i="17" s="1"/>
  <c r="D8" i="17" a="1"/>
  <c r="D8" i="17" s="1"/>
  <c r="F61" i="17" a="1"/>
  <c r="F61" i="17" s="1"/>
  <c r="F59" i="17" a="1"/>
  <c r="F59" i="17" s="1"/>
  <c r="F65" i="17" a="1"/>
  <c r="F65" i="17" s="1"/>
  <c r="D62" i="17" a="1"/>
  <c r="D62" i="17" s="1"/>
  <c r="F13" i="17" a="1"/>
  <c r="F13" i="17" s="1"/>
  <c r="D28" i="17" a="1"/>
  <c r="D28" i="17" s="1"/>
  <c r="F48" i="17" a="1"/>
  <c r="F48" i="17" s="1"/>
  <c r="D6" i="17" a="1"/>
  <c r="D6" i="17" s="1"/>
  <c r="D5" i="17" a="1"/>
  <c r="D5" i="17" s="1"/>
  <c r="F66" i="17" a="1"/>
  <c r="F66" i="17" s="1"/>
  <c r="F52" i="17" a="1"/>
  <c r="F52" i="17" s="1"/>
  <c r="F54" i="17" a="1"/>
  <c r="F54" i="17" s="1"/>
  <c r="D53" i="17" a="1"/>
  <c r="D53" i="17" s="1"/>
  <c r="D57" i="17" a="1"/>
  <c r="D57" i="17" s="1"/>
  <c r="D70" i="17" a="1"/>
  <c r="D70" i="17" s="1"/>
  <c r="D22" i="17" a="1"/>
  <c r="D22" i="17" s="1"/>
  <c r="F6" i="17" a="1"/>
  <c r="F6" i="17" s="1"/>
  <c r="F5" i="17" a="1"/>
  <c r="F5" i="17" s="1"/>
  <c r="E8" i="18" a="1"/>
  <c r="E8" i="18" s="1"/>
  <c r="E7" i="18" a="1"/>
  <c r="E7" i="18" s="1"/>
  <c r="E10" i="18" a="1"/>
  <c r="E10" i="18" s="1"/>
  <c r="E9" i="18" a="1"/>
  <c r="E9" i="18" s="1"/>
  <c r="E11" i="18" a="1"/>
  <c r="E11" i="18" s="1"/>
  <c r="E14" i="18" a="1"/>
  <c r="E14" i="18" s="1"/>
  <c r="E22" i="18" a="1"/>
  <c r="E22" i="18" s="1"/>
  <c r="E18" i="18" a="1"/>
  <c r="E18" i="18" s="1"/>
  <c r="E26" i="18" a="1"/>
  <c r="E26" i="18" s="1"/>
  <c r="E33" i="18" a="1"/>
  <c r="E33" i="18" s="1"/>
  <c r="E25" i="18" a="1"/>
  <c r="E25" i="18" s="1"/>
  <c r="E17" i="18" a="1"/>
  <c r="E17" i="18" s="1"/>
  <c r="E24" i="18" a="1"/>
  <c r="E24" i="18" s="1"/>
  <c r="E30" i="18" a="1"/>
  <c r="E30" i="18" s="1"/>
  <c r="E20" i="18" a="1"/>
  <c r="E20" i="18" s="1"/>
  <c r="E27" i="18" a="1"/>
  <c r="E27" i="18" s="1"/>
  <c r="E19" i="18" a="1"/>
  <c r="E19" i="18" s="1"/>
  <c r="E23" i="18" a="1"/>
  <c r="E23" i="18" s="1"/>
  <c r="E15" i="18" a="1"/>
  <c r="E15" i="18" s="1"/>
  <c r="E21" i="18" a="1"/>
  <c r="E21" i="18" s="1"/>
  <c r="E28" i="18" a="1"/>
  <c r="E28" i="18" s="1"/>
  <c r="E29" i="18" a="1"/>
  <c r="E29" i="18" s="1"/>
  <c r="E16" i="18" a="1"/>
  <c r="E16" i="18" s="1"/>
  <c r="E12" i="18" a="1"/>
  <c r="E12" i="18" s="1"/>
  <c r="E32" i="18" a="1"/>
  <c r="E32" i="18" s="1"/>
  <c r="E31" i="18" a="1"/>
  <c r="E31" i="18" s="1"/>
  <c r="T11" i="9"/>
  <c r="Y11" i="9"/>
  <c r="U11" i="9"/>
  <c r="Y8" i="9"/>
  <c r="U8" i="9"/>
  <c r="C8" i="18" s="1" a="1"/>
  <c r="C8" i="18" s="1"/>
  <c r="T8" i="9"/>
  <c r="B8" i="18" s="1" a="1"/>
  <c r="B8" i="18" s="1"/>
  <c r="Y7" i="9"/>
  <c r="U7" i="9"/>
  <c r="C7" i="18" s="1" a="1"/>
  <c r="C7" i="18" s="1"/>
  <c r="T7" i="9"/>
  <c r="B7" i="18" s="1" a="1"/>
  <c r="B7" i="18" s="1"/>
  <c r="Y10" i="9"/>
  <c r="U10" i="9"/>
  <c r="T10" i="9"/>
  <c r="Y6" i="9"/>
  <c r="U6" i="9"/>
  <c r="T6" i="9"/>
  <c r="E36" i="18" a="1"/>
  <c r="E36" i="18" s="1"/>
  <c r="E63" i="18" a="1"/>
  <c r="E63" i="18" s="1"/>
  <c r="E35" i="18" a="1"/>
  <c r="E35" i="18" s="1"/>
  <c r="E46" i="18" a="1"/>
  <c r="E46" i="18" s="1"/>
  <c r="E65" i="18" a="1"/>
  <c r="E65" i="18" s="1"/>
  <c r="E37" i="18" a="1"/>
  <c r="E37" i="18" s="1"/>
  <c r="E64" i="18" a="1"/>
  <c r="E64" i="18" s="1"/>
  <c r="E62" i="18" a="1"/>
  <c r="E62" i="18" s="1"/>
  <c r="E52" i="18" a="1"/>
  <c r="E52" i="18" s="1"/>
  <c r="E54" i="18" a="1"/>
  <c r="E54" i="18" s="1"/>
  <c r="E55" i="18" a="1"/>
  <c r="E55" i="18" s="1"/>
  <c r="E66" i="18" a="1"/>
  <c r="E66" i="18" s="1"/>
  <c r="E70" i="18" a="1"/>
  <c r="E70" i="18" s="1"/>
  <c r="E48" i="18" a="1"/>
  <c r="E48" i="18" s="1"/>
  <c r="E60" i="18" a="1"/>
  <c r="E60" i="18" s="1"/>
  <c r="E45" i="18" a="1"/>
  <c r="E45" i="18" s="1"/>
  <c r="E43" i="18" a="1"/>
  <c r="E43" i="18" s="1"/>
  <c r="E67" i="18" a="1"/>
  <c r="E67" i="18" s="1"/>
  <c r="E53" i="18" a="1"/>
  <c r="E53" i="18" s="1"/>
  <c r="E57" i="18" a="1"/>
  <c r="E57" i="18" s="1"/>
  <c r="E72" i="18" a="1"/>
  <c r="E72" i="18" s="1"/>
  <c r="E56" i="18" a="1"/>
  <c r="E56" i="18" s="1"/>
  <c r="E49" i="18" a="1"/>
  <c r="E49" i="18" s="1"/>
  <c r="E58" i="18" a="1"/>
  <c r="E58" i="18" s="1"/>
  <c r="E44" i="18" a="1"/>
  <c r="E44" i="18" s="1"/>
  <c r="E50" i="18" a="1"/>
  <c r="E50" i="18" s="1"/>
  <c r="E59" i="18" a="1"/>
  <c r="E59" i="18" s="1"/>
  <c r="E71" i="18" a="1"/>
  <c r="E71" i="18" s="1"/>
  <c r="E34" i="18" a="1"/>
  <c r="E34" i="18" s="1"/>
  <c r="E51" i="18" a="1"/>
  <c r="E51" i="18" s="1"/>
  <c r="E39" i="18" a="1"/>
  <c r="E39" i="18" s="1"/>
  <c r="E40" i="18" a="1"/>
  <c r="E40" i="18" s="1"/>
  <c r="E42" i="18" a="1"/>
  <c r="E42" i="18" s="1"/>
  <c r="E38" i="18" a="1"/>
  <c r="E38" i="18" s="1"/>
  <c r="E61" i="18" a="1"/>
  <c r="E61" i="18" s="1"/>
  <c r="E13" i="18" a="1"/>
  <c r="E13" i="18" s="1"/>
  <c r="E41" i="18" a="1"/>
  <c r="E41" i="18" s="1"/>
  <c r="E68" i="18" a="1"/>
  <c r="E68" i="18" s="1"/>
  <c r="E47" i="18" a="1"/>
  <c r="E47" i="18" s="1"/>
  <c r="E69" i="18" a="1"/>
  <c r="E69" i="18" s="1"/>
  <c r="Y31" i="9"/>
  <c r="U31" i="9"/>
  <c r="T31" i="9"/>
  <c r="Y50" i="9"/>
  <c r="U50" i="9"/>
  <c r="T50" i="9"/>
  <c r="U44" i="9"/>
  <c r="T44" i="9"/>
  <c r="Y44" i="9"/>
  <c r="Y63" i="9"/>
  <c r="T63" i="9"/>
  <c r="U63" i="9"/>
  <c r="Y34" i="9"/>
  <c r="U34" i="9"/>
  <c r="T34" i="9"/>
  <c r="Y28" i="9"/>
  <c r="U28" i="9"/>
  <c r="T28" i="9"/>
  <c r="Y53" i="9"/>
  <c r="U53" i="9"/>
  <c r="T53" i="9"/>
  <c r="Y15" i="9"/>
  <c r="U15" i="9"/>
  <c r="T15" i="9"/>
  <c r="Y52" i="9"/>
  <c r="T52" i="9"/>
  <c r="U52" i="9"/>
  <c r="Y21" i="9"/>
  <c r="U21" i="9"/>
  <c r="T21" i="9"/>
  <c r="Y61" i="9"/>
  <c r="T61" i="9"/>
  <c r="U61" i="9"/>
  <c r="Y56" i="9"/>
  <c r="U56" i="9"/>
  <c r="T56" i="9"/>
  <c r="U65" i="9"/>
  <c r="Y65" i="9"/>
  <c r="T65" i="9"/>
  <c r="U43" i="9"/>
  <c r="Y43" i="9"/>
  <c r="G43" i="17" s="1" a="1"/>
  <c r="G43" i="17" s="1"/>
  <c r="T43" i="9"/>
  <c r="Y26" i="9"/>
  <c r="U26" i="9"/>
  <c r="T26" i="9"/>
  <c r="Y48" i="9"/>
  <c r="T48" i="9"/>
  <c r="U48" i="9"/>
  <c r="Y59" i="9"/>
  <c r="U59" i="9"/>
  <c r="T59" i="9"/>
  <c r="Y29" i="9"/>
  <c r="U29" i="9"/>
  <c r="T29" i="9"/>
  <c r="Y66" i="9"/>
  <c r="U66" i="9"/>
  <c r="T66" i="9"/>
  <c r="Y39" i="9"/>
  <c r="T39" i="9"/>
  <c r="U39" i="9"/>
  <c r="Y13" i="9"/>
  <c r="U13" i="9"/>
  <c r="T13" i="9"/>
  <c r="Y24" i="9"/>
  <c r="U24" i="9"/>
  <c r="T24" i="9"/>
  <c r="Y40" i="9"/>
  <c r="U40" i="9"/>
  <c r="T40" i="9"/>
  <c r="Y36" i="9"/>
  <c r="U36" i="9"/>
  <c r="T36" i="9"/>
  <c r="U54" i="9"/>
  <c r="Y54" i="9"/>
  <c r="T54" i="9"/>
  <c r="U57" i="9"/>
  <c r="Y57" i="9"/>
  <c r="T57" i="9"/>
  <c r="Y72" i="9"/>
  <c r="G72" i="17" s="1" a="1"/>
  <c r="G72" i="17" s="1"/>
  <c r="U72" i="9"/>
  <c r="C72" i="17" s="1" a="1"/>
  <c r="C72" i="17" s="1"/>
  <c r="T72" i="9"/>
  <c r="B72" i="17" s="1" a="1"/>
  <c r="B72" i="17" s="1"/>
  <c r="U68" i="9"/>
  <c r="T68" i="9"/>
  <c r="Y68" i="9"/>
  <c r="Y19" i="9"/>
  <c r="U19" i="9"/>
  <c r="T19" i="9"/>
  <c r="Y18" i="9"/>
  <c r="U18" i="9"/>
  <c r="T18" i="9"/>
  <c r="Y37" i="9"/>
  <c r="U37" i="9"/>
  <c r="T37" i="9"/>
  <c r="Y69" i="9"/>
  <c r="U69" i="9"/>
  <c r="T69" i="9"/>
  <c r="Y14" i="9"/>
  <c r="U14" i="9"/>
  <c r="T14" i="9"/>
  <c r="Y9" i="9"/>
  <c r="U9" i="9"/>
  <c r="C9" i="18" s="1" a="1"/>
  <c r="C9" i="18" s="1"/>
  <c r="T9" i="9"/>
  <c r="B9" i="18" s="1" a="1"/>
  <c r="B9" i="18" s="1"/>
  <c r="Y12" i="9"/>
  <c r="U12" i="9"/>
  <c r="T12" i="9"/>
  <c r="Y25" i="9"/>
  <c r="U25" i="9"/>
  <c r="T25" i="9"/>
  <c r="U46" i="9"/>
  <c r="Y46" i="9"/>
  <c r="T46" i="9"/>
  <c r="T38" i="9"/>
  <c r="U38" i="9"/>
  <c r="Y38" i="9"/>
  <c r="Y33" i="9"/>
  <c r="U33" i="9"/>
  <c r="T33" i="9"/>
  <c r="Y30" i="9"/>
  <c r="U30" i="9"/>
  <c r="T30" i="9"/>
  <c r="Y41" i="9"/>
  <c r="T41" i="9"/>
  <c r="U41" i="9"/>
  <c r="U64" i="9"/>
  <c r="Y64" i="9"/>
  <c r="G64" i="17" s="1" a="1"/>
  <c r="G64" i="17" s="1"/>
  <c r="T64" i="9"/>
  <c r="Y58" i="9"/>
  <c r="T58" i="9"/>
  <c r="U58" i="9"/>
  <c r="Y22" i="9"/>
  <c r="U22" i="9"/>
  <c r="T22" i="9"/>
  <c r="T49" i="9"/>
  <c r="Y49" i="9"/>
  <c r="U49" i="9"/>
  <c r="Y35" i="9"/>
  <c r="U35" i="9"/>
  <c r="T35" i="9"/>
  <c r="B35" i="17" s="1" a="1"/>
  <c r="B35" i="17" s="1"/>
  <c r="Y27" i="9"/>
  <c r="U27" i="9"/>
  <c r="T27" i="9"/>
  <c r="Y51" i="9"/>
  <c r="U51" i="9"/>
  <c r="T51" i="9"/>
  <c r="Y16" i="9"/>
  <c r="U16" i="9"/>
  <c r="T16" i="9"/>
  <c r="Y70" i="9"/>
  <c r="U70" i="9"/>
  <c r="T70" i="9"/>
  <c r="Y32" i="9"/>
  <c r="U32" i="9"/>
  <c r="T32" i="9"/>
  <c r="T71" i="9"/>
  <c r="Y71" i="9"/>
  <c r="U71" i="9"/>
  <c r="Y45" i="9"/>
  <c r="U45" i="9"/>
  <c r="T45" i="9"/>
  <c r="B45" i="17" s="1" a="1"/>
  <c r="B45" i="17" s="1"/>
  <c r="Y55" i="9"/>
  <c r="T55" i="9"/>
  <c r="U55" i="9"/>
  <c r="Y23" i="9"/>
  <c r="U23" i="9"/>
  <c r="T23" i="9"/>
  <c r="Y47" i="9"/>
  <c r="U47" i="9"/>
  <c r="T47" i="9"/>
  <c r="Y20" i="9"/>
  <c r="U20" i="9"/>
  <c r="T20" i="9"/>
  <c r="Y67" i="9"/>
  <c r="U67" i="9"/>
  <c r="T67" i="9"/>
  <c r="Y62" i="9"/>
  <c r="U62" i="9"/>
  <c r="T62" i="9"/>
  <c r="Y42" i="9"/>
  <c r="U42" i="9"/>
  <c r="T42" i="9"/>
  <c r="T60" i="9"/>
  <c r="Y60" i="9"/>
  <c r="U60" i="9"/>
  <c r="Y17" i="9"/>
  <c r="G17" i="17" s="1" a="1"/>
  <c r="G17" i="17" s="1"/>
  <c r="U17" i="9"/>
  <c r="C17" i="17" s="1" a="1"/>
  <c r="C17" i="17" s="1"/>
  <c r="T17" i="9"/>
  <c r="C42" i="17" l="1" a="1"/>
  <c r="C42" i="17" s="1"/>
  <c r="B52" i="17" a="1"/>
  <c r="B52" i="17" s="1"/>
  <c r="G35" i="17" a="1"/>
  <c r="G35" i="17" s="1"/>
  <c r="B17" i="17" a="1"/>
  <c r="B17" i="17" s="1"/>
  <c r="G67" i="17" a="1"/>
  <c r="G67" i="17" s="1"/>
  <c r="C35" i="17" a="1"/>
  <c r="C35" i="17" s="1"/>
  <c r="C18" i="17" a="1"/>
  <c r="C18" i="17" s="1"/>
  <c r="C32" i="17" a="1"/>
  <c r="C32" i="17" s="1"/>
  <c r="G49" i="17" a="1"/>
  <c r="G49" i="17" s="1"/>
  <c r="B49" i="17" a="1"/>
  <c r="B49" i="17" s="1"/>
  <c r="B55" i="17" a="1"/>
  <c r="B55" i="17" s="1"/>
  <c r="G28" i="17" a="1"/>
  <c r="G28" i="17" s="1"/>
  <c r="B41" i="17" a="1"/>
  <c r="B41" i="17" s="1"/>
  <c r="G23" i="17" a="1"/>
  <c r="G23" i="17" s="1"/>
  <c r="B43" i="17" a="1"/>
  <c r="B43" i="17" s="1"/>
  <c r="G58" i="17" a="1"/>
  <c r="G58" i="17" s="1"/>
  <c r="C27" i="17" a="1"/>
  <c r="C27" i="17" s="1"/>
  <c r="G27" i="17" a="1"/>
  <c r="G27" i="17" s="1"/>
  <c r="B71" i="17" a="1"/>
  <c r="B71" i="17" s="1"/>
  <c r="C60" i="17" a="1"/>
  <c r="C60" i="17" s="1"/>
  <c r="G30" i="17" a="1"/>
  <c r="G30" i="17" s="1"/>
  <c r="B60" i="17" a="1"/>
  <c r="B60" i="17" s="1"/>
  <c r="C23" i="17" a="1"/>
  <c r="C23" i="17" s="1"/>
  <c r="B25" i="17" a="1"/>
  <c r="B25" i="17" s="1"/>
  <c r="G25" i="17" a="1"/>
  <c r="G25" i="17" s="1"/>
  <c r="B18" i="17" a="1"/>
  <c r="B18" i="17" s="1"/>
  <c r="G63" i="17" a="1"/>
  <c r="G63" i="17" s="1"/>
  <c r="C43" i="17" a="1"/>
  <c r="C43" i="17" s="1"/>
  <c r="C20" i="17" a="1"/>
  <c r="C20" i="17" s="1"/>
  <c r="G33" i="17" a="1"/>
  <c r="G33" i="17" s="1"/>
  <c r="G42" i="17" a="1"/>
  <c r="G42" i="17" s="1"/>
  <c r="C14" i="17" a="1"/>
  <c r="C14" i="17" s="1"/>
  <c r="B38" i="17" a="1"/>
  <c r="B38" i="17" s="1"/>
  <c r="C45" i="17" a="1"/>
  <c r="C45" i="17" s="1"/>
  <c r="B58" i="17" a="1"/>
  <c r="B58" i="17" s="1"/>
  <c r="B67" i="17" a="1"/>
  <c r="B67" i="17" s="1"/>
  <c r="G71" i="17" a="1"/>
  <c r="G71" i="17" s="1"/>
  <c r="G52" i="17" a="1"/>
  <c r="G52" i="17" s="1"/>
  <c r="G39" i="17" a="1"/>
  <c r="G39" i="17" s="1"/>
  <c r="B30" i="17" a="1"/>
  <c r="B30" i="17" s="1"/>
  <c r="B36" i="17" a="1"/>
  <c r="B36" i="17" s="1"/>
  <c r="C66" i="17" a="1"/>
  <c r="C66" i="17" s="1"/>
  <c r="C47" i="17" a="1"/>
  <c r="C47" i="17" s="1"/>
  <c r="G32" i="17" a="1"/>
  <c r="G32" i="17" s="1"/>
  <c r="C30" i="17" a="1"/>
  <c r="C30" i="17" s="1"/>
  <c r="G12" i="17" a="1"/>
  <c r="G12" i="17" s="1"/>
  <c r="G54" i="17" a="1"/>
  <c r="G54" i="17" s="1"/>
  <c r="B47" i="17" a="1"/>
  <c r="B47" i="17" s="1"/>
  <c r="G60" i="17" a="1"/>
  <c r="G60" i="17" s="1"/>
  <c r="B23" i="17" a="1"/>
  <c r="B23" i="17" s="1"/>
  <c r="B33" i="17" a="1"/>
  <c r="B33" i="17" s="1"/>
  <c r="C55" i="17" a="1"/>
  <c r="C55" i="17" s="1"/>
  <c r="G9" i="17" a="1"/>
  <c r="G9" i="17" s="1"/>
  <c r="G45" i="17" a="1"/>
  <c r="G45" i="17" s="1"/>
  <c r="B20" i="17" a="1"/>
  <c r="B20" i="17" s="1"/>
  <c r="C25" i="17" a="1"/>
  <c r="C25" i="17" s="1"/>
  <c r="G20" i="17" a="1"/>
  <c r="G20" i="17" s="1"/>
  <c r="B66" i="17" a="1"/>
  <c r="B66" i="17" s="1"/>
  <c r="G44" i="17" a="1"/>
  <c r="G44" i="17" s="1"/>
  <c r="C36" i="17" a="1"/>
  <c r="C36" i="17" s="1"/>
  <c r="G66" i="17" a="1"/>
  <c r="G66" i="17" s="1"/>
  <c r="B65" i="17" a="1"/>
  <c r="B65" i="17" s="1"/>
  <c r="G47" i="17" a="1"/>
  <c r="G47" i="17" s="1"/>
  <c r="G19" i="17" a="1"/>
  <c r="G19" i="17" s="1"/>
  <c r="C29" i="17" a="1"/>
  <c r="C29" i="17" s="1"/>
  <c r="C65" i="17" a="1"/>
  <c r="C65" i="17" s="1"/>
  <c r="B53" i="17" a="1"/>
  <c r="B53" i="17" s="1"/>
  <c r="C50" i="17" a="1"/>
  <c r="C50" i="17" s="1"/>
  <c r="C70" i="17" a="1"/>
  <c r="C70" i="17" s="1"/>
  <c r="C33" i="17" a="1"/>
  <c r="C33" i="17" s="1"/>
  <c r="G68" i="17" a="1"/>
  <c r="G68" i="17" s="1"/>
  <c r="B56" i="17" a="1"/>
  <c r="B56" i="17" s="1"/>
  <c r="B14" i="17" a="1"/>
  <c r="B14" i="17" s="1"/>
  <c r="C56" i="17" a="1"/>
  <c r="C56" i="17" s="1"/>
  <c r="G10" i="17" a="1"/>
  <c r="G10" i="17" s="1"/>
  <c r="C68" i="17" a="1"/>
  <c r="C68" i="17" s="1"/>
  <c r="B24" i="17" a="1"/>
  <c r="B24" i="17" s="1"/>
  <c r="G56" i="17" a="1"/>
  <c r="G56" i="17" s="1"/>
  <c r="B28" i="17" a="1"/>
  <c r="B28" i="17" s="1"/>
  <c r="B62" i="17" a="1"/>
  <c r="B62" i="17" s="1"/>
  <c r="C38" i="17" a="1"/>
  <c r="C38" i="17" s="1"/>
  <c r="G14" i="17" a="1"/>
  <c r="G14" i="17" s="1"/>
  <c r="C24" i="17" a="1"/>
  <c r="C24" i="17" s="1"/>
  <c r="B69" i="17" a="1"/>
  <c r="B69" i="17" s="1"/>
  <c r="G7" i="17" a="1"/>
  <c r="G7" i="17" s="1"/>
  <c r="C62" i="17" a="1"/>
  <c r="C62" i="17" s="1"/>
  <c r="C51" i="17" a="1"/>
  <c r="C51" i="17" s="1"/>
  <c r="B32" i="17" a="1"/>
  <c r="B32" i="17" s="1"/>
  <c r="G41" i="17" a="1"/>
  <c r="G41" i="17" s="1"/>
  <c r="C54" i="17" a="1"/>
  <c r="C54" i="17" s="1"/>
  <c r="G18" i="17" a="1"/>
  <c r="G18" i="17" s="1"/>
  <c r="B15" i="17" a="1"/>
  <c r="B15" i="17" s="1"/>
  <c r="B44" i="17" a="1"/>
  <c r="B44" i="17" s="1"/>
  <c r="B6" i="18" a="1"/>
  <c r="B6" i="18" s="1"/>
  <c r="B5" i="17" a="1"/>
  <c r="B5" i="17" s="1"/>
  <c r="C49" i="17" a="1"/>
  <c r="C49" i="17" s="1"/>
  <c r="C15" i="17" a="1"/>
  <c r="C15" i="17" s="1"/>
  <c r="C44" i="17" a="1"/>
  <c r="C44" i="17" s="1"/>
  <c r="C6" i="18" a="1"/>
  <c r="C6" i="18" s="1"/>
  <c r="C5" i="17" a="1"/>
  <c r="C5" i="17" s="1"/>
  <c r="B19" i="17" a="1"/>
  <c r="B19" i="17" s="1"/>
  <c r="B70" i="17" a="1"/>
  <c r="B70" i="17" s="1"/>
  <c r="C19" i="17" a="1"/>
  <c r="C19" i="17" s="1"/>
  <c r="G36" i="17" a="1"/>
  <c r="G36" i="17" s="1"/>
  <c r="B29" i="17" a="1"/>
  <c r="B29" i="17" s="1"/>
  <c r="G65" i="17" a="1"/>
  <c r="G65" i="17" s="1"/>
  <c r="G15" i="17" a="1"/>
  <c r="G15" i="17" s="1"/>
  <c r="B50" i="17" a="1"/>
  <c r="B50" i="17" s="1"/>
  <c r="G6" i="17" a="1"/>
  <c r="G6" i="17" s="1"/>
  <c r="G5" i="17" a="1"/>
  <c r="G5" i="17" s="1"/>
  <c r="C40" i="17" a="1"/>
  <c r="C40" i="17" s="1"/>
  <c r="G29" i="17" a="1"/>
  <c r="G29" i="17" s="1"/>
  <c r="C53" i="17" a="1"/>
  <c r="C53" i="17" s="1"/>
  <c r="G50" i="17" a="1"/>
  <c r="G50" i="17" s="1"/>
  <c r="G70" i="17" a="1"/>
  <c r="G70" i="17" s="1"/>
  <c r="B68" i="17" a="1"/>
  <c r="B68" i="17" s="1"/>
  <c r="G40" i="17" a="1"/>
  <c r="G40" i="17" s="1"/>
  <c r="B59" i="17" a="1"/>
  <c r="B59" i="17" s="1"/>
  <c r="G53" i="17" a="1"/>
  <c r="G53" i="17" s="1"/>
  <c r="B31" i="17" a="1"/>
  <c r="B31" i="17" s="1"/>
  <c r="C31" i="17" a="1"/>
  <c r="C31" i="17" s="1"/>
  <c r="G16" i="17" a="1"/>
  <c r="G16" i="17" s="1"/>
  <c r="C58" i="17" a="1"/>
  <c r="C58" i="17" s="1"/>
  <c r="G59" i="17" a="1"/>
  <c r="G59" i="17" s="1"/>
  <c r="C61" i="17" a="1"/>
  <c r="C61" i="17" s="1"/>
  <c r="C28" i="17" a="1"/>
  <c r="C28" i="17" s="1"/>
  <c r="G31" i="17" a="1"/>
  <c r="G31" i="17" s="1"/>
  <c r="E6" i="18" a="1"/>
  <c r="E6" i="18" s="1"/>
  <c r="E5" i="17" a="1"/>
  <c r="E5" i="17" s="1"/>
  <c r="B42" i="17" a="1"/>
  <c r="B42" i="17" s="1"/>
  <c r="B16" i="17" a="1"/>
  <c r="B16" i="17" s="1"/>
  <c r="G22" i="17" a="1"/>
  <c r="G22" i="17" s="1"/>
  <c r="B51" i="17" a="1"/>
  <c r="B51" i="17" s="1"/>
  <c r="G24" i="17" a="1"/>
  <c r="G24" i="17" s="1"/>
  <c r="C48" i="17" a="1"/>
  <c r="C48" i="17" s="1"/>
  <c r="B61" i="17" a="1"/>
  <c r="B61" i="17" s="1"/>
  <c r="C22" i="17" a="1"/>
  <c r="C22" i="17" s="1"/>
  <c r="C16" i="17" a="1"/>
  <c r="C16" i="17" s="1"/>
  <c r="B46" i="17" a="1"/>
  <c r="B46" i="17" s="1"/>
  <c r="B48" i="17" a="1"/>
  <c r="B48" i="17" s="1"/>
  <c r="G61" i="17" a="1"/>
  <c r="G61" i="17" s="1"/>
  <c r="B34" i="17" a="1"/>
  <c r="B34" i="17" s="1"/>
  <c r="B22" i="17" a="1"/>
  <c r="B22" i="17" s="1"/>
  <c r="G38" i="17" a="1"/>
  <c r="G38" i="17" s="1"/>
  <c r="C59" i="17" a="1"/>
  <c r="C59" i="17" s="1"/>
  <c r="G55" i="17" a="1"/>
  <c r="G55" i="17" s="1"/>
  <c r="B64" i="17" a="1"/>
  <c r="B64" i="17" s="1"/>
  <c r="G46" i="17" a="1"/>
  <c r="G46" i="17" s="1"/>
  <c r="G69" i="17" a="1"/>
  <c r="G69" i="17" s="1"/>
  <c r="B57" i="17" a="1"/>
  <c r="B57" i="17" s="1"/>
  <c r="G48" i="17" a="1"/>
  <c r="G48" i="17" s="1"/>
  <c r="B21" i="17" a="1"/>
  <c r="B21" i="17" s="1"/>
  <c r="C34" i="17" a="1"/>
  <c r="C34" i="17" s="1"/>
  <c r="G51" i="17" a="1"/>
  <c r="G51" i="17" s="1"/>
  <c r="C67" i="17" a="1"/>
  <c r="C67" i="17" s="1"/>
  <c r="B27" i="17" a="1"/>
  <c r="B27" i="17" s="1"/>
  <c r="C46" i="17" a="1"/>
  <c r="C46" i="17" s="1"/>
  <c r="B37" i="17" a="1"/>
  <c r="B37" i="17" s="1"/>
  <c r="G57" i="17" a="1"/>
  <c r="G57" i="17" s="1"/>
  <c r="G13" i="17" a="1"/>
  <c r="G13" i="17" s="1"/>
  <c r="B26" i="17" a="1"/>
  <c r="B26" i="17" s="1"/>
  <c r="C21" i="17" a="1"/>
  <c r="C21" i="17" s="1"/>
  <c r="G34" i="17" a="1"/>
  <c r="G34" i="17" s="1"/>
  <c r="G8" i="17" a="1"/>
  <c r="G8" i="17" s="1"/>
  <c r="B40" i="17" a="1"/>
  <c r="B40" i="17" s="1"/>
  <c r="G62" i="17" a="1"/>
  <c r="G62" i="17" s="1"/>
  <c r="C69" i="17" a="1"/>
  <c r="C69" i="17" s="1"/>
  <c r="C71" i="17" a="1"/>
  <c r="C71" i="17" s="1"/>
  <c r="C64" i="17" a="1"/>
  <c r="C64" i="17" s="1"/>
  <c r="C37" i="17" a="1"/>
  <c r="C37" i="17" s="1"/>
  <c r="C57" i="17" a="1"/>
  <c r="C57" i="17" s="1"/>
  <c r="C39" i="17" a="1"/>
  <c r="C39" i="17" s="1"/>
  <c r="C26" i="17" a="1"/>
  <c r="C26" i="17" s="1"/>
  <c r="G21" i="17" a="1"/>
  <c r="G21" i="17" s="1"/>
  <c r="C63" i="17" a="1"/>
  <c r="C63" i="17" s="1"/>
  <c r="C41" i="17" a="1"/>
  <c r="C41" i="17" s="1"/>
  <c r="G37" i="17" a="1"/>
  <c r="G37" i="17" s="1"/>
  <c r="B54" i="17" a="1"/>
  <c r="B54" i="17" s="1"/>
  <c r="B39" i="17" a="1"/>
  <c r="B39" i="17" s="1"/>
  <c r="G26" i="17" a="1"/>
  <c r="G26" i="17" s="1"/>
  <c r="C52" i="17" a="1"/>
  <c r="C52" i="17" s="1"/>
  <c r="B63" i="17" a="1"/>
  <c r="B63" i="17" s="1"/>
  <c r="G11" i="17" a="1"/>
  <c r="G11" i="17" s="1"/>
  <c r="M7" i="9"/>
  <c r="O7" i="9"/>
  <c r="O6" i="9"/>
  <c r="F5" i="16" s="1" a="1"/>
  <c r="F5" i="16" s="1"/>
  <c r="M8" i="9"/>
  <c r="O8" i="9"/>
  <c r="M6" i="9"/>
  <c r="O11" i="9"/>
  <c r="O10" i="9"/>
  <c r="O12" i="9"/>
  <c r="O9" i="9"/>
  <c r="O13" i="9"/>
  <c r="O15" i="9"/>
  <c r="M13" i="9"/>
  <c r="M10" i="9"/>
  <c r="M9" i="9"/>
  <c r="M12" i="9"/>
  <c r="M11" i="9"/>
  <c r="M15" i="9"/>
  <c r="O17" i="9"/>
  <c r="O14" i="9"/>
  <c r="M14" i="9"/>
  <c r="M18" i="9"/>
  <c r="M16" i="9"/>
  <c r="M17" i="9"/>
  <c r="O16" i="9"/>
  <c r="O33" i="9"/>
  <c r="O31" i="9"/>
  <c r="O39" i="9"/>
  <c r="M66" i="9"/>
  <c r="O55" i="9"/>
  <c r="O20" i="9"/>
  <c r="O57" i="9"/>
  <c r="O19" i="9"/>
  <c r="O40" i="9"/>
  <c r="O56" i="9"/>
  <c r="O34" i="9"/>
  <c r="O18" i="9"/>
  <c r="O54" i="9"/>
  <c r="O24" i="9"/>
  <c r="O29" i="9"/>
  <c r="O41" i="9"/>
  <c r="O25" i="9"/>
  <c r="O60" i="9"/>
  <c r="O43" i="9"/>
  <c r="M71" i="9"/>
  <c r="O47" i="9"/>
  <c r="O72" i="9"/>
  <c r="O52" i="9"/>
  <c r="M39" i="9"/>
  <c r="O69" i="9"/>
  <c r="O45" i="9"/>
  <c r="O59" i="9"/>
  <c r="O67" i="9"/>
  <c r="O22" i="9"/>
  <c r="O37" i="9"/>
  <c r="M29" i="9"/>
  <c r="O21" i="9"/>
  <c r="O48" i="9"/>
  <c r="O32" i="9"/>
  <c r="O38" i="9"/>
  <c r="O35" i="9"/>
  <c r="O44" i="9"/>
  <c r="O66" i="9"/>
  <c r="O46" i="9"/>
  <c r="M34" i="9"/>
  <c r="O36" i="9"/>
  <c r="O61" i="9"/>
  <c r="O27" i="9"/>
  <c r="O58" i="9"/>
  <c r="O30" i="9"/>
  <c r="O71" i="9"/>
  <c r="O42" i="9"/>
  <c r="M32" i="9"/>
  <c r="O28" i="9"/>
  <c r="O53" i="9"/>
  <c r="O70" i="9"/>
  <c r="O62" i="9"/>
  <c r="O51" i="9"/>
  <c r="O64" i="9"/>
  <c r="M26" i="9"/>
  <c r="O50" i="9"/>
  <c r="M24" i="9"/>
  <c r="O63" i="9"/>
  <c r="O49" i="9"/>
  <c r="M46" i="9"/>
  <c r="M51" i="9"/>
  <c r="O26" i="9"/>
  <c r="M45" i="9"/>
  <c r="M19" i="9"/>
  <c r="M63" i="9"/>
  <c r="M38" i="9"/>
  <c r="O68" i="9"/>
  <c r="M41" i="9"/>
  <c r="M65" i="9"/>
  <c r="O65" i="9"/>
  <c r="M68" i="9"/>
  <c r="M57" i="9"/>
  <c r="O23" i="9"/>
  <c r="M70" i="9"/>
  <c r="M62" i="9"/>
  <c r="M25" i="9"/>
  <c r="M64" i="9"/>
  <c r="M69" i="9"/>
  <c r="M60" i="9"/>
  <c r="M58" i="9"/>
  <c r="M54" i="9"/>
  <c r="M53" i="9"/>
  <c r="M37" i="9"/>
  <c r="M49" i="9"/>
  <c r="M28" i="9"/>
  <c r="M33" i="9"/>
  <c r="M20" i="9"/>
  <c r="M43" i="9"/>
  <c r="M44" i="9"/>
  <c r="M42" i="9"/>
  <c r="M40" i="9"/>
  <c r="M50" i="9"/>
  <c r="M61" i="9"/>
  <c r="M48" i="9"/>
  <c r="M52" i="9"/>
  <c r="M67" i="9"/>
  <c r="M55" i="9"/>
  <c r="M22" i="9"/>
  <c r="M23" i="9"/>
  <c r="M56" i="9"/>
  <c r="M31" i="9"/>
  <c r="M72" i="9"/>
  <c r="M21" i="9"/>
  <c r="M36" i="9"/>
  <c r="M27" i="9"/>
  <c r="M47" i="9"/>
  <c r="M59" i="9"/>
  <c r="M30" i="9"/>
  <c r="M35" i="9"/>
  <c r="Q10" i="9" a="1"/>
  <c r="R10" i="9" a="1"/>
  <c r="Q65" i="9" a="1"/>
  <c r="R65" i="9" a="1"/>
  <c r="Q28" i="9" a="1"/>
  <c r="R28" i="9" a="1"/>
  <c r="Q31" i="9" a="1"/>
  <c r="R31" i="9" a="1"/>
  <c r="Q22" i="9" a="1"/>
  <c r="R22" i="9" a="1"/>
  <c r="Q9" i="9" a="1"/>
  <c r="R9" i="9" a="1"/>
  <c r="Q33" i="9" a="1"/>
  <c r="R33" i="9" a="1"/>
  <c r="Q66" i="9" a="1"/>
  <c r="R66" i="9" a="1"/>
  <c r="Q12" i="9" a="1"/>
  <c r="R12" i="9" a="1"/>
  <c r="Q26" i="9" a="1"/>
  <c r="R26" i="9" a="1"/>
  <c r="Q68" i="9" a="1"/>
  <c r="R68" i="9" a="1"/>
  <c r="Q20" i="9" a="1"/>
  <c r="R20" i="9" a="1"/>
  <c r="Q21" i="9" a="1"/>
  <c r="R21" i="9" a="1"/>
  <c r="Q57" i="9" a="1"/>
  <c r="R57" i="9" a="1"/>
  <c r="Q43" i="9" a="1"/>
  <c r="R43" i="9" a="1"/>
  <c r="Q36" i="9" a="1"/>
  <c r="R36" i="9" a="1"/>
  <c r="Q44" i="9" a="1"/>
  <c r="R44" i="9" a="1"/>
  <c r="Q42" i="9" a="1"/>
  <c r="R42" i="9" a="1"/>
  <c r="Q63" i="9" a="1"/>
  <c r="R63" i="9" a="1"/>
  <c r="Q49" i="9" a="1"/>
  <c r="R49" i="9" a="1"/>
  <c r="Q7" i="9" a="1"/>
  <c r="R7" i="9" a="1"/>
  <c r="Q11" i="9" a="1"/>
  <c r="R11" i="9" a="1"/>
  <c r="Q39" i="9" a="1"/>
  <c r="R39" i="9" a="1"/>
  <c r="Q34" i="9" a="1"/>
  <c r="R34" i="9" a="1"/>
  <c r="Q47" i="9" a="1"/>
  <c r="R47" i="9" a="1"/>
  <c r="Q53" i="9" a="1"/>
  <c r="R53" i="9" a="1"/>
  <c r="Q15" i="9" a="1"/>
  <c r="R15" i="9" a="1"/>
  <c r="Q24" i="9" a="1"/>
  <c r="R24" i="9" a="1"/>
  <c r="Q27" i="9" a="1"/>
  <c r="R27" i="9" a="1"/>
  <c r="Q70" i="9" a="1"/>
  <c r="R70" i="9" a="1"/>
  <c r="Q30" i="9" a="1"/>
  <c r="R30" i="9" a="1"/>
  <c r="Q35" i="9" a="1"/>
  <c r="R35" i="9" a="1"/>
  <c r="Q55" i="9" a="1"/>
  <c r="R55" i="9" a="1"/>
  <c r="Q71" i="9" a="1"/>
  <c r="R71" i="9" a="1"/>
  <c r="Q8" i="9" a="1"/>
  <c r="R8" i="9" a="1"/>
  <c r="Q62" i="9" a="1"/>
  <c r="R62" i="9" a="1"/>
  <c r="Q40" i="9" a="1"/>
  <c r="R40" i="9" a="1"/>
  <c r="Q59" i="9" a="1"/>
  <c r="R59" i="9" a="1"/>
  <c r="Q25" i="9" a="1"/>
  <c r="R25" i="9" a="1"/>
  <c r="Q61" i="9" a="1"/>
  <c r="R61" i="9" a="1"/>
  <c r="Q38" i="9" a="1"/>
  <c r="R38" i="9" a="1"/>
  <c r="Q41" i="9" a="1"/>
  <c r="R41" i="9" a="1"/>
  <c r="Q14" i="9" a="1"/>
  <c r="R14" i="9" a="1"/>
  <c r="Q46" i="9" a="1"/>
  <c r="R46" i="9" a="1"/>
  <c r="Q50" i="9" a="1"/>
  <c r="R50" i="9" a="1"/>
  <c r="Q48" i="9" a="1"/>
  <c r="R48" i="9" a="1"/>
  <c r="Q54" i="9" a="1"/>
  <c r="R54" i="9" a="1"/>
  <c r="Q6" i="9" a="1"/>
  <c r="R6" i="9" a="1"/>
  <c r="Q18" i="9" a="1"/>
  <c r="R18" i="9" a="1"/>
  <c r="Q51" i="9" a="1"/>
  <c r="R51" i="9" a="1"/>
  <c r="Q64" i="9" a="1"/>
  <c r="R64" i="9" a="1"/>
  <c r="Q16" i="9" a="1"/>
  <c r="R16" i="9" a="1"/>
  <c r="Q69" i="9" a="1"/>
  <c r="R69" i="9" a="1"/>
  <c r="Q13" i="9" a="1"/>
  <c r="R13" i="9" a="1"/>
  <c r="Q17" i="9" a="1"/>
  <c r="R17" i="9" a="1"/>
  <c r="Q29" i="9" a="1"/>
  <c r="R29" i="9" a="1"/>
  <c r="Q45" i="9" a="1"/>
  <c r="R45" i="9" a="1"/>
  <c r="Q60" i="9" a="1"/>
  <c r="R60" i="9" a="1"/>
  <c r="Q52" i="9" a="1"/>
  <c r="R52" i="9" a="1"/>
  <c r="Q56" i="9" a="1"/>
  <c r="R56" i="9" a="1"/>
  <c r="Q32" i="9" a="1"/>
  <c r="R32" i="9" a="1"/>
  <c r="Q19" i="9" a="1"/>
  <c r="R19" i="9" a="1"/>
  <c r="Q58" i="9" a="1"/>
  <c r="R58" i="9" a="1"/>
  <c r="Q67" i="9" a="1"/>
  <c r="R67" i="9" a="1"/>
  <c r="Q37" i="9" a="1"/>
  <c r="R37" i="9" a="1"/>
  <c r="Q23" i="9" a="1"/>
  <c r="R23" i="9" a="1"/>
  <c r="N25" i="9" a="1"/>
  <c r="N31" i="9" a="1"/>
  <c r="N57" i="9" a="1"/>
  <c r="N32" i="9" a="1"/>
  <c r="N38" i="9" a="1"/>
  <c r="N64" i="9" a="1"/>
  <c r="N43" i="9" a="1"/>
  <c r="N69" i="9" a="1"/>
  <c r="N8" i="9" a="1"/>
  <c r="N53" i="9" a="1"/>
  <c r="N10" i="9" a="1"/>
  <c r="N27" i="9" a="1"/>
  <c r="N22" i="9" a="1"/>
  <c r="N65" i="9" a="1"/>
  <c r="N42" i="9" a="1"/>
  <c r="N59" i="9" a="1"/>
  <c r="N58" i="9" a="1"/>
  <c r="N62" i="9" a="1"/>
  <c r="N50" i="9" a="1"/>
  <c r="N28" i="9" a="1"/>
  <c r="N30" i="9" a="1"/>
  <c r="N14" i="9" a="1"/>
  <c r="N56" i="9" a="1"/>
  <c r="N67" i="9" a="1"/>
  <c r="N72" i="9" a="1"/>
  <c r="N52" i="9" a="1"/>
  <c r="N16" i="9" a="1"/>
  <c r="N37" i="9" a="1"/>
  <c r="N70" i="9" a="1"/>
  <c r="N7" i="9" a="1"/>
  <c r="N46" i="9" a="1"/>
  <c r="N51" i="9" a="1"/>
  <c r="N60" i="9" a="1"/>
  <c r="N23" i="9" a="1"/>
  <c r="N61" i="9" a="1"/>
  <c r="N11" i="9" a="1"/>
  <c r="N48" i="9" a="1"/>
  <c r="N39" i="9" a="1"/>
  <c r="N47" i="9" a="1"/>
  <c r="N9" i="9" a="1"/>
  <c r="N6" i="9" a="1"/>
  <c r="N35" i="9" a="1"/>
  <c r="N33" i="9" a="1"/>
  <c r="N34" i="9" a="1"/>
  <c r="N18" i="9" a="1"/>
  <c r="N13" i="9" a="1"/>
  <c r="N19" i="9" a="1"/>
  <c r="N36" i="9" a="1"/>
  <c r="N21" i="9" a="1"/>
  <c r="N66" i="9" a="1"/>
  <c r="N12" i="9" a="1"/>
  <c r="N40" i="9" a="1"/>
  <c r="N55" i="9" a="1"/>
  <c r="N71" i="9" a="1"/>
  <c r="N26" i="9" a="1"/>
  <c r="N15" i="9" a="1"/>
  <c r="N17" i="9" a="1"/>
  <c r="N68" i="9" a="1"/>
  <c r="N29" i="9" a="1"/>
  <c r="N63" i="9" a="1"/>
  <c r="N41" i="9" a="1"/>
  <c r="N24" i="9" a="1"/>
  <c r="N54" i="9" a="1"/>
  <c r="N49" i="9" a="1"/>
  <c r="N20" i="9" a="1"/>
  <c r="N44" i="9" a="1"/>
  <c r="N45" i="9" a="1"/>
  <c r="R23" i="9" l="1"/>
  <c r="I22" i="16" s="1" a="1"/>
  <c r="I22" i="16" s="1"/>
  <c r="Q23" i="9"/>
  <c r="H22" i="16" s="1" a="1"/>
  <c r="H22" i="16" s="1"/>
  <c r="R37" i="9"/>
  <c r="I36" i="16" s="1" a="1"/>
  <c r="I36" i="16" s="1"/>
  <c r="Q37" i="9"/>
  <c r="H36" i="16" s="1" a="1"/>
  <c r="H36" i="16" s="1"/>
  <c r="R67" i="9"/>
  <c r="I66" i="16" s="1" a="1"/>
  <c r="I66" i="16" s="1"/>
  <c r="Q67" i="9"/>
  <c r="H66" i="16" s="1" a="1"/>
  <c r="H66" i="16" s="1"/>
  <c r="R58" i="9"/>
  <c r="I57" i="16" s="1" a="1"/>
  <c r="I57" i="16" s="1"/>
  <c r="Q58" i="9"/>
  <c r="H57" i="16" s="1" a="1"/>
  <c r="H57" i="16" s="1"/>
  <c r="R19" i="9"/>
  <c r="I18" i="16" s="1" a="1"/>
  <c r="I18" i="16" s="1"/>
  <c r="Q19" i="9"/>
  <c r="H18" i="16" s="1" a="1"/>
  <c r="H18" i="16" s="1"/>
  <c r="R32" i="9"/>
  <c r="I31" i="16" s="1" a="1"/>
  <c r="I31" i="16" s="1"/>
  <c r="Q32" i="9"/>
  <c r="H31" i="16" s="1" a="1"/>
  <c r="H31" i="16" s="1"/>
  <c r="R56" i="9"/>
  <c r="I55" i="16" s="1" a="1"/>
  <c r="I55" i="16" s="1"/>
  <c r="Q56" i="9"/>
  <c r="H55" i="16" s="1" a="1"/>
  <c r="H55" i="16" s="1"/>
  <c r="R52" i="9"/>
  <c r="I51" i="16" s="1" a="1"/>
  <c r="I51" i="16" s="1"/>
  <c r="Q52" i="9"/>
  <c r="H51" i="16" s="1" a="1"/>
  <c r="H51" i="16" s="1"/>
  <c r="R60" i="9"/>
  <c r="I59" i="16" s="1" a="1"/>
  <c r="I59" i="16" s="1"/>
  <c r="Q60" i="9"/>
  <c r="H59" i="16" s="1" a="1"/>
  <c r="H59" i="16" s="1"/>
  <c r="R45" i="9"/>
  <c r="I44" i="16" s="1" a="1"/>
  <c r="I44" i="16" s="1"/>
  <c r="Q45" i="9"/>
  <c r="H44" i="16" s="1" a="1"/>
  <c r="H44" i="16" s="1"/>
  <c r="R29" i="9"/>
  <c r="I28" i="16" s="1" a="1"/>
  <c r="I28" i="16" s="1"/>
  <c r="Q29" i="9"/>
  <c r="H28" i="16" s="1" a="1"/>
  <c r="H28" i="16" s="1"/>
  <c r="R17" i="9"/>
  <c r="I16" i="16" s="1" a="1"/>
  <c r="I16" i="16" s="1"/>
  <c r="Q17" i="9"/>
  <c r="H16" i="16" s="1" a="1"/>
  <c r="H16" i="16" s="1"/>
  <c r="R13" i="9"/>
  <c r="I12" i="16" s="1" a="1"/>
  <c r="I12" i="16" s="1"/>
  <c r="Q13" i="9"/>
  <c r="H12" i="16" s="1" a="1"/>
  <c r="H12" i="16" s="1"/>
  <c r="R69" i="9"/>
  <c r="I68" i="16" s="1" a="1"/>
  <c r="I68" i="16" s="1"/>
  <c r="Q69" i="9"/>
  <c r="H68" i="16" s="1" a="1"/>
  <c r="H68" i="16" s="1"/>
  <c r="R16" i="9"/>
  <c r="I15" i="16" s="1" a="1"/>
  <c r="I15" i="16" s="1"/>
  <c r="Q16" i="9"/>
  <c r="H15" i="16" s="1" a="1"/>
  <c r="H15" i="16" s="1"/>
  <c r="R64" i="9"/>
  <c r="I63" i="16" s="1" a="1"/>
  <c r="I63" i="16" s="1"/>
  <c r="Q64" i="9"/>
  <c r="H63" i="16" s="1" a="1"/>
  <c r="H63" i="16" s="1"/>
  <c r="R51" i="9"/>
  <c r="I50" i="16" s="1" a="1"/>
  <c r="I50" i="16" s="1"/>
  <c r="Q51" i="9"/>
  <c r="H50" i="16" s="1" a="1"/>
  <c r="H50" i="16" s="1"/>
  <c r="R18" i="9"/>
  <c r="I17" i="16" s="1" a="1"/>
  <c r="I17" i="16" s="1"/>
  <c r="Q18" i="9"/>
  <c r="H17" i="16" s="1" a="1"/>
  <c r="H17" i="16" s="1"/>
  <c r="R6" i="9"/>
  <c r="I5" i="16" s="1" a="1"/>
  <c r="I5" i="16" s="1"/>
  <c r="Q6" i="9"/>
  <c r="H5" i="16" s="1" a="1"/>
  <c r="H5" i="16" s="1"/>
  <c r="R54" i="9"/>
  <c r="I53" i="16" s="1" a="1"/>
  <c r="I53" i="16" s="1"/>
  <c r="Q54" i="9"/>
  <c r="H53" i="16" s="1" a="1"/>
  <c r="H53" i="16" s="1"/>
  <c r="R48" i="9"/>
  <c r="I47" i="16" s="1" a="1"/>
  <c r="I47" i="16" s="1"/>
  <c r="Q48" i="9"/>
  <c r="H47" i="16" s="1" a="1"/>
  <c r="H47" i="16" s="1"/>
  <c r="R50" i="9"/>
  <c r="I49" i="16" s="1" a="1"/>
  <c r="I49" i="16" s="1"/>
  <c r="Q50" i="9"/>
  <c r="H49" i="16" s="1" a="1"/>
  <c r="H49" i="16" s="1"/>
  <c r="R46" i="9"/>
  <c r="I45" i="16" s="1" a="1"/>
  <c r="I45" i="16" s="1"/>
  <c r="Q46" i="9"/>
  <c r="H45" i="16" s="1" a="1"/>
  <c r="H45" i="16" s="1"/>
  <c r="R14" i="9"/>
  <c r="I13" i="16" s="1" a="1"/>
  <c r="I13" i="16" s="1"/>
  <c r="Q14" i="9"/>
  <c r="H13" i="16" s="1" a="1"/>
  <c r="H13" i="16" s="1"/>
  <c r="R41" i="9"/>
  <c r="I40" i="16" s="1" a="1"/>
  <c r="I40" i="16" s="1"/>
  <c r="Q41" i="9"/>
  <c r="H40" i="16" s="1" a="1"/>
  <c r="H40" i="16" s="1"/>
  <c r="R38" i="9"/>
  <c r="I37" i="16" s="1" a="1"/>
  <c r="I37" i="16" s="1"/>
  <c r="Q38" i="9"/>
  <c r="H37" i="16" s="1" a="1"/>
  <c r="H37" i="16" s="1"/>
  <c r="R61" i="9"/>
  <c r="I60" i="16" s="1" a="1"/>
  <c r="I60" i="16" s="1"/>
  <c r="Q61" i="9"/>
  <c r="H60" i="16" s="1" a="1"/>
  <c r="H60" i="16" s="1"/>
  <c r="R25" i="9"/>
  <c r="I24" i="16" s="1" a="1"/>
  <c r="I24" i="16" s="1"/>
  <c r="Q25" i="9"/>
  <c r="H24" i="16" s="1" a="1"/>
  <c r="H24" i="16" s="1"/>
  <c r="R59" i="9"/>
  <c r="I58" i="16" s="1" a="1"/>
  <c r="I58" i="16" s="1"/>
  <c r="Q59" i="9"/>
  <c r="H58" i="16" s="1" a="1"/>
  <c r="H58" i="16" s="1"/>
  <c r="R40" i="9"/>
  <c r="I39" i="16" s="1" a="1"/>
  <c r="I39" i="16" s="1"/>
  <c r="Q40" i="9"/>
  <c r="H39" i="16" s="1" a="1"/>
  <c r="H39" i="16" s="1"/>
  <c r="R62" i="9"/>
  <c r="I61" i="16" s="1" a="1"/>
  <c r="I61" i="16" s="1"/>
  <c r="Q62" i="9"/>
  <c r="H61" i="16" s="1" a="1"/>
  <c r="H61" i="16" s="1"/>
  <c r="R8" i="9"/>
  <c r="I7" i="16" s="1" a="1"/>
  <c r="I7" i="16" s="1"/>
  <c r="Q8" i="9"/>
  <c r="H7" i="16" s="1" a="1"/>
  <c r="H7" i="16" s="1"/>
  <c r="R71" i="9"/>
  <c r="I70" i="16" s="1" a="1"/>
  <c r="I70" i="16" s="1"/>
  <c r="Q71" i="9"/>
  <c r="H70" i="16" s="1" a="1"/>
  <c r="H70" i="16" s="1"/>
  <c r="R55" i="9"/>
  <c r="I54" i="16" s="1" a="1"/>
  <c r="I54" i="16" s="1"/>
  <c r="Q55" i="9"/>
  <c r="H54" i="16" s="1" a="1"/>
  <c r="H54" i="16" s="1"/>
  <c r="R35" i="9"/>
  <c r="I34" i="16" s="1" a="1"/>
  <c r="I34" i="16" s="1"/>
  <c r="Q35" i="9"/>
  <c r="H34" i="16" s="1" a="1"/>
  <c r="H34" i="16" s="1"/>
  <c r="R30" i="9"/>
  <c r="I29" i="16" s="1" a="1"/>
  <c r="I29" i="16" s="1"/>
  <c r="Q30" i="9"/>
  <c r="H29" i="16" s="1" a="1"/>
  <c r="H29" i="16" s="1"/>
  <c r="R70" i="9"/>
  <c r="I69" i="16" s="1" a="1"/>
  <c r="I69" i="16" s="1"/>
  <c r="Q70" i="9"/>
  <c r="H69" i="16" s="1" a="1"/>
  <c r="H69" i="16" s="1"/>
  <c r="R27" i="9"/>
  <c r="I26" i="16" s="1" a="1"/>
  <c r="I26" i="16" s="1"/>
  <c r="Q27" i="9"/>
  <c r="H26" i="16" s="1" a="1"/>
  <c r="H26" i="16" s="1"/>
  <c r="R24" i="9"/>
  <c r="I23" i="16" s="1" a="1"/>
  <c r="I23" i="16" s="1"/>
  <c r="Q24" i="9"/>
  <c r="H23" i="16" s="1" a="1"/>
  <c r="H23" i="16" s="1"/>
  <c r="R15" i="9"/>
  <c r="I14" i="16" s="1" a="1"/>
  <c r="I14" i="16" s="1"/>
  <c r="Q15" i="9"/>
  <c r="H14" i="16" s="1" a="1"/>
  <c r="H14" i="16" s="1"/>
  <c r="R53" i="9"/>
  <c r="I52" i="16" s="1" a="1"/>
  <c r="I52" i="16" s="1"/>
  <c r="Q53" i="9"/>
  <c r="H52" i="16" s="1" a="1"/>
  <c r="H52" i="16" s="1"/>
  <c r="R47" i="9"/>
  <c r="I46" i="16" s="1" a="1"/>
  <c r="I46" i="16" s="1"/>
  <c r="Q47" i="9"/>
  <c r="H46" i="16" s="1" a="1"/>
  <c r="H46" i="16" s="1"/>
  <c r="R34" i="9"/>
  <c r="I33" i="16" s="1" a="1"/>
  <c r="I33" i="16" s="1"/>
  <c r="Q34" i="9"/>
  <c r="H33" i="16" s="1" a="1"/>
  <c r="H33" i="16" s="1"/>
  <c r="R39" i="9"/>
  <c r="I38" i="16" s="1" a="1"/>
  <c r="I38" i="16" s="1"/>
  <c r="Q39" i="9"/>
  <c r="H38" i="16" s="1" a="1"/>
  <c r="H38" i="16" s="1"/>
  <c r="R11" i="9"/>
  <c r="I10" i="16" s="1" a="1"/>
  <c r="I10" i="16" s="1"/>
  <c r="Q11" i="9"/>
  <c r="H10" i="16" s="1" a="1"/>
  <c r="H10" i="16" s="1"/>
  <c r="R7" i="9"/>
  <c r="I6" i="16" s="1" a="1"/>
  <c r="I6" i="16" s="1"/>
  <c r="Q7" i="9"/>
  <c r="H6" i="16" s="1" a="1"/>
  <c r="H6" i="16" s="1"/>
  <c r="R49" i="9"/>
  <c r="I48" i="16" s="1" a="1"/>
  <c r="I48" i="16" s="1"/>
  <c r="Q49" i="9"/>
  <c r="H48" i="16" s="1" a="1"/>
  <c r="H48" i="16" s="1"/>
  <c r="R63" i="9"/>
  <c r="I62" i="16" s="1" a="1"/>
  <c r="I62" i="16" s="1"/>
  <c r="Q63" i="9"/>
  <c r="H62" i="16" s="1" a="1"/>
  <c r="H62" i="16" s="1"/>
  <c r="R42" i="9"/>
  <c r="I41" i="16" s="1" a="1"/>
  <c r="I41" i="16" s="1"/>
  <c r="Q42" i="9"/>
  <c r="H41" i="16" s="1" a="1"/>
  <c r="H41" i="16" s="1"/>
  <c r="R44" i="9"/>
  <c r="I43" i="16" s="1" a="1"/>
  <c r="I43" i="16" s="1"/>
  <c r="Q44" i="9"/>
  <c r="H43" i="16" s="1" a="1"/>
  <c r="H43" i="16" s="1"/>
  <c r="R36" i="9"/>
  <c r="I35" i="16" s="1" a="1"/>
  <c r="I35" i="16" s="1"/>
  <c r="Q36" i="9"/>
  <c r="H35" i="16" s="1" a="1"/>
  <c r="H35" i="16" s="1"/>
  <c r="R43" i="9"/>
  <c r="I42" i="16" s="1" a="1"/>
  <c r="I42" i="16" s="1"/>
  <c r="Q43" i="9"/>
  <c r="H42" i="16" s="1" a="1"/>
  <c r="H42" i="16" s="1"/>
  <c r="R57" i="9"/>
  <c r="I56" i="16" s="1" a="1"/>
  <c r="I56" i="16" s="1"/>
  <c r="Q57" i="9"/>
  <c r="H56" i="16" s="1" a="1"/>
  <c r="H56" i="16" s="1"/>
  <c r="R21" i="9"/>
  <c r="I20" i="16" s="1" a="1"/>
  <c r="I20" i="16" s="1"/>
  <c r="Q21" i="9"/>
  <c r="H20" i="16" s="1" a="1"/>
  <c r="H20" i="16" s="1"/>
  <c r="R20" i="9"/>
  <c r="I19" i="16" s="1" a="1"/>
  <c r="I19" i="16" s="1"/>
  <c r="Q20" i="9"/>
  <c r="H19" i="16" s="1" a="1"/>
  <c r="H19" i="16" s="1"/>
  <c r="R68" i="9"/>
  <c r="I67" i="16" s="1" a="1"/>
  <c r="I67" i="16" s="1"/>
  <c r="Q68" i="9"/>
  <c r="H67" i="16" s="1" a="1"/>
  <c r="H67" i="16" s="1"/>
  <c r="R26" i="9"/>
  <c r="I25" i="16" s="1" a="1"/>
  <c r="I25" i="16" s="1"/>
  <c r="Q26" i="9"/>
  <c r="H25" i="16" s="1" a="1"/>
  <c r="H25" i="16" s="1"/>
  <c r="R12" i="9"/>
  <c r="I11" i="16" s="1" a="1"/>
  <c r="I11" i="16" s="1"/>
  <c r="Q12" i="9"/>
  <c r="H11" i="16" s="1" a="1"/>
  <c r="H11" i="16" s="1"/>
  <c r="R66" i="9"/>
  <c r="I65" i="16" s="1" a="1"/>
  <c r="I65" i="16" s="1"/>
  <c r="Q66" i="9"/>
  <c r="H65" i="16" s="1" a="1"/>
  <c r="H65" i="16" s="1"/>
  <c r="R33" i="9"/>
  <c r="I32" i="16" s="1" a="1"/>
  <c r="I32" i="16" s="1"/>
  <c r="Q33" i="9"/>
  <c r="H32" i="16" s="1" a="1"/>
  <c r="H32" i="16" s="1"/>
  <c r="R9" i="9"/>
  <c r="I8" i="16" s="1" a="1"/>
  <c r="I8" i="16" s="1"/>
  <c r="Q9" i="9"/>
  <c r="H8" i="16" s="1" a="1"/>
  <c r="H8" i="16" s="1"/>
  <c r="R22" i="9"/>
  <c r="I21" i="16" s="1" a="1"/>
  <c r="I21" i="16" s="1"/>
  <c r="Q22" i="9"/>
  <c r="H21" i="16" s="1" a="1"/>
  <c r="H21" i="16" s="1"/>
  <c r="R31" i="9"/>
  <c r="I30" i="16" s="1" a="1"/>
  <c r="I30" i="16" s="1"/>
  <c r="Q31" i="9"/>
  <c r="H30" i="16" s="1" a="1"/>
  <c r="H30" i="16" s="1"/>
  <c r="R28" i="9"/>
  <c r="I27" i="16" s="1" a="1"/>
  <c r="I27" i="16" s="1"/>
  <c r="Q28" i="9"/>
  <c r="H27" i="16" s="1" a="1"/>
  <c r="H27" i="16" s="1"/>
  <c r="R65" i="9"/>
  <c r="I64" i="16" s="1" a="1"/>
  <c r="I64" i="16" s="1"/>
  <c r="Q65" i="9"/>
  <c r="H64" i="16" s="1" a="1"/>
  <c r="H64" i="16" s="1"/>
  <c r="R10" i="9"/>
  <c r="I9" i="16" s="1" a="1"/>
  <c r="I9" i="16" s="1"/>
  <c r="Q10" i="9"/>
  <c r="H9" i="16" s="1" a="1"/>
  <c r="H9" i="16" s="1"/>
  <c r="N60" i="9"/>
  <c r="N45" i="9"/>
  <c r="N29" i="9"/>
  <c r="N17" i="9"/>
  <c r="N16" i="9"/>
  <c r="N51" i="9"/>
  <c r="N18" i="9"/>
  <c r="N6" i="9"/>
  <c r="N48" i="9"/>
  <c r="N46" i="9"/>
  <c r="N14" i="9"/>
  <c r="N58" i="9"/>
  <c r="N59" i="9"/>
  <c r="N8" i="9"/>
  <c r="N69" i="9"/>
  <c r="N32" i="9"/>
  <c r="N62" i="9"/>
  <c r="N44" i="9"/>
  <c r="N24" i="9"/>
  <c r="N15" i="9"/>
  <c r="N40" i="9"/>
  <c r="N36" i="9"/>
  <c r="N34" i="9"/>
  <c r="N39" i="9"/>
  <c r="N11" i="9"/>
  <c r="N7" i="9"/>
  <c r="N52" i="9"/>
  <c r="N30" i="9"/>
  <c r="N42" i="9"/>
  <c r="N27" i="9"/>
  <c r="N43" i="9"/>
  <c r="N57" i="9"/>
  <c r="N21" i="9"/>
  <c r="N20" i="9"/>
  <c r="N68" i="9"/>
  <c r="N26" i="9"/>
  <c r="N12" i="9"/>
  <c r="N19" i="9"/>
  <c r="N33" i="9"/>
  <c r="N9" i="9"/>
  <c r="N61" i="9"/>
  <c r="N70" i="9"/>
  <c r="N72" i="9"/>
  <c r="N28" i="9"/>
  <c r="N65" i="9"/>
  <c r="N10" i="9"/>
  <c r="N64" i="9"/>
  <c r="N31" i="9"/>
  <c r="N56" i="9"/>
  <c r="N49" i="9"/>
  <c r="N41" i="9"/>
  <c r="N71" i="9"/>
  <c r="N66" i="9"/>
  <c r="N13" i="9"/>
  <c r="N35" i="9"/>
  <c r="N47" i="9"/>
  <c r="N23" i="9"/>
  <c r="N37" i="9"/>
  <c r="N67" i="9"/>
  <c r="N50" i="9"/>
  <c r="N22" i="9"/>
  <c r="N53" i="9"/>
  <c r="N38" i="9"/>
  <c r="N25" i="9"/>
  <c r="N55" i="9"/>
  <c r="N54" i="9"/>
  <c r="N63" i="9"/>
  <c r="D5" i="16" a="1"/>
  <c r="D5" i="16" s="1"/>
  <c r="F64" i="16" a="1"/>
  <c r="F64" i="16" s="1"/>
  <c r="F66" i="16" a="1"/>
  <c r="F66" i="16" s="1"/>
  <c r="F72" i="16" a="1"/>
  <c r="F72" i="16" s="1"/>
  <c r="F20" i="16" a="1"/>
  <c r="F20" i="16" s="1"/>
  <c r="D9" i="16" a="1"/>
  <c r="D9" i="16" s="1"/>
  <c r="F51" i="16" a="1"/>
  <c r="F51" i="16" s="1"/>
  <c r="F44" i="16" a="1"/>
  <c r="F44" i="16" s="1"/>
  <c r="F47" i="16" a="1"/>
  <c r="F47" i="16" s="1"/>
  <c r="F55" i="16" a="1"/>
  <c r="F55" i="16" s="1"/>
  <c r="D10" i="16" a="1"/>
  <c r="D10" i="16" s="1"/>
  <c r="D20" i="16" a="1"/>
  <c r="D20" i="16" s="1"/>
  <c r="D41" i="16" a="1"/>
  <c r="D41" i="16" s="1"/>
  <c r="F62" i="16" a="1"/>
  <c r="F62" i="16" s="1"/>
  <c r="F35" i="16" a="1"/>
  <c r="F35" i="16" s="1"/>
  <c r="D71" i="16" a="1"/>
  <c r="D71" i="16" s="1"/>
  <c r="D66" i="16" a="1"/>
  <c r="D66" i="16" s="1"/>
  <c r="D13" i="16" a="1"/>
  <c r="D13" i="16" s="1"/>
  <c r="F57" i="16" a="1"/>
  <c r="F57" i="16" s="1"/>
  <c r="F70" i="16" a="1"/>
  <c r="F70" i="16" s="1"/>
  <c r="F38" i="16" a="1"/>
  <c r="F38" i="16" s="1"/>
  <c r="F43" i="16" a="1"/>
  <c r="F43" i="16" s="1"/>
  <c r="F39" i="16" a="1"/>
  <c r="F39" i="16" s="1"/>
  <c r="F15" i="16" a="1"/>
  <c r="F15" i="16" s="1"/>
  <c r="F52" i="16" a="1"/>
  <c r="F52" i="16" s="1"/>
  <c r="F53" i="16" a="1"/>
  <c r="F53" i="16" s="1"/>
  <c r="F32" i="16" a="1"/>
  <c r="F32" i="16" s="1"/>
  <c r="F60" i="16" a="1"/>
  <c r="F60" i="16" s="1"/>
  <c r="F31" i="16" a="1"/>
  <c r="F31" i="16" s="1"/>
  <c r="F13" i="16" a="1"/>
  <c r="F13" i="16" s="1"/>
  <c r="D72" i="16" a="1"/>
  <c r="D72" i="16" s="1"/>
  <c r="D37" i="16" a="1"/>
  <c r="D37" i="16" s="1"/>
  <c r="D53" i="16" a="1"/>
  <c r="D53" i="16" s="1"/>
  <c r="D55" i="16" a="1"/>
  <c r="D55" i="16" s="1"/>
  <c r="D54" i="16" a="1"/>
  <c r="D54" i="16" s="1"/>
  <c r="D63" i="16" a="1"/>
  <c r="D63" i="16" s="1"/>
  <c r="F28" i="16" a="1"/>
  <c r="F28" i="16" s="1"/>
  <c r="F48" i="16" a="1"/>
  <c r="F48" i="16" s="1"/>
  <c r="F25" i="16" a="1"/>
  <c r="F25" i="16" s="1"/>
  <c r="F33" i="16" a="1"/>
  <c r="F33" i="16" s="1"/>
  <c r="F9" i="16" a="1"/>
  <c r="F9" i="16" s="1"/>
  <c r="D21" i="16" a="1"/>
  <c r="D21" i="16" s="1"/>
  <c r="F68" i="16" a="1"/>
  <c r="F68" i="16" s="1"/>
  <c r="D38" i="16" a="1"/>
  <c r="D38" i="16" s="1"/>
  <c r="D58" i="16" a="1"/>
  <c r="D58" i="16" s="1"/>
  <c r="D32" i="16" a="1"/>
  <c r="D32" i="16" s="1"/>
  <c r="F21" i="16" a="1"/>
  <c r="F21" i="16" s="1"/>
  <c r="F41" i="16" a="1"/>
  <c r="F41" i="16" s="1"/>
  <c r="F16" i="16" a="1"/>
  <c r="F16" i="16" s="1"/>
  <c r="F12" i="16" a="1"/>
  <c r="F12" i="16" s="1"/>
  <c r="D12" i="16" a="1"/>
  <c r="D12" i="16" s="1"/>
  <c r="D23" i="16" a="1"/>
  <c r="D23" i="16" s="1"/>
  <c r="D22" i="16" a="1"/>
  <c r="D22" i="16" s="1"/>
  <c r="D67" i="16" a="1"/>
  <c r="D67" i="16" s="1"/>
  <c r="D19" i="16" a="1"/>
  <c r="D19" i="16" s="1"/>
  <c r="D52" i="16" a="1"/>
  <c r="D52" i="16" s="1"/>
  <c r="D60" i="16" a="1"/>
  <c r="D60" i="16" s="1"/>
  <c r="D45" i="16" a="1"/>
  <c r="D45" i="16" s="1"/>
  <c r="F42" i="16" a="1"/>
  <c r="F42" i="16" s="1"/>
  <c r="D29" i="16" a="1"/>
  <c r="D29" i="16" s="1"/>
  <c r="F29" i="16" a="1"/>
  <c r="F29" i="16" s="1"/>
  <c r="D17" i="16" a="1"/>
  <c r="D17" i="16" s="1"/>
  <c r="F10" i="16" a="1"/>
  <c r="F10" i="16" s="1"/>
  <c r="D49" i="16" a="1"/>
  <c r="D49" i="16" s="1"/>
  <c r="D69" i="16" a="1"/>
  <c r="D69" i="16" s="1"/>
  <c r="F26" i="16" a="1"/>
  <c r="F26" i="16" s="1"/>
  <c r="F71" i="16" a="1"/>
  <c r="F71" i="16" s="1"/>
  <c r="F37" i="16" a="1"/>
  <c r="F37" i="16" s="1"/>
  <c r="F24" i="16" a="1"/>
  <c r="F24" i="16" s="1"/>
  <c r="D16" i="16" a="1"/>
  <c r="D16" i="16" s="1"/>
  <c r="F11" i="16" a="1"/>
  <c r="F11" i="16" s="1"/>
  <c r="D65" i="16" a="1"/>
  <c r="D65" i="16" s="1"/>
  <c r="D51" i="16" a="1"/>
  <c r="D51" i="16" s="1"/>
  <c r="F30" i="16" a="1"/>
  <c r="F30" i="16" s="1"/>
  <c r="F22" i="16" a="1"/>
  <c r="F22" i="16" s="1"/>
  <c r="F54" i="16" a="1"/>
  <c r="F54" i="16" s="1"/>
  <c r="D18" i="16" a="1"/>
  <c r="D18" i="16" s="1"/>
  <c r="D6" i="16" a="1"/>
  <c r="D6" i="16" s="1"/>
  <c r="D33" i="16" a="1"/>
  <c r="D33" i="16" s="1"/>
  <c r="D35" i="16" a="1"/>
  <c r="D35" i="16" s="1"/>
  <c r="D46" i="16" a="1"/>
  <c r="D46" i="16" s="1"/>
  <c r="F58" i="16" a="1"/>
  <c r="F58" i="16" s="1"/>
  <c r="F67" i="16" a="1"/>
  <c r="F67" i="16" s="1"/>
  <c r="F18" i="16" a="1"/>
  <c r="F18" i="16" s="1"/>
  <c r="D14" i="16" a="1"/>
  <c r="D14" i="16" s="1"/>
  <c r="F8" i="16" a="1"/>
  <c r="F8" i="16" s="1"/>
  <c r="D68" i="16" a="1"/>
  <c r="D68" i="16" s="1"/>
  <c r="D28" i="16" a="1"/>
  <c r="D28" i="16" s="1"/>
  <c r="D30" i="16" a="1"/>
  <c r="D30" i="16" s="1"/>
  <c r="F49" i="16" a="1"/>
  <c r="F49" i="16" s="1"/>
  <c r="F27" i="16" a="1"/>
  <c r="F27" i="16" s="1"/>
  <c r="F59" i="16" a="1"/>
  <c r="F59" i="16" s="1"/>
  <c r="F34" i="16" a="1"/>
  <c r="F34" i="16" s="1"/>
  <c r="F14" i="16" a="1"/>
  <c r="F14" i="16" s="1"/>
  <c r="D8" i="16" a="1"/>
  <c r="D8" i="16" s="1"/>
  <c r="D26" i="16" a="1"/>
  <c r="D26" i="16" s="1"/>
  <c r="D31" i="16" a="1"/>
  <c r="D31" i="16" s="1"/>
  <c r="D48" i="16" a="1"/>
  <c r="D48" i="16" s="1"/>
  <c r="D25" i="16" a="1"/>
  <c r="D25" i="16" s="1"/>
  <c r="D62" i="16" a="1"/>
  <c r="D62" i="16" s="1"/>
  <c r="D42" i="16" a="1"/>
  <c r="D42" i="16" s="1"/>
  <c r="D70" i="16" a="1"/>
  <c r="D70" i="16" s="1"/>
  <c r="F63" i="16" a="1"/>
  <c r="F63" i="16" s="1"/>
  <c r="F61" i="16" a="1"/>
  <c r="F61" i="16" s="1"/>
  <c r="F45" i="16" a="1"/>
  <c r="F45" i="16" s="1"/>
  <c r="F56" i="16" a="1"/>
  <c r="F56" i="16" s="1"/>
  <c r="F17" i="16" a="1"/>
  <c r="F17" i="16" s="1"/>
  <c r="F6" i="16" a="1"/>
  <c r="F6" i="16" s="1"/>
  <c r="F65" i="16" a="1"/>
  <c r="F65" i="16" s="1"/>
  <c r="D64" i="16" a="1"/>
  <c r="D64" i="16" s="1"/>
  <c r="D59" i="16" a="1"/>
  <c r="D59" i="16" s="1"/>
  <c r="D27" i="16" a="1"/>
  <c r="D27" i="16" s="1"/>
  <c r="F23" i="16" a="1"/>
  <c r="F23" i="16" s="1"/>
  <c r="D24" i="16" a="1"/>
  <c r="D24" i="16" s="1"/>
  <c r="F36" i="16" a="1"/>
  <c r="F36" i="16" s="1"/>
  <c r="F69" i="16" a="1"/>
  <c r="F69" i="16" s="1"/>
  <c r="F40" i="16" a="1"/>
  <c r="F40" i="16" s="1"/>
  <c r="D15" i="16" a="1"/>
  <c r="D15" i="16" s="1"/>
  <c r="F7" i="16" a="1"/>
  <c r="F7" i="16" s="1"/>
  <c r="F46" i="16" a="1"/>
  <c r="F46" i="16" s="1"/>
  <c r="D56" i="16" a="1"/>
  <c r="D56" i="16" s="1"/>
  <c r="D61" i="16" a="1"/>
  <c r="D61" i="16" s="1"/>
  <c r="D50" i="16" a="1"/>
  <c r="D50" i="16" s="1"/>
  <c r="D40" i="16" a="1"/>
  <c r="D40" i="16" s="1"/>
  <c r="D47" i="16" a="1"/>
  <c r="D47" i="16" s="1"/>
  <c r="D44" i="16" a="1"/>
  <c r="D44" i="16" s="1"/>
  <c r="D36" i="16" a="1"/>
  <c r="D36" i="16" s="1"/>
  <c r="D43" i="16" a="1"/>
  <c r="D43" i="16" s="1"/>
  <c r="D57" i="16" a="1"/>
  <c r="D57" i="16" s="1"/>
  <c r="F50" i="16" a="1"/>
  <c r="F50" i="16" s="1"/>
  <c r="D34" i="16" a="1"/>
  <c r="D34" i="16" s="1"/>
  <c r="D39" i="16" a="1"/>
  <c r="D39" i="16" s="1"/>
  <c r="F19" i="16" a="1"/>
  <c r="F19" i="16" s="1"/>
  <c r="D11" i="16" a="1"/>
  <c r="D11" i="16" s="1"/>
  <c r="D7" i="16" a="1"/>
  <c r="D7" i="16" s="1"/>
  <c r="P15" i="9"/>
  <c r="K15" i="9"/>
  <c r="L15" i="9"/>
  <c r="L16" i="9"/>
  <c r="P16" i="9"/>
  <c r="K16" i="9"/>
  <c r="P11" i="9"/>
  <c r="L11" i="9"/>
  <c r="K11" i="9"/>
  <c r="P14" i="9"/>
  <c r="L14" i="9"/>
  <c r="K14" i="9"/>
  <c r="L17" i="9"/>
  <c r="K17" i="9"/>
  <c r="P17" i="9"/>
  <c r="P6" i="9"/>
  <c r="G5" i="16" s="1" a="1"/>
  <c r="G5" i="16" s="1"/>
  <c r="L6" i="9"/>
  <c r="C5" i="16" s="1" a="1"/>
  <c r="C5" i="16" s="1"/>
  <c r="K6" i="9"/>
  <c r="B5" i="16" s="1" a="1"/>
  <c r="B5" i="16" s="1"/>
  <c r="K12" i="9"/>
  <c r="P12" i="9"/>
  <c r="L12" i="9"/>
  <c r="P10" i="9"/>
  <c r="L10" i="9"/>
  <c r="K10" i="9"/>
  <c r="L13" i="9"/>
  <c r="P13" i="9"/>
  <c r="K13" i="9"/>
  <c r="P9" i="9"/>
  <c r="K9" i="9"/>
  <c r="L9" i="9"/>
  <c r="P8" i="9"/>
  <c r="L8" i="9"/>
  <c r="K8" i="9"/>
  <c r="P7" i="9"/>
  <c r="L7" i="9"/>
  <c r="K7" i="9"/>
  <c r="P61" i="9"/>
  <c r="L61" i="9"/>
  <c r="K61" i="9"/>
  <c r="P48" i="9"/>
  <c r="K48" i="9"/>
  <c r="L48" i="9"/>
  <c r="K63" i="9"/>
  <c r="L63" i="9"/>
  <c r="P63" i="9"/>
  <c r="P36" i="9"/>
  <c r="L36" i="9"/>
  <c r="K36" i="9"/>
  <c r="P72" i="9"/>
  <c r="L72" i="9"/>
  <c r="K72" i="9"/>
  <c r="P18" i="9"/>
  <c r="L18" i="9"/>
  <c r="K18" i="9"/>
  <c r="P23" i="9"/>
  <c r="L23" i="9"/>
  <c r="K23" i="9"/>
  <c r="P50" i="9"/>
  <c r="L50" i="9"/>
  <c r="K50" i="9"/>
  <c r="L46" i="9"/>
  <c r="K46" i="9"/>
  <c r="P46" i="9"/>
  <c r="P21" i="9"/>
  <c r="L21" i="9"/>
  <c r="K21" i="9"/>
  <c r="P66" i="9"/>
  <c r="L66" i="9"/>
  <c r="K66" i="9"/>
  <c r="P34" i="9"/>
  <c r="L34" i="9"/>
  <c r="K34" i="9"/>
  <c r="P64" i="9"/>
  <c r="L64" i="9"/>
  <c r="K64" i="9"/>
  <c r="P56" i="9"/>
  <c r="L56" i="9"/>
  <c r="K56" i="9"/>
  <c r="P47" i="9"/>
  <c r="L47" i="9"/>
  <c r="K47" i="9"/>
  <c r="P51" i="9"/>
  <c r="L51" i="9"/>
  <c r="K51" i="9"/>
  <c r="L65" i="9"/>
  <c r="P65" i="9"/>
  <c r="K65" i="9"/>
  <c r="P62" i="9"/>
  <c r="K62" i="9"/>
  <c r="L62" i="9"/>
  <c r="K44" i="9"/>
  <c r="P44" i="9"/>
  <c r="L44" i="9"/>
  <c r="L43" i="9"/>
  <c r="K43" i="9"/>
  <c r="P43" i="9"/>
  <c r="P40" i="9"/>
  <c r="K40" i="9"/>
  <c r="L40" i="9"/>
  <c r="P37" i="9"/>
  <c r="L37" i="9"/>
  <c r="K37" i="9"/>
  <c r="P70" i="9"/>
  <c r="K70" i="9"/>
  <c r="L70" i="9"/>
  <c r="P22" i="9"/>
  <c r="L22" i="9"/>
  <c r="K22" i="9"/>
  <c r="K60" i="9"/>
  <c r="P60" i="9"/>
  <c r="L60" i="9"/>
  <c r="P26" i="9"/>
  <c r="L26" i="9"/>
  <c r="K26" i="9"/>
  <c r="P53" i="9"/>
  <c r="L53" i="9"/>
  <c r="K53" i="9"/>
  <c r="P35" i="9"/>
  <c r="L35" i="9"/>
  <c r="K35" i="9"/>
  <c r="P67" i="9"/>
  <c r="K67" i="9"/>
  <c r="L67" i="9"/>
  <c r="P19" i="9"/>
  <c r="L19" i="9"/>
  <c r="K19" i="9"/>
  <c r="P28" i="9"/>
  <c r="L28" i="9"/>
  <c r="K28" i="9"/>
  <c r="K38" i="9"/>
  <c r="P38" i="9"/>
  <c r="L38" i="9"/>
  <c r="L57" i="9"/>
  <c r="K57" i="9"/>
  <c r="P57" i="9"/>
  <c r="P25" i="9"/>
  <c r="L25" i="9"/>
  <c r="K25" i="9"/>
  <c r="P20" i="9"/>
  <c r="L20" i="9"/>
  <c r="K20" i="9"/>
  <c r="P41" i="9"/>
  <c r="L41" i="9"/>
  <c r="K41" i="9"/>
  <c r="P42" i="9"/>
  <c r="L42" i="9"/>
  <c r="K42" i="9"/>
  <c r="P59" i="9"/>
  <c r="K59" i="9"/>
  <c r="L59" i="9"/>
  <c r="L55" i="9"/>
  <c r="P55" i="9"/>
  <c r="K55" i="9"/>
  <c r="P29" i="9"/>
  <c r="L29" i="9"/>
  <c r="K29" i="9"/>
  <c r="P45" i="9"/>
  <c r="L45" i="9"/>
  <c r="K45" i="9"/>
  <c r="P24" i="9"/>
  <c r="L24" i="9"/>
  <c r="K24" i="9"/>
  <c r="L71" i="9"/>
  <c r="P71" i="9"/>
  <c r="K71" i="9"/>
  <c r="P32" i="9"/>
  <c r="L32" i="9"/>
  <c r="K32" i="9"/>
  <c r="P39" i="9"/>
  <c r="L39" i="9"/>
  <c r="K39" i="9"/>
  <c r="P30" i="9"/>
  <c r="L30" i="9"/>
  <c r="K30" i="9"/>
  <c r="P69" i="9"/>
  <c r="L69" i="9"/>
  <c r="K69" i="9"/>
  <c r="P31" i="9"/>
  <c r="L31" i="9"/>
  <c r="K31" i="9"/>
  <c r="L54" i="9"/>
  <c r="K54" i="9"/>
  <c r="P54" i="9"/>
  <c r="L68" i="9"/>
  <c r="K68" i="9"/>
  <c r="P68" i="9"/>
  <c r="P58" i="9"/>
  <c r="L58" i="9"/>
  <c r="K58" i="9"/>
  <c r="L52" i="9"/>
  <c r="P52" i="9"/>
  <c r="K52" i="9"/>
  <c r="P33" i="9"/>
  <c r="L33" i="9"/>
  <c r="K33" i="9"/>
  <c r="P49" i="9"/>
  <c r="K49" i="9"/>
  <c r="L49" i="9"/>
  <c r="P27" i="9"/>
  <c r="L27" i="9"/>
  <c r="K27" i="9"/>
  <c r="B69" i="16" l="1" a="1"/>
  <c r="B69" i="16" s="1"/>
  <c r="C24" i="16" a="1"/>
  <c r="C24" i="16" s="1"/>
  <c r="G42" i="16" a="1"/>
  <c r="G42" i="16" s="1"/>
  <c r="B28" i="16" a="1"/>
  <c r="B28" i="16" s="1"/>
  <c r="C26" i="16" a="1"/>
  <c r="C26" i="16" s="1"/>
  <c r="G40" i="16" a="1"/>
  <c r="G40" i="16" s="1"/>
  <c r="B47" i="16" a="1"/>
  <c r="B47" i="16" s="1"/>
  <c r="C21" i="16" a="1"/>
  <c r="C21" i="16" s="1"/>
  <c r="G72" i="16" a="1"/>
  <c r="G72" i="16" s="1"/>
  <c r="E65" i="17" a="1"/>
  <c r="E65" i="17" s="1"/>
  <c r="E62" i="17" a="1"/>
  <c r="E62" i="17" s="1"/>
  <c r="E34" i="17" a="1"/>
  <c r="E34" i="17" s="1"/>
  <c r="B10" i="17" a="1"/>
  <c r="B10" i="17" s="1"/>
  <c r="C11" i="17" a="1"/>
  <c r="C11" i="17" s="1"/>
  <c r="E30" i="17" a="1"/>
  <c r="E30" i="17" s="1"/>
  <c r="E9" i="17" a="1"/>
  <c r="E9" i="17" s="1"/>
  <c r="B38" i="16" a="1"/>
  <c r="B38" i="16" s="1"/>
  <c r="B41" i="16" a="1"/>
  <c r="B41" i="16" s="1"/>
  <c r="E19" i="17" a="1"/>
  <c r="E19" i="17" s="1"/>
  <c r="G51" i="16" a="1"/>
  <c r="G51" i="16" s="1"/>
  <c r="G33" i="16" a="1"/>
  <c r="G33" i="16" s="1"/>
  <c r="B43" i="16" a="1"/>
  <c r="B43" i="16" s="1"/>
  <c r="G46" i="16" a="1"/>
  <c r="G46" i="16" s="1"/>
  <c r="C36" i="16" a="1"/>
  <c r="C36" i="16" s="1"/>
  <c r="E39" i="17" a="1"/>
  <c r="E39" i="17" s="1"/>
  <c r="E60" i="17" a="1"/>
  <c r="E60" i="17" s="1"/>
  <c r="E38" i="17" a="1"/>
  <c r="E38" i="17" s="1"/>
  <c r="G10" i="16" a="1"/>
  <c r="G10" i="16" s="1"/>
  <c r="B16" i="16" a="1"/>
  <c r="B16" i="16" s="1"/>
  <c r="E26" i="17" a="1"/>
  <c r="E26" i="17" s="1"/>
  <c r="E8" i="17" a="1"/>
  <c r="E8" i="17" s="1"/>
  <c r="C33" i="16" a="1"/>
  <c r="C33" i="16" s="1"/>
  <c r="E7" i="17" a="1"/>
  <c r="E7" i="17" s="1"/>
  <c r="B36" i="16" a="1"/>
  <c r="B36" i="16" s="1"/>
  <c r="C41" i="16" a="1"/>
  <c r="C41" i="16" s="1"/>
  <c r="B19" i="16" a="1"/>
  <c r="B19" i="16" s="1"/>
  <c r="B56" i="16" a="1"/>
  <c r="B56" i="16" s="1"/>
  <c r="C19" i="16" a="1"/>
  <c r="C19" i="16" s="1"/>
  <c r="B60" i="16" a="1"/>
  <c r="B60" i="16" s="1"/>
  <c r="C44" i="16" a="1"/>
  <c r="C44" i="16" s="1"/>
  <c r="C56" i="16" a="1"/>
  <c r="C56" i="16" s="1"/>
  <c r="C46" i="16" a="1"/>
  <c r="C46" i="16" s="1"/>
  <c r="G63" i="16" a="1"/>
  <c r="G63" i="16" s="1"/>
  <c r="E61" i="17" a="1"/>
  <c r="E61" i="17" s="1"/>
  <c r="E71" i="17" a="1"/>
  <c r="E71" i="17" s="1"/>
  <c r="B7" i="17" a="1"/>
  <c r="B7" i="17" s="1"/>
  <c r="G12" i="16" a="1"/>
  <c r="G12" i="16" s="1"/>
  <c r="C16" i="16" a="1"/>
  <c r="C16" i="16" s="1"/>
  <c r="E32" i="17" a="1"/>
  <c r="E32" i="17" s="1"/>
  <c r="C42" i="16" a="1"/>
  <c r="C42" i="16" s="1"/>
  <c r="C13" i="17" a="1"/>
  <c r="C13" i="17" s="1"/>
  <c r="C12" i="17" a="1"/>
  <c r="C12" i="17" s="1"/>
  <c r="G44" i="16" a="1"/>
  <c r="G44" i="16" s="1"/>
  <c r="B12" i="17" a="1"/>
  <c r="B12" i="17" s="1"/>
  <c r="E27" i="17" a="1"/>
  <c r="E27" i="17" s="1"/>
  <c r="G26" i="16" a="1"/>
  <c r="G26" i="16" s="1"/>
  <c r="G69" i="16" a="1"/>
  <c r="G69" i="16" s="1"/>
  <c r="C52" i="16" a="1"/>
  <c r="C52" i="16" s="1"/>
  <c r="G36" i="16" a="1"/>
  <c r="G36" i="16" s="1"/>
  <c r="C63" i="16" a="1"/>
  <c r="C63" i="16" s="1"/>
  <c r="G58" i="16" a="1"/>
  <c r="G58" i="16" s="1"/>
  <c r="B39" i="16" a="1"/>
  <c r="B39" i="16" s="1"/>
  <c r="C29" i="16" a="1"/>
  <c r="C29" i="16" s="1"/>
  <c r="G20" i="16" a="1"/>
  <c r="G20" i="16" s="1"/>
  <c r="C67" i="16" a="1"/>
  <c r="C67" i="16" s="1"/>
  <c r="C22" i="16" a="1"/>
  <c r="C22" i="16" s="1"/>
  <c r="B44" i="16" a="1"/>
  <c r="B44" i="16" s="1"/>
  <c r="B64" i="16" a="1"/>
  <c r="B64" i="16" s="1"/>
  <c r="C50" i="16" a="1"/>
  <c r="C50" i="16" s="1"/>
  <c r="B63" i="16" a="1"/>
  <c r="B63" i="16" s="1"/>
  <c r="E66" i="17" a="1"/>
  <c r="E66" i="17" s="1"/>
  <c r="E68" i="17" a="1"/>
  <c r="E68" i="17" s="1"/>
  <c r="G7" i="16" a="1"/>
  <c r="G7" i="16" s="1"/>
  <c r="B6" i="17" a="1"/>
  <c r="B6" i="17" s="1"/>
  <c r="E16" i="17" a="1"/>
  <c r="E16" i="17" s="1"/>
  <c r="G21" i="16" a="1"/>
  <c r="G21" i="16" s="1"/>
  <c r="B45" i="16" a="1"/>
  <c r="B45" i="16" s="1"/>
  <c r="E36" i="17" a="1"/>
  <c r="E36" i="17" s="1"/>
  <c r="C48" i="16" a="1"/>
  <c r="C48" i="16" s="1"/>
  <c r="G15" i="16" a="1"/>
  <c r="G15" i="16" s="1"/>
  <c r="E20" i="17" a="1"/>
  <c r="E20" i="17" s="1"/>
  <c r="E37" i="17" a="1"/>
  <c r="E37" i="17" s="1"/>
  <c r="G43" i="16" a="1"/>
  <c r="G43" i="16" s="1"/>
  <c r="E64" i="17" a="1"/>
  <c r="E64" i="17" s="1"/>
  <c r="G16" i="16" a="1"/>
  <c r="G16" i="16" s="1"/>
  <c r="B20" i="16" a="1"/>
  <c r="B20" i="16" s="1"/>
  <c r="G19" i="16" a="1"/>
  <c r="G19" i="16" s="1"/>
  <c r="B62" i="16" a="1"/>
  <c r="B62" i="16" s="1"/>
  <c r="G6" i="16" a="1"/>
  <c r="G6" i="16" s="1"/>
  <c r="E13" i="17" a="1"/>
  <c r="E13" i="17" s="1"/>
  <c r="E15" i="17" a="1"/>
  <c r="E15" i="17" s="1"/>
  <c r="G31" i="16" a="1"/>
  <c r="G31" i="16" s="1"/>
  <c r="B40" i="16" a="1"/>
  <c r="B40" i="16" s="1"/>
  <c r="E40" i="17" a="1"/>
  <c r="E40" i="17" s="1"/>
  <c r="E22" i="17" a="1"/>
  <c r="E22" i="17" s="1"/>
  <c r="C28" i="16" a="1"/>
  <c r="C28" i="16" s="1"/>
  <c r="E48" i="17" a="1"/>
  <c r="E48" i="17" s="1"/>
  <c r="C60" i="16" a="1"/>
  <c r="C60" i="16" s="1"/>
  <c r="G60" i="16" a="1"/>
  <c r="G60" i="16" s="1"/>
  <c r="C7" i="17" a="1"/>
  <c r="C7" i="17" s="1"/>
  <c r="C62" i="16" a="1"/>
  <c r="C62" i="16" s="1"/>
  <c r="B27" i="16" a="1"/>
  <c r="B27" i="16" s="1"/>
  <c r="G67" i="16" a="1"/>
  <c r="G67" i="16" s="1"/>
  <c r="G55" i="16" a="1"/>
  <c r="G55" i="16" s="1"/>
  <c r="B70" i="16" a="1"/>
  <c r="B70" i="16" s="1"/>
  <c r="G62" i="16" a="1"/>
  <c r="G62" i="16" s="1"/>
  <c r="B34" i="16" a="1"/>
  <c r="B34" i="16" s="1"/>
  <c r="C23" i="16" a="1"/>
  <c r="C23" i="16" s="1"/>
  <c r="G48" i="16" a="1"/>
  <c r="G48" i="16" s="1"/>
  <c r="E52" i="17" a="1"/>
  <c r="E52" i="17" s="1"/>
  <c r="E59" i="17" a="1"/>
  <c r="E59" i="17" s="1"/>
  <c r="G8" i="16" a="1"/>
  <c r="G8" i="16" s="1"/>
  <c r="G17" i="16" a="1"/>
  <c r="G17" i="16" s="1"/>
  <c r="E25" i="17" a="1"/>
  <c r="E25" i="17" s="1"/>
  <c r="E33" i="17" a="1"/>
  <c r="E33" i="17" s="1"/>
  <c r="B21" i="16" a="1"/>
  <c r="B21" i="16" s="1"/>
  <c r="C47" i="16" a="1"/>
  <c r="C47" i="16" s="1"/>
  <c r="E10" i="17" a="1"/>
  <c r="E10" i="17" s="1"/>
  <c r="C45" i="16" a="1"/>
  <c r="C45" i="16" s="1"/>
  <c r="E50" i="17" a="1"/>
  <c r="E50" i="17" s="1"/>
  <c r="G45" i="16" a="1"/>
  <c r="G45" i="16" s="1"/>
  <c r="C20" i="16" a="1"/>
  <c r="C20" i="16" s="1"/>
  <c r="E45" i="17" a="1"/>
  <c r="E45" i="17" s="1"/>
  <c r="G68" i="16" a="1"/>
  <c r="G68" i="16" s="1"/>
  <c r="G22" i="16" a="1"/>
  <c r="G22" i="16" s="1"/>
  <c r="E58" i="17" a="1"/>
  <c r="E58" i="17" s="1"/>
  <c r="G39" i="16" a="1"/>
  <c r="G39" i="16" s="1"/>
  <c r="B48" i="16" a="1"/>
  <c r="B48" i="16" s="1"/>
  <c r="C27" i="16" a="1"/>
  <c r="C27" i="16" s="1"/>
  <c r="G54" i="16" a="1"/>
  <c r="G54" i="16" s="1"/>
  <c r="C55" i="16" a="1"/>
  <c r="C55" i="16" s="1"/>
  <c r="G57" i="16" a="1"/>
  <c r="G57" i="16" s="1"/>
  <c r="C35" i="16" a="1"/>
  <c r="C35" i="16" s="1"/>
  <c r="G70" i="16" a="1"/>
  <c r="G70" i="16" s="1"/>
  <c r="B65" i="16" a="1"/>
  <c r="B65" i="16" s="1"/>
  <c r="C34" i="16" a="1"/>
  <c r="C34" i="16" s="1"/>
  <c r="G23" i="16" a="1"/>
  <c r="G23" i="16" s="1"/>
  <c r="B61" i="16" a="1"/>
  <c r="B61" i="16" s="1"/>
  <c r="E51" i="17" a="1"/>
  <c r="E51" i="17" s="1"/>
  <c r="E54" i="17" a="1"/>
  <c r="E54" i="17" s="1"/>
  <c r="C9" i="17" a="1"/>
  <c r="C9" i="17" s="1"/>
  <c r="B17" i="16" a="1"/>
  <c r="B17" i="16" s="1"/>
  <c r="E21" i="17" a="1"/>
  <c r="E21" i="17" s="1"/>
  <c r="E23" i="17" a="1"/>
  <c r="E23" i="17" s="1"/>
  <c r="B11" i="17" a="1"/>
  <c r="B11" i="17" s="1"/>
  <c r="C10" i="17" a="1"/>
  <c r="C10" i="17" s="1"/>
  <c r="G52" i="16" a="1"/>
  <c r="G52" i="16" s="1"/>
  <c r="G41" i="16" a="1"/>
  <c r="G41" i="16" s="1"/>
  <c r="E55" i="17" a="1"/>
  <c r="E55" i="17" s="1"/>
  <c r="C58" i="16" a="1"/>
  <c r="C58" i="16" s="1"/>
  <c r="B50" i="16" a="1"/>
  <c r="B50" i="16" s="1"/>
  <c r="B67" i="16" a="1"/>
  <c r="B67" i="16" s="1"/>
  <c r="C6" i="17" a="1"/>
  <c r="C6" i="17" s="1"/>
  <c r="B23" i="16" a="1"/>
  <c r="B23" i="16" s="1"/>
  <c r="C68" i="16" a="1"/>
  <c r="C68" i="16" s="1"/>
  <c r="C59" i="16" a="1"/>
  <c r="C59" i="16" s="1"/>
  <c r="B37" i="16" a="1"/>
  <c r="B37" i="16" s="1"/>
  <c r="G65" i="16" a="1"/>
  <c r="G65" i="16" s="1"/>
  <c r="G34" i="16" a="1"/>
  <c r="G34" i="16" s="1"/>
  <c r="B18" i="16" a="1"/>
  <c r="B18" i="16" s="1"/>
  <c r="C61" i="16" a="1"/>
  <c r="C61" i="16" s="1"/>
  <c r="E67" i="17" a="1"/>
  <c r="E67" i="17" s="1"/>
  <c r="E42" i="17" a="1"/>
  <c r="E42" i="17" s="1"/>
  <c r="B9" i="17" a="1"/>
  <c r="B9" i="17" s="1"/>
  <c r="C17" i="16" a="1"/>
  <c r="C17" i="16" s="1"/>
  <c r="E12" i="17" a="1"/>
  <c r="E12" i="17" s="1"/>
  <c r="E18" i="17" a="1"/>
  <c r="E18" i="17" s="1"/>
  <c r="C72" i="16" a="1"/>
  <c r="C72" i="16" s="1"/>
  <c r="G24" i="16" a="1"/>
  <c r="G24" i="16" s="1"/>
  <c r="E49" i="17" a="1"/>
  <c r="E49" i="17" s="1"/>
  <c r="G47" i="16" a="1"/>
  <c r="G47" i="16" s="1"/>
  <c r="B46" i="16" a="1"/>
  <c r="B46" i="16" s="1"/>
  <c r="C30" i="16" a="1"/>
  <c r="C30" i="16" s="1"/>
  <c r="G56" i="16" a="1"/>
  <c r="G56" i="16" s="1"/>
  <c r="G29" i="16" a="1"/>
  <c r="G29" i="16" s="1"/>
  <c r="G50" i="16" a="1"/>
  <c r="G50" i="16" s="1"/>
  <c r="C25" i="16" a="1"/>
  <c r="C25" i="16" s="1"/>
  <c r="C8" i="17" a="1"/>
  <c r="C8" i="17" s="1"/>
  <c r="G25" i="16" a="1"/>
  <c r="G25" i="16" s="1"/>
  <c r="C32" i="16" a="1"/>
  <c r="C32" i="16" s="1"/>
  <c r="G32" i="16" a="1"/>
  <c r="G32" i="16" s="1"/>
  <c r="B71" i="16" a="1"/>
  <c r="B71" i="16" s="1"/>
  <c r="C57" i="16" a="1"/>
  <c r="C57" i="16" s="1"/>
  <c r="C37" i="16" a="1"/>
  <c r="C37" i="16" s="1"/>
  <c r="C65" i="16" a="1"/>
  <c r="C65" i="16" s="1"/>
  <c r="B66" i="16" a="1"/>
  <c r="B66" i="16" s="1"/>
  <c r="C18" i="16" a="1"/>
  <c r="C18" i="16" s="1"/>
  <c r="G61" i="16" a="1"/>
  <c r="G61" i="16" s="1"/>
  <c r="E69" i="17" a="1"/>
  <c r="E69" i="17" s="1"/>
  <c r="E57" i="17" a="1"/>
  <c r="E57" i="17" s="1"/>
  <c r="G9" i="16" a="1"/>
  <c r="G9" i="16" s="1"/>
  <c r="E29" i="17" a="1"/>
  <c r="E29" i="17" s="1"/>
  <c r="E31" i="17" a="1"/>
  <c r="E31" i="17" s="1"/>
  <c r="B26" i="16" a="1"/>
  <c r="B26" i="16" s="1"/>
  <c r="B52" i="16" a="1"/>
  <c r="B52" i="16" s="1"/>
  <c r="G11" i="16" a="1"/>
  <c r="G11" i="16" s="1"/>
  <c r="B30" i="16" a="1"/>
  <c r="B30" i="16" s="1"/>
  <c r="E17" i="17" a="1"/>
  <c r="E17" i="17" s="1"/>
  <c r="G30" i="16" a="1"/>
  <c r="G30" i="16" s="1"/>
  <c r="B22" i="16" a="1"/>
  <c r="B22" i="16" s="1"/>
  <c r="C39" i="16" a="1"/>
  <c r="C39" i="16" s="1"/>
  <c r="B8" i="17" a="1"/>
  <c r="B8" i="17" s="1"/>
  <c r="B68" i="16" a="1"/>
  <c r="B68" i="16" s="1"/>
  <c r="C70" i="16" a="1"/>
  <c r="C70" i="16" s="1"/>
  <c r="G64" i="16" a="1"/>
  <c r="G64" i="16" s="1"/>
  <c r="E41" i="17" a="1"/>
  <c r="E41" i="17" s="1"/>
  <c r="B35" i="16" a="1"/>
  <c r="B35" i="16" s="1"/>
  <c r="C49" i="16" a="1"/>
  <c r="C49" i="16" s="1"/>
  <c r="G35" i="16" a="1"/>
  <c r="G35" i="16" s="1"/>
  <c r="C54" i="16" a="1"/>
  <c r="C54" i="16" s="1"/>
  <c r="G49" i="16" a="1"/>
  <c r="G49" i="16" s="1"/>
  <c r="C53" i="16" a="1"/>
  <c r="C53" i="16" s="1"/>
  <c r="C66" i="16" a="1"/>
  <c r="C66" i="16" s="1"/>
  <c r="E43" i="17" a="1"/>
  <c r="E43" i="17" s="1"/>
  <c r="B13" i="17" a="1"/>
  <c r="B13" i="17" s="1"/>
  <c r="B24" i="16" a="1"/>
  <c r="B24" i="16" s="1"/>
  <c r="E53" i="17" a="1"/>
  <c r="E53" i="17" s="1"/>
  <c r="C69" i="16" a="1"/>
  <c r="C69" i="16" s="1"/>
  <c r="G28" i="16" a="1"/>
  <c r="G28" i="16" s="1"/>
  <c r="C43" i="16" a="1"/>
  <c r="C43" i="16" s="1"/>
  <c r="B58" i="16" a="1"/>
  <c r="B58" i="16" s="1"/>
  <c r="B29" i="16" a="1"/>
  <c r="B29" i="16" s="1"/>
  <c r="E72" i="17" a="1"/>
  <c r="E72" i="17" s="1"/>
  <c r="B25" i="16" a="1"/>
  <c r="B25" i="16" s="1"/>
  <c r="C64" i="16" a="1"/>
  <c r="C64" i="16" s="1"/>
  <c r="E46" i="17" a="1"/>
  <c r="E46" i="17" s="1"/>
  <c r="B55" i="16" a="1"/>
  <c r="B55" i="16" s="1"/>
  <c r="E44" i="17" a="1"/>
  <c r="E44" i="17" s="1"/>
  <c r="B32" i="16" a="1"/>
  <c r="B32" i="16" s="1"/>
  <c r="G27" i="16" a="1"/>
  <c r="G27" i="16" s="1"/>
  <c r="B54" i="16" a="1"/>
  <c r="B54" i="16" s="1"/>
  <c r="B57" i="16" a="1"/>
  <c r="B57" i="16" s="1"/>
  <c r="B49" i="16" a="1"/>
  <c r="B49" i="16" s="1"/>
  <c r="B59" i="16" a="1"/>
  <c r="B59" i="16" s="1"/>
  <c r="B53" i="16" a="1"/>
  <c r="B53" i="16" s="1"/>
  <c r="B31" i="16" a="1"/>
  <c r="B31" i="16" s="1"/>
  <c r="G71" i="16" a="1"/>
  <c r="G71" i="16" s="1"/>
  <c r="G59" i="16" a="1"/>
  <c r="G59" i="16" s="1"/>
  <c r="C38" i="16" a="1"/>
  <c r="C38" i="16" s="1"/>
  <c r="G37" i="16" a="1"/>
  <c r="G37" i="16" s="1"/>
  <c r="B51" i="16" a="1"/>
  <c r="B51" i="16" s="1"/>
  <c r="G18" i="16" a="1"/>
  <c r="G18" i="16" s="1"/>
  <c r="E70" i="17" a="1"/>
  <c r="E70" i="17" s="1"/>
  <c r="E35" i="17" a="1"/>
  <c r="E35" i="17" s="1"/>
  <c r="E28" i="17" a="1"/>
  <c r="E28" i="17" s="1"/>
  <c r="E11" i="17" a="1"/>
  <c r="E11" i="17" s="1"/>
  <c r="B33" i="16" a="1"/>
  <c r="B33" i="16" s="1"/>
  <c r="C31" i="16" a="1"/>
  <c r="C31" i="16" s="1"/>
  <c r="C71" i="16" a="1"/>
  <c r="C71" i="16" s="1"/>
  <c r="B42" i="16" a="1"/>
  <c r="B42" i="16" s="1"/>
  <c r="G38" i="16" a="1"/>
  <c r="G38" i="16" s="1"/>
  <c r="G53" i="16" a="1"/>
  <c r="G53" i="16" s="1"/>
  <c r="C40" i="16" a="1"/>
  <c r="C40" i="16" s="1"/>
  <c r="C51" i="16" a="1"/>
  <c r="C51" i="16" s="1"/>
  <c r="G66" i="16" a="1"/>
  <c r="G66" i="16" s="1"/>
  <c r="B72" i="16" a="1"/>
  <c r="B72" i="16" s="1"/>
  <c r="E56" i="17" a="1"/>
  <c r="E56" i="17" s="1"/>
  <c r="E47" i="17" a="1"/>
  <c r="E47" i="17" s="1"/>
  <c r="E63" i="17" a="1"/>
  <c r="E63" i="17" s="1"/>
  <c r="G13" i="16" a="1"/>
  <c r="G13" i="16" s="1"/>
  <c r="G14" i="16" a="1"/>
  <c r="G14" i="16" s="1"/>
  <c r="E24" i="17" a="1"/>
  <c r="E24" i="17" s="1"/>
  <c r="E14" i="17" a="1"/>
  <c r="E14" i="17" s="1"/>
  <c r="E5" i="16" a="1"/>
  <c r="E5" i="16" s="1"/>
  <c r="D3" i="9"/>
  <c r="F3" i="9"/>
  <c r="F3" i="15" s="1" a="1"/>
  <c r="F3" i="15" s="1"/>
  <c r="D32" i="9"/>
  <c r="F25" i="9"/>
  <c r="F33" i="9"/>
  <c r="F33" i="15" s="1" a="1"/>
  <c r="F33" i="15" s="1"/>
  <c r="F7" i="9"/>
  <c r="D18" i="9"/>
  <c r="D50" i="9"/>
  <c r="F53" i="9"/>
  <c r="F34" i="9"/>
  <c r="D43" i="9"/>
  <c r="D30" i="9"/>
  <c r="D20" i="9"/>
  <c r="F39" i="9"/>
  <c r="D47" i="9"/>
  <c r="D24" i="9"/>
  <c r="D27" i="9"/>
  <c r="D45" i="9"/>
  <c r="D10" i="9"/>
  <c r="D44" i="9"/>
  <c r="D8" i="9"/>
  <c r="F35" i="9"/>
  <c r="F52" i="9"/>
  <c r="F52" i="15" s="1" a="1"/>
  <c r="F52" i="15" s="1"/>
  <c r="D29" i="9"/>
  <c r="F42" i="9"/>
  <c r="F45" i="9"/>
  <c r="D34" i="9"/>
  <c r="F40" i="9"/>
  <c r="D31" i="9"/>
  <c r="F13" i="9"/>
  <c r="D21" i="9"/>
  <c r="F47" i="9"/>
  <c r="D41" i="9"/>
  <c r="D52" i="9"/>
  <c r="D28" i="9"/>
  <c r="F21" i="9"/>
  <c r="F32" i="9"/>
  <c r="F32" i="15" s="1" a="1"/>
  <c r="F32" i="15" s="1"/>
  <c r="D9" i="9"/>
  <c r="D17" i="9"/>
  <c r="D15" i="9"/>
  <c r="F22" i="9"/>
  <c r="D42" i="9"/>
  <c r="D35" i="9"/>
  <c r="D49" i="9"/>
  <c r="D53" i="9"/>
  <c r="F16" i="9"/>
  <c r="D39" i="9"/>
  <c r="F11" i="9"/>
  <c r="F8" i="9"/>
  <c r="D11" i="9"/>
  <c r="F43" i="9"/>
  <c r="F48" i="9"/>
  <c r="F18" i="9"/>
  <c r="F18" i="15" s="1" a="1"/>
  <c r="F18" i="15" s="1"/>
  <c r="F14" i="9"/>
  <c r="D38" i="9"/>
  <c r="D37" i="9"/>
  <c r="D7" i="9"/>
  <c r="D22" i="9"/>
  <c r="D40" i="9"/>
  <c r="D12" i="9"/>
  <c r="D13" i="9"/>
  <c r="F12" i="9"/>
  <c r="F12" i="15" s="1" a="1"/>
  <c r="F12" i="15" s="1"/>
  <c r="F31" i="9"/>
  <c r="D25" i="9"/>
  <c r="F30" i="9"/>
  <c r="D16" i="9"/>
  <c r="F41" i="9"/>
  <c r="F41" i="15" s="1" a="1"/>
  <c r="F41" i="15" s="1"/>
  <c r="F6" i="9"/>
  <c r="F37" i="9"/>
  <c r="F44" i="9"/>
  <c r="F44" i="15" s="1" a="1"/>
  <c r="F44" i="15" s="1"/>
  <c r="F29" i="9"/>
  <c r="F15" i="9"/>
  <c r="F15" i="15" s="1" a="1"/>
  <c r="F15" i="15" s="1"/>
  <c r="F20" i="9"/>
  <c r="F46" i="9"/>
  <c r="F27" i="9"/>
  <c r="F17" i="9"/>
  <c r="F28" i="9"/>
  <c r="D48" i="9"/>
  <c r="D26" i="9"/>
  <c r="D51" i="9"/>
  <c r="F9" i="9"/>
  <c r="D19" i="9"/>
  <c r="F51" i="9"/>
  <c r="D5" i="9"/>
  <c r="D14" i="9"/>
  <c r="D6" i="9"/>
  <c r="F38" i="9"/>
  <c r="F38" i="15" s="1" a="1"/>
  <c r="F38" i="15" s="1"/>
  <c r="F24" i="9"/>
  <c r="F24" i="15" s="1" a="1"/>
  <c r="F24" i="15" s="1"/>
  <c r="D23" i="9"/>
  <c r="D36" i="9"/>
  <c r="F50" i="9"/>
  <c r="D33" i="9"/>
  <c r="D46" i="9"/>
  <c r="F26" i="9"/>
  <c r="F19" i="9"/>
  <c r="F23" i="9"/>
  <c r="F10" i="9"/>
  <c r="F49" i="9"/>
  <c r="F36" i="9"/>
  <c r="F65" i="9"/>
  <c r="D68" i="9"/>
  <c r="D54" i="9"/>
  <c r="D57" i="9"/>
  <c r="F57" i="9"/>
  <c r="D70" i="9"/>
  <c r="D55" i="9"/>
  <c r="D58" i="9"/>
  <c r="F71" i="9"/>
  <c r="F56" i="9"/>
  <c r="D62" i="9"/>
  <c r="F58" i="9"/>
  <c r="F63" i="9"/>
  <c r="D69" i="9"/>
  <c r="D64" i="9"/>
  <c r="F61" i="9"/>
  <c r="D56" i="9"/>
  <c r="D59" i="9"/>
  <c r="D60" i="9"/>
  <c r="D63" i="9"/>
  <c r="D61" i="9"/>
  <c r="F54" i="9"/>
  <c r="F62" i="9"/>
  <c r="D71" i="9"/>
  <c r="F66" i="9"/>
  <c r="F70" i="9"/>
  <c r="F68" i="9"/>
  <c r="F69" i="9"/>
  <c r="F59" i="9"/>
  <c r="F64" i="9"/>
  <c r="D66" i="9"/>
  <c r="F55" i="9"/>
  <c r="D65" i="9"/>
  <c r="D72" i="9"/>
  <c r="F67" i="9"/>
  <c r="D67" i="9"/>
  <c r="F72" i="9"/>
  <c r="F72" i="15" s="1" a="1"/>
  <c r="F72" i="15" s="1"/>
  <c r="F60" i="9"/>
  <c r="I3" i="9" a="1"/>
  <c r="H3" i="9" a="1"/>
  <c r="I7" i="9" a="1"/>
  <c r="H7" i="9" a="1"/>
  <c r="I23" i="9" a="1"/>
  <c r="H23" i="9" a="1"/>
  <c r="I70" i="9" a="1"/>
  <c r="H70" i="9" a="1"/>
  <c r="I42" i="9" a="1"/>
  <c r="H42" i="9" a="1"/>
  <c r="I22" i="9" a="1"/>
  <c r="H22" i="9" a="1"/>
  <c r="I36" i="9" a="1"/>
  <c r="H36" i="9" a="1"/>
  <c r="I55" i="9" a="1"/>
  <c r="H55" i="9" a="1"/>
  <c r="I14" i="9" a="1"/>
  <c r="H14" i="9" a="1"/>
  <c r="I43" i="9" a="1"/>
  <c r="H43" i="9" a="1"/>
  <c r="I34" i="9" a="1"/>
  <c r="H34" i="9" a="1"/>
  <c r="I35" i="9" a="1"/>
  <c r="H35" i="9" a="1"/>
  <c r="I40" i="9" a="1"/>
  <c r="H40" i="9" a="1"/>
  <c r="I58" i="9" a="1"/>
  <c r="H58" i="9" a="1"/>
  <c r="I71" i="9" a="1"/>
  <c r="H71" i="9" a="1"/>
  <c r="I68" i="9" a="1"/>
  <c r="H68" i="9" a="1"/>
  <c r="I30" i="9" a="1"/>
  <c r="H30" i="9" a="1"/>
  <c r="I49" i="9" a="1"/>
  <c r="H49" i="9" a="1"/>
  <c r="I12" i="9" a="1"/>
  <c r="H12" i="9" a="1"/>
  <c r="I33" i="9" a="1"/>
  <c r="H33" i="9" a="1"/>
  <c r="I48" i="9" a="1"/>
  <c r="H48" i="9" a="1"/>
  <c r="I56" i="9" a="1"/>
  <c r="H56" i="9" a="1"/>
  <c r="I54" i="9" a="1"/>
  <c r="H54" i="9" a="1"/>
  <c r="I20" i="9" a="1"/>
  <c r="H20" i="9" a="1"/>
  <c r="I31" i="9" a="1"/>
  <c r="H31" i="9" a="1"/>
  <c r="I53" i="9" a="1"/>
  <c r="H53" i="9" a="1"/>
  <c r="I13" i="9" a="1"/>
  <c r="H13" i="9" a="1"/>
  <c r="I46" i="9" a="1"/>
  <c r="H46" i="9" a="1"/>
  <c r="I62" i="9" a="1"/>
  <c r="H62" i="9" a="1"/>
  <c r="I65" i="9" a="1"/>
  <c r="H65" i="9" a="1"/>
  <c r="I47" i="9" a="1"/>
  <c r="H47" i="9" a="1"/>
  <c r="I21" i="9" a="1"/>
  <c r="H21" i="9" a="1"/>
  <c r="I39" i="9" a="1"/>
  <c r="H39" i="9" a="1"/>
  <c r="I26" i="9" a="1"/>
  <c r="H26" i="9" a="1"/>
  <c r="I60" i="9" a="1"/>
  <c r="H60" i="9" a="1"/>
  <c r="I24" i="9" a="1"/>
  <c r="H24" i="9" a="1"/>
  <c r="I25" i="9" a="1"/>
  <c r="H25" i="9" a="1"/>
  <c r="I51" i="9" a="1"/>
  <c r="H51" i="9" a="1"/>
  <c r="I27" i="9" a="1"/>
  <c r="H27" i="9" a="1"/>
  <c r="I41" i="9" a="1"/>
  <c r="H41" i="9" a="1"/>
  <c r="I69" i="9" a="1"/>
  <c r="H69" i="9" a="1"/>
  <c r="I66" i="9" a="1"/>
  <c r="H66" i="9" a="1"/>
  <c r="I6" i="9" a="1"/>
  <c r="H6" i="9" a="1"/>
  <c r="I45" i="9" a="1"/>
  <c r="H45" i="9" a="1"/>
  <c r="I52" i="9" a="1"/>
  <c r="H52" i="9" a="1"/>
  <c r="I11" i="9" a="1"/>
  <c r="H11" i="9" a="1"/>
  <c r="I16" i="9" a="1"/>
  <c r="H16" i="9" a="1"/>
  <c r="I19" i="9" a="1"/>
  <c r="H19" i="9" a="1"/>
  <c r="I64" i="9" a="1"/>
  <c r="H64" i="9" a="1"/>
  <c r="I59" i="9" a="1"/>
  <c r="H59" i="9" a="1"/>
  <c r="I32" i="9" a="1"/>
  <c r="H32" i="9" a="1"/>
  <c r="I10" i="9" a="1"/>
  <c r="H10" i="9" a="1"/>
  <c r="I28" i="9" a="1"/>
  <c r="H28" i="9" a="1"/>
  <c r="I5" i="9" a="1"/>
  <c r="H5" i="9" a="1"/>
  <c r="I44" i="9" a="1"/>
  <c r="H44" i="9" a="1"/>
  <c r="I8" i="9" a="1"/>
  <c r="H8" i="9" a="1"/>
  <c r="I9" i="9" a="1"/>
  <c r="H9" i="9" a="1"/>
  <c r="I18" i="9" a="1"/>
  <c r="H18" i="9" a="1"/>
  <c r="I17" i="9" a="1"/>
  <c r="H17" i="9" a="1"/>
  <c r="I38" i="9" a="1"/>
  <c r="H38" i="9" a="1"/>
  <c r="I57" i="9" a="1"/>
  <c r="H57" i="9" a="1"/>
  <c r="I63" i="9" a="1"/>
  <c r="H63" i="9" a="1"/>
  <c r="I67" i="9" a="1"/>
  <c r="H67" i="9" a="1"/>
  <c r="I50" i="9" a="1"/>
  <c r="H50" i="9" a="1"/>
  <c r="I29" i="9" a="1"/>
  <c r="H29" i="9" a="1"/>
  <c r="I15" i="9" a="1"/>
  <c r="H15" i="9" a="1"/>
  <c r="I37" i="9" a="1"/>
  <c r="H37" i="9" a="1"/>
  <c r="I61" i="9" a="1"/>
  <c r="H61" i="9" a="1"/>
  <c r="H72" i="9" a="1"/>
  <c r="I72" i="9" a="1"/>
  <c r="E3" i="9" a="1"/>
  <c r="E30" i="9" a="1"/>
  <c r="E26" i="9" a="1"/>
  <c r="E72" i="9" a="1"/>
  <c r="E17" i="9" a="1"/>
  <c r="E32" i="9" a="1"/>
  <c r="E65" i="9" a="1"/>
  <c r="E52" i="9" a="1"/>
  <c r="E7" i="9" a="1"/>
  <c r="E49" i="9" a="1"/>
  <c r="E69" i="9" a="1"/>
  <c r="E38" i="9" a="1"/>
  <c r="E9" i="9" a="1"/>
  <c r="E6" i="9" a="1"/>
  <c r="E60" i="9" a="1"/>
  <c r="E71" i="9" a="1"/>
  <c r="E23" i="9" a="1"/>
  <c r="E12" i="9" a="1"/>
  <c r="E64" i="9" a="1"/>
  <c r="E10" i="9" a="1"/>
  <c r="E57" i="9" a="1"/>
  <c r="E20" i="9" a="1"/>
  <c r="E44" i="9" a="1"/>
  <c r="E13" i="9" a="1"/>
  <c r="E62" i="9" a="1"/>
  <c r="E21" i="9" a="1"/>
  <c r="E70" i="9" a="1"/>
  <c r="E33" i="9" a="1"/>
  <c r="E66" i="9" a="1"/>
  <c r="E28" i="9" a="1"/>
  <c r="E63" i="9" a="1"/>
  <c r="E67" i="9" a="1"/>
  <c r="E24" i="9" a="1"/>
  <c r="E5" i="9" a="1"/>
  <c r="E34" i="9" a="1"/>
  <c r="E58" i="9" a="1"/>
  <c r="E18" i="9" a="1"/>
  <c r="E50" i="9" a="1"/>
  <c r="E61" i="9" a="1"/>
  <c r="E68" i="9" a="1"/>
  <c r="E59" i="9" a="1"/>
  <c r="E31" i="9" a="1"/>
  <c r="E43" i="9" a="1"/>
  <c r="E54" i="9" a="1"/>
  <c r="E42" i="9" a="1"/>
  <c r="E25" i="9" a="1"/>
  <c r="E47" i="9" a="1"/>
  <c r="E22" i="9" a="1"/>
  <c r="E39" i="9" a="1"/>
  <c r="E36" i="9" a="1"/>
  <c r="E53" i="9" a="1"/>
  <c r="E51" i="9" a="1"/>
  <c r="E8" i="9" a="1"/>
  <c r="E14" i="9" a="1"/>
  <c r="E45" i="9" a="1"/>
  <c r="E40" i="9" a="1"/>
  <c r="E55" i="9" a="1"/>
  <c r="E56" i="9" a="1"/>
  <c r="E46" i="9" a="1"/>
  <c r="E27" i="9" a="1"/>
  <c r="E15" i="9" a="1"/>
  <c r="E41" i="9" a="1"/>
  <c r="E37" i="9" a="1"/>
  <c r="E11" i="9" a="1"/>
  <c r="E48" i="9" a="1"/>
  <c r="E16" i="9" a="1"/>
  <c r="E35" i="9" a="1"/>
  <c r="E29" i="9" a="1"/>
  <c r="E19" i="9" a="1"/>
  <c r="H3" i="9" l="1"/>
  <c r="I3" i="9"/>
  <c r="H61" i="9"/>
  <c r="I61" i="9"/>
  <c r="H37" i="9"/>
  <c r="I37" i="9"/>
  <c r="H15" i="9"/>
  <c r="H14" i="15" s="1" a="1"/>
  <c r="H14" i="15" s="1"/>
  <c r="I15" i="9"/>
  <c r="H29" i="9"/>
  <c r="H28" i="15" s="1" a="1"/>
  <c r="H28" i="15" s="1"/>
  <c r="I29" i="9"/>
  <c r="I28" i="15" s="1" a="1"/>
  <c r="I28" i="15" s="1"/>
  <c r="H50" i="9"/>
  <c r="I50" i="9"/>
  <c r="H67" i="9"/>
  <c r="I67" i="9"/>
  <c r="H63" i="9"/>
  <c r="H62" i="15" s="1" a="1"/>
  <c r="H62" i="15" s="1"/>
  <c r="I63" i="9"/>
  <c r="I62" i="15" s="1" a="1"/>
  <c r="I62" i="15" s="1"/>
  <c r="H57" i="9"/>
  <c r="H56" i="15" s="1" a="1"/>
  <c r="H56" i="15" s="1"/>
  <c r="I57" i="9"/>
  <c r="I56" i="15" s="1" a="1"/>
  <c r="I56" i="15" s="1"/>
  <c r="H38" i="9"/>
  <c r="I38" i="9"/>
  <c r="H17" i="9"/>
  <c r="I17" i="9"/>
  <c r="I16" i="15" s="1" a="1"/>
  <c r="I16" i="15" s="1"/>
  <c r="H18" i="9"/>
  <c r="H17" i="15" s="1" a="1"/>
  <c r="H17" i="15" s="1"/>
  <c r="I18" i="9"/>
  <c r="I17" i="15" s="1" a="1"/>
  <c r="I17" i="15" s="1"/>
  <c r="H9" i="9"/>
  <c r="H8" i="15" s="1" a="1"/>
  <c r="H8" i="15" s="1"/>
  <c r="I9" i="9"/>
  <c r="I8" i="15" s="1" a="1"/>
  <c r="I8" i="15" s="1"/>
  <c r="H8" i="9"/>
  <c r="H7" i="15" s="1" a="1"/>
  <c r="H7" i="15" s="1"/>
  <c r="I8" i="9"/>
  <c r="I7" i="15" s="1" a="1"/>
  <c r="I7" i="15" s="1"/>
  <c r="H44" i="9"/>
  <c r="H43" i="15" s="1" a="1"/>
  <c r="H43" i="15" s="1"/>
  <c r="I44" i="9"/>
  <c r="I43" i="15" s="1" a="1"/>
  <c r="I43" i="15" s="1"/>
  <c r="H5" i="9"/>
  <c r="H4" i="15" s="1" a="1"/>
  <c r="H4" i="15" s="1"/>
  <c r="I5" i="9"/>
  <c r="I4" i="15" s="1" a="1"/>
  <c r="I4" i="15" s="1"/>
  <c r="H28" i="9"/>
  <c r="H27" i="15" s="1" a="1"/>
  <c r="H27" i="15" s="1"/>
  <c r="I28" i="9"/>
  <c r="I27" i="15" s="1" a="1"/>
  <c r="I27" i="15" s="1"/>
  <c r="H10" i="9"/>
  <c r="I10" i="9"/>
  <c r="H32" i="9"/>
  <c r="I32" i="9"/>
  <c r="H59" i="9"/>
  <c r="I59" i="9"/>
  <c r="I58" i="15" s="1" a="1"/>
  <c r="I58" i="15" s="1"/>
  <c r="H64" i="9"/>
  <c r="I64" i="9"/>
  <c r="I63" i="15" s="1" a="1"/>
  <c r="I63" i="15" s="1"/>
  <c r="H19" i="9"/>
  <c r="H18" i="15" s="1" a="1"/>
  <c r="H18" i="15" s="1"/>
  <c r="I19" i="9"/>
  <c r="I18" i="15" s="1" a="1"/>
  <c r="I18" i="15" s="1"/>
  <c r="H16" i="9"/>
  <c r="H15" i="15" s="1" a="1"/>
  <c r="H15" i="15" s="1"/>
  <c r="I16" i="9"/>
  <c r="I15" i="15" s="1" a="1"/>
  <c r="I15" i="15" s="1"/>
  <c r="H11" i="9"/>
  <c r="H10" i="15" s="1" a="1"/>
  <c r="H10" i="15" s="1"/>
  <c r="I11" i="9"/>
  <c r="I10" i="15" s="1" a="1"/>
  <c r="I10" i="15" s="1"/>
  <c r="H52" i="9"/>
  <c r="H51" i="15" s="1" a="1"/>
  <c r="H51" i="15" s="1"/>
  <c r="I52" i="9"/>
  <c r="I51" i="15" s="1" a="1"/>
  <c r="I51" i="15" s="1"/>
  <c r="H45" i="9"/>
  <c r="I45" i="9"/>
  <c r="H6" i="9"/>
  <c r="I6" i="9"/>
  <c r="I5" i="15" s="1" a="1"/>
  <c r="I5" i="15" s="1"/>
  <c r="H66" i="9"/>
  <c r="I66" i="9"/>
  <c r="I65" i="15" s="1" a="1"/>
  <c r="I65" i="15" s="1"/>
  <c r="H69" i="9"/>
  <c r="H68" i="15" s="1" a="1"/>
  <c r="H68" i="15" s="1"/>
  <c r="I69" i="9"/>
  <c r="I68" i="15" s="1" a="1"/>
  <c r="I68" i="15" s="1"/>
  <c r="H41" i="9"/>
  <c r="H40" i="15" s="1" a="1"/>
  <c r="H40" i="15" s="1"/>
  <c r="I41" i="9"/>
  <c r="I40" i="15" s="1" a="1"/>
  <c r="I40" i="15" s="1"/>
  <c r="H27" i="9"/>
  <c r="H26" i="15" s="1" a="1"/>
  <c r="H26" i="15" s="1"/>
  <c r="I27" i="9"/>
  <c r="I26" i="15" s="1" a="1"/>
  <c r="I26" i="15" s="1"/>
  <c r="H51" i="9"/>
  <c r="H50" i="15" s="1" a="1"/>
  <c r="H50" i="15" s="1"/>
  <c r="I51" i="9"/>
  <c r="I50" i="15" s="1" a="1"/>
  <c r="I50" i="15" s="1"/>
  <c r="H25" i="9"/>
  <c r="H24" i="15" s="1" a="1"/>
  <c r="H24" i="15" s="1"/>
  <c r="I25" i="9"/>
  <c r="I24" i="15" s="1" a="1"/>
  <c r="I24" i="15" s="1"/>
  <c r="H24" i="9"/>
  <c r="I24" i="9"/>
  <c r="H60" i="9"/>
  <c r="I60" i="9"/>
  <c r="I59" i="15" s="1" a="1"/>
  <c r="I59" i="15" s="1"/>
  <c r="H26" i="9"/>
  <c r="I26" i="9"/>
  <c r="I25" i="15" s="1" a="1"/>
  <c r="I25" i="15" s="1"/>
  <c r="H39" i="9"/>
  <c r="H38" i="15" s="1" a="1"/>
  <c r="H38" i="15" s="1"/>
  <c r="I39" i="9"/>
  <c r="I38" i="15" s="1" a="1"/>
  <c r="I38" i="15" s="1"/>
  <c r="H21" i="9"/>
  <c r="H20" i="15" s="1" a="1"/>
  <c r="H20" i="15" s="1"/>
  <c r="I21" i="9"/>
  <c r="I20" i="15" s="1" a="1"/>
  <c r="I20" i="15" s="1"/>
  <c r="H47" i="9"/>
  <c r="H46" i="15" s="1" a="1"/>
  <c r="H46" i="15" s="1"/>
  <c r="I47" i="9"/>
  <c r="I46" i="15" s="1" a="1"/>
  <c r="I46" i="15" s="1"/>
  <c r="H65" i="9"/>
  <c r="H64" i="15" s="1" a="1"/>
  <c r="H64" i="15" s="1"/>
  <c r="I65" i="9"/>
  <c r="I64" i="15" s="1" a="1"/>
  <c r="I64" i="15" s="1"/>
  <c r="H62" i="9"/>
  <c r="H61" i="15" s="1" a="1"/>
  <c r="H61" i="15" s="1"/>
  <c r="I62" i="9"/>
  <c r="I61" i="15" s="1" a="1"/>
  <c r="I61" i="15" s="1"/>
  <c r="H46" i="9"/>
  <c r="I46" i="9"/>
  <c r="H13" i="9"/>
  <c r="I13" i="9"/>
  <c r="I12" i="15" s="1" a="1"/>
  <c r="I12" i="15" s="1"/>
  <c r="H53" i="9"/>
  <c r="I53" i="9"/>
  <c r="H31" i="9"/>
  <c r="H30" i="15" s="1" a="1"/>
  <c r="H30" i="15" s="1"/>
  <c r="I31" i="9"/>
  <c r="I30" i="15" s="1" a="1"/>
  <c r="I30" i="15" s="1"/>
  <c r="H20" i="9"/>
  <c r="H19" i="15" s="1" a="1"/>
  <c r="H19" i="15" s="1"/>
  <c r="I20" i="9"/>
  <c r="I19" i="15" s="1" a="1"/>
  <c r="I19" i="15" s="1"/>
  <c r="H54" i="9"/>
  <c r="H53" i="15" s="1" a="1"/>
  <c r="H53" i="15" s="1"/>
  <c r="I54" i="9"/>
  <c r="I53" i="15" s="1" a="1"/>
  <c r="I53" i="15" s="1"/>
  <c r="H56" i="9"/>
  <c r="H55" i="15" s="1" a="1"/>
  <c r="H55" i="15" s="1"/>
  <c r="I56" i="9"/>
  <c r="I55" i="15" s="1" a="1"/>
  <c r="I55" i="15" s="1"/>
  <c r="H48" i="9"/>
  <c r="H47" i="15" s="1" a="1"/>
  <c r="H47" i="15" s="1"/>
  <c r="I48" i="9"/>
  <c r="I47" i="15" s="1" a="1"/>
  <c r="I47" i="15" s="1"/>
  <c r="H33" i="9"/>
  <c r="I33" i="9"/>
  <c r="H12" i="9"/>
  <c r="I12" i="9"/>
  <c r="I11" i="15" s="1" a="1"/>
  <c r="I11" i="15" s="1"/>
  <c r="H49" i="9"/>
  <c r="H48" i="15" s="1" a="1"/>
  <c r="H48" i="15" s="1"/>
  <c r="I49" i="9"/>
  <c r="I48" i="15" s="1" a="1"/>
  <c r="I48" i="15" s="1"/>
  <c r="H30" i="9"/>
  <c r="H29" i="15" s="1" a="1"/>
  <c r="H29" i="15" s="1"/>
  <c r="I30" i="9"/>
  <c r="I29" i="15" s="1" a="1"/>
  <c r="I29" i="15" s="1"/>
  <c r="H68" i="9"/>
  <c r="H67" i="15" s="1" a="1"/>
  <c r="H67" i="15" s="1"/>
  <c r="I68" i="9"/>
  <c r="I67" i="15" s="1" a="1"/>
  <c r="I67" i="15" s="1"/>
  <c r="H71" i="9"/>
  <c r="H70" i="15" s="1" a="1"/>
  <c r="H70" i="15" s="1"/>
  <c r="I71" i="9"/>
  <c r="I70" i="15" s="1" a="1"/>
  <c r="I70" i="15" s="1"/>
  <c r="H58" i="9"/>
  <c r="H57" i="15" s="1" a="1"/>
  <c r="H57" i="15" s="1"/>
  <c r="I58" i="9"/>
  <c r="I57" i="15" s="1" a="1"/>
  <c r="I57" i="15" s="1"/>
  <c r="H40" i="9"/>
  <c r="H39" i="15" s="1" a="1"/>
  <c r="H39" i="15" s="1"/>
  <c r="I40" i="9"/>
  <c r="I39" i="15" s="1" a="1"/>
  <c r="I39" i="15" s="1"/>
  <c r="H35" i="9"/>
  <c r="I35" i="9"/>
  <c r="H34" i="9"/>
  <c r="I34" i="9"/>
  <c r="I33" i="15" s="1" a="1"/>
  <c r="I33" i="15" s="1"/>
  <c r="H43" i="9"/>
  <c r="I43" i="9"/>
  <c r="I42" i="15" s="1" a="1"/>
  <c r="I42" i="15" s="1"/>
  <c r="H14" i="9"/>
  <c r="H13" i="15" s="1" a="1"/>
  <c r="H13" i="15" s="1"/>
  <c r="I14" i="9"/>
  <c r="I13" i="15" s="1" a="1"/>
  <c r="I13" i="15" s="1"/>
  <c r="H55" i="9"/>
  <c r="H54" i="15" s="1" a="1"/>
  <c r="H54" i="15" s="1"/>
  <c r="I55" i="9"/>
  <c r="I54" i="15" s="1" a="1"/>
  <c r="I54" i="15" s="1"/>
  <c r="H36" i="9"/>
  <c r="H35" i="15" s="1" a="1"/>
  <c r="H35" i="15" s="1"/>
  <c r="I36" i="9"/>
  <c r="I35" i="15" s="1" a="1"/>
  <c r="I35" i="15" s="1"/>
  <c r="H22" i="9"/>
  <c r="H21" i="15" s="1" a="1"/>
  <c r="H21" i="15" s="1"/>
  <c r="I22" i="9"/>
  <c r="I21" i="15" s="1" a="1"/>
  <c r="I21" i="15" s="1"/>
  <c r="H42" i="9"/>
  <c r="H41" i="15" s="1" a="1"/>
  <c r="H41" i="15" s="1"/>
  <c r="I42" i="9"/>
  <c r="I41" i="15" s="1" a="1"/>
  <c r="I41" i="15" s="1"/>
  <c r="H70" i="9"/>
  <c r="I70" i="9"/>
  <c r="H23" i="9"/>
  <c r="I23" i="9"/>
  <c r="I22" i="15" s="1" a="1"/>
  <c r="I22" i="15" s="1"/>
  <c r="H7" i="9"/>
  <c r="H6" i="15" s="1" a="1"/>
  <c r="H6" i="15" s="1"/>
  <c r="I7" i="9"/>
  <c r="I6" i="15" s="1" a="1"/>
  <c r="I6" i="15" s="1"/>
  <c r="F57" i="15" a="1"/>
  <c r="F57" i="15" s="1"/>
  <c r="F29" i="15" a="1"/>
  <c r="F29" i="15" s="1"/>
  <c r="F65" i="15" a="1"/>
  <c r="F65" i="15" s="1"/>
  <c r="I60" i="15" a="1"/>
  <c r="I60" i="15" s="1"/>
  <c r="H60" i="15" a="1"/>
  <c r="H60" i="15" s="1"/>
  <c r="I49" i="15" a="1"/>
  <c r="I49" i="15" s="1"/>
  <c r="H49" i="15" a="1"/>
  <c r="H49" i="15" s="1"/>
  <c r="I66" i="15" a="1"/>
  <c r="I66" i="15" s="1"/>
  <c r="H66" i="15" a="1"/>
  <c r="H66" i="15" s="1"/>
  <c r="I37" i="15" a="1"/>
  <c r="I37" i="15" s="1"/>
  <c r="H37" i="15" a="1"/>
  <c r="H37" i="15" s="1"/>
  <c r="H16" i="15" a="1"/>
  <c r="H16" i="15" s="1"/>
  <c r="H59" i="15" a="1"/>
  <c r="H59" i="15" s="1"/>
  <c r="I9" i="15" a="1"/>
  <c r="I9" i="15" s="1"/>
  <c r="H9" i="15" a="1"/>
  <c r="H9" i="15" s="1"/>
  <c r="I31" i="15" a="1"/>
  <c r="I31" i="15" s="1"/>
  <c r="H31" i="15" a="1"/>
  <c r="H31" i="15" s="1"/>
  <c r="I36" i="15" a="1"/>
  <c r="I36" i="15" s="1"/>
  <c r="H36" i="15" a="1"/>
  <c r="H36" i="15" s="1"/>
  <c r="I44" i="15" a="1"/>
  <c r="I44" i="15" s="1"/>
  <c r="H44" i="15" a="1"/>
  <c r="H44" i="15" s="1"/>
  <c r="I14" i="15" a="1"/>
  <c r="I14" i="15" s="1"/>
  <c r="H65" i="15" a="1"/>
  <c r="H65" i="15" s="1"/>
  <c r="E3" i="9"/>
  <c r="H63" i="15" a="1"/>
  <c r="H63" i="15" s="1"/>
  <c r="I23" i="15" a="1"/>
  <c r="I23" i="15" s="1"/>
  <c r="H23" i="15" a="1"/>
  <c r="H23" i="15" s="1"/>
  <c r="H5" i="15" a="1"/>
  <c r="H5" i="15" s="1"/>
  <c r="H58" i="15" a="1"/>
  <c r="H58" i="15" s="1"/>
  <c r="H25" i="15" a="1"/>
  <c r="H25" i="15" s="1"/>
  <c r="I72" i="9"/>
  <c r="I71" i="15" s="1" a="1"/>
  <c r="I71" i="15" s="1"/>
  <c r="H72" i="9"/>
  <c r="H71" i="15" s="1" a="1"/>
  <c r="H71" i="15" s="1"/>
  <c r="I45" i="15" a="1"/>
  <c r="I45" i="15" s="1"/>
  <c r="H45" i="15" a="1"/>
  <c r="H45" i="15" s="1"/>
  <c r="H12" i="15" a="1"/>
  <c r="H12" i="15" s="1"/>
  <c r="I52" i="15" a="1"/>
  <c r="I52" i="15" s="1"/>
  <c r="H52" i="15" a="1"/>
  <c r="H52" i="15" s="1"/>
  <c r="I32" i="15" a="1"/>
  <c r="I32" i="15" s="1"/>
  <c r="H32" i="15" a="1"/>
  <c r="H32" i="15" s="1"/>
  <c r="H11" i="15" a="1"/>
  <c r="H11" i="15" s="1"/>
  <c r="I34" i="15" a="1"/>
  <c r="I34" i="15" s="1"/>
  <c r="H34" i="15" a="1"/>
  <c r="H34" i="15" s="1"/>
  <c r="H33" i="15" a="1"/>
  <c r="H33" i="15" s="1"/>
  <c r="H42" i="15" a="1"/>
  <c r="H42" i="15" s="1"/>
  <c r="I69" i="15" a="1"/>
  <c r="I69" i="15" s="1"/>
  <c r="H69" i="15" a="1"/>
  <c r="H69" i="15" s="1"/>
  <c r="H22" i="15" a="1"/>
  <c r="H22" i="15" s="1"/>
  <c r="F49" i="15" a="1"/>
  <c r="F49" i="15" s="1"/>
  <c r="F26" i="15" a="1"/>
  <c r="F26" i="15" s="1"/>
  <c r="F68" i="15" a="1"/>
  <c r="F68" i="15" s="1"/>
  <c r="E67" i="9"/>
  <c r="E63" i="9"/>
  <c r="E57" i="9"/>
  <c r="E38" i="9"/>
  <c r="E17" i="9"/>
  <c r="E18" i="9"/>
  <c r="E29" i="9"/>
  <c r="E60" i="9"/>
  <c r="E54" i="9"/>
  <c r="E6" i="9"/>
  <c r="E9" i="9"/>
  <c r="E15" i="9"/>
  <c r="E14" i="9"/>
  <c r="E8" i="9"/>
  <c r="E5" i="9"/>
  <c r="E44" i="9"/>
  <c r="E59" i="9"/>
  <c r="E28" i="9"/>
  <c r="E10" i="9"/>
  <c r="E32" i="9"/>
  <c r="E72" i="9"/>
  <c r="E19" i="9"/>
  <c r="E16" i="9"/>
  <c r="E11" i="9"/>
  <c r="E52" i="9"/>
  <c r="E45" i="9"/>
  <c r="E41" i="9"/>
  <c r="E27" i="9"/>
  <c r="E65" i="9"/>
  <c r="E51" i="9"/>
  <c r="E25" i="9"/>
  <c r="E24" i="9"/>
  <c r="E68" i="9"/>
  <c r="E66" i="9"/>
  <c r="E64" i="9"/>
  <c r="E69" i="9"/>
  <c r="E26" i="9"/>
  <c r="E39" i="9"/>
  <c r="E21" i="9"/>
  <c r="E47" i="9"/>
  <c r="E37" i="9"/>
  <c r="E62" i="9"/>
  <c r="E48" i="9"/>
  <c r="E46" i="9"/>
  <c r="E13" i="9"/>
  <c r="E53" i="9"/>
  <c r="E31" i="9"/>
  <c r="E20" i="9"/>
  <c r="E61" i="9"/>
  <c r="E33" i="9"/>
  <c r="E12" i="9"/>
  <c r="E49" i="9"/>
  <c r="E30" i="9"/>
  <c r="E71" i="9"/>
  <c r="E58" i="9"/>
  <c r="E40" i="9"/>
  <c r="E35" i="9"/>
  <c r="E34" i="9"/>
  <c r="E43" i="9"/>
  <c r="E56" i="9"/>
  <c r="E55" i="9"/>
  <c r="E36" i="9"/>
  <c r="E22" i="9"/>
  <c r="E42" i="9"/>
  <c r="E50" i="9"/>
  <c r="E70" i="9"/>
  <c r="E23" i="9"/>
  <c r="E7" i="9"/>
  <c r="D57" i="15" a="1"/>
  <c r="D57" i="15" s="1"/>
  <c r="D38" i="15" a="1"/>
  <c r="D38" i="15" s="1"/>
  <c r="D17" i="15" a="1"/>
  <c r="D17" i="15" s="1"/>
  <c r="D29" i="15" a="1"/>
  <c r="D29" i="15" s="1"/>
  <c r="F67" i="15" a="1"/>
  <c r="F67" i="15" s="1"/>
  <c r="D54" i="15" a="1"/>
  <c r="D54" i="15" s="1"/>
  <c r="D6" i="15" a="1"/>
  <c r="D6" i="15" s="1"/>
  <c r="D9" i="15" a="1"/>
  <c r="D9" i="15" s="1"/>
  <c r="D15" i="15" a="1"/>
  <c r="D15" i="15" s="1"/>
  <c r="D4" i="15" a="1"/>
  <c r="D4" i="15" s="1"/>
  <c r="D72" i="15" a="1"/>
  <c r="D72" i="15" s="1"/>
  <c r="D19" i="15" a="1"/>
  <c r="D19" i="15" s="1"/>
  <c r="D65" i="15" a="1"/>
  <c r="D65" i="15" s="1"/>
  <c r="D51" i="15" a="1"/>
  <c r="D51" i="15" s="1"/>
  <c r="D68" i="15" a="1"/>
  <c r="D68" i="15" s="1"/>
  <c r="D37" i="15" a="1"/>
  <c r="D37" i="15" s="1"/>
  <c r="D48" i="15" a="1"/>
  <c r="D48" i="15" s="1"/>
  <c r="D46" i="15" a="1"/>
  <c r="D46" i="15" s="1"/>
  <c r="D61" i="15" a="1"/>
  <c r="D61" i="15" s="1"/>
  <c r="D33" i="15" a="1"/>
  <c r="D33" i="15" s="1"/>
  <c r="D42" i="15" a="1"/>
  <c r="D42" i="15" s="1"/>
  <c r="D50" i="15" a="1"/>
  <c r="D50" i="15" s="1"/>
  <c r="F60" i="15" a="1"/>
  <c r="F60" i="15" s="1"/>
  <c r="D23" i="15" a="1"/>
  <c r="D23" i="15" s="1"/>
  <c r="F20" i="15" a="1"/>
  <c r="F20" i="15" s="1"/>
  <c r="F7" i="15" a="1"/>
  <c r="F7" i="15" s="1"/>
  <c r="D44" i="15" a="1"/>
  <c r="D44" i="15" s="1"/>
  <c r="F55" i="15" a="1"/>
  <c r="F55" i="15" s="1"/>
  <c r="D52" i="15" a="1"/>
  <c r="D52" i="15" s="1"/>
  <c r="F10" i="15" a="1"/>
  <c r="F10" i="15" s="1"/>
  <c r="F69" i="15" a="1"/>
  <c r="F69" i="15" s="1"/>
  <c r="D12" i="15" a="1"/>
  <c r="D12" i="15" s="1"/>
  <c r="F27" i="15" a="1"/>
  <c r="F27" i="15" s="1"/>
  <c r="F46" i="15" a="1"/>
  <c r="F46" i="15" s="1"/>
  <c r="D56" i="15" a="1"/>
  <c r="D56" i="15" s="1"/>
  <c r="F21" i="15" a="1"/>
  <c r="F21" i="15" s="1"/>
  <c r="F51" i="15" a="1"/>
  <c r="F51" i="15" s="1"/>
  <c r="D16" i="15" a="1"/>
  <c r="D16" i="15" s="1"/>
  <c r="D11" i="15" a="1"/>
  <c r="D11" i="15" s="1"/>
  <c r="F37" i="15" a="1"/>
  <c r="F37" i="15" s="1"/>
  <c r="D26" i="15" a="1"/>
  <c r="D26" i="15" s="1"/>
  <c r="F70" i="15" a="1"/>
  <c r="F70" i="15" s="1"/>
  <c r="D40" i="15" a="1"/>
  <c r="D40" i="15" s="1"/>
  <c r="D67" i="15" a="1"/>
  <c r="D67" i="15" s="1"/>
  <c r="D63" i="15" a="1"/>
  <c r="D63" i="15" s="1"/>
  <c r="F61" i="15" a="1"/>
  <c r="F61" i="15" s="1"/>
  <c r="F64" i="15" a="1"/>
  <c r="F64" i="15" s="1"/>
  <c r="D69" i="15" a="1"/>
  <c r="D69" i="15" s="1"/>
  <c r="D59" i="15" a="1"/>
  <c r="D59" i="15" s="1"/>
  <c r="F19" i="15" a="1"/>
  <c r="F19" i="15" s="1"/>
  <c r="D39" i="15" a="1"/>
  <c r="D39" i="15" s="1"/>
  <c r="F39" i="15" a="1"/>
  <c r="F39" i="15" s="1"/>
  <c r="F59" i="15" a="1"/>
  <c r="F59" i="15" s="1"/>
  <c r="D18" i="15" a="1"/>
  <c r="D18" i="15" s="1"/>
  <c r="F14" i="15" a="1"/>
  <c r="F14" i="15" s="1"/>
  <c r="F35" i="15" a="1"/>
  <c r="F35" i="15" s="1"/>
  <c r="D14" i="15" a="1"/>
  <c r="D14" i="15" s="1"/>
  <c r="D8" i="15" a="1"/>
  <c r="D8" i="15" s="1"/>
  <c r="F6" i="15" a="1"/>
  <c r="F6" i="15" s="1"/>
  <c r="F5" i="15" a="1"/>
  <c r="F5" i="15" s="1"/>
  <c r="F48" i="15" a="1"/>
  <c r="F48" i="15" s="1"/>
  <c r="F25" i="15" a="1"/>
  <c r="F25" i="15" s="1"/>
  <c r="F36" i="15" a="1"/>
  <c r="F36" i="15" s="1"/>
  <c r="F43" i="15" a="1"/>
  <c r="F43" i="15" s="1"/>
  <c r="D28" i="15" a="1"/>
  <c r="D28" i="15" s="1"/>
  <c r="D10" i="15" a="1"/>
  <c r="D10" i="15" s="1"/>
  <c r="D32" i="15" a="1"/>
  <c r="D32" i="15" s="1"/>
  <c r="D45" i="15" a="1"/>
  <c r="D45" i="15" s="1"/>
  <c r="F9" i="15" a="1"/>
  <c r="F9" i="15" s="1"/>
  <c r="F30" i="15" a="1"/>
  <c r="F30" i="15" s="1"/>
  <c r="F8" i="15" a="1"/>
  <c r="F8" i="15" s="1"/>
  <c r="D41" i="15" a="1"/>
  <c r="D41" i="15" s="1"/>
  <c r="D27" i="15" a="1"/>
  <c r="D27" i="15" s="1"/>
  <c r="D64" i="15" a="1"/>
  <c r="D64" i="15" s="1"/>
  <c r="F63" i="15" a="1"/>
  <c r="F63" i="15" s="1"/>
  <c r="F23" i="15" a="1"/>
  <c r="F23" i="15" s="1"/>
  <c r="D25" i="15" a="1"/>
  <c r="D25" i="15" s="1"/>
  <c r="F11" i="15" a="1"/>
  <c r="F11" i="15" s="1"/>
  <c r="F47" i="15" a="1"/>
  <c r="F47" i="15" s="1"/>
  <c r="D24" i="15" a="1"/>
  <c r="D24" i="15" s="1"/>
  <c r="F58" i="15" a="1"/>
  <c r="F58" i="15" s="1"/>
  <c r="F31" i="15" a="1"/>
  <c r="F31" i="15" s="1"/>
  <c r="D21" i="15" a="1"/>
  <c r="D21" i="15" s="1"/>
  <c r="D47" i="15" a="1"/>
  <c r="D47" i="15" s="1"/>
  <c r="D60" i="15" a="1"/>
  <c r="D60" i="15" s="1"/>
  <c r="D66" i="15" a="1"/>
  <c r="D66" i="15" s="1"/>
  <c r="D62" i="15" a="1"/>
  <c r="D62" i="15" s="1"/>
  <c r="F16" i="15" a="1"/>
  <c r="F16" i="15" s="1"/>
  <c r="F13" i="15" a="1"/>
  <c r="F13" i="15" s="1"/>
  <c r="F56" i="15" a="1"/>
  <c r="F56" i="15" s="1"/>
  <c r="F28" i="15" a="1"/>
  <c r="F28" i="15" s="1"/>
  <c r="D13" i="15" a="1"/>
  <c r="D13" i="15" s="1"/>
  <c r="D53" i="15" a="1"/>
  <c r="D53" i="15" s="1"/>
  <c r="D31" i="15" a="1"/>
  <c r="D31" i="15" s="1"/>
  <c r="D20" i="15" a="1"/>
  <c r="D20" i="15" s="1"/>
  <c r="F66" i="15" a="1"/>
  <c r="F66" i="15" s="1"/>
  <c r="F71" i="15" a="1"/>
  <c r="F71" i="15" s="1"/>
  <c r="F17" i="15" a="1"/>
  <c r="F17" i="15" s="1"/>
  <c r="D49" i="15" a="1"/>
  <c r="D49" i="15" s="1"/>
  <c r="F40" i="15" a="1"/>
  <c r="F40" i="15" s="1"/>
  <c r="D30" i="15" a="1"/>
  <c r="D30" i="15" s="1"/>
  <c r="D71" i="15" a="1"/>
  <c r="D71" i="15" s="1"/>
  <c r="D58" i="15" a="1"/>
  <c r="D58" i="15" s="1"/>
  <c r="F50" i="15" a="1"/>
  <c r="F50" i="15" s="1"/>
  <c r="D35" i="15" a="1"/>
  <c r="D35" i="15" s="1"/>
  <c r="D34" i="15" a="1"/>
  <c r="D34" i="15" s="1"/>
  <c r="D43" i="15" a="1"/>
  <c r="D43" i="15" s="1"/>
  <c r="F62" i="15" a="1"/>
  <c r="F62" i="15" s="1"/>
  <c r="D55" i="15" a="1"/>
  <c r="D55" i="15" s="1"/>
  <c r="D36" i="15" a="1"/>
  <c r="D36" i="15" s="1"/>
  <c r="D22" i="15" a="1"/>
  <c r="D22" i="15" s="1"/>
  <c r="F45" i="15" a="1"/>
  <c r="F45" i="15" s="1"/>
  <c r="F34" i="15" a="1"/>
  <c r="F34" i="15" s="1"/>
  <c r="F54" i="15" a="1"/>
  <c r="F54" i="15" s="1"/>
  <c r="D70" i="15" a="1"/>
  <c r="D70" i="15" s="1"/>
  <c r="D7" i="15" a="1"/>
  <c r="D7" i="15" s="1"/>
  <c r="F22" i="15" a="1"/>
  <c r="F22" i="15" s="1"/>
  <c r="F42" i="15" a="1"/>
  <c r="F42" i="15" s="1"/>
  <c r="F53" i="15" a="1"/>
  <c r="F53" i="15" s="1"/>
  <c r="E6" i="17" a="1"/>
  <c r="E6" i="17" s="1"/>
  <c r="D5" i="15" a="1"/>
  <c r="D5" i="15" s="1"/>
  <c r="D3" i="15" a="1"/>
  <c r="D3" i="15" s="1"/>
  <c r="E8" i="16" a="1"/>
  <c r="E8" i="16" s="1"/>
  <c r="E9" i="16" a="1"/>
  <c r="E9" i="16" s="1"/>
  <c r="E7" i="16" a="1"/>
  <c r="E7" i="16" s="1"/>
  <c r="E10" i="16" a="1"/>
  <c r="E10" i="16" s="1"/>
  <c r="E6" i="16" a="1"/>
  <c r="E6" i="16" s="1"/>
  <c r="C3" i="9"/>
  <c r="G3" i="9"/>
  <c r="G3" i="15" s="1" a="1"/>
  <c r="G3" i="15" s="1"/>
  <c r="B3" i="9"/>
  <c r="G14" i="9"/>
  <c r="C14" i="9"/>
  <c r="B14" i="9"/>
  <c r="G11" i="9"/>
  <c r="C11" i="9"/>
  <c r="B11" i="9"/>
  <c r="G52" i="9"/>
  <c r="B52" i="9"/>
  <c r="C52" i="9"/>
  <c r="B49" i="9"/>
  <c r="C49" i="9"/>
  <c r="G49" i="9"/>
  <c r="G29" i="9"/>
  <c r="C29" i="9"/>
  <c r="B29" i="9"/>
  <c r="G12" i="9"/>
  <c r="C12" i="9"/>
  <c r="B12" i="9"/>
  <c r="G35" i="9"/>
  <c r="C35" i="9"/>
  <c r="B35" i="9"/>
  <c r="G39" i="9"/>
  <c r="B39" i="9"/>
  <c r="C39" i="9"/>
  <c r="G24" i="9"/>
  <c r="C24" i="9"/>
  <c r="B24" i="9"/>
  <c r="B38" i="9"/>
  <c r="C38" i="9"/>
  <c r="G38" i="9"/>
  <c r="G28" i="9"/>
  <c r="C28" i="9"/>
  <c r="B28" i="9"/>
  <c r="G16" i="9"/>
  <c r="C16" i="9"/>
  <c r="B16" i="9"/>
  <c r="B44" i="9"/>
  <c r="C44" i="9"/>
  <c r="G44" i="9"/>
  <c r="G18" i="9"/>
  <c r="C18" i="9"/>
  <c r="B18" i="9"/>
  <c r="G32" i="9"/>
  <c r="C32" i="9"/>
  <c r="B32" i="9"/>
  <c r="G10" i="9"/>
  <c r="C10" i="9"/>
  <c r="B10" i="9"/>
  <c r="G17" i="9"/>
  <c r="C17" i="9"/>
  <c r="B17" i="9"/>
  <c r="G21" i="9"/>
  <c r="C21" i="9"/>
  <c r="B21" i="9"/>
  <c r="G37" i="9"/>
  <c r="B37" i="9"/>
  <c r="C37" i="9"/>
  <c r="G7" i="9"/>
  <c r="C7" i="9"/>
  <c r="B7" i="9"/>
  <c r="G36" i="9"/>
  <c r="C36" i="9"/>
  <c r="B36" i="9"/>
  <c r="G13" i="9"/>
  <c r="C13" i="9"/>
  <c r="B13" i="9"/>
  <c r="G27" i="9"/>
  <c r="C27" i="9"/>
  <c r="B27" i="9"/>
  <c r="G51" i="9"/>
  <c r="B51" i="9"/>
  <c r="C51" i="9"/>
  <c r="G6" i="9"/>
  <c r="C6" i="9"/>
  <c r="C5" i="15" s="1" a="1"/>
  <c r="C5" i="15" s="1"/>
  <c r="B6" i="9"/>
  <c r="B5" i="15" s="1" a="1"/>
  <c r="B5" i="15" s="1"/>
  <c r="G48" i="9"/>
  <c r="B48" i="9"/>
  <c r="C48" i="9"/>
  <c r="G43" i="9"/>
  <c r="C43" i="9"/>
  <c r="B43" i="9"/>
  <c r="G19" i="9"/>
  <c r="C19" i="9"/>
  <c r="B19" i="9"/>
  <c r="C40" i="9"/>
  <c r="B40" i="9"/>
  <c r="G40" i="9"/>
  <c r="G33" i="9"/>
  <c r="C33" i="9"/>
  <c r="B33" i="9"/>
  <c r="G46" i="9"/>
  <c r="C46" i="9"/>
  <c r="B46" i="9"/>
  <c r="G41" i="9"/>
  <c r="C41" i="9"/>
  <c r="B41" i="9"/>
  <c r="G20" i="9"/>
  <c r="C20" i="9"/>
  <c r="B20" i="9"/>
  <c r="G23" i="9"/>
  <c r="C23" i="9"/>
  <c r="B23" i="9"/>
  <c r="G26" i="9"/>
  <c r="C26" i="9"/>
  <c r="B26" i="9"/>
  <c r="G8" i="9"/>
  <c r="C8" i="9"/>
  <c r="B8" i="9"/>
  <c r="G30" i="9"/>
  <c r="C30" i="9"/>
  <c r="B30" i="9"/>
  <c r="G47" i="9"/>
  <c r="B47" i="9"/>
  <c r="C47" i="9"/>
  <c r="G45" i="9"/>
  <c r="B45" i="9"/>
  <c r="C45" i="9"/>
  <c r="G25" i="9"/>
  <c r="C25" i="9"/>
  <c r="B25" i="9"/>
  <c r="B42" i="9"/>
  <c r="C42" i="9"/>
  <c r="G42" i="9"/>
  <c r="G34" i="9"/>
  <c r="C34" i="9"/>
  <c r="B34" i="9"/>
  <c r="G15" i="9"/>
  <c r="C15" i="9"/>
  <c r="B15" i="9"/>
  <c r="G9" i="9"/>
  <c r="C9" i="9"/>
  <c r="B9" i="9"/>
  <c r="G50" i="9"/>
  <c r="B50" i="9"/>
  <c r="C50" i="9"/>
  <c r="G31" i="9"/>
  <c r="C31" i="9"/>
  <c r="B31" i="9"/>
  <c r="G22" i="9"/>
  <c r="C22" i="9"/>
  <c r="B22" i="9"/>
  <c r="B53" i="9"/>
  <c r="C53" i="9"/>
  <c r="G53" i="9"/>
  <c r="G54" i="9"/>
  <c r="C54" i="9"/>
  <c r="B54" i="9"/>
  <c r="B70" i="9"/>
  <c r="G70" i="9"/>
  <c r="C70" i="9"/>
  <c r="G57" i="9"/>
  <c r="B57" i="9"/>
  <c r="C57" i="9"/>
  <c r="G62" i="9"/>
  <c r="C62" i="9"/>
  <c r="B62" i="9"/>
  <c r="B71" i="9"/>
  <c r="G71" i="9"/>
  <c r="C71" i="9"/>
  <c r="G58" i="9"/>
  <c r="B58" i="9"/>
  <c r="C58" i="9"/>
  <c r="G69" i="9"/>
  <c r="B69" i="9"/>
  <c r="B69" i="15" s="1" a="1"/>
  <c r="B69" i="15" s="1"/>
  <c r="C69" i="9"/>
  <c r="C55" i="9"/>
  <c r="B55" i="9"/>
  <c r="G55" i="9"/>
  <c r="B56" i="9"/>
  <c r="C56" i="9"/>
  <c r="G56" i="9"/>
  <c r="G63" i="9"/>
  <c r="B63" i="9"/>
  <c r="C63" i="9"/>
  <c r="G59" i="9"/>
  <c r="C59" i="9"/>
  <c r="B59" i="9"/>
  <c r="C68" i="9"/>
  <c r="B68" i="9"/>
  <c r="G68" i="9"/>
  <c r="C60" i="9"/>
  <c r="B60" i="9"/>
  <c r="G60" i="9"/>
  <c r="G65" i="9"/>
  <c r="B65" i="9"/>
  <c r="C65" i="9"/>
  <c r="G67" i="9"/>
  <c r="C67" i="9"/>
  <c r="B67" i="9"/>
  <c r="G64" i="9"/>
  <c r="B64" i="9"/>
  <c r="C64" i="9"/>
  <c r="G66" i="9"/>
  <c r="C66" i="9"/>
  <c r="B66" i="9"/>
  <c r="C72" i="9"/>
  <c r="C72" i="15" s="1" a="1"/>
  <c r="C72" i="15" s="1"/>
  <c r="B72" i="9"/>
  <c r="B72" i="15" s="1" a="1"/>
  <c r="B72" i="15" s="1"/>
  <c r="G72" i="9"/>
  <c r="G72" i="15" s="1" a="1"/>
  <c r="G72" i="15" s="1"/>
  <c r="C61" i="9"/>
  <c r="G61" i="9"/>
  <c r="B61" i="9"/>
  <c r="C40" i="15" l="1" a="1"/>
  <c r="C40" i="15" s="1"/>
  <c r="C50" i="15" a="1"/>
  <c r="C50" i="15" s="1"/>
  <c r="B66" i="15" a="1"/>
  <c r="B66" i="15" s="1"/>
  <c r="C27" i="15" a="1"/>
  <c r="C27" i="15" s="1"/>
  <c r="C19" i="15" a="1"/>
  <c r="C19" i="15" s="1"/>
  <c r="G27" i="15" a="1"/>
  <c r="G27" i="15" s="1"/>
  <c r="C16" i="15" a="1"/>
  <c r="C16" i="15" s="1"/>
  <c r="G66" i="15" a="1"/>
  <c r="G66" i="15" s="1"/>
  <c r="C25" i="15" a="1"/>
  <c r="C25" i="15" s="1"/>
  <c r="B51" i="15" a="1"/>
  <c r="B51" i="15" s="1"/>
  <c r="G48" i="15" a="1"/>
  <c r="G48" i="15" s="1"/>
  <c r="B42" i="15" a="1"/>
  <c r="B42" i="15" s="1"/>
  <c r="B27" i="15" a="1"/>
  <c r="B27" i="15" s="1"/>
  <c r="B35" i="15" a="1"/>
  <c r="B35" i="15" s="1"/>
  <c r="B45" i="15" a="1"/>
  <c r="B45" i="15" s="1"/>
  <c r="C66" i="15" a="1"/>
  <c r="C66" i="15" s="1"/>
  <c r="B28" i="15" a="1"/>
  <c r="B28" i="15" s="1"/>
  <c r="C64" i="15" a="1"/>
  <c r="C64" i="15" s="1"/>
  <c r="G51" i="15" a="1"/>
  <c r="G51" i="15" s="1"/>
  <c r="G25" i="15" a="1"/>
  <c r="G25" i="15" s="1"/>
  <c r="G11" i="15" a="1"/>
  <c r="G11" i="15" s="1"/>
  <c r="C58" i="15" a="1"/>
  <c r="C58" i="15" s="1"/>
  <c r="B50" i="15" a="1"/>
  <c r="B50" i="15" s="1"/>
  <c r="C31" i="15" a="1"/>
  <c r="C31" i="15" s="1"/>
  <c r="B54" i="15" a="1"/>
  <c r="B54" i="15" s="1"/>
  <c r="G50" i="15" a="1"/>
  <c r="G50" i="15" s="1"/>
  <c r="C23" i="15" a="1"/>
  <c r="C23" i="15" s="1"/>
  <c r="B17" i="15" a="1"/>
  <c r="B17" i="15" s="1"/>
  <c r="B60" i="15" a="1"/>
  <c r="B60" i="15" s="1"/>
  <c r="G13" i="15" a="1"/>
  <c r="G13" i="15" s="1"/>
  <c r="G56" i="15" a="1"/>
  <c r="G56" i="15" s="1"/>
  <c r="B47" i="15" a="1"/>
  <c r="B47" i="15" s="1"/>
  <c r="G20" i="15" a="1"/>
  <c r="G20" i="15" s="1"/>
  <c r="B43" i="15" a="1"/>
  <c r="B43" i="15" s="1"/>
  <c r="G15" i="15" a="1"/>
  <c r="G15" i="15" s="1"/>
  <c r="B34" i="15" a="1"/>
  <c r="B34" i="15" s="1"/>
  <c r="C48" i="15" a="1"/>
  <c r="C48" i="15" s="1"/>
  <c r="G10" i="15" a="1"/>
  <c r="G10" i="15" s="1"/>
  <c r="B56" i="15" a="1"/>
  <c r="B56" i="15" s="1"/>
  <c r="G34" i="15" a="1"/>
  <c r="G34" i="15" s="1"/>
  <c r="C34" i="15" a="1"/>
  <c r="C34" i="15" s="1"/>
  <c r="B31" i="15" a="1"/>
  <c r="B31" i="15" s="1"/>
  <c r="C55" i="15" a="1"/>
  <c r="C55" i="15" s="1"/>
  <c r="C70" i="15" a="1"/>
  <c r="C70" i="15" s="1"/>
  <c r="B26" i="15" a="1"/>
  <c r="B26" i="15" s="1"/>
  <c r="C33" i="15" a="1"/>
  <c r="C33" i="15" s="1"/>
  <c r="C37" i="15" a="1"/>
  <c r="C37" i="15" s="1"/>
  <c r="C18" i="15" a="1"/>
  <c r="C18" i="15" s="1"/>
  <c r="G24" i="15" a="1"/>
  <c r="G24" i="15" s="1"/>
  <c r="C52" i="15" a="1"/>
  <c r="C52" i="15" s="1"/>
  <c r="C60" i="15" a="1"/>
  <c r="C60" i="15" s="1"/>
  <c r="G70" i="15" a="1"/>
  <c r="G70" i="15" s="1"/>
  <c r="G31" i="15" a="1"/>
  <c r="G31" i="15" s="1"/>
  <c r="C26" i="15" a="1"/>
  <c r="C26" i="15" s="1"/>
  <c r="G18" i="15" a="1"/>
  <c r="G18" i="15" s="1"/>
  <c r="G68" i="15" a="1"/>
  <c r="G68" i="15" s="1"/>
  <c r="B70" i="15" a="1"/>
  <c r="B70" i="15" s="1"/>
  <c r="B23" i="15" a="1"/>
  <c r="B23" i="15" s="1"/>
  <c r="B40" i="15" a="1"/>
  <c r="B40" i="15" s="1"/>
  <c r="G41" i="15" a="1"/>
  <c r="G41" i="15" s="1"/>
  <c r="C56" i="15" a="1"/>
  <c r="C56" i="15" s="1"/>
  <c r="B48" i="15" a="1"/>
  <c r="B48" i="15" s="1"/>
  <c r="B32" i="15" a="1"/>
  <c r="B32" i="15" s="1"/>
  <c r="G60" i="15" a="1"/>
  <c r="G60" i="15" s="1"/>
  <c r="B55" i="15" a="1"/>
  <c r="B55" i="15" s="1"/>
  <c r="G33" i="15" a="1"/>
  <c r="G33" i="15" s="1"/>
  <c r="B37" i="15" a="1"/>
  <c r="B37" i="15" s="1"/>
  <c r="G26" i="15" a="1"/>
  <c r="G26" i="15" s="1"/>
  <c r="G40" i="15" a="1"/>
  <c r="G40" i="15" s="1"/>
  <c r="G37" i="15" a="1"/>
  <c r="G37" i="15" s="1"/>
  <c r="B21" i="15" a="1"/>
  <c r="B21" i="15" s="1"/>
  <c r="C44" i="15" a="1"/>
  <c r="C44" i="15" s="1"/>
  <c r="G39" i="15" a="1"/>
  <c r="G39" i="15" s="1"/>
  <c r="G69" i="15" a="1"/>
  <c r="G69" i="15" s="1"/>
  <c r="C45" i="15" a="1"/>
  <c r="C45" i="15" s="1"/>
  <c r="C21" i="15" a="1"/>
  <c r="C21" i="15" s="1"/>
  <c r="C68" i="15" a="1"/>
  <c r="C68" i="15" s="1"/>
  <c r="G54" i="15" a="1"/>
  <c r="G54" i="15" s="1"/>
  <c r="G21" i="15" a="1"/>
  <c r="G21" i="15" s="1"/>
  <c r="G35" i="15" a="1"/>
  <c r="G35" i="15" s="1"/>
  <c r="G45" i="15" a="1"/>
  <c r="G45" i="15" s="1"/>
  <c r="G59" i="15" a="1"/>
  <c r="G59" i="15" s="1"/>
  <c r="G9" i="15" a="1"/>
  <c r="G9" i="15" s="1"/>
  <c r="C47" i="15" a="1"/>
  <c r="C47" i="15" s="1"/>
  <c r="C20" i="15" a="1"/>
  <c r="C20" i="15" s="1"/>
  <c r="G64" i="15" a="1"/>
  <c r="G64" i="15" s="1"/>
  <c r="C63" i="15" a="1"/>
  <c r="C63" i="15" s="1"/>
  <c r="G17" i="15" a="1"/>
  <c r="G17" i="15" s="1"/>
  <c r="B63" i="15" a="1"/>
  <c r="B63" i="15" s="1"/>
  <c r="G47" i="15" a="1"/>
  <c r="G47" i="15" s="1"/>
  <c r="C28" i="15" a="1"/>
  <c r="C28" i="15" s="1"/>
  <c r="B64" i="15" a="1"/>
  <c r="B64" i="15" s="1"/>
  <c r="B30" i="15" a="1"/>
  <c r="B30" i="15" s="1"/>
  <c r="C41" i="15" a="1"/>
  <c r="C41" i="15" s="1"/>
  <c r="G28" i="15" a="1"/>
  <c r="G28" i="15" s="1"/>
  <c r="C69" i="15" a="1"/>
  <c r="C69" i="15" s="1"/>
  <c r="B25" i="15" a="1"/>
  <c r="B25" i="15" s="1"/>
  <c r="C51" i="15" a="1"/>
  <c r="C51" i="15" s="1"/>
  <c r="C39" i="15" a="1"/>
  <c r="C39" i="15" s="1"/>
  <c r="B52" i="15" a="1"/>
  <c r="B52" i="15" s="1"/>
  <c r="G44" i="15" a="1"/>
  <c r="G44" i="15" s="1"/>
  <c r="B39" i="15" a="1"/>
  <c r="B39" i="15" s="1"/>
  <c r="G52" i="15" a="1"/>
  <c r="G52" i="15" s="1"/>
  <c r="B44" i="15" a="1"/>
  <c r="B44" i="15" s="1"/>
  <c r="G23" i="15" a="1"/>
  <c r="G23" i="15" s="1"/>
  <c r="B19" i="15" a="1"/>
  <c r="B19" i="15" s="1"/>
  <c r="B16" i="15" a="1"/>
  <c r="B16" i="15" s="1"/>
  <c r="C35" i="15" a="1"/>
  <c r="C35" i="15" s="1"/>
  <c r="B59" i="15" a="1"/>
  <c r="B59" i="15" s="1"/>
  <c r="B58" i="15" a="1"/>
  <c r="B58" i="15" s="1"/>
  <c r="C59" i="15" a="1"/>
  <c r="C59" i="15" s="1"/>
  <c r="G58" i="15" a="1"/>
  <c r="G58" i="15" s="1"/>
  <c r="B20" i="15" a="1"/>
  <c r="B20" i="15" s="1"/>
  <c r="C71" i="15" a="1"/>
  <c r="C71" i="15" s="1"/>
  <c r="G19" i="15" a="1"/>
  <c r="G19" i="15" s="1"/>
  <c r="C17" i="15" a="1"/>
  <c r="C17" i="15" s="1"/>
  <c r="G16" i="15" a="1"/>
  <c r="G16" i="15" s="1"/>
  <c r="G14" i="15" a="1"/>
  <c r="G14" i="15" s="1"/>
  <c r="B67" i="15" a="1"/>
  <c r="B67" i="15" s="1"/>
  <c r="G53" i="15" a="1"/>
  <c r="G53" i="15" s="1"/>
  <c r="B41" i="15" a="1"/>
  <c r="B41" i="15" s="1"/>
  <c r="C43" i="15" a="1"/>
  <c r="C43" i="15" s="1"/>
  <c r="G12" i="15" a="1"/>
  <c r="G12" i="15" s="1"/>
  <c r="G63" i="15" a="1"/>
  <c r="G63" i="15" s="1"/>
  <c r="B62" i="15" a="1"/>
  <c r="B62" i="15" s="1"/>
  <c r="C53" i="15" a="1"/>
  <c r="C53" i="15" s="1"/>
  <c r="G43" i="15" a="1"/>
  <c r="G43" i="15" s="1"/>
  <c r="B36" i="15" a="1"/>
  <c r="B36" i="15" s="1"/>
  <c r="B29" i="15" a="1"/>
  <c r="B29" i="15" s="1"/>
  <c r="C62" i="15" a="1"/>
  <c r="C62" i="15" s="1"/>
  <c r="B53" i="15" a="1"/>
  <c r="B53" i="15" s="1"/>
  <c r="C30" i="15" a="1"/>
  <c r="C30" i="15" s="1"/>
  <c r="C36" i="15" a="1"/>
  <c r="C36" i="15" s="1"/>
  <c r="G38" i="15" a="1"/>
  <c r="G38" i="15" s="1"/>
  <c r="C29" i="15" a="1"/>
  <c r="C29" i="15" s="1"/>
  <c r="G36" i="15" a="1"/>
  <c r="G36" i="15" s="1"/>
  <c r="C38" i="15" a="1"/>
  <c r="C38" i="15" s="1"/>
  <c r="G29" i="15" a="1"/>
  <c r="G29" i="15" s="1"/>
  <c r="B71" i="15" a="1"/>
  <c r="B71" i="15" s="1"/>
  <c r="C65" i="15" a="1"/>
  <c r="C65" i="15" s="1"/>
  <c r="G62" i="15" a="1"/>
  <c r="G62" i="15" s="1"/>
  <c r="G30" i="15" a="1"/>
  <c r="G30" i="15" s="1"/>
  <c r="B61" i="15" a="1"/>
  <c r="B61" i="15" s="1"/>
  <c r="B65" i="15" a="1"/>
  <c r="B65" i="15" s="1"/>
  <c r="C57" i="15" a="1"/>
  <c r="C57" i="15" s="1"/>
  <c r="C22" i="15" a="1"/>
  <c r="C22" i="15" s="1"/>
  <c r="C46" i="15" a="1"/>
  <c r="C46" i="15" s="1"/>
  <c r="C32" i="15" a="1"/>
  <c r="C32" i="15" s="1"/>
  <c r="B38" i="15" a="1"/>
  <c r="B38" i="15" s="1"/>
  <c r="G49" i="15" a="1"/>
  <c r="G49" i="15" s="1"/>
  <c r="B68" i="15" a="1"/>
  <c r="B68" i="15" s="1"/>
  <c r="C54" i="15" a="1"/>
  <c r="C54" i="15" s="1"/>
  <c r="G71" i="15" a="1"/>
  <c r="G71" i="15" s="1"/>
  <c r="C67" i="15" a="1"/>
  <c r="C67" i="15" s="1"/>
  <c r="B46" i="15" a="1"/>
  <c r="B46" i="15" s="1"/>
  <c r="G61" i="15" a="1"/>
  <c r="G61" i="15" s="1"/>
  <c r="G65" i="15" a="1"/>
  <c r="G65" i="15" s="1"/>
  <c r="G55" i="15" a="1"/>
  <c r="G55" i="15" s="1"/>
  <c r="B57" i="15" a="1"/>
  <c r="B57" i="15" s="1"/>
  <c r="G22" i="15" a="1"/>
  <c r="G22" i="15" s="1"/>
  <c r="G42" i="15" a="1"/>
  <c r="G42" i="15" s="1"/>
  <c r="G46" i="15" a="1"/>
  <c r="G46" i="15" s="1"/>
  <c r="G32" i="15" a="1"/>
  <c r="G32" i="15" s="1"/>
  <c r="B24" i="15" a="1"/>
  <c r="B24" i="15" s="1"/>
  <c r="C49" i="15" a="1"/>
  <c r="C49" i="15" s="1"/>
  <c r="G6" i="15" a="1"/>
  <c r="G6" i="15" s="1"/>
  <c r="G5" i="15" a="1"/>
  <c r="G5" i="15" s="1"/>
  <c r="G67" i="15" a="1"/>
  <c r="G67" i="15" s="1"/>
  <c r="B22" i="15" a="1"/>
  <c r="B22" i="15" s="1"/>
  <c r="C61" i="15" a="1"/>
  <c r="C61" i="15" s="1"/>
  <c r="G57" i="15" a="1"/>
  <c r="G57" i="15" s="1"/>
  <c r="C42" i="15" a="1"/>
  <c r="C42" i="15" s="1"/>
  <c r="G8" i="15" a="1"/>
  <c r="G8" i="15" s="1"/>
  <c r="B33" i="15" a="1"/>
  <c r="B33" i="15" s="1"/>
  <c r="G7" i="15" a="1"/>
  <c r="G7" i="15" s="1"/>
  <c r="B18" i="15" a="1"/>
  <c r="B18" i="15" s="1"/>
  <c r="C24" i="15" a="1"/>
  <c r="C24" i="15" s="1"/>
  <c r="B49" i="15" a="1"/>
  <c r="B49" i="15" s="1"/>
  <c r="E3" i="15" a="1"/>
  <c r="E3" i="15" s="1"/>
  <c r="E14" i="15" a="1"/>
  <c r="E14" i="15" s="1"/>
  <c r="E10" i="15" a="1"/>
  <c r="E10" i="15" s="1"/>
  <c r="C3" i="15" a="1"/>
  <c r="C3" i="15" s="1"/>
  <c r="C3" i="16" a="1"/>
  <c r="C3" i="16" s="1"/>
  <c r="E31" i="15" a="1"/>
  <c r="E31" i="15" s="1"/>
  <c r="E31" i="16" a="1"/>
  <c r="E31" i="16" s="1"/>
  <c r="E62" i="15" a="1"/>
  <c r="E62" i="15" s="1"/>
  <c r="E62" i="16" a="1"/>
  <c r="E62" i="16" s="1"/>
  <c r="E35" i="15" a="1"/>
  <c r="E35" i="15" s="1"/>
  <c r="E35" i="16" a="1"/>
  <c r="E35" i="16" s="1"/>
  <c r="E16" i="15" a="1"/>
  <c r="E16" i="15" s="1"/>
  <c r="E16" i="16" a="1"/>
  <c r="E16" i="16" s="1"/>
  <c r="E28" i="15" a="1"/>
  <c r="E28" i="15" s="1"/>
  <c r="E28" i="16" a="1"/>
  <c r="E28" i="16" s="1"/>
  <c r="E27" i="15" a="1"/>
  <c r="E27" i="15" s="1"/>
  <c r="E27" i="16" a="1"/>
  <c r="E27" i="16" s="1"/>
  <c r="E20" i="15" a="1"/>
  <c r="E20" i="15" s="1"/>
  <c r="E20" i="16" a="1"/>
  <c r="E20" i="16" s="1"/>
  <c r="E14" i="16" a="1"/>
  <c r="E14" i="16" s="1"/>
  <c r="E54" i="15" a="1"/>
  <c r="E54" i="15" s="1"/>
  <c r="E54" i="16" a="1"/>
  <c r="E54" i="16" s="1"/>
  <c r="E24" i="15" a="1"/>
  <c r="E24" i="15" s="1"/>
  <c r="E24" i="16" a="1"/>
  <c r="E24" i="16" s="1"/>
  <c r="E11" i="15" a="1"/>
  <c r="E11" i="15" s="1"/>
  <c r="E11" i="16" a="1"/>
  <c r="E11" i="16" s="1"/>
  <c r="E56" i="15" a="1"/>
  <c r="E56" i="15" s="1"/>
  <c r="E56" i="16" a="1"/>
  <c r="E56" i="16" s="1"/>
  <c r="E69" i="15" a="1"/>
  <c r="E69" i="15" s="1"/>
  <c r="E69" i="16" a="1"/>
  <c r="E69" i="16" s="1"/>
  <c r="E70" i="15" a="1"/>
  <c r="E70" i="15" s="1"/>
  <c r="E70" i="16" a="1"/>
  <c r="E70" i="16" s="1"/>
  <c r="E32" i="15" a="1"/>
  <c r="E32" i="15" s="1"/>
  <c r="E32" i="16" a="1"/>
  <c r="E32" i="16" s="1"/>
  <c r="B13" i="15" a="1"/>
  <c r="B13" i="15" s="1"/>
  <c r="B13" i="16" a="1"/>
  <c r="B13" i="16" s="1"/>
  <c r="E63" i="15" a="1"/>
  <c r="E63" i="15" s="1"/>
  <c r="E63" i="16" a="1"/>
  <c r="E63" i="16" s="1"/>
  <c r="E44" i="15" a="1"/>
  <c r="E44" i="15" s="1"/>
  <c r="E44" i="16" a="1"/>
  <c r="E44" i="16" s="1"/>
  <c r="B11" i="15" a="1"/>
  <c r="B11" i="15" s="1"/>
  <c r="B11" i="16" a="1"/>
  <c r="B11" i="16" s="1"/>
  <c r="B12" i="15" a="1"/>
  <c r="B12" i="15" s="1"/>
  <c r="B12" i="16" a="1"/>
  <c r="B12" i="16" s="1"/>
  <c r="E58" i="15" a="1"/>
  <c r="E58" i="15" s="1"/>
  <c r="E58" i="16" a="1"/>
  <c r="E58" i="16" s="1"/>
  <c r="E39" i="15" a="1"/>
  <c r="E39" i="15" s="1"/>
  <c r="E39" i="16" a="1"/>
  <c r="E39" i="16" s="1"/>
  <c r="E42" i="15" a="1"/>
  <c r="E42" i="15" s="1"/>
  <c r="E42" i="16" a="1"/>
  <c r="E42" i="16" s="1"/>
  <c r="C9" i="15" a="1"/>
  <c r="C9" i="15" s="1"/>
  <c r="C9" i="16" a="1"/>
  <c r="C9" i="16" s="1"/>
  <c r="E12" i="15" a="1"/>
  <c r="E12" i="15" s="1"/>
  <c r="E12" i="16" a="1"/>
  <c r="E12" i="16" s="1"/>
  <c r="E21" i="15" a="1"/>
  <c r="E21" i="15" s="1"/>
  <c r="E21" i="16" a="1"/>
  <c r="E21" i="16" s="1"/>
  <c r="E52" i="15" a="1"/>
  <c r="E52" i="15" s="1"/>
  <c r="E52" i="16" a="1"/>
  <c r="E52" i="16" s="1"/>
  <c r="E60" i="15" a="1"/>
  <c r="E60" i="15" s="1"/>
  <c r="E60" i="16" a="1"/>
  <c r="E60" i="16" s="1"/>
  <c r="E65" i="15" a="1"/>
  <c r="E65" i="15" s="1"/>
  <c r="E65" i="16" a="1"/>
  <c r="E65" i="16" s="1"/>
  <c r="E23" i="15" a="1"/>
  <c r="E23" i="15" s="1"/>
  <c r="E23" i="16" a="1"/>
  <c r="E23" i="16" s="1"/>
  <c r="E22" i="15" a="1"/>
  <c r="E22" i="15" s="1"/>
  <c r="E22" i="16" a="1"/>
  <c r="E22" i="16" s="1"/>
  <c r="E66" i="15" a="1"/>
  <c r="E66" i="15" s="1"/>
  <c r="E66" i="16" a="1"/>
  <c r="E66" i="16" s="1"/>
  <c r="E72" i="15" a="1"/>
  <c r="E72" i="15" s="1"/>
  <c r="E72" i="16" a="1"/>
  <c r="E72" i="16" s="1"/>
  <c r="C13" i="15" a="1"/>
  <c r="C13" i="15" s="1"/>
  <c r="C13" i="16" a="1"/>
  <c r="C13" i="16" s="1"/>
  <c r="B10" i="15" a="1"/>
  <c r="B10" i="15" s="1"/>
  <c r="B10" i="16" a="1"/>
  <c r="B10" i="16" s="1"/>
  <c r="E38" i="15" a="1"/>
  <c r="E38" i="15" s="1"/>
  <c r="E38" i="16" a="1"/>
  <c r="E38" i="16" s="1"/>
  <c r="E18" i="15" a="1"/>
  <c r="E18" i="15" s="1"/>
  <c r="E18" i="16" a="1"/>
  <c r="E18" i="16" s="1"/>
  <c r="E61" i="15" a="1"/>
  <c r="E61" i="15" s="1"/>
  <c r="E61" i="16" a="1"/>
  <c r="E61" i="16" s="1"/>
  <c r="E46" i="15" a="1"/>
  <c r="E46" i="15" s="1"/>
  <c r="E46" i="16" a="1"/>
  <c r="E46" i="16" s="1"/>
  <c r="E37" i="15" a="1"/>
  <c r="E37" i="15" s="1"/>
  <c r="E37" i="16" a="1"/>
  <c r="E37" i="16" s="1"/>
  <c r="E47" i="15" a="1"/>
  <c r="E47" i="15" s="1"/>
  <c r="E47" i="16" a="1"/>
  <c r="E47" i="16" s="1"/>
  <c r="E30" i="15" a="1"/>
  <c r="E30" i="15" s="1"/>
  <c r="E30" i="16" a="1"/>
  <c r="E30" i="16" s="1"/>
  <c r="C11" i="15" a="1"/>
  <c r="C11" i="15" s="1"/>
  <c r="C11" i="16" a="1"/>
  <c r="C11" i="16" s="1"/>
  <c r="E53" i="15" a="1"/>
  <c r="E53" i="15" s="1"/>
  <c r="E53" i="16" a="1"/>
  <c r="E53" i="16" s="1"/>
  <c r="C14" i="15" a="1"/>
  <c r="C14" i="15" s="1"/>
  <c r="C14" i="16" a="1"/>
  <c r="C14" i="16" s="1"/>
  <c r="C15" i="15" a="1"/>
  <c r="C15" i="15" s="1"/>
  <c r="C15" i="16" a="1"/>
  <c r="C15" i="16" s="1"/>
  <c r="E13" i="15" a="1"/>
  <c r="E13" i="15" s="1"/>
  <c r="E13" i="16" a="1"/>
  <c r="E13" i="16" s="1"/>
  <c r="E51" i="15" a="1"/>
  <c r="E51" i="15" s="1"/>
  <c r="E51" i="16" a="1"/>
  <c r="E51" i="16" s="1"/>
  <c r="C7" i="15" a="1"/>
  <c r="C7" i="15" s="1"/>
  <c r="C7" i="16" a="1"/>
  <c r="C7" i="16" s="1"/>
  <c r="E43" i="15" a="1"/>
  <c r="E43" i="15" s="1"/>
  <c r="E43" i="16" a="1"/>
  <c r="E43" i="16" s="1"/>
  <c r="E36" i="15" a="1"/>
  <c r="E36" i="15" s="1"/>
  <c r="E36" i="16" a="1"/>
  <c r="E36" i="16" s="1"/>
  <c r="E33" i="15" a="1"/>
  <c r="E33" i="15" s="1"/>
  <c r="E33" i="16" a="1"/>
  <c r="E33" i="16" s="1"/>
  <c r="B9" i="15" a="1"/>
  <c r="B9" i="15" s="1"/>
  <c r="B9" i="16" a="1"/>
  <c r="B9" i="16" s="1"/>
  <c r="E40" i="15" a="1"/>
  <c r="E40" i="15" s="1"/>
  <c r="E40" i="16" a="1"/>
  <c r="E40" i="16" s="1"/>
  <c r="C12" i="15" a="1"/>
  <c r="C12" i="15" s="1"/>
  <c r="C12" i="16" a="1"/>
  <c r="C12" i="16" s="1"/>
  <c r="E26" i="15" a="1"/>
  <c r="E26" i="15" s="1"/>
  <c r="E26" i="16" a="1"/>
  <c r="E26" i="16" s="1"/>
  <c r="E59" i="15" a="1"/>
  <c r="E59" i="15" s="1"/>
  <c r="E59" i="16" a="1"/>
  <c r="E59" i="16" s="1"/>
  <c r="C10" i="15" a="1"/>
  <c r="C10" i="15" s="1"/>
  <c r="C10" i="16" a="1"/>
  <c r="C10" i="16" s="1"/>
  <c r="E17" i="15" a="1"/>
  <c r="E17" i="15" s="1"/>
  <c r="E17" i="16" a="1"/>
  <c r="E17" i="16" s="1"/>
  <c r="E50" i="15" a="1"/>
  <c r="E50" i="15" s="1"/>
  <c r="E50" i="16" a="1"/>
  <c r="E50" i="16" s="1"/>
  <c r="B7" i="15" a="1"/>
  <c r="B7" i="15" s="1"/>
  <c r="B7" i="16" a="1"/>
  <c r="B7" i="16" s="1"/>
  <c r="E57" i="15" a="1"/>
  <c r="E57" i="15" s="1"/>
  <c r="E57" i="16" a="1"/>
  <c r="E57" i="16" s="1"/>
  <c r="E55" i="15" a="1"/>
  <c r="E55" i="15" s="1"/>
  <c r="E55" i="16" a="1"/>
  <c r="E55" i="16" s="1"/>
  <c r="B3" i="15" a="1"/>
  <c r="B3" i="15" s="1"/>
  <c r="B3" i="16" a="1"/>
  <c r="B3" i="16" s="1"/>
  <c r="E19" i="15" a="1"/>
  <c r="E19" i="15" s="1"/>
  <c r="E19" i="16" a="1"/>
  <c r="E19" i="16" s="1"/>
  <c r="E49" i="15" a="1"/>
  <c r="E49" i="15" s="1"/>
  <c r="E49" i="16" a="1"/>
  <c r="E49" i="16" s="1"/>
  <c r="B14" i="15" a="1"/>
  <c r="B14" i="15" s="1"/>
  <c r="B14" i="16" a="1"/>
  <c r="B14" i="16" s="1"/>
  <c r="B15" i="15" a="1"/>
  <c r="B15" i="15" s="1"/>
  <c r="B15" i="16" a="1"/>
  <c r="B15" i="16" s="1"/>
  <c r="E67" i="15" a="1"/>
  <c r="E67" i="15" s="1"/>
  <c r="E67" i="16" a="1"/>
  <c r="E67" i="16" s="1"/>
  <c r="E48" i="15" a="1"/>
  <c r="E48" i="15" s="1"/>
  <c r="E48" i="16" a="1"/>
  <c r="E48" i="16" s="1"/>
  <c r="E25" i="15" a="1"/>
  <c r="E25" i="15" s="1"/>
  <c r="E25" i="16" a="1"/>
  <c r="E25" i="16" s="1"/>
  <c r="E68" i="15" a="1"/>
  <c r="E68" i="15" s="1"/>
  <c r="E68" i="16" a="1"/>
  <c r="E68" i="16" s="1"/>
  <c r="E34" i="15" a="1"/>
  <c r="E34" i="15" s="1"/>
  <c r="E34" i="16" a="1"/>
  <c r="E34" i="16" s="1"/>
  <c r="E15" i="15" a="1"/>
  <c r="E15" i="15" s="1"/>
  <c r="E15" i="16" a="1"/>
  <c r="E15" i="16" s="1"/>
  <c r="E71" i="15" a="1"/>
  <c r="E71" i="15" s="1"/>
  <c r="E71" i="16" a="1"/>
  <c r="E71" i="16" s="1"/>
  <c r="B8" i="15" a="1"/>
  <c r="B8" i="15" s="1"/>
  <c r="B8" i="16" a="1"/>
  <c r="B8" i="16" s="1"/>
  <c r="C8" i="15" a="1"/>
  <c r="C8" i="15" s="1"/>
  <c r="C8" i="16" a="1"/>
  <c r="C8" i="16" s="1"/>
  <c r="B6" i="15" a="1"/>
  <c r="B6" i="15" s="1"/>
  <c r="B6" i="16" a="1"/>
  <c r="B6" i="16" s="1"/>
  <c r="C6" i="15" a="1"/>
  <c r="C6" i="15" s="1"/>
  <c r="C6" i="16" a="1"/>
  <c r="C6" i="16" s="1"/>
  <c r="E45" i="15" a="1"/>
  <c r="E45" i="15" s="1"/>
  <c r="E45" i="16" a="1"/>
  <c r="E45" i="16" s="1"/>
  <c r="E64" i="15" a="1"/>
  <c r="E64" i="15" s="1"/>
  <c r="E64" i="16" a="1"/>
  <c r="E64" i="16" s="1"/>
  <c r="E41" i="15" a="1"/>
  <c r="E41" i="15" s="1"/>
  <c r="E41" i="16" a="1"/>
  <c r="E41" i="16" s="1"/>
  <c r="E29" i="15" a="1"/>
  <c r="E29" i="15" s="1"/>
  <c r="E29" i="16" a="1"/>
  <c r="E29" i="16" s="1"/>
  <c r="E9" i="15" l="1" a="1"/>
  <c r="E9" i="15" s="1"/>
  <c r="E8" i="15" a="1"/>
  <c r="E8" i="15" s="1"/>
  <c r="E7" i="15" a="1"/>
  <c r="E7" i="15" s="1"/>
  <c r="E5" i="15" a="1"/>
  <c r="E5" i="15" s="1"/>
  <c r="E4" i="15" a="1"/>
  <c r="E4" i="15" s="1"/>
  <c r="E6" i="15" a="1"/>
  <c r="E6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<sst xmlns="http://schemas.openxmlformats.org/spreadsheetml/2006/main" count="277" uniqueCount="112">
  <si>
    <t>Indice</t>
  </si>
  <si>
    <t>Date</t>
  </si>
  <si>
    <t>Num</t>
  </si>
  <si>
    <t>Désignation</t>
  </si>
  <si>
    <t>U</t>
  </si>
  <si>
    <t>Quantité</t>
  </si>
  <si>
    <t>TOTAL HT</t>
  </si>
  <si>
    <t>PU</t>
  </si>
  <si>
    <t xml:space="preserve">Montant </t>
  </si>
  <si>
    <t>QUANTITE</t>
  </si>
  <si>
    <t>PRIX UNITAIRE</t>
  </si>
  <si>
    <t>Phase d'etude</t>
  </si>
  <si>
    <t>ACT</t>
  </si>
  <si>
    <t xml:space="preserve">MAITRISE D'OUVRAGE : </t>
  </si>
  <si>
    <t xml:space="preserve">MAITRISE D'OEUVRE : </t>
  </si>
  <si>
    <t>Marge Quantité</t>
  </si>
  <si>
    <t>Marge Prix</t>
  </si>
  <si>
    <t>sup</t>
  </si>
  <si>
    <t>inf</t>
  </si>
  <si>
    <t>bon prix</t>
  </si>
  <si>
    <t>Quantité haute</t>
  </si>
  <si>
    <t>Quantité faible</t>
  </si>
  <si>
    <t>Prix faible</t>
  </si>
  <si>
    <t xml:space="preserve">Prix haut </t>
  </si>
  <si>
    <t>Légende analyse</t>
  </si>
  <si>
    <t/>
  </si>
  <si>
    <t>Quantité haute à confirmer.</t>
  </si>
  <si>
    <t>Quantité faible à confirmer.</t>
  </si>
  <si>
    <t>Prix unitaire haut à confirmer.</t>
  </si>
  <si>
    <t>Prix unitaire faible à confirmer.</t>
  </si>
  <si>
    <t>Quantité OK</t>
  </si>
  <si>
    <t>Quantité équivalente</t>
  </si>
  <si>
    <t>Prix équivalent</t>
  </si>
  <si>
    <t>resultat</t>
  </si>
  <si>
    <t>Base</t>
  </si>
  <si>
    <t>Substitue</t>
  </si>
  <si>
    <t xml:space="preserve">Lot : </t>
  </si>
  <si>
    <t>n° du lot :</t>
  </si>
  <si>
    <t>Nom de l'affaire</t>
  </si>
  <si>
    <t>Cette Valeur sert a ne pas faire de commantaire sur des article qui sont négligeable pour l'ensemble du lot.</t>
  </si>
  <si>
    <t>seuil de négligeabilité (en %)</t>
  </si>
  <si>
    <t>déscription de l'affaire</t>
  </si>
  <si>
    <t>VARIATIONS DES PRIX</t>
  </si>
  <si>
    <t>VARIATIONS DES QUANTITE</t>
  </si>
  <si>
    <t>Calcule du nom de l'indice et de la version</t>
  </si>
  <si>
    <t xml:space="preserve">données à renseigner </t>
  </si>
  <si>
    <t>TABLEAU D'ANALYSE DES OFFRES :</t>
  </si>
  <si>
    <t>détermine quel commentaire est fait dans chaque cas</t>
  </si>
  <si>
    <t>Ce tableau sert à moduler les marges accéptables pour avoir une bonne quantité</t>
  </si>
  <si>
    <t xml:space="preserve">Exemple : si l'article vaux moins de 5% du lot et que le seuil est définit a 5% il ne seras pas commenté </t>
  </si>
  <si>
    <t xml:space="preserve">Ce tableau sert a moduler les marges accéptables qui définisse le Bon prix </t>
  </si>
  <si>
    <t>Ecart Qtés (en %)</t>
  </si>
  <si>
    <t>Ecart PU (en %)</t>
  </si>
  <si>
    <t>Questions</t>
  </si>
  <si>
    <t>Remarque logiciel</t>
  </si>
  <si>
    <t>CHARGE D’AFFAIRE</t>
  </si>
  <si>
    <t>REDIGE PAR</t>
  </si>
  <si>
    <t>DATE</t>
  </si>
  <si>
    <t>N° AFFAIRE</t>
  </si>
  <si>
    <t>ANALYSE D'OFFRES</t>
  </si>
  <si>
    <t>INTITULE DU DOCUMENT</t>
  </si>
  <si>
    <t>LOT</t>
  </si>
  <si>
    <t>INDICE</t>
  </si>
  <si>
    <t>PHASE</t>
  </si>
  <si>
    <t>BUREAU DE CONROLE</t>
  </si>
  <si>
    <t>AMO BREAM /  WELL</t>
  </si>
  <si>
    <t>BUREAU D’ETUDE STRUCTURE</t>
  </si>
  <si>
    <t>ECONOMISTE</t>
  </si>
  <si>
    <t>ARCHITECTE</t>
  </si>
  <si>
    <t>AMO</t>
  </si>
  <si>
    <t xml:space="preserve"> </t>
  </si>
  <si>
    <t>Note technique</t>
  </si>
  <si>
    <t>OPERATION</t>
  </si>
  <si>
    <t>définie comme il suit:</t>
  </si>
  <si>
    <t>Les offres sont classées selon une note globale sur</t>
  </si>
  <si>
    <t>CRITERES D'ANALYSE</t>
  </si>
  <si>
    <t>MAITRE D’OUVRAGE</t>
  </si>
  <si>
    <t>N°</t>
  </si>
  <si>
    <t>REMARQUES SUR l'OFFRE</t>
  </si>
  <si>
    <t>nb remarque</t>
  </si>
  <si>
    <t>Offre</t>
  </si>
  <si>
    <t>Lot concerné</t>
  </si>
  <si>
    <t>adresse</t>
  </si>
  <si>
    <t xml:space="preserve">Article </t>
  </si>
  <si>
    <t>DMX Economie</t>
  </si>
  <si>
    <t xml:space="preserve">montant attendu = 0 et non inclue </t>
  </si>
  <si>
    <t>Texte :</t>
  </si>
  <si>
    <t>Nom du projet</t>
  </si>
  <si>
    <t>ligne article</t>
  </si>
  <si>
    <t>Poste ajouté par MOE</t>
  </si>
  <si>
    <t>Poste supprimé par MOE</t>
  </si>
  <si>
    <t>Quantité ou prix unitaire à confirmer</t>
  </si>
  <si>
    <t>MOE</t>
  </si>
  <si>
    <t>Poste non renseigné par l'entreprise</t>
  </si>
  <si>
    <t xml:space="preserve">Article à chiffrer. </t>
  </si>
  <si>
    <t xml:space="preserve">Ecart de </t>
  </si>
  <si>
    <t>Erreur d'arrondi</t>
  </si>
  <si>
    <t>Erreur de multipication</t>
  </si>
  <si>
    <t>Décallage :</t>
  </si>
  <si>
    <t>FORMULE A REMPLACER</t>
  </si>
  <si>
    <t>Maitre d'ouvrage</t>
  </si>
  <si>
    <t>Maitre d'œuvre</t>
  </si>
  <si>
    <t xml:space="preserve">Déscription de l'affaire
</t>
  </si>
  <si>
    <t>1 rue de l'adresse</t>
  </si>
  <si>
    <t xml:space="preserve">Ecart quantité </t>
  </si>
  <si>
    <t xml:space="preserve">Ecart PU </t>
  </si>
  <si>
    <t>Entreprise 1</t>
  </si>
  <si>
    <t>Entreprise 2</t>
  </si>
  <si>
    <t>Entreprise 3</t>
  </si>
  <si>
    <t>Entreprise 4</t>
  </si>
  <si>
    <t>Entreprise 5</t>
  </si>
  <si>
    <t>Entreprise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</si>
</sst>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&quot;DOCUMENT EN DU DATE : &quot;dd/mm/yyyy"/>
    <numFmt numFmtId="166" formatCode="dd\-mm\-yyyy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Arial Narrow"/>
      <family val="2"/>
    </font>
    <font>
      <sz val="8"/>
      <name val="Calibri"/>
      <family val="2"/>
      <scheme val="minor"/>
    </font>
    <font>
      <b/>
      <sz val="18"/>
      <color theme="1"/>
      <name val="Arial Narrow"/>
      <family val="2"/>
    </font>
    <font>
      <sz val="18"/>
      <color theme="1"/>
      <name val="Calibri"/>
      <family val="2"/>
      <scheme val="minor"/>
    </font>
    <font>
      <sz val="18"/>
      <color theme="1" tint="4.9989318521683403E-2"/>
      <name val="Calibri"/>
      <family val="2"/>
      <scheme val="minor"/>
    </font>
    <font>
      <sz val="18"/>
      <name val="Arial Narrow"/>
      <family val="2"/>
    </font>
    <font>
      <sz val="20"/>
      <color theme="1"/>
      <name val="Arial Narrow"/>
      <family val="2"/>
    </font>
    <font>
      <sz val="18"/>
      <color rgb="FFFF0000"/>
      <name val="Arial Narrow"/>
      <family val="2"/>
    </font>
    <font>
      <sz val="18"/>
      <color rgb="FFFF0000"/>
      <name val="Calibri"/>
      <family val="2"/>
      <scheme val="minor"/>
    </font>
    <font>
      <b/>
      <sz val="18"/>
      <color rgb="FFFF0000"/>
      <name val="Arial Narrow"/>
      <family val="2"/>
    </font>
    <font>
      <sz val="10"/>
      <name val="Arial"/>
      <family val="2"/>
    </font>
    <font>
      <b/>
      <sz val="18"/>
      <name val="Arial Narrow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 Narrow"/>
      <family val="2"/>
    </font>
    <font>
      <sz val="9"/>
      <color rgb="FF808080"/>
      <name val="Arial Narrow"/>
      <family val="2"/>
    </font>
    <font>
      <sz val="16"/>
      <color theme="1"/>
      <name val="Arial Narrow"/>
      <family val="2"/>
    </font>
    <font>
      <sz val="14"/>
      <color theme="1"/>
      <name val="Arial Narrow"/>
      <family val="2"/>
    </font>
    <font>
      <b/>
      <sz val="10"/>
      <color rgb="FFA6A6A6"/>
      <name val="Arial Narrow"/>
      <family val="2"/>
    </font>
    <font>
      <sz val="9"/>
      <color theme="1"/>
      <name val="Arial Narrow"/>
      <family val="2"/>
    </font>
    <font>
      <b/>
      <sz val="22"/>
      <color theme="1"/>
      <name val="Arial Narrow"/>
      <family val="2"/>
    </font>
    <font>
      <b/>
      <sz val="36"/>
      <color theme="1"/>
      <name val="Arial"/>
      <family val="2"/>
    </font>
    <font>
      <sz val="22"/>
      <color theme="1"/>
      <name val="Arial Narrow"/>
      <family val="2"/>
    </font>
    <font>
      <b/>
      <sz val="14"/>
      <color rgb="FFA6A6A6"/>
      <name val="Arial Narrow"/>
      <family val="2"/>
    </font>
    <font>
      <b/>
      <sz val="14"/>
      <color theme="0"/>
      <name val="Calibri"/>
      <family val="2"/>
      <scheme val="minor"/>
    </font>
    <font>
      <b/>
      <sz val="9"/>
      <color rgb="FFA6A6A6"/>
      <name val="Arial Narrow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B6AC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9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auto="1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auto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rgb="FFA6A6A6"/>
      </left>
      <right style="thick">
        <color rgb="FFA6A6A6"/>
      </right>
      <top/>
      <bottom style="thick">
        <color rgb="FFA6A6A6"/>
      </bottom>
      <diagonal/>
    </border>
    <border>
      <left style="medium">
        <color rgb="FFA6A6A6"/>
      </left>
      <right style="medium">
        <color rgb="FFA6A6A6"/>
      </right>
      <top/>
      <bottom style="thick">
        <color rgb="FFA6A6A6"/>
      </bottom>
      <diagonal/>
    </border>
    <border>
      <left style="thick">
        <color rgb="FFA6A6A6"/>
      </left>
      <right style="medium">
        <color rgb="FFA6A6A6"/>
      </right>
      <top/>
      <bottom style="thick">
        <color rgb="FFA6A6A6"/>
      </bottom>
      <diagonal/>
    </border>
    <border>
      <left style="medium">
        <color rgb="FFA6A6A6"/>
      </left>
      <right style="thick">
        <color rgb="FFA6A6A6"/>
      </right>
      <top style="thick">
        <color rgb="FFA6A6A6"/>
      </top>
      <bottom/>
      <diagonal/>
    </border>
    <border>
      <left style="medium">
        <color rgb="FFA6A6A6"/>
      </left>
      <right style="medium">
        <color rgb="FFA6A6A6"/>
      </right>
      <top style="thick">
        <color rgb="FFA6A6A6"/>
      </top>
      <bottom/>
      <diagonal/>
    </border>
    <border>
      <left style="thick">
        <color rgb="FFA6A6A6"/>
      </left>
      <right style="medium">
        <color rgb="FFA6A6A6"/>
      </right>
      <top style="thick">
        <color rgb="FFA6A6A6"/>
      </top>
      <bottom/>
      <diagonal/>
    </border>
    <border>
      <left/>
      <right style="thick">
        <color rgb="FFA6A6A6"/>
      </right>
      <top/>
      <bottom style="thick">
        <color rgb="FFA6A6A6"/>
      </bottom>
      <diagonal/>
    </border>
    <border>
      <left/>
      <right/>
      <top/>
      <bottom style="thick">
        <color rgb="FFA6A6A6"/>
      </bottom>
      <diagonal/>
    </border>
    <border>
      <left style="thick">
        <color rgb="FFA6A6A6"/>
      </left>
      <right/>
      <top/>
      <bottom style="thick">
        <color rgb="FFA6A6A6"/>
      </bottom>
      <diagonal/>
    </border>
    <border>
      <left/>
      <right style="thick">
        <color rgb="FFA6A6A6"/>
      </right>
      <top style="thick">
        <color rgb="FFA6A6A6"/>
      </top>
      <bottom/>
      <diagonal/>
    </border>
    <border>
      <left/>
      <right/>
      <top style="thick">
        <color rgb="FFA6A6A6"/>
      </top>
      <bottom/>
      <diagonal/>
    </border>
    <border>
      <left style="thick">
        <color rgb="FFA6A6A6"/>
      </left>
      <right/>
      <top style="thick">
        <color rgb="FFA6A6A6"/>
      </top>
      <bottom/>
      <diagonal/>
    </border>
    <border>
      <left style="medium">
        <color rgb="FFA6A6A6"/>
      </left>
      <right/>
      <top/>
      <bottom style="thick">
        <color rgb="FFA6A6A6"/>
      </bottom>
      <diagonal/>
    </border>
    <border>
      <left/>
      <right style="medium">
        <color rgb="FFA6A6A6"/>
      </right>
      <top/>
      <bottom style="thick">
        <color rgb="FFA6A6A6"/>
      </bottom>
      <diagonal/>
    </border>
    <border>
      <left/>
      <right style="thick">
        <color rgb="FFA6A6A6"/>
      </right>
      <top/>
      <bottom/>
      <diagonal/>
    </border>
    <border>
      <left style="medium">
        <color rgb="FFA6A6A6"/>
      </left>
      <right/>
      <top/>
      <bottom/>
      <diagonal/>
    </border>
    <border>
      <left/>
      <right style="medium">
        <color rgb="FFA6A6A6"/>
      </right>
      <top/>
      <bottom/>
      <diagonal/>
    </border>
    <border>
      <left style="thick">
        <color rgb="FFA6A6A6"/>
      </left>
      <right/>
      <top/>
      <bottom/>
      <diagonal/>
    </border>
    <border>
      <left style="medium">
        <color rgb="FFA6A6A6"/>
      </left>
      <right/>
      <top style="thick">
        <color rgb="FFA6A6A6"/>
      </top>
      <bottom/>
      <diagonal/>
    </border>
    <border>
      <left/>
      <right style="medium">
        <color rgb="FFA6A6A6"/>
      </right>
      <top style="thick">
        <color rgb="FFA6A6A6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theme="0" tint="-0.34998626667073579"/>
      </left>
      <right/>
      <top style="double">
        <color indexed="64"/>
      </top>
      <bottom style="thin">
        <color theme="0" tint="-0.34998626667073579"/>
      </bottom>
      <diagonal/>
    </border>
    <border>
      <left/>
      <right/>
      <top style="double">
        <color indexed="64"/>
      </top>
      <bottom style="thin">
        <color theme="0" tint="-0.34998626667073579"/>
      </bottom>
      <diagonal/>
    </border>
    <border>
      <left style="double">
        <color indexed="64"/>
      </left>
      <right/>
      <top style="double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double">
        <color indexed="64"/>
      </top>
      <bottom/>
      <diagonal/>
    </border>
    <border>
      <left style="thin">
        <color theme="0" tint="-0.34998626667073579"/>
      </left>
      <right/>
      <top style="double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indexed="64"/>
      </top>
      <bottom style="thin">
        <color theme="0" tint="-0.34998626667073579"/>
      </bottom>
      <diagonal/>
    </border>
    <border>
      <left/>
      <right style="double">
        <color indexed="64"/>
      </right>
      <top style="double">
        <color indexed="64"/>
      </top>
      <bottom style="thin">
        <color theme="0" tint="-0.34998626667073579"/>
      </bottom>
      <diagonal/>
    </border>
    <border>
      <left style="double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indexed="64"/>
      </left>
      <right style="thin">
        <color theme="0" tint="-0.34998626667073579"/>
      </right>
      <top style="thin">
        <color theme="0" tint="-0.34998626667073579"/>
      </top>
      <bottom style="double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uble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0" tint="-0.34998626667073579"/>
      </left>
      <right style="double">
        <color indexed="64"/>
      </right>
      <top style="thin">
        <color theme="0" tint="-0.34998626667073579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2" fillId="0" borderId="0"/>
    <xf numFmtId="0" fontId="1" fillId="0" borderId="0"/>
    <xf numFmtId="43" fontId="1" fillId="0" borderId="0" applyFont="0" applyFill="0" applyBorder="0" applyAlignment="0" applyProtection="0"/>
  </cellStyleXfs>
  <cellXfs count="234">
    <xf numFmtId="0" fontId="0" fillId="0" borderId="0" xfId="0"/>
    <xf numFmtId="0" fontId="2" fillId="0" borderId="0" xfId="0" applyFont="1"/>
    <xf numFmtId="0" fontId="5" fillId="0" borderId="0" xfId="0" applyFont="1"/>
    <xf numFmtId="164" fontId="5" fillId="0" borderId="0" xfId="1" applyNumberFormat="1" applyFont="1"/>
    <xf numFmtId="0" fontId="5" fillId="2" borderId="24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44" fontId="5" fillId="0" borderId="0" xfId="2" applyFont="1"/>
    <xf numFmtId="44" fontId="5" fillId="0" borderId="0" xfId="2" applyFont="1" applyAlignment="1">
      <alignment horizontal="right"/>
    </xf>
    <xf numFmtId="44" fontId="2" fillId="0" borderId="0" xfId="2" applyFont="1"/>
    <xf numFmtId="44" fontId="7" fillId="0" borderId="17" xfId="2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0" borderId="0" xfId="0" applyFont="1"/>
    <xf numFmtId="165" fontId="8" fillId="0" borderId="0" xfId="0" applyNumberFormat="1" applyFont="1" applyAlignment="1">
      <alignment horizontal="left" vertical="top"/>
    </xf>
    <xf numFmtId="165" fontId="2" fillId="0" borderId="0" xfId="0" applyNumberFormat="1" applyFont="1" applyAlignment="1" applyProtection="1">
      <alignment vertical="top"/>
      <protection locked="0"/>
    </xf>
    <xf numFmtId="165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3" fontId="2" fillId="0" borderId="10" xfId="0" applyNumberFormat="1" applyFont="1" applyBorder="1" applyAlignment="1">
      <alignment vertical="center"/>
    </xf>
    <xf numFmtId="44" fontId="2" fillId="0" borderId="10" xfId="2" applyFont="1" applyFill="1" applyBorder="1" applyAlignment="1">
      <alignment vertical="center"/>
    </xf>
    <xf numFmtId="2" fontId="2" fillId="0" borderId="10" xfId="3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3" fontId="2" fillId="0" borderId="13" xfId="0" applyNumberFormat="1" applyFont="1" applyBorder="1" applyAlignment="1">
      <alignment vertical="center"/>
    </xf>
    <xf numFmtId="44" fontId="2" fillId="0" borderId="13" xfId="2" applyFont="1" applyFill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right" vertical="center"/>
    </xf>
    <xf numFmtId="0" fontId="2" fillId="0" borderId="16" xfId="0" applyFont="1" applyBorder="1" applyAlignment="1">
      <alignment horizontal="center" vertical="center"/>
    </xf>
    <xf numFmtId="3" fontId="2" fillId="0" borderId="15" xfId="0" applyNumberFormat="1" applyFont="1" applyBorder="1" applyAlignment="1">
      <alignment vertical="center"/>
    </xf>
    <xf numFmtId="44" fontId="2" fillId="0" borderId="15" xfId="2" applyFont="1" applyFill="1" applyBorder="1" applyAlignment="1">
      <alignment vertical="center"/>
    </xf>
    <xf numFmtId="44" fontId="5" fillId="0" borderId="0" xfId="2" applyFont="1" applyFill="1"/>
    <xf numFmtId="44" fontId="2" fillId="0" borderId="0" xfId="2" applyFont="1" applyFill="1"/>
    <xf numFmtId="0" fontId="10" fillId="0" borderId="0" xfId="0" applyFont="1"/>
    <xf numFmtId="0" fontId="9" fillId="0" borderId="6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44" fontId="7" fillId="0" borderId="35" xfId="2" applyFont="1" applyFill="1" applyBorder="1" applyAlignment="1">
      <alignment horizontal="right" vertical="center" wrapText="1"/>
    </xf>
    <xf numFmtId="0" fontId="13" fillId="0" borderId="6" xfId="0" applyFont="1" applyBorder="1" applyAlignment="1">
      <alignment vertical="center"/>
    </xf>
    <xf numFmtId="0" fontId="0" fillId="0" borderId="0" xfId="0" applyAlignment="1">
      <alignment horizontal="center" vertical="center" textRotation="90"/>
    </xf>
    <xf numFmtId="0" fontId="0" fillId="0" borderId="3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4" fillId="4" borderId="42" xfId="0" applyFont="1" applyFill="1" applyBorder="1" applyAlignment="1">
      <alignment horizontal="center" vertical="center"/>
    </xf>
    <xf numFmtId="0" fontId="14" fillId="4" borderId="43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9" fontId="0" fillId="3" borderId="17" xfId="4" applyFont="1" applyFill="1" applyBorder="1" applyAlignment="1">
      <alignment horizontal="center" vertical="center"/>
    </xf>
    <xf numFmtId="2" fontId="0" fillId="3" borderId="45" xfId="0" applyNumberFormat="1" applyFill="1" applyBorder="1" applyAlignment="1">
      <alignment horizontal="center" vertical="center"/>
    </xf>
    <xf numFmtId="2" fontId="0" fillId="3" borderId="17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3" borderId="36" xfId="0" applyFill="1" applyBorder="1" applyAlignment="1">
      <alignment horizontal="left" vertical="center"/>
    </xf>
    <xf numFmtId="0" fontId="0" fillId="3" borderId="38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2" fontId="0" fillId="0" borderId="11" xfId="0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2" fontId="0" fillId="0" borderId="50" xfId="0" applyNumberFormat="1" applyBorder="1" applyAlignment="1">
      <alignment horizontal="center" vertical="center"/>
    </xf>
    <xf numFmtId="14" fontId="0" fillId="3" borderId="31" xfId="0" applyNumberFormat="1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 wrapText="1"/>
    </xf>
    <xf numFmtId="0" fontId="5" fillId="5" borderId="25" xfId="0" applyFont="1" applyFill="1" applyBorder="1" applyAlignment="1">
      <alignment vertical="center"/>
    </xf>
    <xf numFmtId="0" fontId="5" fillId="5" borderId="26" xfId="0" applyFont="1" applyFill="1" applyBorder="1" applyAlignment="1">
      <alignment vertical="center"/>
    </xf>
    <xf numFmtId="0" fontId="5" fillId="6" borderId="29" xfId="0" applyFont="1" applyFill="1" applyBorder="1" applyAlignment="1">
      <alignment vertical="center"/>
    </xf>
    <xf numFmtId="0" fontId="5" fillId="6" borderId="30" xfId="0" applyFont="1" applyFill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indent="15"/>
    </xf>
    <xf numFmtId="0" fontId="17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0" fillId="0" borderId="74" xfId="0" applyBorder="1"/>
    <xf numFmtId="0" fontId="22" fillId="0" borderId="7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9" fontId="0" fillId="0" borderId="0" xfId="4" applyFont="1"/>
    <xf numFmtId="0" fontId="20" fillId="0" borderId="7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quotePrefix="1" applyBorder="1" applyAlignment="1">
      <alignment vertical="top" wrapText="1"/>
    </xf>
    <xf numFmtId="0" fontId="0" fillId="0" borderId="78" xfId="0" quotePrefix="1" applyBorder="1" applyAlignment="1">
      <alignment vertical="top" wrapText="1"/>
    </xf>
    <xf numFmtId="44" fontId="7" fillId="0" borderId="45" xfId="2" applyFont="1" applyFill="1" applyBorder="1" applyAlignment="1">
      <alignment horizontal="right" vertical="center" wrapText="1"/>
    </xf>
    <xf numFmtId="44" fontId="7" fillId="0" borderId="16" xfId="2" applyFont="1" applyFill="1" applyBorder="1" applyAlignment="1">
      <alignment horizontal="right" vertical="center" wrapText="1"/>
    </xf>
    <xf numFmtId="2" fontId="2" fillId="0" borderId="7" xfId="3" applyNumberFormat="1" applyFont="1" applyBorder="1" applyAlignment="1">
      <alignment vertical="center"/>
    </xf>
    <xf numFmtId="2" fontId="2" fillId="0" borderId="81" xfId="3" applyNumberFormat="1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14" fontId="0" fillId="0" borderId="76" xfId="0" applyNumberFormat="1" applyBorder="1" applyAlignment="1">
      <alignment horizontal="center" vertical="center"/>
    </xf>
    <xf numFmtId="0" fontId="28" fillId="0" borderId="85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8" fillId="0" borderId="86" xfId="0" applyFont="1" applyBorder="1" applyAlignment="1">
      <alignment vertical="center"/>
    </xf>
    <xf numFmtId="0" fontId="28" fillId="0" borderId="87" xfId="0" applyFont="1" applyBorder="1" applyAlignment="1">
      <alignment vertical="center"/>
    </xf>
    <xf numFmtId="0" fontId="28" fillId="0" borderId="88" xfId="0" applyFont="1" applyBorder="1" applyAlignment="1">
      <alignment vertical="center" wrapText="1"/>
    </xf>
    <xf numFmtId="0" fontId="0" fillId="0" borderId="90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quotePrefix="1" applyBorder="1" applyAlignment="1">
      <alignment vertical="top" wrapText="1"/>
    </xf>
    <xf numFmtId="0" fontId="0" fillId="0" borderId="94" xfId="0" quotePrefix="1" applyBorder="1" applyAlignment="1">
      <alignment vertical="top" wrapText="1"/>
    </xf>
    <xf numFmtId="14" fontId="0" fillId="0" borderId="95" xfId="0" applyNumberFormat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9" fontId="2" fillId="0" borderId="10" xfId="4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 vertical="center" wrapText="1"/>
    </xf>
    <xf numFmtId="44" fontId="2" fillId="0" borderId="9" xfId="2" applyFont="1" applyFill="1" applyBorder="1" applyAlignment="1">
      <alignment horizontal="center" vertical="center" wrapText="1"/>
    </xf>
    <xf numFmtId="44" fontId="2" fillId="0" borderId="79" xfId="2" applyFont="1" applyFill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3" fontId="2" fillId="0" borderId="79" xfId="0" applyNumberFormat="1" applyFont="1" applyBorder="1" applyAlignment="1">
      <alignment horizontal="center" vertical="center" wrapText="1"/>
    </xf>
    <xf numFmtId="9" fontId="2" fillId="0" borderId="9" xfId="4" applyFont="1" applyBorder="1" applyAlignment="1">
      <alignment horizontal="center" vertical="center" wrapText="1"/>
    </xf>
    <xf numFmtId="9" fontId="2" fillId="0" borderId="80" xfId="4" applyFont="1" applyBorder="1" applyAlignment="1">
      <alignment horizontal="center" vertical="center" wrapText="1"/>
    </xf>
    <xf numFmtId="3" fontId="7" fillId="0" borderId="80" xfId="0" applyNumberFormat="1" applyFont="1" applyBorder="1" applyAlignment="1">
      <alignment horizontal="center" vertical="center" wrapText="1"/>
    </xf>
    <xf numFmtId="0" fontId="2" fillId="0" borderId="97" xfId="0" applyFont="1" applyBorder="1" applyAlignment="1">
      <alignment vertical="center"/>
    </xf>
    <xf numFmtId="3" fontId="7" fillId="0" borderId="36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79" xfId="0" applyFont="1" applyBorder="1" applyAlignment="1">
      <alignment vertical="center"/>
    </xf>
    <xf numFmtId="0" fontId="28" fillId="0" borderId="84" xfId="0" applyFont="1" applyBorder="1" applyAlignment="1">
      <alignment vertical="center" wrapText="1"/>
    </xf>
    <xf numFmtId="9" fontId="2" fillId="0" borderId="15" xfId="4" applyFont="1" applyBorder="1" applyAlignment="1">
      <alignment horizontal="center" vertical="center"/>
    </xf>
    <xf numFmtId="0" fontId="28" fillId="0" borderId="83" xfId="0" applyFont="1" applyBorder="1" applyAlignment="1">
      <alignment vertical="center" wrapText="1"/>
    </xf>
    <xf numFmtId="0" fontId="28" fillId="0" borderId="89" xfId="0" applyFont="1" applyBorder="1" applyAlignment="1">
      <alignment vertical="center" wrapText="1"/>
    </xf>
    <xf numFmtId="0" fontId="5" fillId="9" borderId="0" xfId="0" applyFont="1" applyFill="1"/>
    <xf numFmtId="0" fontId="5" fillId="10" borderId="0" xfId="0" applyFont="1" applyFill="1"/>
    <xf numFmtId="0" fontId="6" fillId="11" borderId="0" xfId="0" applyFont="1" applyFill="1"/>
    <xf numFmtId="0" fontId="6" fillId="8" borderId="0" xfId="0" applyFont="1" applyFill="1"/>
    <xf numFmtId="2" fontId="2" fillId="0" borderId="10" xfId="3" applyNumberFormat="1" applyFont="1" applyBorder="1" applyAlignment="1">
      <alignment vertical="center" wrapText="1"/>
    </xf>
    <xf numFmtId="2" fontId="2" fillId="0" borderId="82" xfId="3" applyNumberFormat="1" applyFont="1" applyBorder="1" applyAlignment="1">
      <alignment vertical="center" wrapText="1"/>
    </xf>
    <xf numFmtId="0" fontId="5" fillId="0" borderId="11" xfId="0" applyFont="1" applyBorder="1"/>
    <xf numFmtId="0" fontId="5" fillId="0" borderId="11" xfId="0" applyFont="1" applyBorder="1" applyAlignment="1">
      <alignment vertical="center"/>
    </xf>
    <xf numFmtId="0" fontId="28" fillId="0" borderId="85" xfId="0" applyFont="1" applyBorder="1" applyAlignment="1">
      <alignment vertical="center" wrapText="1"/>
    </xf>
    <xf numFmtId="0" fontId="28" fillId="0" borderId="2" xfId="0" applyFont="1" applyBorder="1" applyAlignment="1">
      <alignment vertical="center" wrapText="1"/>
    </xf>
    <xf numFmtId="0" fontId="28" fillId="0" borderId="86" xfId="0" applyFont="1" applyBorder="1" applyAlignment="1">
      <alignment vertical="center" wrapText="1"/>
    </xf>
    <xf numFmtId="0" fontId="28" fillId="0" borderId="87" xfId="0" applyFont="1" applyBorder="1" applyAlignment="1">
      <alignment vertical="center" wrapText="1"/>
    </xf>
    <xf numFmtId="0" fontId="0" fillId="0" borderId="90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76" xfId="0" applyBorder="1" applyAlignment="1">
      <alignment horizontal="center" vertical="center" wrapText="1"/>
    </xf>
    <xf numFmtId="14" fontId="0" fillId="0" borderId="76" xfId="0" applyNumberFormat="1" applyBorder="1" applyAlignment="1">
      <alignment horizontal="center" vertical="center" wrapText="1"/>
    </xf>
    <xf numFmtId="0" fontId="0" fillId="0" borderId="92" xfId="0" applyBorder="1" applyAlignment="1">
      <alignment horizontal="center" vertical="center" wrapText="1"/>
    </xf>
    <xf numFmtId="0" fontId="0" fillId="0" borderId="94" xfId="0" applyBorder="1" applyAlignment="1">
      <alignment horizontal="center" vertical="center" wrapText="1"/>
    </xf>
    <xf numFmtId="0" fontId="0" fillId="0" borderId="95" xfId="0" applyBorder="1" applyAlignment="1">
      <alignment horizontal="center" vertical="center" wrapText="1"/>
    </xf>
    <xf numFmtId="14" fontId="0" fillId="0" borderId="95" xfId="0" applyNumberFormat="1" applyBorder="1" applyAlignment="1">
      <alignment horizontal="center" vertical="center" wrapText="1"/>
    </xf>
    <xf numFmtId="0" fontId="0" fillId="0" borderId="96" xfId="0" applyBorder="1" applyAlignment="1">
      <alignment horizontal="center" vertical="center" wrapText="1"/>
    </xf>
    <xf numFmtId="0" fontId="0" fillId="0" borderId="78" xfId="0" quotePrefix="1" applyBorder="1" applyAlignment="1">
      <alignment vertical="center" wrapText="1"/>
    </xf>
    <xf numFmtId="0" fontId="0" fillId="0" borderId="77" xfId="0" quotePrefix="1" applyBorder="1" applyAlignment="1">
      <alignment vertical="center" wrapText="1"/>
    </xf>
    <xf numFmtId="0" fontId="0" fillId="0" borderId="93" xfId="0" quotePrefix="1" applyBorder="1" applyAlignment="1">
      <alignment vertical="center" wrapText="1"/>
    </xf>
    <xf numFmtId="0" fontId="0" fillId="0" borderId="94" xfId="0" quotePrefix="1" applyBorder="1" applyAlignment="1">
      <alignment vertical="center" wrapText="1"/>
    </xf>
    <xf numFmtId="8" fontId="10" fillId="0" borderId="0" xfId="0" applyNumberFormat="1" applyFont="1"/>
    <xf numFmtId="44" fontId="5" fillId="0" borderId="0" xfId="0" applyNumberFormat="1" applyFont="1"/>
    <xf numFmtId="0" fontId="5" fillId="3" borderId="19" xfId="0" applyFont="1" applyFill="1" applyBorder="1" applyAlignment="1">
      <alignment vertical="center"/>
    </xf>
    <xf numFmtId="0" fontId="5" fillId="4" borderId="19" xfId="0" applyFont="1" applyFill="1" applyBorder="1" applyAlignment="1">
      <alignment vertical="center"/>
    </xf>
    <xf numFmtId="0" fontId="18" fillId="0" borderId="61" xfId="0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6" fillId="0" borderId="55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166" fontId="16" fillId="0" borderId="54" xfId="0" quotePrefix="1" applyNumberFormat="1" applyFont="1" applyBorder="1" applyAlignment="1">
      <alignment horizontal="center" vertical="center" wrapText="1"/>
    </xf>
    <xf numFmtId="166" fontId="16" fillId="0" borderId="54" xfId="0" applyNumberFormat="1" applyFont="1" applyBorder="1" applyAlignment="1">
      <alignment horizontal="center" vertical="center" wrapText="1"/>
    </xf>
    <xf numFmtId="0" fontId="16" fillId="3" borderId="54" xfId="0" applyFont="1" applyFill="1" applyBorder="1" applyAlignment="1">
      <alignment horizontal="center" vertical="center" wrapText="1"/>
    </xf>
    <xf numFmtId="0" fontId="16" fillId="3" borderId="53" xfId="0" applyFont="1" applyFill="1" applyBorder="1" applyAlignment="1">
      <alignment horizontal="center" vertical="center" wrapText="1"/>
    </xf>
    <xf numFmtId="0" fontId="21" fillId="0" borderId="73" xfId="0" applyFont="1" applyBorder="1" applyAlignment="1">
      <alignment horizontal="left" vertical="center" wrapText="1"/>
    </xf>
    <xf numFmtId="0" fontId="21" fillId="0" borderId="73" xfId="0" applyFont="1" applyBorder="1" applyAlignment="1">
      <alignment horizontal="right" vertical="center" wrapText="1"/>
    </xf>
    <xf numFmtId="0" fontId="17" fillId="0" borderId="64" xfId="0" applyFont="1" applyBorder="1" applyAlignment="1">
      <alignment horizontal="left" vertical="center" wrapText="1"/>
    </xf>
    <xf numFmtId="0" fontId="17" fillId="0" borderId="63" xfId="0" applyFont="1" applyBorder="1" applyAlignment="1">
      <alignment horizontal="left" vertical="center" wrapText="1"/>
    </xf>
    <xf numFmtId="0" fontId="17" fillId="0" borderId="72" xfId="0" applyFont="1" applyBorder="1" applyAlignment="1">
      <alignment horizontal="left" vertical="center" wrapText="1"/>
    </xf>
    <xf numFmtId="0" fontId="17" fillId="0" borderId="71" xfId="0" applyFont="1" applyBorder="1" applyAlignment="1">
      <alignment horizontal="left" vertical="center" wrapText="1"/>
    </xf>
    <xf numFmtId="0" fontId="17" fillId="0" borderId="63" xfId="0" applyFont="1" applyBorder="1" applyAlignment="1">
      <alignment vertical="center" wrapText="1"/>
    </xf>
    <xf numFmtId="0" fontId="25" fillId="0" borderId="75" xfId="0" applyFont="1" applyBorder="1" applyAlignment="1">
      <alignment horizontal="center" vertical="center"/>
    </xf>
    <xf numFmtId="0" fontId="17" fillId="0" borderId="62" xfId="0" applyFont="1" applyBorder="1" applyAlignment="1">
      <alignment horizontal="left" vertical="center" wrapText="1"/>
    </xf>
    <xf numFmtId="0" fontId="18" fillId="0" borderId="7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69" xfId="0" applyFont="1" applyBorder="1" applyAlignment="1">
      <alignment horizontal="center" vertical="center" wrapText="1"/>
    </xf>
    <xf numFmtId="0" fontId="18" fillId="0" borderId="66" xfId="0" applyFont="1" applyBorder="1" applyAlignment="1">
      <alignment horizontal="center" vertical="center" wrapText="1"/>
    </xf>
    <xf numFmtId="0" fontId="18" fillId="0" borderId="68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19" fillId="0" borderId="68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67" xfId="0" applyFont="1" applyBorder="1" applyAlignment="1">
      <alignment horizontal="center" vertical="center" wrapText="1"/>
    </xf>
    <xf numFmtId="0" fontId="19" fillId="0" borderId="65" xfId="0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19" fillId="0" borderId="59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6" fillId="7" borderId="0" xfId="0" applyFont="1" applyFill="1" applyAlignment="1">
      <alignment horizontal="center" vertical="center"/>
    </xf>
    <xf numFmtId="0" fontId="17" fillId="0" borderId="58" xfId="0" applyFont="1" applyBorder="1" applyAlignment="1">
      <alignment horizontal="left" vertical="center" wrapText="1"/>
    </xf>
    <xf numFmtId="0" fontId="17" fillId="0" borderId="57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9" fontId="0" fillId="0" borderId="76" xfId="4" applyFont="1" applyBorder="1" applyAlignment="1">
      <alignment horizontal="center" vertical="center" wrapText="1"/>
    </xf>
    <xf numFmtId="9" fontId="0" fillId="0" borderId="91" xfId="4" applyFont="1" applyBorder="1" applyAlignment="1">
      <alignment horizontal="center" vertical="center" wrapText="1"/>
    </xf>
  </cellXfs>
  <cellStyles count="10">
    <cellStyle name="Milliers" xfId="1" builtinId="3"/>
    <cellStyle name="Milliers 223" xfId="9" xr:uid="{2480DF97-5A20-44D8-A10D-0FD3D15A3991}"/>
    <cellStyle name="Monétaire" xfId="2" builtinId="4"/>
    <cellStyle name="Normal" xfId="0" builtinId="0"/>
    <cellStyle name="Normal 19" xfId="5" xr:uid="{6E2ECF53-3FB7-4511-8287-30401265D787}"/>
    <cellStyle name="Normal 20" xfId="6" xr:uid="{086EFA72-5B20-4962-8067-127E5D87E774}"/>
    <cellStyle name="Normal 6 2" xfId="7" xr:uid="{045135F1-FB43-4D46-BB81-A95723CAB9B0}"/>
    <cellStyle name="Normal 783" xfId="8" xr:uid="{72947DCC-14E9-4183-A3A8-42044E33DE8B}"/>
    <cellStyle name="Normal 92" xfId="3" xr:uid="{54D81386-B5E9-454F-B88F-463EF6E0AE6E}"/>
    <cellStyle name="Pourcentage" xfId="4" builtinId="5"/>
  </cellStyles>
  <dxfs count="32">
    <dxf>
      <font>
        <b/>
        <i val="0"/>
        <color theme="6" tint="-0.499984740745262"/>
      </font>
      <fill>
        <patternFill>
          <bgColor theme="6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6" tint="-0.499984740745262"/>
      </font>
      <fill>
        <patternFill>
          <bgColor theme="6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6" tint="-0.499984740745262"/>
      </font>
      <fill>
        <patternFill>
          <bgColor theme="6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6" tint="-0.499984740745262"/>
      </font>
      <fill>
        <patternFill>
          <bgColor theme="6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6" tint="-0.499984740745262"/>
      </font>
      <fill>
        <patternFill>
          <bgColor theme="6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6" tint="-0.499984740745262"/>
      </font>
      <fill>
        <patternFill>
          <bgColor theme="6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6" tint="-0.499984740745262"/>
      </font>
      <fill>
        <patternFill>
          <bgColor theme="6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6" tint="-0.499984740745262"/>
      </font>
      <fill>
        <patternFill>
          <bgColor theme="6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6" tint="-0.499984740745262"/>
      </font>
      <fill>
        <patternFill>
          <bgColor theme="6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6" tint="-0.499984740745262"/>
      </font>
      <fill>
        <patternFill>
          <bgColor theme="6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6" tint="-0.499984740745262"/>
      </font>
      <fill>
        <patternFill>
          <bgColor theme="6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6" tint="-0.499984740745262"/>
      </font>
      <fill>
        <patternFill>
          <bgColor theme="6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9B6AC8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9B6AC8"/>
        </patternFill>
      </fill>
    </dxf>
  </dxfs>
  <tableStyles count="0" defaultTableStyle="TableStyleMedium2" defaultPivotStyle="PivotStyleLight16"/>
  <colors>
    <mruColors>
      <color rgb="FF9B6A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55</xdr:col>
      <xdr:colOff>0</xdr:colOff>
      <xdr:row>0</xdr:row>
      <xdr:rowOff>49120</xdr:rowOff>
    </xdr:from>
    <xdr:ext cx="2909361" cy="1546317"/>
    <xdr:pic>
      <xdr:nvPicPr>
        <xdr:cNvPr id="3" name="Image 2">
          <a:extLst>
            <a:ext uri="{FF2B5EF4-FFF2-40B4-BE49-F238E27FC236}">
              <a16:creationId xmlns:a16="http://schemas.microsoft.com/office/drawing/2014/main" id="{176BA03B-BBB2-4CDE-BCD1-CF33F5B8CA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19" t="30256" r="23736" b="28205"/>
        <a:stretch/>
      </xdr:blipFill>
      <xdr:spPr>
        <a:xfrm>
          <a:off x="140155651" y="51025"/>
          <a:ext cx="2909361" cy="154631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banMichaud\AppData\Local\Microsoft\Windows\INetCache\Content.Outlook\FXR2SF63\2019-12-04-ACT%20V4-LOT%2016%20ELE-%203-18-287%20(002).xlsm" TargetMode="External"/><Relationship Id="rId1" Type="http://schemas.openxmlformats.org/officeDocument/2006/relationships/externalLinkPath" Target="file:///C:\Users\AlbanMichaud\AppData\Local\Microsoft\Windows\INetCache\Content.Outlook\FXR2SF63\2019-12-04-ACT%20V4-LOT%2016%20ELE-%203-18-287%20(00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TORIEL"/>
      <sheetName val="Tableau V1"/>
      <sheetName val="Tableau V2"/>
      <sheetName val="DPGF V3"/>
      <sheetName val="DPGF V4"/>
      <sheetName val="GARDE"/>
      <sheetName val="BALAS"/>
      <sheetName val="BRUNET"/>
      <sheetName val="ENGIE"/>
      <sheetName val="PEZANT"/>
      <sheetName val="ACORUS"/>
      <sheetName val="RESOLUTION"/>
      <sheetName val="ENT 7"/>
      <sheetName val="ENT 8"/>
      <sheetName val="ENT 9"/>
      <sheetName val="ENT 10"/>
      <sheetName val="SYNTHESE"/>
      <sheetName val="CALCULS"/>
    </sheetNames>
    <sheetDataSet>
      <sheetData sheetId="0"/>
      <sheetData sheetId="1"/>
      <sheetData sheetId="2"/>
      <sheetData sheetId="3">
        <row r="705">
          <cell r="B705" t="str">
            <v>TYPE 1 - SPOT</v>
          </cell>
        </row>
      </sheetData>
      <sheetData sheetId="4">
        <row r="335">
          <cell r="J335">
            <v>3580.88</v>
          </cell>
        </row>
      </sheetData>
      <sheetData sheetId="5">
        <row r="9">
          <cell r="Y9">
            <v>0.4</v>
          </cell>
        </row>
      </sheetData>
      <sheetData sheetId="6">
        <row r="4">
          <cell r="D4" t="str">
            <v>INDICE INDICE</v>
          </cell>
        </row>
      </sheetData>
      <sheetData sheetId="7">
        <row r="121">
          <cell r="F121">
            <v>457356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B8">
            <v>1</v>
          </cell>
          <cell r="C8" t="str">
            <v>BALAS</v>
          </cell>
          <cell r="D8">
            <v>470000</v>
          </cell>
          <cell r="E8">
            <v>470000</v>
          </cell>
          <cell r="F8">
            <v>470000</v>
          </cell>
          <cell r="G8">
            <v>470000</v>
          </cell>
          <cell r="H8">
            <v>470000</v>
          </cell>
          <cell r="I8">
            <v>0</v>
          </cell>
          <cell r="J8">
            <v>10</v>
          </cell>
          <cell r="K8">
            <v>10</v>
          </cell>
        </row>
        <row r="9">
          <cell r="B9">
            <v>3</v>
          </cell>
          <cell r="C9" t="str">
            <v>BRUNET</v>
          </cell>
          <cell r="D9">
            <v>598031</v>
          </cell>
          <cell r="E9">
            <v>598031</v>
          </cell>
          <cell r="F9">
            <v>598031</v>
          </cell>
          <cell r="G9">
            <v>598031</v>
          </cell>
          <cell r="H9">
            <v>598031</v>
          </cell>
          <cell r="I9">
            <v>0</v>
          </cell>
          <cell r="J9">
            <v>7.2759361702127663</v>
          </cell>
          <cell r="K9">
            <v>7.2759361702127663</v>
          </cell>
        </row>
        <row r="10">
          <cell r="B10">
            <v>2</v>
          </cell>
          <cell r="C10" t="str">
            <v>ENGIE</v>
          </cell>
          <cell r="D10">
            <v>519000</v>
          </cell>
          <cell r="E10">
            <v>519000</v>
          </cell>
          <cell r="F10">
            <v>519000</v>
          </cell>
          <cell r="G10">
            <v>519000</v>
          </cell>
          <cell r="H10">
            <v>519000</v>
          </cell>
          <cell r="I10">
            <v>0</v>
          </cell>
          <cell r="J10">
            <v>8.9574468085106389</v>
          </cell>
          <cell r="K10">
            <v>8.9574468085106389</v>
          </cell>
        </row>
        <row r="11">
          <cell r="B11">
            <v>5</v>
          </cell>
          <cell r="C11" t="str">
            <v>PEZANT</v>
          </cell>
          <cell r="D11">
            <v>633804.28720000002</v>
          </cell>
          <cell r="E11">
            <v>633804.28720000002</v>
          </cell>
          <cell r="F11">
            <v>633804.28720000002</v>
          </cell>
          <cell r="G11">
            <v>633804.28720000002</v>
          </cell>
          <cell r="H11">
            <v>633804.28720000002</v>
          </cell>
          <cell r="I11">
            <v>0</v>
          </cell>
          <cell r="J11">
            <v>6.5148023999999989</v>
          </cell>
          <cell r="K11">
            <v>6.5148023999999989</v>
          </cell>
        </row>
        <row r="12">
          <cell r="B12">
            <v>6</v>
          </cell>
          <cell r="C12" t="str">
            <v>ACORUS</v>
          </cell>
          <cell r="D12">
            <v>738193.56</v>
          </cell>
          <cell r="E12">
            <v>738193.56</v>
          </cell>
          <cell r="F12">
            <v>738193.56</v>
          </cell>
          <cell r="G12">
            <v>738193.56</v>
          </cell>
          <cell r="H12">
            <v>738193.56</v>
          </cell>
          <cell r="I12">
            <v>0</v>
          </cell>
          <cell r="J12">
            <v>4.293754042553191</v>
          </cell>
          <cell r="K12">
            <v>4.293754042553191</v>
          </cell>
        </row>
        <row r="13">
          <cell r="B13">
            <v>4</v>
          </cell>
          <cell r="C13" t="str">
            <v>RESOLUTION</v>
          </cell>
          <cell r="D13">
            <v>608074.30000000005</v>
          </cell>
          <cell r="E13">
            <v>608074.30000000005</v>
          </cell>
          <cell r="F13">
            <v>608074.30000000005</v>
          </cell>
          <cell r="G13">
            <v>608074.30000000005</v>
          </cell>
          <cell r="H13">
            <v>608074.30000000005</v>
          </cell>
          <cell r="I13">
            <v>0</v>
          </cell>
          <cell r="J13">
            <v>7.0622489361702119</v>
          </cell>
          <cell r="K13">
            <v>7.0622489361702119</v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</row>
        <row r="22">
          <cell r="B22">
            <v>1</v>
          </cell>
          <cell r="C22" t="str">
            <v>BALAS</v>
          </cell>
          <cell r="D22">
            <v>442378.82</v>
          </cell>
          <cell r="E22">
            <v>442378.82</v>
          </cell>
          <cell r="F22" t="str">
            <v>CONFORME</v>
          </cell>
          <cell r="G22">
            <v>442378.82</v>
          </cell>
          <cell r="H22">
            <v>442378.82</v>
          </cell>
          <cell r="I22">
            <v>442378.82</v>
          </cell>
          <cell r="J22">
            <v>0</v>
          </cell>
          <cell r="K22">
            <v>10</v>
          </cell>
          <cell r="L22">
            <v>10</v>
          </cell>
        </row>
        <row r="23">
          <cell r="B23">
            <v>2</v>
          </cell>
          <cell r="C23" t="str">
            <v>BRUNET</v>
          </cell>
          <cell r="D23">
            <v>517088</v>
          </cell>
          <cell r="E23">
            <v>517088</v>
          </cell>
          <cell r="F23" t="str">
            <v>CONFORME</v>
          </cell>
          <cell r="G23">
            <v>517088</v>
          </cell>
          <cell r="H23">
            <v>517088</v>
          </cell>
          <cell r="I23">
            <v>517088</v>
          </cell>
          <cell r="J23">
            <v>0</v>
          </cell>
          <cell r="K23">
            <v>8.3111944645089473</v>
          </cell>
          <cell r="L23">
            <v>8.3111944645089473</v>
          </cell>
        </row>
        <row r="24">
          <cell r="B24">
            <v>3</v>
          </cell>
          <cell r="C24" t="str">
            <v>ENGIE</v>
          </cell>
          <cell r="D24">
            <v>545068.21</v>
          </cell>
          <cell r="E24">
            <v>545068.21</v>
          </cell>
          <cell r="F24" t="str">
            <v>CONFORME</v>
          </cell>
          <cell r="G24">
            <v>545068.21</v>
          </cell>
          <cell r="H24">
            <v>545068.21</v>
          </cell>
          <cell r="I24">
            <v>545068.21</v>
          </cell>
          <cell r="J24">
            <v>0</v>
          </cell>
          <cell r="K24">
            <v>7.6787001240249264</v>
          </cell>
          <cell r="L24">
            <v>7.6787001240249264</v>
          </cell>
        </row>
        <row r="25">
          <cell r="C25" t="str">
            <v>PEZANT</v>
          </cell>
          <cell r="D25">
            <v>633804.28720000002</v>
          </cell>
          <cell r="E25">
            <v>633804.28720000002</v>
          </cell>
          <cell r="F25" t="str">
            <v>NON CONFORME</v>
          </cell>
          <cell r="G25">
            <v>633804.28720000002</v>
          </cell>
          <cell r="H25">
            <v>633804.28720000002</v>
          </cell>
          <cell r="I25">
            <v>633804.28720000002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ACORUS</v>
          </cell>
          <cell r="D26">
            <v>738193.56</v>
          </cell>
          <cell r="E26">
            <v>738193.56</v>
          </cell>
          <cell r="F26" t="str">
            <v>NON CONFORME</v>
          </cell>
          <cell r="G26">
            <v>738193.56</v>
          </cell>
          <cell r="H26">
            <v>738193.56</v>
          </cell>
          <cell r="I26">
            <v>738193.56</v>
          </cell>
          <cell r="J26">
            <v>0</v>
          </cell>
          <cell r="K26">
            <v>0</v>
          </cell>
          <cell r="L26">
            <v>0</v>
          </cell>
        </row>
        <row r="27">
          <cell r="C27" t="str">
            <v>RESOLUTION</v>
          </cell>
          <cell r="D27">
            <v>608074.30000000005</v>
          </cell>
          <cell r="E27">
            <v>608074.30000000005</v>
          </cell>
          <cell r="F27" t="str">
            <v>NON CONFORME</v>
          </cell>
          <cell r="G27">
            <v>608074.30000000005</v>
          </cell>
          <cell r="H27">
            <v>608074.30000000005</v>
          </cell>
          <cell r="I27">
            <v>608074.30000000005</v>
          </cell>
          <cell r="J27">
            <v>0</v>
          </cell>
          <cell r="K27">
            <v>0</v>
          </cell>
          <cell r="L27">
            <v>0</v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</row>
        <row r="36">
          <cell r="B36">
            <v>1</v>
          </cell>
          <cell r="C36" t="str">
            <v>BALAS</v>
          </cell>
          <cell r="D36">
            <v>440173.49</v>
          </cell>
          <cell r="E36">
            <v>440173.49</v>
          </cell>
          <cell r="F36">
            <v>440173.49</v>
          </cell>
          <cell r="G36">
            <v>440173.49</v>
          </cell>
          <cell r="H36">
            <v>440173.49</v>
          </cell>
          <cell r="I36">
            <v>0</v>
          </cell>
          <cell r="J36">
            <v>10</v>
          </cell>
          <cell r="K36">
            <v>10</v>
          </cell>
        </row>
        <row r="37">
          <cell r="B37">
            <v>2</v>
          </cell>
          <cell r="C37" t="str">
            <v>BRUNET</v>
          </cell>
          <cell r="D37">
            <v>457356</v>
          </cell>
          <cell r="E37">
            <v>457356</v>
          </cell>
          <cell r="F37">
            <v>457356</v>
          </cell>
          <cell r="G37">
            <v>457356</v>
          </cell>
          <cell r="H37">
            <v>457356</v>
          </cell>
          <cell r="I37">
            <v>0</v>
          </cell>
          <cell r="J37">
            <v>9.6096423253476715</v>
          </cell>
          <cell r="K37">
            <v>9.6096423253476715</v>
          </cell>
        </row>
        <row r="38">
          <cell r="B38">
            <v>3</v>
          </cell>
          <cell r="C38" t="str">
            <v>ENGIE</v>
          </cell>
          <cell r="D38">
            <v>505596.64</v>
          </cell>
          <cell r="E38">
            <v>505596.64</v>
          </cell>
          <cell r="F38">
            <v>505596.64</v>
          </cell>
          <cell r="G38">
            <v>505596.64</v>
          </cell>
          <cell r="H38">
            <v>505596.64</v>
          </cell>
          <cell r="I38">
            <v>0</v>
          </cell>
          <cell r="J38">
            <v>8.5136962700775083</v>
          </cell>
          <cell r="K38">
            <v>8.5136962700775083</v>
          </cell>
        </row>
        <row r="39">
          <cell r="B39" t="str">
            <v/>
          </cell>
          <cell r="C39" t="str">
            <v>PEZANT</v>
          </cell>
          <cell r="D39">
            <v>0</v>
          </cell>
          <cell r="E39" t="str">
            <v xml:space="preserve"> </v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B40" t="str">
            <v/>
          </cell>
          <cell r="C40" t="str">
            <v>ACORUS</v>
          </cell>
          <cell r="D40">
            <v>0</v>
          </cell>
          <cell r="E40" t="str">
            <v xml:space="preserve"> </v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B41" t="str">
            <v/>
          </cell>
          <cell r="C41" t="str">
            <v>RESOLUTION</v>
          </cell>
          <cell r="D41">
            <v>0</v>
          </cell>
          <cell r="E41" t="str">
            <v xml:space="preserve"> </v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17B60-AF7E-4F6C-BE1B-BB00DB8E864E}">
  <sheetPr codeName="Feuil4">
    <tabColor rgb="FF00B0F0"/>
    <pageSetUpPr fitToPage="1"/>
  </sheetPr>
  <dimension ref="A1:AE32"/>
  <sheetViews>
    <sheetView showGridLines="0" view="pageBreakPreview" zoomScale="70" zoomScaleNormal="100" zoomScaleSheetLayoutView="70" workbookViewId="0">
      <selection activeCell="Q30" activeCellId="7" sqref="A23:C23 D23:F23 G23:U23 A27:U27 A30:E30 F30:K30 L30:P30 Q30:U30"/>
    </sheetView>
  </sheetViews>
  <sheetFormatPr baseColWidth="10" defaultColWidth="11.44140625" defaultRowHeight="14.4" outlineLevelCol="1" x14ac:dyDescent="0.3"/>
  <cols>
    <col min="1" max="21" width="4.5546875" customWidth="1"/>
    <col min="22" max="30" width="11.44140625" hidden="1" customWidth="1" outlineLevel="1"/>
    <col min="31" max="31" width="11.44140625" collapsed="1"/>
  </cols>
  <sheetData>
    <row r="1" spans="1:30" ht="18" x14ac:dyDescent="0.3">
      <c r="A1" s="192" t="s">
        <v>76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</row>
    <row r="2" spans="1:30" x14ac:dyDescent="0.3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</row>
    <row r="3" spans="1:30" ht="28.2" x14ac:dyDescent="0.3">
      <c r="A3" s="206" t="str">
        <f>'Feuille de Donnée'!F3</f>
        <v>Maitre d'ouvrage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11" t="s">
        <v>75</v>
      </c>
      <c r="W3" s="211"/>
      <c r="X3" s="211"/>
      <c r="Y3" s="211"/>
      <c r="Z3" s="211"/>
      <c r="AA3" s="211"/>
      <c r="AB3" s="211"/>
      <c r="AC3" s="211"/>
      <c r="AD3" s="211"/>
    </row>
    <row r="4" spans="1:30" ht="20.399999999999999" x14ac:dyDescent="0.3">
      <c r="A4" s="207"/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10" t="s">
        <v>74</v>
      </c>
      <c r="W4" s="210"/>
      <c r="X4" s="210"/>
      <c r="Y4" s="210"/>
      <c r="Z4" s="102">
        <v>10</v>
      </c>
      <c r="AA4" t="s">
        <v>73</v>
      </c>
    </row>
    <row r="5" spans="1:30" ht="28.5" customHeight="1" x14ac:dyDescent="0.3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96"/>
      <c r="N5" s="96"/>
      <c r="O5" s="96"/>
      <c r="P5" s="96"/>
      <c r="Q5" s="96"/>
      <c r="R5" s="96"/>
      <c r="S5" s="96"/>
      <c r="T5" s="96"/>
      <c r="U5" s="96"/>
    </row>
    <row r="6" spans="1:30" ht="18" customHeight="1" x14ac:dyDescent="0.3">
      <c r="A6" s="192" t="s">
        <v>72</v>
      </c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W6" t="s">
        <v>71</v>
      </c>
      <c r="Y6" s="100">
        <v>0.4</v>
      </c>
    </row>
    <row r="7" spans="1:30" ht="41.4" customHeight="1" x14ac:dyDescent="0.3">
      <c r="A7" s="209" t="str">
        <f>'Feuille de Donnée'!H3</f>
        <v xml:space="preserve">Déscription de l'affaire
</v>
      </c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</row>
    <row r="8" spans="1:30" ht="43.95" customHeight="1" x14ac:dyDescent="0.3">
      <c r="A8" s="209"/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</row>
    <row r="9" spans="1:30" ht="15" customHeight="1" x14ac:dyDescent="0.3">
      <c r="A9" s="195" t="str">
        <f>'Feuille de Donnée'!I3</f>
        <v>1 rue de l'adresse</v>
      </c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</row>
    <row r="10" spans="1:30" ht="28.2" x14ac:dyDescent="0.3">
      <c r="A10" s="208"/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</row>
    <row r="11" spans="1:30" ht="54" customHeight="1" x14ac:dyDescent="0.3">
      <c r="A11" s="99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</row>
    <row r="12" spans="1:30" ht="28.2" x14ac:dyDescent="0.3">
      <c r="A12" s="98" t="s">
        <v>70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</row>
    <row r="13" spans="1:30" ht="52.5" customHeight="1" x14ac:dyDescent="0.3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6"/>
      <c r="N13" s="96"/>
      <c r="O13" s="96"/>
      <c r="P13" s="96"/>
      <c r="Q13" s="96"/>
      <c r="R13" s="96"/>
      <c r="S13" s="96"/>
      <c r="T13" s="96"/>
      <c r="U13" s="96"/>
    </row>
    <row r="14" spans="1:30" x14ac:dyDescent="0.3">
      <c r="A14" s="93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</row>
    <row r="15" spans="1:30" ht="15.75" customHeight="1" x14ac:dyDescent="0.3">
      <c r="A15" s="185" t="s">
        <v>69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6"/>
      <c r="O15" s="186"/>
      <c r="P15" s="186"/>
      <c r="Q15" s="186"/>
      <c r="R15" s="186"/>
      <c r="S15" s="186"/>
      <c r="T15" s="186"/>
      <c r="U15" s="186"/>
      <c r="V15" s="95"/>
    </row>
    <row r="16" spans="1:30" ht="15" customHeight="1" x14ac:dyDescent="0.3">
      <c r="A16" s="185" t="s">
        <v>68</v>
      </c>
      <c r="B16" s="185"/>
      <c r="C16" s="185"/>
      <c r="D16" s="185"/>
      <c r="E16" s="185"/>
      <c r="F16" s="185"/>
      <c r="G16" s="185" t="str">
        <f>'Feuille de Donnée'!G3</f>
        <v>Maitre d'œuvre</v>
      </c>
      <c r="H16" s="185"/>
      <c r="I16" s="185"/>
      <c r="J16" s="185"/>
      <c r="K16" s="185"/>
      <c r="L16" s="185"/>
      <c r="M16" s="185"/>
      <c r="N16" s="186"/>
      <c r="O16" s="186"/>
      <c r="P16" s="186"/>
      <c r="Q16" s="186"/>
      <c r="R16" s="186"/>
      <c r="S16" s="186"/>
      <c r="T16" s="186"/>
      <c r="U16" s="186"/>
      <c r="V16" s="94"/>
    </row>
    <row r="17" spans="1:22" ht="15" customHeight="1" x14ac:dyDescent="0.3">
      <c r="A17" s="185" t="s">
        <v>67</v>
      </c>
      <c r="B17" s="185"/>
      <c r="C17" s="185"/>
      <c r="D17" s="185"/>
      <c r="E17" s="185"/>
      <c r="F17" s="185"/>
      <c r="G17" s="185" t="s">
        <v>84</v>
      </c>
      <c r="H17" s="185"/>
      <c r="I17" s="185"/>
      <c r="J17" s="185"/>
      <c r="K17" s="185"/>
      <c r="L17" s="185"/>
      <c r="M17" s="185"/>
      <c r="N17" s="186"/>
      <c r="O17" s="186"/>
      <c r="P17" s="186"/>
      <c r="Q17" s="186"/>
      <c r="R17" s="186"/>
      <c r="S17" s="186"/>
      <c r="T17" s="186"/>
      <c r="U17" s="186"/>
      <c r="V17" s="94"/>
    </row>
    <row r="18" spans="1:22" ht="15" customHeight="1" x14ac:dyDescent="0.3">
      <c r="A18" s="185" t="s">
        <v>66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6"/>
      <c r="O18" s="186"/>
      <c r="P18" s="186"/>
      <c r="Q18" s="186"/>
      <c r="R18" s="186"/>
      <c r="S18" s="186"/>
      <c r="T18" s="186"/>
      <c r="U18" s="186"/>
      <c r="V18" s="94"/>
    </row>
    <row r="19" spans="1:22" ht="15" customHeight="1" x14ac:dyDescent="0.3">
      <c r="A19" s="185" t="s">
        <v>65</v>
      </c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6"/>
      <c r="O19" s="186"/>
      <c r="P19" s="186"/>
      <c r="Q19" s="186"/>
      <c r="R19" s="186"/>
      <c r="S19" s="186"/>
      <c r="T19" s="186"/>
      <c r="U19" s="186"/>
      <c r="V19" s="94"/>
    </row>
    <row r="20" spans="1:22" x14ac:dyDescent="0.3">
      <c r="A20" s="185" t="s">
        <v>64</v>
      </c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6"/>
      <c r="O20" s="186"/>
      <c r="P20" s="186"/>
      <c r="Q20" s="186"/>
      <c r="R20" s="186"/>
      <c r="S20" s="186"/>
      <c r="T20" s="186"/>
      <c r="U20" s="186"/>
      <c r="V20" s="94"/>
    </row>
    <row r="21" spans="1:22" x14ac:dyDescent="0.3">
      <c r="A21" s="185"/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6"/>
      <c r="O21" s="186"/>
      <c r="P21" s="186"/>
      <c r="Q21" s="186"/>
      <c r="R21" s="186"/>
      <c r="S21" s="186"/>
      <c r="T21" s="186"/>
      <c r="U21" s="186"/>
    </row>
    <row r="22" spans="1:22" ht="15.75" customHeight="1" thickBot="1" x14ac:dyDescent="0.35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</row>
    <row r="23" spans="1:22" ht="20.25" customHeight="1" thickTop="1" x14ac:dyDescent="0.3">
      <c r="A23" s="187" t="s">
        <v>63</v>
      </c>
      <c r="B23" s="188"/>
      <c r="C23" s="189"/>
      <c r="D23" s="190" t="s">
        <v>62</v>
      </c>
      <c r="E23" s="188"/>
      <c r="F23" s="189"/>
      <c r="G23" s="190" t="s">
        <v>61</v>
      </c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93"/>
    </row>
    <row r="24" spans="1:22" ht="16.5" customHeight="1" x14ac:dyDescent="0.3">
      <c r="A24" s="194" t="s">
        <v>12</v>
      </c>
      <c r="B24" s="195"/>
      <c r="C24" s="196"/>
      <c r="D24" s="198" t="str">
        <f ca="1">'Feuille de Donnée'!M3</f>
        <v>0</v>
      </c>
      <c r="E24" s="195"/>
      <c r="F24" s="196"/>
      <c r="G24" s="200" t="str">
        <f ca="1">'Feuille de Donnée'!J3</f>
        <v>NOMDULOT</v>
      </c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2"/>
    </row>
    <row r="25" spans="1:22" ht="15" thickBot="1" x14ac:dyDescent="0.35">
      <c r="A25" s="175"/>
      <c r="B25" s="176"/>
      <c r="C25" s="197"/>
      <c r="D25" s="199"/>
      <c r="E25" s="176"/>
      <c r="F25" s="197"/>
      <c r="G25" s="203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5"/>
    </row>
    <row r="26" spans="1:22" ht="15.75" customHeight="1" thickTop="1" thickBot="1" x14ac:dyDescent="0.35">
      <c r="A26" s="191"/>
      <c r="B26" s="191"/>
      <c r="C26" s="191"/>
      <c r="D26" s="191"/>
      <c r="E26" s="191"/>
      <c r="F26" s="191"/>
      <c r="G26" s="178"/>
      <c r="H26" s="178"/>
      <c r="I26" s="178"/>
      <c r="J26" s="178"/>
      <c r="K26" s="178"/>
      <c r="L26" s="178"/>
      <c r="M26" s="178"/>
      <c r="N26" s="92"/>
      <c r="O26" s="178"/>
      <c r="P26" s="178"/>
    </row>
    <row r="27" spans="1:22" ht="21" customHeight="1" thickTop="1" x14ac:dyDescent="0.3">
      <c r="A27" s="187" t="s">
        <v>60</v>
      </c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93"/>
    </row>
    <row r="28" spans="1:22" ht="17.25" customHeight="1" thickBot="1" x14ac:dyDescent="0.35">
      <c r="A28" s="175" t="s">
        <v>59</v>
      </c>
      <c r="B28" s="176"/>
      <c r="C28" s="176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7"/>
    </row>
    <row r="29" spans="1:22" ht="15.75" customHeight="1" thickTop="1" thickBot="1" x14ac:dyDescent="0.35">
      <c r="A29" s="178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92"/>
      <c r="O29" s="92"/>
      <c r="P29" s="92"/>
    </row>
    <row r="30" spans="1:22" ht="15.75" customHeight="1" thickTop="1" x14ac:dyDescent="0.3">
      <c r="A30" s="212" t="s">
        <v>58</v>
      </c>
      <c r="B30" s="213"/>
      <c r="C30" s="213"/>
      <c r="D30" s="213"/>
      <c r="E30" s="213"/>
      <c r="F30" s="213" t="s">
        <v>57</v>
      </c>
      <c r="G30" s="213"/>
      <c r="H30" s="213"/>
      <c r="I30" s="213"/>
      <c r="J30" s="213"/>
      <c r="K30" s="213"/>
      <c r="L30" s="213" t="s">
        <v>56</v>
      </c>
      <c r="M30" s="213"/>
      <c r="N30" s="213"/>
      <c r="O30" s="213"/>
      <c r="P30" s="213"/>
      <c r="Q30" s="213" t="s">
        <v>55</v>
      </c>
      <c r="R30" s="213"/>
      <c r="S30" s="213"/>
      <c r="T30" s="213"/>
      <c r="U30" s="214"/>
    </row>
    <row r="31" spans="1:22" ht="15" thickBot="1" x14ac:dyDescent="0.35">
      <c r="A31" s="179" t="str">
        <f ca="1">'Feuille de Donnée'!L3</f>
        <v>AFFAIRE</v>
      </c>
      <c r="B31" s="180"/>
      <c r="C31" s="180"/>
      <c r="D31" s="180"/>
      <c r="E31" s="180"/>
      <c r="F31" s="181">
        <f ca="1">'Feuille de Donnée'!C3</f>
        <v>46077</v>
      </c>
      <c r="G31" s="182"/>
      <c r="H31" s="182"/>
      <c r="I31" s="182"/>
      <c r="J31" s="182"/>
      <c r="K31" s="182"/>
      <c r="L31" s="183"/>
      <c r="M31" s="183"/>
      <c r="N31" s="183"/>
      <c r="O31" s="183"/>
      <c r="P31" s="183"/>
      <c r="Q31" s="183"/>
      <c r="R31" s="183"/>
      <c r="S31" s="183"/>
      <c r="T31" s="183"/>
      <c r="U31" s="184"/>
    </row>
    <row r="32" spans="1:22" ht="15" thickTop="1" x14ac:dyDescent="0.3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</row>
  </sheetData>
  <mergeCells count="49">
    <mergeCell ref="V4:Y4"/>
    <mergeCell ref="V3:AD3"/>
    <mergeCell ref="A30:E30"/>
    <mergeCell ref="F30:K30"/>
    <mergeCell ref="L30:P30"/>
    <mergeCell ref="Q30:U30"/>
    <mergeCell ref="A27:U27"/>
    <mergeCell ref="A20:F20"/>
    <mergeCell ref="G20:M20"/>
    <mergeCell ref="N20:U20"/>
    <mergeCell ref="A18:F18"/>
    <mergeCell ref="G18:M18"/>
    <mergeCell ref="N18:U18"/>
    <mergeCell ref="A19:F19"/>
    <mergeCell ref="G19:M19"/>
    <mergeCell ref="N19:U19"/>
    <mergeCell ref="A1:U1"/>
    <mergeCell ref="A3:U3"/>
    <mergeCell ref="A4:U4"/>
    <mergeCell ref="A10:U10"/>
    <mergeCell ref="A7:U8"/>
    <mergeCell ref="A9:U9"/>
    <mergeCell ref="A26:M26"/>
    <mergeCell ref="O26:P26"/>
    <mergeCell ref="G16:M16"/>
    <mergeCell ref="N16:U16"/>
    <mergeCell ref="A6:U6"/>
    <mergeCell ref="A17:F17"/>
    <mergeCell ref="G17:M17"/>
    <mergeCell ref="N17:U17"/>
    <mergeCell ref="A15:F15"/>
    <mergeCell ref="G15:M15"/>
    <mergeCell ref="N15:U15"/>
    <mergeCell ref="A16:F16"/>
    <mergeCell ref="G23:U23"/>
    <mergeCell ref="A24:C25"/>
    <mergeCell ref="D24:F25"/>
    <mergeCell ref="G24:U25"/>
    <mergeCell ref="A21:F21"/>
    <mergeCell ref="G21:M21"/>
    <mergeCell ref="N21:U21"/>
    <mergeCell ref="A23:C23"/>
    <mergeCell ref="D23:F23"/>
    <mergeCell ref="A28:U28"/>
    <mergeCell ref="A29:M29"/>
    <mergeCell ref="A31:E31"/>
    <mergeCell ref="F31:K31"/>
    <mergeCell ref="L31:P31"/>
    <mergeCell ref="Q31:U3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3207-05E3-4DE5-AADF-4C1C73AA19F1}">
  <sheetPr codeName="Feuil1">
    <tabColor rgb="FFFFFF00"/>
    <pageSetUpPr fitToPage="1"/>
  </sheetPr>
  <dimension ref="A1:BM169"/>
  <sheetViews>
    <sheetView tabSelected="1" view="pageBreakPreview" topLeftCell="A11" zoomScale="55" zoomScaleNormal="70" zoomScaleSheetLayoutView="55" workbookViewId="0">
      <pane xSplit="6" topLeftCell="G1" activePane="topRight" state="frozen"/>
      <selection activeCell="A11" sqref="A11"/>
      <selection pane="topRight" activeCell="J31" sqref="J31"/>
    </sheetView>
  </sheetViews>
  <sheetFormatPr baseColWidth="10" defaultColWidth="11.5546875" defaultRowHeight="23.4" outlineLevelRow="1" outlineLevelCol="2" x14ac:dyDescent="0.45"/>
  <cols>
    <col min="1" max="1" width="15.6640625" style="1" customWidth="1"/>
    <col min="2" max="3" width="4.5546875" style="1" customWidth="1"/>
    <col min="4" max="4" width="45.5546875" style="1" customWidth="1"/>
    <col min="5" max="5" width="36" style="1" bestFit="1" customWidth="1"/>
    <col min="6" max="6" width="111.44140625" style="1" customWidth="1"/>
    <col min="7" max="7" width="10.6640625" style="1" customWidth="1"/>
    <col min="8" max="8" width="16.109375" style="1" bestFit="1" customWidth="1"/>
    <col min="9" max="9" width="23" style="10" bestFit="1" customWidth="1"/>
    <col min="10" max="10" width="25.5546875" style="10" customWidth="1"/>
    <col min="11" max="11" width="6" style="2" customWidth="1"/>
    <col min="12" max="12" width="16.109375" style="2" customWidth="1"/>
    <col min="13" max="13" width="20" style="2" customWidth="1"/>
    <col min="14" max="14" width="23" style="2" bestFit="1" customWidth="1"/>
    <col min="15" max="16" width="15.109375" style="41" customWidth="1"/>
    <col min="17" max="17" width="22.6640625" style="41" customWidth="1" outlineLevel="2"/>
    <col min="18" max="18" width="96" style="41" customWidth="1" outlineLevel="1"/>
    <col min="19" max="19" width="18.88671875" style="41" customWidth="1" outlineLevel="1"/>
    <col min="20" max="20" width="6" style="2" customWidth="1"/>
    <col min="21" max="21" width="16.109375" style="2" customWidth="1"/>
    <col min="22" max="22" width="20" style="2" customWidth="1"/>
    <col min="23" max="23" width="23.5546875" style="2" customWidth="1"/>
    <col min="24" max="25" width="15.109375" style="41" customWidth="1"/>
    <col min="26" max="26" width="22.6640625" style="41" customWidth="1" outlineLevel="2"/>
    <col min="27" max="27" width="96" style="41" customWidth="1" outlineLevel="1"/>
    <col min="28" max="28" width="18.88671875" style="41" customWidth="1" outlineLevel="1"/>
    <col min="29" max="29" width="7" style="2" customWidth="1"/>
    <col min="30" max="30" width="13.6640625" style="2" bestFit="1" customWidth="1"/>
    <col min="31" max="31" width="15" style="2" customWidth="1"/>
    <col min="32" max="32" width="21.6640625" style="2" bestFit="1" customWidth="1"/>
    <col min="33" max="34" width="17" style="2" customWidth="1"/>
    <col min="35" max="35" width="24.44140625" style="2" customWidth="1" outlineLevel="1"/>
    <col min="36" max="36" width="103" style="2" customWidth="1" outlineLevel="1"/>
    <col min="37" max="37" width="24.109375" style="2" customWidth="1" outlineLevel="1"/>
    <col min="38" max="38" width="11.5546875" style="2"/>
    <col min="39" max="39" width="13.6640625" style="2" bestFit="1" customWidth="1"/>
    <col min="40" max="40" width="11.5546875" style="2"/>
    <col min="41" max="41" width="24.5546875" style="2" customWidth="1"/>
    <col min="42" max="43" width="17" style="2" customWidth="1"/>
    <col min="44" max="44" width="24.44140625" style="2" customWidth="1" outlineLevel="1"/>
    <col min="45" max="45" width="103" style="2" customWidth="1" outlineLevel="1"/>
    <col min="46" max="46" width="24.109375" style="2" customWidth="1" outlineLevel="1"/>
    <col min="47" max="47" width="11.5546875" style="2"/>
    <col min="48" max="48" width="13.6640625" style="2" bestFit="1" customWidth="1"/>
    <col min="49" max="49" width="11.5546875" style="2"/>
    <col min="50" max="50" width="24.5546875" style="2" customWidth="1"/>
    <col min="51" max="52" width="17" style="2" customWidth="1"/>
    <col min="53" max="53" width="24.44140625" style="2" customWidth="1" outlineLevel="1"/>
    <col min="54" max="54" width="103" style="2" customWidth="1" outlineLevel="1"/>
    <col min="55" max="55" width="24.109375" style="2" customWidth="1" outlineLevel="1"/>
    <col min="56" max="56" width="11.5546875" style="2"/>
    <col min="57" max="58" width="18.6640625" style="2" customWidth="1"/>
    <col min="59" max="59" width="30.109375" style="2" customWidth="1"/>
    <col min="60" max="61" width="15.88671875" style="2" customWidth="1"/>
    <col min="62" max="62" width="29.109375" style="2" customWidth="1" outlineLevel="1"/>
    <col min="63" max="63" width="103.88671875" style="2" customWidth="1" outlineLevel="1"/>
    <col min="64" max="64" width="35.5546875" style="2" customWidth="1" outlineLevel="1"/>
    <col min="65" max="16384" width="11.5546875" style="2"/>
  </cols>
  <sheetData>
    <row r="1" spans="1:23" hidden="1" outlineLevel="1" x14ac:dyDescent="0.45">
      <c r="B1" s="14"/>
      <c r="C1" s="14"/>
      <c r="D1" s="14" t="str">
        <f>+'Feuille de Donnée'!E3</f>
        <v>Nom du projet</v>
      </c>
      <c r="E1" s="14"/>
      <c r="F1" s="14"/>
      <c r="G1" s="2"/>
      <c r="H1" s="2"/>
      <c r="I1" s="8"/>
      <c r="J1" s="8"/>
    </row>
    <row r="2" spans="1:23" hidden="1" outlineLevel="1" x14ac:dyDescent="0.45">
      <c r="B2" s="14"/>
      <c r="C2" s="14"/>
      <c r="D2" s="1" t="str">
        <f>'Feuille de Donnée'!H3</f>
        <v xml:space="preserve">Déscription de l'affaire
</v>
      </c>
      <c r="G2" s="2"/>
      <c r="H2" s="2"/>
      <c r="I2" s="8"/>
      <c r="J2" s="8"/>
      <c r="K2" s="1"/>
      <c r="T2" s="1"/>
    </row>
    <row r="3" spans="1:23" hidden="1" outlineLevel="1" x14ac:dyDescent="0.45">
      <c r="B3" s="14"/>
      <c r="C3" s="14"/>
      <c r="D3" s="1" t="str">
        <f>'Feuille de Donnée'!B5&amp;'Feuille de Donnée'!F3</f>
        <v>Maitre d'ouvrage</v>
      </c>
      <c r="G3" s="2"/>
      <c r="J3" s="9"/>
      <c r="K3" s="1"/>
      <c r="T3" s="1"/>
    </row>
    <row r="4" spans="1:23" hidden="1" outlineLevel="1" x14ac:dyDescent="0.45">
      <c r="B4" s="14"/>
      <c r="C4" s="14"/>
      <c r="D4" s="1" t="str">
        <f>'Feuille de Donnée'!B6&amp;'Feuille de Donnée'!G3</f>
        <v>Maitre d'œuvre</v>
      </c>
      <c r="G4" s="3"/>
      <c r="J4" s="8"/>
      <c r="K4" s="1"/>
      <c r="T4" s="1"/>
    </row>
    <row r="5" spans="1:23" ht="26.4" hidden="1" customHeight="1" outlineLevel="1" x14ac:dyDescent="0.45">
      <c r="D5" s="1" t="str">
        <f ca="1">"INDICE : "&amp;'Feuille de Donnée'!M3</f>
        <v>INDICE : 0</v>
      </c>
      <c r="G5" s="5"/>
      <c r="K5" s="1"/>
      <c r="N5" s="6"/>
      <c r="T5" s="1"/>
      <c r="W5" s="6"/>
    </row>
    <row r="6" spans="1:23" hidden="1" outlineLevel="1" x14ac:dyDescent="0.45">
      <c r="D6" s="1" t="str">
        <f>"PHASE D'ETUDE : "&amp;'Feuille de Donnée'!D3</f>
        <v>PHASE D'ETUDE : ACT</v>
      </c>
      <c r="K6" s="1"/>
      <c r="N6" s="6"/>
      <c r="T6" s="1"/>
      <c r="W6" s="6"/>
    </row>
    <row r="7" spans="1:23" ht="26.4" hidden="1" customHeight="1" outlineLevel="1" x14ac:dyDescent="0.45">
      <c r="A7" s="15"/>
      <c r="B7" s="16"/>
      <c r="D7" s="17" t="str">
        <f ca="1">"DOCUMENT EN DATE DU : "&amp;TEXT('Feuille de Donnée'!C3,"JJ/MM/AA")</f>
        <v>DOCUMENT EN DATE DU : 24/02/26</v>
      </c>
      <c r="E7" s="17"/>
      <c r="F7" s="17"/>
      <c r="K7" s="1"/>
      <c r="N7" s="6"/>
      <c r="T7" s="1"/>
      <c r="W7" s="6"/>
    </row>
    <row r="8" spans="1:23" ht="26.4" hidden="1" customHeight="1" outlineLevel="1" x14ac:dyDescent="0.45">
      <c r="D8" s="1" t="str">
        <f ca="1">'Feuille de Donnée'!K3&amp;" : "&amp; 'Feuille de Donnée'!J3</f>
        <v>LOT 01 : NOMDULOT</v>
      </c>
      <c r="K8" s="1"/>
      <c r="N8" s="6"/>
      <c r="T8" s="1"/>
      <c r="W8" s="6"/>
    </row>
    <row r="9" spans="1:23" ht="26.4" hidden="1" customHeight="1" outlineLevel="1" x14ac:dyDescent="0.45">
      <c r="D9" s="18" t="s">
        <v>46</v>
      </c>
      <c r="E9" s="18"/>
      <c r="F9" s="18"/>
      <c r="I9" s="1"/>
      <c r="K9" s="1"/>
      <c r="L9" s="6"/>
      <c r="M9" s="6"/>
      <c r="N9" s="6"/>
      <c r="T9" s="1"/>
      <c r="U9" s="6"/>
      <c r="V9" s="6"/>
      <c r="W9" s="6"/>
    </row>
    <row r="10" spans="1:23" ht="26.4" hidden="1" customHeight="1" outlineLevel="1" thickBot="1" x14ac:dyDescent="0.5">
      <c r="D10" s="18"/>
      <c r="E10" s="18"/>
      <c r="F10" s="18"/>
      <c r="I10" s="1"/>
      <c r="K10" s="1"/>
      <c r="L10" s="6"/>
      <c r="M10" s="6"/>
      <c r="N10" s="6"/>
      <c r="T10" s="1"/>
      <c r="U10" s="6"/>
      <c r="V10" s="6"/>
      <c r="W10" s="6"/>
    </row>
    <row r="11" spans="1:23" ht="26.4" customHeight="1" collapsed="1" thickBot="1" x14ac:dyDescent="0.5">
      <c r="D11" s="216" t="s">
        <v>24</v>
      </c>
      <c r="E11" s="217"/>
      <c r="F11" s="140"/>
      <c r="I11" s="1"/>
      <c r="K11" s="1"/>
      <c r="L11" s="6"/>
      <c r="M11" s="6"/>
      <c r="N11" s="6"/>
      <c r="T11" s="1"/>
      <c r="U11" s="6"/>
      <c r="V11" s="6"/>
      <c r="W11" s="6"/>
    </row>
    <row r="12" spans="1:23" ht="26.4" customHeight="1" thickBot="1" x14ac:dyDescent="0.5">
      <c r="D12" s="4" t="s">
        <v>9</v>
      </c>
      <c r="E12" s="4" t="s">
        <v>10</v>
      </c>
      <c r="F12" s="146" t="s">
        <v>89</v>
      </c>
      <c r="I12" s="1"/>
      <c r="K12" s="1"/>
      <c r="L12" s="6"/>
      <c r="M12" s="6"/>
      <c r="N12" s="6"/>
      <c r="T12" s="1"/>
      <c r="U12" s="6"/>
      <c r="V12" s="6"/>
      <c r="W12" s="6"/>
    </row>
    <row r="13" spans="1:23" ht="26.4" customHeight="1" x14ac:dyDescent="0.45">
      <c r="D13" s="83" t="str">
        <f>"Quantité inférieuré à "&amp;'Feuille de Donnée'!E12*100&amp;" %"</f>
        <v>Quantité inférieuré à 5 %</v>
      </c>
      <c r="E13" s="84" t="str">
        <f>"Prix inférieur à "&amp;'Feuille de Donnée'!E27*100&amp;" %"</f>
        <v>Prix inférieur à 35 %</v>
      </c>
      <c r="F13" s="147" t="s">
        <v>90</v>
      </c>
      <c r="I13" s="1"/>
      <c r="K13" s="1"/>
      <c r="L13" s="6"/>
      <c r="M13" s="6"/>
      <c r="N13" s="6"/>
      <c r="T13" s="1"/>
      <c r="U13" s="6"/>
      <c r="V13" s="6"/>
      <c r="W13" s="6"/>
    </row>
    <row r="14" spans="1:23" ht="26.4" customHeight="1" x14ac:dyDescent="0.45">
      <c r="D14" s="87" t="s">
        <v>31</v>
      </c>
      <c r="E14" s="88" t="s">
        <v>32</v>
      </c>
      <c r="F14" s="148" t="s">
        <v>91</v>
      </c>
      <c r="I14" s="1"/>
      <c r="K14" s="1"/>
      <c r="L14" s="6"/>
      <c r="M14" s="6"/>
      <c r="N14" s="6"/>
      <c r="T14" s="1"/>
      <c r="U14" s="6"/>
      <c r="V14" s="6"/>
      <c r="W14" s="6"/>
    </row>
    <row r="15" spans="1:23" ht="26.4" customHeight="1" thickBot="1" x14ac:dyDescent="0.5">
      <c r="D15" s="85" t="str">
        <f>"Quantité supérieure a "&amp;'Feuille de Donnée'!F12*100&amp;" %"</f>
        <v>Quantité supérieure a 2 %</v>
      </c>
      <c r="E15" s="86" t="str">
        <f>"Prix supérieur a "&amp;'Feuille de Donnée'!F27*100&amp;" %"</f>
        <v>Prix supérieur a 10 %</v>
      </c>
      <c r="F15" s="149" t="s">
        <v>93</v>
      </c>
      <c r="I15" s="1"/>
      <c r="K15" s="1"/>
      <c r="L15" s="6"/>
      <c r="M15" s="6"/>
      <c r="N15" s="6"/>
      <c r="T15" s="1"/>
      <c r="U15" s="6"/>
      <c r="V15" s="6"/>
      <c r="W15" s="6"/>
    </row>
    <row r="16" spans="1:23" ht="26.4" customHeight="1" thickBot="1" x14ac:dyDescent="0.5">
      <c r="D16" s="220"/>
      <c r="E16" s="220"/>
      <c r="F16" s="220"/>
      <c r="I16" s="1"/>
      <c r="K16" s="1"/>
      <c r="L16" s="6"/>
      <c r="M16" s="6"/>
      <c r="N16" s="6"/>
      <c r="T16" s="1"/>
      <c r="U16" s="6"/>
      <c r="V16" s="6"/>
      <c r="W16" s="6"/>
    </row>
    <row r="17" spans="1:65" ht="26.4" customHeight="1" thickTop="1" thickBot="1" x14ac:dyDescent="0.5">
      <c r="D17" s="18"/>
      <c r="E17" s="18"/>
      <c r="F17" s="18"/>
      <c r="G17" s="218" t="s">
        <v>92</v>
      </c>
      <c r="H17" s="219"/>
      <c r="I17" s="219"/>
      <c r="J17" s="219"/>
      <c r="K17" s="221" t="s">
        <v>106</v>
      </c>
      <c r="L17" s="222"/>
      <c r="M17" s="222"/>
      <c r="N17" s="222"/>
      <c r="O17" s="222"/>
      <c r="P17" s="222"/>
      <c r="Q17" s="222"/>
      <c r="R17" s="222"/>
      <c r="S17" s="222"/>
      <c r="T17" s="221" t="s">
        <v>107</v>
      </c>
      <c r="U17" s="222"/>
      <c r="V17" s="222"/>
      <c r="W17" s="222"/>
      <c r="X17" s="222"/>
      <c r="Y17" s="222"/>
      <c r="Z17" s="222"/>
      <c r="AA17" s="222"/>
      <c r="AB17" s="222"/>
      <c r="AC17" s="221" t="s">
        <v>108</v>
      </c>
      <c r="AD17" s="222"/>
      <c r="AE17" s="222"/>
      <c r="AF17" s="222"/>
      <c r="AG17" s="222"/>
      <c r="AH17" s="222"/>
      <c r="AI17" s="222"/>
      <c r="AJ17" s="222"/>
      <c r="AK17" s="222"/>
      <c r="AL17" s="221" t="s">
        <v>109</v>
      </c>
      <c r="AM17" s="222"/>
      <c r="AN17" s="222"/>
      <c r="AO17" s="222"/>
      <c r="AP17" s="222"/>
      <c r="AQ17" s="222"/>
      <c r="AR17" s="222"/>
      <c r="AS17" s="222"/>
      <c r="AT17" s="222"/>
      <c r="AU17" s="221" t="s">
        <v>110</v>
      </c>
      <c r="AV17" s="222"/>
      <c r="AW17" s="222"/>
      <c r="AX17" s="222"/>
      <c r="AY17" s="222"/>
      <c r="AZ17" s="222"/>
      <c r="BA17" s="222"/>
      <c r="BB17" s="222"/>
      <c r="BC17" s="222"/>
      <c r="BD17" s="221" t="s">
        <v>111</v>
      </c>
      <c r="BE17" s="222"/>
      <c r="BF17" s="222"/>
      <c r="BG17" s="222"/>
      <c r="BH17" s="222"/>
      <c r="BI17" s="222"/>
      <c r="BJ17" s="222"/>
      <c r="BK17" s="222"/>
      <c r="BL17" s="222"/>
      <c r="BM17" s="152"/>
    </row>
    <row r="18" spans="1:65" s="7" customFormat="1" ht="79.95" customHeight="1" thickTop="1" x14ac:dyDescent="0.3">
      <c r="A18" s="19" t="s">
        <v>2</v>
      </c>
      <c r="B18" s="20" t="s">
        <v>3</v>
      </c>
      <c r="C18" s="20"/>
      <c r="D18" s="20"/>
      <c r="E18" s="141"/>
      <c r="F18" s="138"/>
      <c r="G18" s="129" t="s">
        <v>4</v>
      </c>
      <c r="H18" s="130" t="s">
        <v>5</v>
      </c>
      <c r="I18" s="131" t="s">
        <v>7</v>
      </c>
      <c r="J18" s="132" t="s">
        <v>8</v>
      </c>
      <c r="K18" s="133" t="s">
        <v>4</v>
      </c>
      <c r="L18" s="130" t="s">
        <v>5</v>
      </c>
      <c r="M18" s="130" t="s">
        <v>7</v>
      </c>
      <c r="N18" s="134" t="s">
        <v>8</v>
      </c>
      <c r="O18" s="135" t="s">
        <v>51</v>
      </c>
      <c r="P18" s="136" t="s">
        <v>52</v>
      </c>
      <c r="Q18" s="137" t="s">
        <v>79</v>
      </c>
      <c r="R18" s="137" t="s">
        <v>54</v>
      </c>
      <c r="S18" s="139" t="s">
        <v>53</v>
      </c>
      <c r="T18" s="133" t="s">
        <v>4</v>
      </c>
      <c r="U18" s="130" t="s">
        <v>5</v>
      </c>
      <c r="V18" s="130" t="s">
        <v>7</v>
      </c>
      <c r="W18" s="134" t="s">
        <v>8</v>
      </c>
      <c r="X18" s="135" t="s">
        <v>51</v>
      </c>
      <c r="Y18" s="136" t="s">
        <v>52</v>
      </c>
      <c r="Z18" s="137" t="s">
        <v>79</v>
      </c>
      <c r="AA18" s="137" t="s">
        <v>54</v>
      </c>
      <c r="AB18" s="139" t="s">
        <v>53</v>
      </c>
      <c r="AC18" s="133" t="s">
        <v>4</v>
      </c>
      <c r="AD18" s="130" t="s">
        <v>5</v>
      </c>
      <c r="AE18" s="130" t="s">
        <v>7</v>
      </c>
      <c r="AF18" s="134" t="s">
        <v>8</v>
      </c>
      <c r="AG18" s="135" t="s">
        <v>51</v>
      </c>
      <c r="AH18" s="136" t="s">
        <v>52</v>
      </c>
      <c r="AI18" s="137" t="s">
        <v>79</v>
      </c>
      <c r="AJ18" s="137" t="s">
        <v>54</v>
      </c>
      <c r="AK18" s="139" t="s">
        <v>53</v>
      </c>
      <c r="AL18" s="133" t="s">
        <v>4</v>
      </c>
      <c r="AM18" s="130" t="s">
        <v>5</v>
      </c>
      <c r="AN18" s="130" t="s">
        <v>7</v>
      </c>
      <c r="AO18" s="134" t="s">
        <v>8</v>
      </c>
      <c r="AP18" s="135" t="s">
        <v>51</v>
      </c>
      <c r="AQ18" s="136" t="s">
        <v>52</v>
      </c>
      <c r="AR18" s="137" t="s">
        <v>79</v>
      </c>
      <c r="AS18" s="137" t="s">
        <v>54</v>
      </c>
      <c r="AT18" s="139" t="s">
        <v>53</v>
      </c>
      <c r="AU18" s="133" t="s">
        <v>4</v>
      </c>
      <c r="AV18" s="130" t="s">
        <v>5</v>
      </c>
      <c r="AW18" s="130" t="s">
        <v>7</v>
      </c>
      <c r="AX18" s="134" t="s">
        <v>8</v>
      </c>
      <c r="AY18" s="135" t="s">
        <v>51</v>
      </c>
      <c r="AZ18" s="136" t="s">
        <v>52</v>
      </c>
      <c r="BA18" s="137" t="s">
        <v>79</v>
      </c>
      <c r="BB18" s="137" t="s">
        <v>54</v>
      </c>
      <c r="BC18" s="139" t="s">
        <v>53</v>
      </c>
      <c r="BD18" s="133" t="s">
        <v>4</v>
      </c>
      <c r="BE18" s="130" t="s">
        <v>5</v>
      </c>
      <c r="BF18" s="130" t="s">
        <v>7</v>
      </c>
      <c r="BG18" s="134" t="s">
        <v>8</v>
      </c>
      <c r="BH18" s="135" t="s">
        <v>51</v>
      </c>
      <c r="BI18" s="136" t="s">
        <v>52</v>
      </c>
      <c r="BJ18" s="137" t="s">
        <v>79</v>
      </c>
      <c r="BK18" s="137" t="s">
        <v>54</v>
      </c>
      <c r="BL18" s="139" t="s">
        <v>53</v>
      </c>
      <c r="BM18" s="153"/>
    </row>
    <row r="19" spans="1:65" s="7" customFormat="1" x14ac:dyDescent="0.3">
      <c r="A19" s="21"/>
      <c r="B19" s="22"/>
      <c r="C19" s="22"/>
      <c r="D19" s="22"/>
      <c r="E19" s="22"/>
      <c r="F19" s="25"/>
      <c r="G19" s="23"/>
      <c r="H19" s="26"/>
      <c r="I19" s="27"/>
      <c r="J19" s="109" t="str">
        <f t="shared" ref="J19:J20" si="0">IF(ISBLANK(G19),"",ROUND(H19*I19,2))</f>
        <v/>
      </c>
      <c r="K19" s="110"/>
      <c r="L19" s="28"/>
      <c r="M19" s="28"/>
      <c r="N19" s="28" t="str">
        <f t="shared" ref="N19:N20" si="1">IF(ISBLANK(K19),"",ROUND(L19*M19,2))</f>
        <v/>
      </c>
      <c r="O19" s="128" t="str">
        <f t="shared" ref="O19:O20" si="2">IF($H19=0,"",(L19/$H19-1))</f>
        <v/>
      </c>
      <c r="P19" s="128" t="str">
        <f t="shared" ref="P19:P20" si="3">IF($I19=0,"",(M19/$I19-1))</f>
        <v/>
      </c>
      <c r="Q19" s="28" t="str">
        <f>IF(AND(ISBLANK(S19),R19=""),"",1+MAX(Q$18:Q18))</f>
        <v/>
      </c>
      <c r="R19" s="150" t="str">
        <f>IF(OR(N19="",N19=0,$J19="",$J19=0,NOT(ISNUMBER($J19)),NOT(ISNUMBER(N19))),IF(AND($G19&lt;&gt;"",AND(OR(ISNUMBER(N19),N19=""),AND(ISNUMBER($J19),$J19&gt;0))),'Feuille de Donnée'!$K$13,""),IF(N19&lt;$J$165*'Feuille de Donnée'!$I$9,"Négligeable",(IF(AND(L19&gt;=$H19*(1-'Feuille de Donnée'!$E$12),L19&lt;=$H19*(1+'Feuille de Donnée'!$F$12)),'Feuille de Donnée'!$F$17,IF(L19&lt;$H19*(1-'Feuille de Donnée'!$E$12),'Feuille de Donnée'!$F$18,'Feuille de Donnée'!$F$16))&amp;""&amp;IF(AND(M19&gt;=$I19*(1-'Feuille de Donnée'!$E$27),M19&lt;=$I19*(1+'Feuille de Donnée'!$F$27)),'Feuille de Donnée'!$F$32,IF(M19&lt;$I19*(1-'Feuille de Donnée'!$E$27),'Feuille de Donnée'!$F$33,'Feuille de Donnée'!$F$31)))))</f>
        <v/>
      </c>
      <c r="S19" s="151"/>
      <c r="T19" s="110"/>
      <c r="U19" s="28"/>
      <c r="V19" s="28"/>
      <c r="W19" s="28" t="str">
        <f t="shared" ref="W19:W20" si="4">IF(ISBLANK(T19),"",ROUND(U19*V19,2))</f>
        <v/>
      </c>
      <c r="X19" s="128" t="str">
        <f t="shared" ref="X19:X20" si="5">IF($H19=0,"",(U19/$H19-1))</f>
        <v/>
      </c>
      <c r="Y19" s="128" t="str">
        <f t="shared" ref="Y19:Y20" si="6">IF($I19=0,"",(V19/$I19-1))</f>
        <v/>
      </c>
      <c r="Z19" s="28" t="str">
        <f>IF(AND(ISBLANK(AB19),AA19=""),"",1+MAX(Z$18:Z18))</f>
        <v/>
      </c>
      <c r="AA19" s="150" t="str">
        <f>IF(OR(W19="",W19=0,$J19="",$J19=0,NOT(ISNUMBER($J19)),NOT(ISNUMBER(W19))),IF(AND($G19&lt;&gt;"",AND(OR(ISNUMBER(W19),W19=""),AND(ISNUMBER($J19),$J19&gt;0))),'Feuille de Donnée'!$K$13,""),IF(W19&lt;$J$165*'Feuille de Donnée'!$I$9,"Négligeable",(IF(AND(U19&gt;=$H19*(1-'Feuille de Donnée'!$E$12),U19&lt;=$H19*(1+'Feuille de Donnée'!$F$12)),'Feuille de Donnée'!$F$17,IF(U19&lt;$H19*(1-'Feuille de Donnée'!$E$12),'Feuille de Donnée'!$F$18,'Feuille de Donnée'!$F$16))&amp;""&amp;IF(AND(V19&gt;=$I19*(1-'Feuille de Donnée'!$E$27),V19&lt;=$I19*(1+'Feuille de Donnée'!$F$27)),'Feuille de Donnée'!$F$32,IF(V19&lt;$I19*(1-'Feuille de Donnée'!$E$27),'Feuille de Donnée'!$F$33,'Feuille de Donnée'!$F$31)))))</f>
        <v/>
      </c>
      <c r="AB19" s="151"/>
      <c r="AC19" s="110"/>
      <c r="AD19" s="28"/>
      <c r="AE19" s="28"/>
      <c r="AF19" s="28" t="str">
        <f t="shared" ref="AF19:AF20" si="7">IF(ISBLANK(AC19),"",ROUND(AD19*AE19,2))</f>
        <v/>
      </c>
      <c r="AG19" s="128" t="str">
        <f t="shared" ref="AG19:AG20" si="8">IF($H19=0,"",(AD19/$H19-1))</f>
        <v/>
      </c>
      <c r="AH19" s="128" t="str">
        <f t="shared" ref="AH19:AH20" si="9">IF($I19=0,"",(AE19/$I19-1))</f>
        <v/>
      </c>
      <c r="AI19" s="28" t="str">
        <f>IF(AND(ISBLANK(AK19),AJ19=""),"",1+MAX(AI$18:AI18))</f>
        <v/>
      </c>
      <c r="AJ19" s="150" t="str">
        <f>IF(OR(AF19="",AF19=0,$J19="",$J19=0,NOT(ISNUMBER($J19)),NOT(ISNUMBER(AF19))),IF(AND($G19&lt;&gt;"",AND(OR(ISNUMBER(AF19),AF19=""),AND(ISNUMBER($J19),$J19&gt;0))),'Feuille de Donnée'!$K$13,""),IF(AF19&lt;$J$165*'Feuille de Donnée'!$I$9,"Négligeable",(IF(AND(AD19&gt;=$H19*(1-'Feuille de Donnée'!$E$12),AD19&lt;=$H19*(1+'Feuille de Donnée'!$F$12)),'Feuille de Donnée'!$F$17,IF(AD19&lt;$H19*(1-'Feuille de Donnée'!$E$12),'Feuille de Donnée'!$F$18,'Feuille de Donnée'!$F$16))&amp;""&amp;IF(AND(AE19&gt;=$I19*(1-'Feuille de Donnée'!$E$27),AE19&lt;=$I19*(1+'Feuille de Donnée'!$F$27)),'Feuille de Donnée'!$F$32,IF(AE19&lt;$I19*(1-'Feuille de Donnée'!$E$27),'Feuille de Donnée'!$F$33,'Feuille de Donnée'!$F$31)))))</f>
        <v/>
      </c>
      <c r="AK19" s="151"/>
      <c r="AL19" s="110"/>
      <c r="AM19" s="28"/>
      <c r="AN19" s="28"/>
      <c r="AO19" s="28" t="str">
        <f t="shared" ref="AO19:AO20" si="10">IF(ISBLANK(AL19),"",ROUND(AM19*AN19,2))</f>
        <v/>
      </c>
      <c r="AP19" s="128" t="str">
        <f t="shared" ref="AP19:AP20" si="11">IF($H19=0,"",(AM19/$H19-1))</f>
        <v/>
      </c>
      <c r="AQ19" s="128" t="str">
        <f t="shared" ref="AQ19:AQ20" si="12">IF($I19=0,"",(AN19/$I19-1))</f>
        <v/>
      </c>
      <c r="AR19" s="28" t="str">
        <f>IF(AND(ISBLANK(AT19),AS19=""),"",1+MAX(AR$18:AR18))</f>
        <v/>
      </c>
      <c r="AS19" s="150" t="str">
        <f>IF(OR(AO19="",AO19=0,$J19="",$J19=0,NOT(ISNUMBER($J19)),NOT(ISNUMBER(AO19))),IF(AND($G19&lt;&gt;"",AND(OR(ISNUMBER(AO19),AO19=""),AND(ISNUMBER($J19),$J19&gt;0))),'Feuille de Donnée'!$K$13,""),IF(AO19&lt;$J$165*'Feuille de Donnée'!$I$9,"Négligeable",(IF(AND(AM19&gt;=$H19*(1-'Feuille de Donnée'!$E$12),AM19&lt;=$H19*(1+'Feuille de Donnée'!$F$12)),'Feuille de Donnée'!$F$17,IF(AM19&lt;$H19*(1-'Feuille de Donnée'!$E$12),'Feuille de Donnée'!$F$18,'Feuille de Donnée'!$F$16))&amp;""&amp;IF(AND(AN19&gt;=$I19*(1-'Feuille de Donnée'!$E$27),AN19&lt;=$I19*(1+'Feuille de Donnée'!$F$27)),'Feuille de Donnée'!$F$32,IF(AN19&lt;$I19*(1-'Feuille de Donnée'!$E$27),'Feuille de Donnée'!$F$33,'Feuille de Donnée'!$F$31)))))</f>
        <v/>
      </c>
      <c r="AT19" s="151"/>
      <c r="AU19" s="110"/>
      <c r="AV19" s="28"/>
      <c r="AW19" s="28"/>
      <c r="AX19" s="28" t="str">
        <f t="shared" ref="AX19:AX20" si="13">IF(ISBLANK(AU19),"",ROUND(AV19*AW19,2))</f>
        <v/>
      </c>
      <c r="AY19" s="128" t="str">
        <f t="shared" ref="AY19:AY20" si="14">IF($H19=0,"",(AV19/$H19-1))</f>
        <v/>
      </c>
      <c r="AZ19" s="128" t="str">
        <f t="shared" ref="AZ19:AZ20" si="15">IF($I19=0,"",(AW19/$I19-1))</f>
        <v/>
      </c>
      <c r="BA19" s="28" t="str">
        <f>IF(AND(ISBLANK(BC19),BB19=""),"",1+MAX(BA$18:BA18))</f>
        <v/>
      </c>
      <c r="BB19" s="150" t="str">
        <f>IF(OR(AX19="",AX19=0,$J19="",$J19=0,NOT(ISNUMBER($J19)),NOT(ISNUMBER(AX19))),IF(AND($G19&lt;&gt;"",AND(OR(ISNUMBER(AX19),AX19=""),AND(ISNUMBER($J19),$J19&gt;0))),'Feuille de Donnée'!$K$13,""),IF(AX19&lt;$J$165*'Feuille de Donnée'!$I$9,"Négligeable",(IF(AND(AV19&gt;=$H19*(1-'Feuille de Donnée'!$E$12),AV19&lt;=$H19*(1+'Feuille de Donnée'!$F$12)),'Feuille de Donnée'!$F$17,IF(AV19&lt;$H19*(1-'Feuille de Donnée'!$E$12),'Feuille de Donnée'!$F$18,'Feuille de Donnée'!$F$16))&amp;""&amp;IF(AND(AW19&gt;=$I19*(1-'Feuille de Donnée'!$E$27),AW19&lt;=$I19*(1+'Feuille de Donnée'!$F$27)),'Feuille de Donnée'!$F$32,IF(AW19&lt;$I19*(1-'Feuille de Donnée'!$E$27),'Feuille de Donnée'!$F$33,'Feuille de Donnée'!$F$31)))))</f>
        <v/>
      </c>
      <c r="BC19" s="151"/>
      <c r="BD19" s="110"/>
      <c r="BE19" s="28"/>
      <c r="BF19" s="28"/>
      <c r="BG19" s="28" t="str">
        <f t="shared" ref="BG19:BG20" si="16">IF(ISBLANK(BD19),"",ROUND(BE19*BF19,2))</f>
        <v/>
      </c>
      <c r="BH19" s="128" t="str">
        <f t="shared" ref="BH19:BH20" si="17">IF($H19=0,"",(BE19/$H19-1))</f>
        <v/>
      </c>
      <c r="BI19" s="128" t="str">
        <f t="shared" ref="BI19:BI20" si="18">IF($I19=0,"",(BF19/$I19-1))</f>
        <v/>
      </c>
      <c r="BJ19" s="28" t="str">
        <f>IF(AND(ISBLANK(BL19),BK19=""),"",1+MAX(BJ$18:BJ18))</f>
        <v/>
      </c>
      <c r="BK19" s="150" t="str">
        <f>IF(OR(BG19="",BG19=0,$J19="",$J19=0,NOT(ISNUMBER($J19)),NOT(ISNUMBER(BG19))),IF(AND($G19&lt;&gt;"",AND(OR(ISNUMBER(BG19),BG19=""),AND(ISNUMBER($J19),$J19&gt;0))),'Feuille de Donnée'!$K$13,""),IF(BG19&lt;$J$165*'Feuille de Donnée'!$I$9,"Négligeable",(IF(AND(BE19&gt;=$H19*(1-'Feuille de Donnée'!$E$12),BE19&lt;=$H19*(1+'Feuille de Donnée'!$F$12)),'Feuille de Donnée'!$F$17,IF(BE19&lt;$H19*(1-'Feuille de Donnée'!$E$12),'Feuille de Donnée'!$F$18,'Feuille de Donnée'!$F$16))&amp;""&amp;IF(AND(BF19&gt;=$I19*(1-'Feuille de Donnée'!$E$27),BF19&lt;=$I19*(1+'Feuille de Donnée'!$F$27)),'Feuille de Donnée'!$F$32,IF(BF19&lt;$I19*(1-'Feuille de Donnée'!$E$27),'Feuille de Donnée'!$F$33,'Feuille de Donnée'!$F$31)))))</f>
        <v/>
      </c>
      <c r="BL19" s="151"/>
      <c r="BM19" s="153"/>
    </row>
    <row r="20" spans="1:65" s="7" customFormat="1" x14ac:dyDescent="0.3">
      <c r="A20" s="24"/>
      <c r="B20" s="25"/>
      <c r="C20" s="25"/>
      <c r="D20" s="25"/>
      <c r="E20" s="25"/>
      <c r="F20" s="25"/>
      <c r="G20" s="23"/>
      <c r="H20" s="26"/>
      <c r="I20" s="27"/>
      <c r="J20" s="109" t="str">
        <f t="shared" si="0"/>
        <v/>
      </c>
      <c r="K20" s="110"/>
      <c r="L20" s="28"/>
      <c r="M20" s="28"/>
      <c r="N20" s="28" t="str">
        <f t="shared" si="1"/>
        <v/>
      </c>
      <c r="O20" s="128" t="str">
        <f t="shared" si="2"/>
        <v/>
      </c>
      <c r="P20" s="128" t="str">
        <f t="shared" si="3"/>
        <v/>
      </c>
      <c r="Q20" s="28" t="str">
        <f>IF(AND(ISBLANK(S20),R20=""),"",1+MAX(Q$18:Q19))</f>
        <v/>
      </c>
      <c r="R20" s="150" t="str">
        <f>IF(OR(N20="",N20=0,$J20="",$J20=0,NOT(ISNUMBER($J20)),NOT(ISNUMBER(N20))),IF(AND($G20&lt;&gt;"",AND(OR(ISNUMBER(N20),N20=""),AND(ISNUMBER($J20),$J20&gt;0))),'Feuille de Donnée'!$K$13,""),IF(N20&lt;$J$165*'Feuille de Donnée'!$I$9,"Négligeable",(IF(AND(L20&gt;=$H20*(1-'Feuille de Donnée'!$E$12),L20&lt;=$H20*(1+'Feuille de Donnée'!$F$12)),'Feuille de Donnée'!$F$17,IF(L20&lt;$H20*(1-'Feuille de Donnée'!$E$12),'Feuille de Donnée'!$F$18,'Feuille de Donnée'!$F$16))&amp;""&amp;IF(AND(M20&gt;=$I20*(1-'Feuille de Donnée'!$E$27),M20&lt;=$I20*(1+'Feuille de Donnée'!$F$27)),'Feuille de Donnée'!$F$32,IF(M20&lt;$I20*(1-'Feuille de Donnée'!$E$27),'Feuille de Donnée'!$F$33,'Feuille de Donnée'!$F$31)))))</f>
        <v/>
      </c>
      <c r="S20" s="151"/>
      <c r="T20" s="110"/>
      <c r="U20" s="28"/>
      <c r="V20" s="28"/>
      <c r="W20" s="28" t="str">
        <f t="shared" si="4"/>
        <v/>
      </c>
      <c r="X20" s="128" t="str">
        <f t="shared" si="5"/>
        <v/>
      </c>
      <c r="Y20" s="128" t="str">
        <f t="shared" si="6"/>
        <v/>
      </c>
      <c r="Z20" s="28" t="str">
        <f>IF(AND(ISBLANK(AB20),AA20=""),"",1+MAX(Z$18:Z19))</f>
        <v/>
      </c>
      <c r="AA20" s="150" t="str">
        <f>IF(OR(W20="",W20=0,$J20="",$J20=0,NOT(ISNUMBER($J20)),NOT(ISNUMBER(W20))),IF(AND($G20&lt;&gt;"",AND(OR(ISNUMBER(W20),W20=""),AND(ISNUMBER($J20),$J20&gt;0))),'Feuille de Donnée'!$K$13,""),IF(W20&lt;$J$165*'Feuille de Donnée'!$I$9,"Négligeable",(IF(AND(U20&gt;=$H20*(1-'Feuille de Donnée'!$E$12),U20&lt;=$H20*(1+'Feuille de Donnée'!$F$12)),'Feuille de Donnée'!$F$17,IF(U20&lt;$H20*(1-'Feuille de Donnée'!$E$12),'Feuille de Donnée'!$F$18,'Feuille de Donnée'!$F$16))&amp;""&amp;IF(AND(V20&gt;=$I20*(1-'Feuille de Donnée'!$E$27),V20&lt;=$I20*(1+'Feuille de Donnée'!$F$27)),'Feuille de Donnée'!$F$32,IF(V20&lt;$I20*(1-'Feuille de Donnée'!$E$27),'Feuille de Donnée'!$F$33,'Feuille de Donnée'!$F$31)))))</f>
        <v/>
      </c>
      <c r="AB20" s="151"/>
      <c r="AC20" s="110"/>
      <c r="AD20" s="28"/>
      <c r="AE20" s="28"/>
      <c r="AF20" s="28" t="str">
        <f t="shared" si="7"/>
        <v/>
      </c>
      <c r="AG20" s="128" t="str">
        <f t="shared" si="8"/>
        <v/>
      </c>
      <c r="AH20" s="128" t="str">
        <f t="shared" si="9"/>
        <v/>
      </c>
      <c r="AI20" s="28" t="str">
        <f>IF(AND(ISBLANK(AK20),AJ20=""),"",1+MAX(AI$18:AI19))</f>
        <v/>
      </c>
      <c r="AJ20" s="150" t="str">
        <f>IF(OR(AF20="",AF20=0,$J20="",$J20=0,NOT(ISNUMBER($J20)),NOT(ISNUMBER(AF20))),IF(AND($G20&lt;&gt;"",AND(OR(ISNUMBER(AF20),AF20=""),AND(ISNUMBER($J20),$J20&gt;0))),'Feuille de Donnée'!$K$13,""),IF(AF20&lt;$J$165*'Feuille de Donnée'!$I$9,"Négligeable",(IF(AND(AD20&gt;=$H20*(1-'Feuille de Donnée'!$E$12),AD20&lt;=$H20*(1+'Feuille de Donnée'!$F$12)),'Feuille de Donnée'!$F$17,IF(AD20&lt;$H20*(1-'Feuille de Donnée'!$E$12),'Feuille de Donnée'!$F$18,'Feuille de Donnée'!$F$16))&amp;""&amp;IF(AND(AE20&gt;=$I20*(1-'Feuille de Donnée'!$E$27),AE20&lt;=$I20*(1+'Feuille de Donnée'!$F$27)),'Feuille de Donnée'!$F$32,IF(AE20&lt;$I20*(1-'Feuille de Donnée'!$E$27),'Feuille de Donnée'!$F$33,'Feuille de Donnée'!$F$31)))))</f>
        <v/>
      </c>
      <c r="AK20" s="151"/>
      <c r="AL20" s="110"/>
      <c r="AM20" s="28"/>
      <c r="AN20" s="28"/>
      <c r="AO20" s="28" t="str">
        <f t="shared" si="10"/>
        <v/>
      </c>
      <c r="AP20" s="128" t="str">
        <f t="shared" si="11"/>
        <v/>
      </c>
      <c r="AQ20" s="128" t="str">
        <f t="shared" si="12"/>
        <v/>
      </c>
      <c r="AR20" s="28" t="str">
        <f>IF(AND(ISBLANK(AT20),AS20=""),"",1+MAX(AR$18:AR19))</f>
        <v/>
      </c>
      <c r="AS20" s="150" t="str">
        <f>IF(OR(AO20="",AO20=0,$J20="",$J20=0,NOT(ISNUMBER($J20)),NOT(ISNUMBER(AO20))),IF(AND($G20&lt;&gt;"",AND(OR(ISNUMBER(AO20),AO20=""),AND(ISNUMBER($J20),$J20&gt;0))),'Feuille de Donnée'!$K$13,""),IF(AO20&lt;$J$165*'Feuille de Donnée'!$I$9,"Négligeable",(IF(AND(AM20&gt;=$H20*(1-'Feuille de Donnée'!$E$12),AM20&lt;=$H20*(1+'Feuille de Donnée'!$F$12)),'Feuille de Donnée'!$F$17,IF(AM20&lt;$H20*(1-'Feuille de Donnée'!$E$12),'Feuille de Donnée'!$F$18,'Feuille de Donnée'!$F$16))&amp;""&amp;IF(AND(AN20&gt;=$I20*(1-'Feuille de Donnée'!$E$27),AN20&lt;=$I20*(1+'Feuille de Donnée'!$F$27)),'Feuille de Donnée'!$F$32,IF(AN20&lt;$I20*(1-'Feuille de Donnée'!$E$27),'Feuille de Donnée'!$F$33,'Feuille de Donnée'!$F$31)))))</f>
        <v/>
      </c>
      <c r="AT20" s="151"/>
      <c r="AU20" s="110"/>
      <c r="AV20" s="28"/>
      <c r="AW20" s="28"/>
      <c r="AX20" s="28" t="str">
        <f t="shared" si="13"/>
        <v/>
      </c>
      <c r="AY20" s="128" t="str">
        <f t="shared" si="14"/>
        <v/>
      </c>
      <c r="AZ20" s="128" t="str">
        <f t="shared" si="15"/>
        <v/>
      </c>
      <c r="BA20" s="28" t="str">
        <f>IF(AND(ISBLANK(BC20),BB20=""),"",1+MAX(BA$18:BA19))</f>
        <v/>
      </c>
      <c r="BB20" s="150" t="str">
        <f>IF(OR(AX20="",AX20=0,$J20="",$J20=0,NOT(ISNUMBER($J20)),NOT(ISNUMBER(AX20))),IF(AND($G20&lt;&gt;"",AND(OR(ISNUMBER(AX20),AX20=""),AND(ISNUMBER($J20),$J20&gt;0))),'Feuille de Donnée'!$K$13,""),IF(AX20&lt;$J$165*'Feuille de Donnée'!$I$9,"Négligeable",(IF(AND(AV20&gt;=$H20*(1-'Feuille de Donnée'!$E$12),AV20&lt;=$H20*(1+'Feuille de Donnée'!$F$12)),'Feuille de Donnée'!$F$17,IF(AV20&lt;$H20*(1-'Feuille de Donnée'!$E$12),'Feuille de Donnée'!$F$18,'Feuille de Donnée'!$F$16))&amp;""&amp;IF(AND(AW20&gt;=$I20*(1-'Feuille de Donnée'!$E$27),AW20&lt;=$I20*(1+'Feuille de Donnée'!$F$27)),'Feuille de Donnée'!$F$32,IF(AW20&lt;$I20*(1-'Feuille de Donnée'!$E$27),'Feuille de Donnée'!$F$33,'Feuille de Donnée'!$F$31)))))</f>
        <v/>
      </c>
      <c r="BC20" s="151"/>
      <c r="BD20" s="110"/>
      <c r="BE20" s="28"/>
      <c r="BF20" s="28"/>
      <c r="BG20" s="28" t="str">
        <f t="shared" si="16"/>
        <v/>
      </c>
      <c r="BH20" s="128" t="str">
        <f t="shared" si="17"/>
        <v/>
      </c>
      <c r="BI20" s="128" t="str">
        <f t="shared" si="18"/>
        <v/>
      </c>
      <c r="BJ20" s="28" t="str">
        <f>IF(AND(ISBLANK(BL20),BK20=""),"",1+MAX(BJ$18:BJ19))</f>
        <v/>
      </c>
      <c r="BK20" s="150" t="str">
        <f>IF(OR(BG20="",BG20=0,$J20="",$J20=0,NOT(ISNUMBER($J20)),NOT(ISNUMBER(BG20))),IF(AND($G20&lt;&gt;"",AND(OR(ISNUMBER(BG20),BG20=""),AND(ISNUMBER($J20),$J20&gt;0))),'Feuille de Donnée'!$K$13,""),IF(BG20&lt;$J$165*'Feuille de Donnée'!$I$9,"Négligeable",(IF(AND(BE20&gt;=$H20*(1-'Feuille de Donnée'!$E$12),BE20&lt;=$H20*(1+'Feuille de Donnée'!$F$12)),'Feuille de Donnée'!$F$17,IF(BE20&lt;$H20*(1-'Feuille de Donnée'!$E$12),'Feuille de Donnée'!$F$18,'Feuille de Donnée'!$F$16))&amp;""&amp;IF(AND(BF20&gt;=$I20*(1-'Feuille de Donnée'!$E$27),BF20&lt;=$I20*(1+'Feuille de Donnée'!$F$27)),'Feuille de Donnée'!$F$32,IF(BF20&lt;$I20*(1-'Feuille de Donnée'!$E$27),'Feuille de Donnée'!$F$33,'Feuille de Donnée'!$F$31)))))</f>
        <v/>
      </c>
      <c r="BL20" s="151"/>
      <c r="BM20" s="153"/>
    </row>
    <row r="21" spans="1:65" s="7" customFormat="1" x14ac:dyDescent="0.3">
      <c r="A21" s="24"/>
      <c r="B21" s="25"/>
      <c r="C21" s="25"/>
      <c r="D21" s="25"/>
      <c r="E21" s="25"/>
      <c r="F21" s="25"/>
      <c r="G21" s="23"/>
      <c r="H21" s="26"/>
      <c r="I21" s="27"/>
      <c r="J21" s="109" t="str">
        <f t="shared" ref="J21:J84" si="19">IF(ISBLANK(G21),"",ROUND(H21*I21,2))</f>
        <v/>
      </c>
      <c r="K21" s="110"/>
      <c r="L21" s="28"/>
      <c r="M21" s="28"/>
      <c r="N21" s="28" t="str">
        <f t="shared" ref="N21:N84" si="20">IF(ISBLANK(K21),"",ROUND(L21*M21,2))</f>
        <v/>
      </c>
      <c r="O21" s="128" t="str">
        <f t="shared" ref="O21:O84" si="21">IF($H21=0,"",(L21/$H21-1))</f>
        <v/>
      </c>
      <c r="P21" s="128" t="str">
        <f t="shared" ref="P21:P84" si="22">IF($I21=0,"",(M21/$I21-1))</f>
        <v/>
      </c>
      <c r="Q21" s="28" t="str">
        <f>IF(AND(ISBLANK(S21),R21=""),"",1+MAX(Q$18:Q20))</f>
        <v/>
      </c>
      <c r="R21" s="150" t="str">
        <f>IF(OR(N21="",N21=0,$J21="",$J21=0,NOT(ISNUMBER($J21)),NOT(ISNUMBER(N21))),IF(AND($G21&lt;&gt;"",AND(OR(ISNUMBER(N21),N21=""),AND(ISNUMBER($J21),$J21&gt;0))),'Feuille de Donnée'!$K$13,""),IF(N21&lt;$J$165*'Feuille de Donnée'!$I$9,"Négligeable",(IF(AND(L21&gt;=$H21*(1-'Feuille de Donnée'!$E$12),L21&lt;=$H21*(1+'Feuille de Donnée'!$F$12)),'Feuille de Donnée'!$F$17,IF(L21&lt;$H21*(1-'Feuille de Donnée'!$E$12),'Feuille de Donnée'!$F$18,'Feuille de Donnée'!$F$16))&amp;""&amp;IF(AND(M21&gt;=$I21*(1-'Feuille de Donnée'!$E$27),M21&lt;=$I21*(1+'Feuille de Donnée'!$F$27)),'Feuille de Donnée'!$F$32,IF(M21&lt;$I21*(1-'Feuille de Donnée'!$E$27),'Feuille de Donnée'!$F$33,'Feuille de Donnée'!$F$31)))))</f>
        <v/>
      </c>
      <c r="S21" s="151"/>
      <c r="T21" s="110"/>
      <c r="U21" s="28"/>
      <c r="V21" s="28"/>
      <c r="W21" s="28" t="str">
        <f t="shared" ref="W21:W84" si="23">IF(ISBLANK(T21),"",ROUND(U21*V21,2))</f>
        <v/>
      </c>
      <c r="X21" s="128" t="str">
        <f t="shared" ref="X21:X84" si="24">IF($H21=0,"",(U21/$H21-1))</f>
        <v/>
      </c>
      <c r="Y21" s="128" t="str">
        <f t="shared" ref="Y21:Y84" si="25">IF($I21=0,"",(V21/$I21-1))</f>
        <v/>
      </c>
      <c r="Z21" s="28" t="str">
        <f>IF(AND(ISBLANK(AB21),AA21=""),"",1+MAX(Z$18:Z20))</f>
        <v/>
      </c>
      <c r="AA21" s="150" t="str">
        <f>IF(OR(W21="",W21=0,$J21="",$J21=0,NOT(ISNUMBER($J21)),NOT(ISNUMBER(W21))),IF(AND($G21&lt;&gt;"",AND(OR(ISNUMBER(W21),W21=""),AND(ISNUMBER($J21),$J21&gt;0))),'Feuille de Donnée'!$K$13,""),IF(W21&lt;$J$165*'Feuille de Donnée'!$I$9,"Négligeable",(IF(AND(U21&gt;=$H21*(1-'Feuille de Donnée'!$E$12),U21&lt;=$H21*(1+'Feuille de Donnée'!$F$12)),'Feuille de Donnée'!$F$17,IF(U21&lt;$H21*(1-'Feuille de Donnée'!$E$12),'Feuille de Donnée'!$F$18,'Feuille de Donnée'!$F$16))&amp;""&amp;IF(AND(V21&gt;=$I21*(1-'Feuille de Donnée'!$E$27),V21&lt;=$I21*(1+'Feuille de Donnée'!$F$27)),'Feuille de Donnée'!$F$32,IF(V21&lt;$I21*(1-'Feuille de Donnée'!$E$27),'Feuille de Donnée'!$F$33,'Feuille de Donnée'!$F$31)))))</f>
        <v/>
      </c>
      <c r="AB21" s="151"/>
      <c r="AC21" s="110"/>
      <c r="AD21" s="28"/>
      <c r="AE21" s="28"/>
      <c r="AF21" s="28" t="str">
        <f t="shared" ref="AF21:AF84" si="26">IF(ISBLANK(AC21),"",ROUND(AD21*AE21,2))</f>
        <v/>
      </c>
      <c r="AG21" s="128" t="str">
        <f t="shared" ref="AG21:AG84" si="27">IF($H21=0,"",(AD21/$H21-1))</f>
        <v/>
      </c>
      <c r="AH21" s="128" t="str">
        <f t="shared" ref="AH21:AH84" si="28">IF($I21=0,"",(AE21/$I21-1))</f>
        <v/>
      </c>
      <c r="AI21" s="28" t="str">
        <f>IF(AND(ISBLANK(AK21),AJ21=""),"",1+MAX(AI$18:AI20))</f>
        <v/>
      </c>
      <c r="AJ21" s="150" t="str">
        <f>IF(OR(AF21="",AF21=0,$J21="",$J21=0,NOT(ISNUMBER($J21)),NOT(ISNUMBER(AF21))),IF(AND($G21&lt;&gt;"",AND(OR(ISNUMBER(AF21),AF21=""),AND(ISNUMBER($J21),$J21&gt;0))),'Feuille de Donnée'!$K$13,""),IF(AF21&lt;$J$165*'Feuille de Donnée'!$I$9,"Négligeable",(IF(AND(AD21&gt;=$H21*(1-'Feuille de Donnée'!$E$12),AD21&lt;=$H21*(1+'Feuille de Donnée'!$F$12)),'Feuille de Donnée'!$F$17,IF(AD21&lt;$H21*(1-'Feuille de Donnée'!$E$12),'Feuille de Donnée'!$F$18,'Feuille de Donnée'!$F$16))&amp;""&amp;IF(AND(AE21&gt;=$I21*(1-'Feuille de Donnée'!$E$27),AE21&lt;=$I21*(1+'Feuille de Donnée'!$F$27)),'Feuille de Donnée'!$F$32,IF(AE21&lt;$I21*(1-'Feuille de Donnée'!$E$27),'Feuille de Donnée'!$F$33,'Feuille de Donnée'!$F$31)))))</f>
        <v/>
      </c>
      <c r="AK21" s="151"/>
      <c r="AL21" s="110"/>
      <c r="AM21" s="28"/>
      <c r="AN21" s="28"/>
      <c r="AO21" s="28" t="str">
        <f t="shared" ref="AO21:AO84" si="29">IF(ISBLANK(AL21),"",ROUND(AM21*AN21,2))</f>
        <v/>
      </c>
      <c r="AP21" s="128" t="str">
        <f t="shared" ref="AP21:AP84" si="30">IF($H21=0,"",(AM21/$H21-1))</f>
        <v/>
      </c>
      <c r="AQ21" s="128" t="str">
        <f t="shared" ref="AQ21:AQ84" si="31">IF($I21=0,"",(AN21/$I21-1))</f>
        <v/>
      </c>
      <c r="AR21" s="28" t="str">
        <f>IF(AND(ISBLANK(AT21),AS21=""),"",1+MAX(AR$18:AR20))</f>
        <v/>
      </c>
      <c r="AS21" s="150" t="str">
        <f>IF(OR(AO21="",AO21=0,$J21="",$J21=0,NOT(ISNUMBER($J21)),NOT(ISNUMBER(AO21))),IF(AND($G21&lt;&gt;"",AND(OR(ISNUMBER(AO21),AO21=""),AND(ISNUMBER($J21),$J21&gt;0))),'Feuille de Donnée'!$K$13,""),IF(AO21&lt;$J$165*'Feuille de Donnée'!$I$9,"Négligeable",(IF(AND(AM21&gt;=$H21*(1-'Feuille de Donnée'!$E$12),AM21&lt;=$H21*(1+'Feuille de Donnée'!$F$12)),'Feuille de Donnée'!$F$17,IF(AM21&lt;$H21*(1-'Feuille de Donnée'!$E$12),'Feuille de Donnée'!$F$18,'Feuille de Donnée'!$F$16))&amp;""&amp;IF(AND(AN21&gt;=$I21*(1-'Feuille de Donnée'!$E$27),AN21&lt;=$I21*(1+'Feuille de Donnée'!$F$27)),'Feuille de Donnée'!$F$32,IF(AN21&lt;$I21*(1-'Feuille de Donnée'!$E$27),'Feuille de Donnée'!$F$33,'Feuille de Donnée'!$F$31)))))</f>
        <v/>
      </c>
      <c r="AT21" s="151"/>
      <c r="AU21" s="110"/>
      <c r="AV21" s="28"/>
      <c r="AW21" s="28"/>
      <c r="AX21" s="28" t="str">
        <f t="shared" ref="AX21:AX84" si="32">IF(ISBLANK(AU21),"",ROUND(AV21*AW21,2))</f>
        <v/>
      </c>
      <c r="AY21" s="128" t="str">
        <f t="shared" ref="AY21:AY84" si="33">IF($H21=0,"",(AV21/$H21-1))</f>
        <v/>
      </c>
      <c r="AZ21" s="128" t="str">
        <f t="shared" ref="AZ21:AZ84" si="34">IF($I21=0,"",(AW21/$I21-1))</f>
        <v/>
      </c>
      <c r="BA21" s="28" t="str">
        <f>IF(AND(ISBLANK(BC21),BB21=""),"",1+MAX(BA$18:BA20))</f>
        <v/>
      </c>
      <c r="BB21" s="150" t="str">
        <f>IF(OR(AX21="",AX21=0,$J21="",$J21=0,NOT(ISNUMBER($J21)),NOT(ISNUMBER(AX21))),IF(AND($G21&lt;&gt;"",AND(OR(ISNUMBER(AX21),AX21=""),AND(ISNUMBER($J21),$J21&gt;0))),'Feuille de Donnée'!$K$13,""),IF(AX21&lt;$J$165*'Feuille de Donnée'!$I$9,"Négligeable",(IF(AND(AV21&gt;=$H21*(1-'Feuille de Donnée'!$E$12),AV21&lt;=$H21*(1+'Feuille de Donnée'!$F$12)),'Feuille de Donnée'!$F$17,IF(AV21&lt;$H21*(1-'Feuille de Donnée'!$E$12),'Feuille de Donnée'!$F$18,'Feuille de Donnée'!$F$16))&amp;""&amp;IF(AND(AW21&gt;=$I21*(1-'Feuille de Donnée'!$E$27),AW21&lt;=$I21*(1+'Feuille de Donnée'!$F$27)),'Feuille de Donnée'!$F$32,IF(AW21&lt;$I21*(1-'Feuille de Donnée'!$E$27),'Feuille de Donnée'!$F$33,'Feuille de Donnée'!$F$31)))))</f>
        <v/>
      </c>
      <c r="BC21" s="151"/>
      <c r="BD21" s="110"/>
      <c r="BE21" s="28"/>
      <c r="BF21" s="28"/>
      <c r="BG21" s="28" t="str">
        <f t="shared" ref="BG21:BG84" si="35">IF(ISBLANK(BD21),"",ROUND(BE21*BF21,2))</f>
        <v/>
      </c>
      <c r="BH21" s="128" t="str">
        <f t="shared" ref="BH21:BH84" si="36">IF($H21=0,"",(BE21/$H21-1))</f>
        <v/>
      </c>
      <c r="BI21" s="128" t="str">
        <f t="shared" ref="BI21:BI84" si="37">IF($I21=0,"",(BF21/$I21-1))</f>
        <v/>
      </c>
      <c r="BJ21" s="28" t="str">
        <f>IF(AND(ISBLANK(BL21),BK21=""),"",1+MAX(BJ$18:BJ20))</f>
        <v/>
      </c>
      <c r="BK21" s="150" t="str">
        <f>IF(OR(BG21="",BG21=0,$J21="",$J21=0,NOT(ISNUMBER($J21)),NOT(ISNUMBER(BG21))),IF(AND($G21&lt;&gt;"",AND(OR(ISNUMBER(BG21),BG21=""),AND(ISNUMBER($J21),$J21&gt;0))),'Feuille de Donnée'!$K$13,""),IF(BG21&lt;$J$165*'Feuille de Donnée'!$I$9,"Négligeable",(IF(AND(BE21&gt;=$H21*(1-'Feuille de Donnée'!$E$12),BE21&lt;=$H21*(1+'Feuille de Donnée'!$F$12)),'Feuille de Donnée'!$F$17,IF(BE21&lt;$H21*(1-'Feuille de Donnée'!$E$12),'Feuille de Donnée'!$F$18,'Feuille de Donnée'!$F$16))&amp;""&amp;IF(AND(BF21&gt;=$I21*(1-'Feuille de Donnée'!$E$27),BF21&lt;=$I21*(1+'Feuille de Donnée'!$F$27)),'Feuille de Donnée'!$F$32,IF(BF21&lt;$I21*(1-'Feuille de Donnée'!$E$27),'Feuille de Donnée'!$F$33,'Feuille de Donnée'!$F$31)))))</f>
        <v/>
      </c>
      <c r="BL21" s="151"/>
      <c r="BM21" s="153"/>
    </row>
    <row r="22" spans="1:65" s="7" customFormat="1" x14ac:dyDescent="0.3">
      <c r="A22" s="24"/>
      <c r="B22" s="25"/>
      <c r="C22" s="25"/>
      <c r="D22" s="25"/>
      <c r="E22" s="25"/>
      <c r="F22" s="25"/>
      <c r="G22" s="23"/>
      <c r="H22" s="26"/>
      <c r="I22" s="27"/>
      <c r="J22" s="109" t="str">
        <f t="shared" si="19"/>
        <v/>
      </c>
      <c r="K22" s="110"/>
      <c r="L22" s="28"/>
      <c r="M22" s="28"/>
      <c r="N22" s="28" t="str">
        <f t="shared" si="20"/>
        <v/>
      </c>
      <c r="O22" s="128" t="str">
        <f t="shared" si="21"/>
        <v/>
      </c>
      <c r="P22" s="128" t="str">
        <f t="shared" si="22"/>
        <v/>
      </c>
      <c r="Q22" s="28" t="str">
        <f>IF(AND(ISBLANK(S22),R22=""),"",1+MAX(Q$18:Q21))</f>
        <v/>
      </c>
      <c r="R22" s="150" t="str">
        <f>IF(OR(N22="",N22=0,$J22="",$J22=0,NOT(ISNUMBER($J22)),NOT(ISNUMBER(N22))),IF(AND($G22&lt;&gt;"",AND(OR(ISNUMBER(N22),N22=""),AND(ISNUMBER($J22),$J22&gt;0))),'Feuille de Donnée'!$K$13,""),IF(N22&lt;$J$165*'Feuille de Donnée'!$I$9,"Négligeable",(IF(AND(L22&gt;=$H22*(1-'Feuille de Donnée'!$E$12),L22&lt;=$H22*(1+'Feuille de Donnée'!$F$12)),'Feuille de Donnée'!$F$17,IF(L22&lt;$H22*(1-'Feuille de Donnée'!$E$12),'Feuille de Donnée'!$F$18,'Feuille de Donnée'!$F$16))&amp;""&amp;IF(AND(M22&gt;=$I22*(1-'Feuille de Donnée'!$E$27),M22&lt;=$I22*(1+'Feuille de Donnée'!$F$27)),'Feuille de Donnée'!$F$32,IF(M22&lt;$I22*(1-'Feuille de Donnée'!$E$27),'Feuille de Donnée'!$F$33,'Feuille de Donnée'!$F$31)))))</f>
        <v/>
      </c>
      <c r="S22" s="151"/>
      <c r="T22" s="110"/>
      <c r="U22" s="28"/>
      <c r="V22" s="28"/>
      <c r="W22" s="28" t="str">
        <f t="shared" si="23"/>
        <v/>
      </c>
      <c r="X22" s="128" t="str">
        <f t="shared" si="24"/>
        <v/>
      </c>
      <c r="Y22" s="128" t="str">
        <f t="shared" si="25"/>
        <v/>
      </c>
      <c r="Z22" s="28" t="str">
        <f>IF(AND(ISBLANK(AB22),AA22=""),"",1+MAX(Z$18:Z21))</f>
        <v/>
      </c>
      <c r="AA22" s="150" t="str">
        <f>IF(OR(W22="",W22=0,$J22="",$J22=0,NOT(ISNUMBER($J22)),NOT(ISNUMBER(W22))),IF(AND($G22&lt;&gt;"",AND(OR(ISNUMBER(W22),W22=""),AND(ISNUMBER($J22),$J22&gt;0))),'Feuille de Donnée'!$K$13,""),IF(W22&lt;$J$165*'Feuille de Donnée'!$I$9,"Négligeable",(IF(AND(U22&gt;=$H22*(1-'Feuille de Donnée'!$E$12),U22&lt;=$H22*(1+'Feuille de Donnée'!$F$12)),'Feuille de Donnée'!$F$17,IF(U22&lt;$H22*(1-'Feuille de Donnée'!$E$12),'Feuille de Donnée'!$F$18,'Feuille de Donnée'!$F$16))&amp;""&amp;IF(AND(V22&gt;=$I22*(1-'Feuille de Donnée'!$E$27),V22&lt;=$I22*(1+'Feuille de Donnée'!$F$27)),'Feuille de Donnée'!$F$32,IF(V22&lt;$I22*(1-'Feuille de Donnée'!$E$27),'Feuille de Donnée'!$F$33,'Feuille de Donnée'!$F$31)))))</f>
        <v/>
      </c>
      <c r="AB22" s="151"/>
      <c r="AC22" s="110"/>
      <c r="AD22" s="28"/>
      <c r="AE22" s="28"/>
      <c r="AF22" s="28" t="str">
        <f t="shared" si="26"/>
        <v/>
      </c>
      <c r="AG22" s="128" t="str">
        <f t="shared" si="27"/>
        <v/>
      </c>
      <c r="AH22" s="128" t="str">
        <f t="shared" si="28"/>
        <v/>
      </c>
      <c r="AI22" s="28" t="str">
        <f>IF(AND(ISBLANK(AK22),AJ22=""),"",1+MAX(AI$18:AI21))</f>
        <v/>
      </c>
      <c r="AJ22" s="150" t="str">
        <f>IF(OR(AF22="",AF22=0,$J22="",$J22=0,NOT(ISNUMBER($J22)),NOT(ISNUMBER(AF22))),IF(AND($G22&lt;&gt;"",AND(OR(ISNUMBER(AF22),AF22=""),AND(ISNUMBER($J22),$J22&gt;0))),'Feuille de Donnée'!$K$13,""),IF(AF22&lt;$J$165*'Feuille de Donnée'!$I$9,"Négligeable",(IF(AND(AD22&gt;=$H22*(1-'Feuille de Donnée'!$E$12),AD22&lt;=$H22*(1+'Feuille de Donnée'!$F$12)),'Feuille de Donnée'!$F$17,IF(AD22&lt;$H22*(1-'Feuille de Donnée'!$E$12),'Feuille de Donnée'!$F$18,'Feuille de Donnée'!$F$16))&amp;""&amp;IF(AND(AE22&gt;=$I22*(1-'Feuille de Donnée'!$E$27),AE22&lt;=$I22*(1+'Feuille de Donnée'!$F$27)),'Feuille de Donnée'!$F$32,IF(AE22&lt;$I22*(1-'Feuille de Donnée'!$E$27),'Feuille de Donnée'!$F$33,'Feuille de Donnée'!$F$31)))))</f>
        <v/>
      </c>
      <c r="AK22" s="151"/>
      <c r="AL22" s="110"/>
      <c r="AM22" s="28"/>
      <c r="AN22" s="28"/>
      <c r="AO22" s="28" t="str">
        <f t="shared" si="29"/>
        <v/>
      </c>
      <c r="AP22" s="128" t="str">
        <f t="shared" si="30"/>
        <v/>
      </c>
      <c r="AQ22" s="128" t="str">
        <f t="shared" si="31"/>
        <v/>
      </c>
      <c r="AR22" s="28" t="str">
        <f>IF(AND(ISBLANK(AT22),AS22=""),"",1+MAX(AR$18:AR21))</f>
        <v/>
      </c>
      <c r="AS22" s="150" t="str">
        <f>IF(OR(AO22="",AO22=0,$J22="",$J22=0,NOT(ISNUMBER($J22)),NOT(ISNUMBER(AO22))),IF(AND($G22&lt;&gt;"",AND(OR(ISNUMBER(AO22),AO22=""),AND(ISNUMBER($J22),$J22&gt;0))),'Feuille de Donnée'!$K$13,""),IF(AO22&lt;$J$165*'Feuille de Donnée'!$I$9,"Négligeable",(IF(AND(AM22&gt;=$H22*(1-'Feuille de Donnée'!$E$12),AM22&lt;=$H22*(1+'Feuille de Donnée'!$F$12)),'Feuille de Donnée'!$F$17,IF(AM22&lt;$H22*(1-'Feuille de Donnée'!$E$12),'Feuille de Donnée'!$F$18,'Feuille de Donnée'!$F$16))&amp;""&amp;IF(AND(AN22&gt;=$I22*(1-'Feuille de Donnée'!$E$27),AN22&lt;=$I22*(1+'Feuille de Donnée'!$F$27)),'Feuille de Donnée'!$F$32,IF(AN22&lt;$I22*(1-'Feuille de Donnée'!$E$27),'Feuille de Donnée'!$F$33,'Feuille de Donnée'!$F$31)))))</f>
        <v/>
      </c>
      <c r="AT22" s="151"/>
      <c r="AU22" s="110"/>
      <c r="AV22" s="28"/>
      <c r="AW22" s="28"/>
      <c r="AX22" s="28" t="str">
        <f t="shared" si="32"/>
        <v/>
      </c>
      <c r="AY22" s="128" t="str">
        <f t="shared" si="33"/>
        <v/>
      </c>
      <c r="AZ22" s="128" t="str">
        <f t="shared" si="34"/>
        <v/>
      </c>
      <c r="BA22" s="28" t="str">
        <f>IF(AND(ISBLANK(BC22),BB22=""),"",1+MAX(BA$18:BA21))</f>
        <v/>
      </c>
      <c r="BB22" s="150" t="str">
        <f>IF(OR(AX22="",AX22=0,$J22="",$J22=0,NOT(ISNUMBER($J22)),NOT(ISNUMBER(AX22))),IF(AND($G22&lt;&gt;"",AND(OR(ISNUMBER(AX22),AX22=""),AND(ISNUMBER($J22),$J22&gt;0))),'Feuille de Donnée'!$K$13,""),IF(AX22&lt;$J$165*'Feuille de Donnée'!$I$9,"Négligeable",(IF(AND(AV22&gt;=$H22*(1-'Feuille de Donnée'!$E$12),AV22&lt;=$H22*(1+'Feuille de Donnée'!$F$12)),'Feuille de Donnée'!$F$17,IF(AV22&lt;$H22*(1-'Feuille de Donnée'!$E$12),'Feuille de Donnée'!$F$18,'Feuille de Donnée'!$F$16))&amp;""&amp;IF(AND(AW22&gt;=$I22*(1-'Feuille de Donnée'!$E$27),AW22&lt;=$I22*(1+'Feuille de Donnée'!$F$27)),'Feuille de Donnée'!$F$32,IF(AW22&lt;$I22*(1-'Feuille de Donnée'!$E$27),'Feuille de Donnée'!$F$33,'Feuille de Donnée'!$F$31)))))</f>
        <v/>
      </c>
      <c r="BC22" s="151"/>
      <c r="BD22" s="110"/>
      <c r="BE22" s="28"/>
      <c r="BF22" s="28"/>
      <c r="BG22" s="28" t="str">
        <f t="shared" si="35"/>
        <v/>
      </c>
      <c r="BH22" s="128" t="str">
        <f t="shared" si="36"/>
        <v/>
      </c>
      <c r="BI22" s="128" t="str">
        <f t="shared" si="37"/>
        <v/>
      </c>
      <c r="BJ22" s="28" t="str">
        <f>IF(AND(ISBLANK(BL22),BK22=""),"",1+MAX(BJ$18:BJ21))</f>
        <v/>
      </c>
      <c r="BK22" s="150" t="str">
        <f>IF(OR(BG22="",BG22=0,$J22="",$J22=0,NOT(ISNUMBER($J22)),NOT(ISNUMBER(BG22))),IF(AND($G22&lt;&gt;"",AND(OR(ISNUMBER(BG22),BG22=""),AND(ISNUMBER($J22),$J22&gt;0))),'Feuille de Donnée'!$K$13,""),IF(BG22&lt;$J$165*'Feuille de Donnée'!$I$9,"Négligeable",(IF(AND(BE22&gt;=$H22*(1-'Feuille de Donnée'!$E$12),BE22&lt;=$H22*(1+'Feuille de Donnée'!$F$12)),'Feuille de Donnée'!$F$17,IF(BE22&lt;$H22*(1-'Feuille de Donnée'!$E$12),'Feuille de Donnée'!$F$18,'Feuille de Donnée'!$F$16))&amp;""&amp;IF(AND(BF22&gt;=$I22*(1-'Feuille de Donnée'!$E$27),BF22&lt;=$I22*(1+'Feuille de Donnée'!$F$27)),'Feuille de Donnée'!$F$32,IF(BF22&lt;$I22*(1-'Feuille de Donnée'!$E$27),'Feuille de Donnée'!$F$33,'Feuille de Donnée'!$F$31)))))</f>
        <v/>
      </c>
      <c r="BL22" s="151"/>
      <c r="BM22" s="153"/>
    </row>
    <row r="23" spans="1:65" s="7" customFormat="1" x14ac:dyDescent="0.3">
      <c r="A23" s="24"/>
      <c r="B23" s="25"/>
      <c r="C23" s="25"/>
      <c r="D23" s="25"/>
      <c r="E23" s="25"/>
      <c r="F23" s="25"/>
      <c r="G23" s="23"/>
      <c r="H23" s="26"/>
      <c r="I23" s="27"/>
      <c r="J23" s="109" t="str">
        <f t="shared" si="19"/>
        <v/>
      </c>
      <c r="K23" s="110"/>
      <c r="L23" s="28"/>
      <c r="M23" s="28"/>
      <c r="N23" s="28" t="str">
        <f t="shared" si="20"/>
        <v/>
      </c>
      <c r="O23" s="128" t="str">
        <f t="shared" si="21"/>
        <v/>
      </c>
      <c r="P23" s="128" t="str">
        <f t="shared" si="22"/>
        <v/>
      </c>
      <c r="Q23" s="28" t="str">
        <f>IF(AND(ISBLANK(S23),R23=""),"",1+MAX(Q$18:Q22))</f>
        <v/>
      </c>
      <c r="R23" s="150" t="str">
        <f>IF(OR(N23="",N23=0,$J23="",$J23=0,NOT(ISNUMBER($J23)),NOT(ISNUMBER(N23))),IF(AND($G23&lt;&gt;"",AND(OR(ISNUMBER(N23),N23=""),AND(ISNUMBER($J23),$J23&gt;0))),'Feuille de Donnée'!$K$13,""),IF(N23&lt;$J$165*'Feuille de Donnée'!$I$9,"Négligeable",(IF(AND(L23&gt;=$H23*(1-'Feuille de Donnée'!$E$12),L23&lt;=$H23*(1+'Feuille de Donnée'!$F$12)),'Feuille de Donnée'!$F$17,IF(L23&lt;$H23*(1-'Feuille de Donnée'!$E$12),'Feuille de Donnée'!$F$18,'Feuille de Donnée'!$F$16))&amp;""&amp;IF(AND(M23&gt;=$I23*(1-'Feuille de Donnée'!$E$27),M23&lt;=$I23*(1+'Feuille de Donnée'!$F$27)),'Feuille de Donnée'!$F$32,IF(M23&lt;$I23*(1-'Feuille de Donnée'!$E$27),'Feuille de Donnée'!$F$33,'Feuille de Donnée'!$F$31)))))</f>
        <v/>
      </c>
      <c r="S23" s="151"/>
      <c r="T23" s="110"/>
      <c r="U23" s="28"/>
      <c r="V23" s="28"/>
      <c r="W23" s="28" t="str">
        <f t="shared" si="23"/>
        <v/>
      </c>
      <c r="X23" s="128" t="str">
        <f t="shared" si="24"/>
        <v/>
      </c>
      <c r="Y23" s="128" t="str">
        <f t="shared" si="25"/>
        <v/>
      </c>
      <c r="Z23" s="28" t="str">
        <f>IF(AND(ISBLANK(AB23),AA23=""),"",1+MAX(Z$18:Z22))</f>
        <v/>
      </c>
      <c r="AA23" s="150" t="str">
        <f>IF(OR(W23="",W23=0,$J23="",$J23=0,NOT(ISNUMBER($J23)),NOT(ISNUMBER(W23))),IF(AND($G23&lt;&gt;"",AND(OR(ISNUMBER(W23),W23=""),AND(ISNUMBER($J23),$J23&gt;0))),'Feuille de Donnée'!$K$13,""),IF(W23&lt;$J$165*'Feuille de Donnée'!$I$9,"Négligeable",(IF(AND(U23&gt;=$H23*(1-'Feuille de Donnée'!$E$12),U23&lt;=$H23*(1+'Feuille de Donnée'!$F$12)),'Feuille de Donnée'!$F$17,IF(U23&lt;$H23*(1-'Feuille de Donnée'!$E$12),'Feuille de Donnée'!$F$18,'Feuille de Donnée'!$F$16))&amp;""&amp;IF(AND(V23&gt;=$I23*(1-'Feuille de Donnée'!$E$27),V23&lt;=$I23*(1+'Feuille de Donnée'!$F$27)),'Feuille de Donnée'!$F$32,IF(V23&lt;$I23*(1-'Feuille de Donnée'!$E$27),'Feuille de Donnée'!$F$33,'Feuille de Donnée'!$F$31)))))</f>
        <v/>
      </c>
      <c r="AB23" s="151"/>
      <c r="AC23" s="110"/>
      <c r="AD23" s="28"/>
      <c r="AE23" s="28"/>
      <c r="AF23" s="28" t="str">
        <f t="shared" si="26"/>
        <v/>
      </c>
      <c r="AG23" s="128" t="str">
        <f t="shared" si="27"/>
        <v/>
      </c>
      <c r="AH23" s="128" t="str">
        <f t="shared" si="28"/>
        <v/>
      </c>
      <c r="AI23" s="28" t="str">
        <f>IF(AND(ISBLANK(AK23),AJ23=""),"",1+MAX(AI$18:AI22))</f>
        <v/>
      </c>
      <c r="AJ23" s="150" t="str">
        <f>IF(OR(AF23="",AF23=0,$J23="",$J23=0,NOT(ISNUMBER($J23)),NOT(ISNUMBER(AF23))),IF(AND($G23&lt;&gt;"",AND(OR(ISNUMBER(AF23),AF23=""),AND(ISNUMBER($J23),$J23&gt;0))),'Feuille de Donnée'!$K$13,""),IF(AF23&lt;$J$165*'Feuille de Donnée'!$I$9,"Négligeable",(IF(AND(AD23&gt;=$H23*(1-'Feuille de Donnée'!$E$12),AD23&lt;=$H23*(1+'Feuille de Donnée'!$F$12)),'Feuille de Donnée'!$F$17,IF(AD23&lt;$H23*(1-'Feuille de Donnée'!$E$12),'Feuille de Donnée'!$F$18,'Feuille de Donnée'!$F$16))&amp;""&amp;IF(AND(AE23&gt;=$I23*(1-'Feuille de Donnée'!$E$27),AE23&lt;=$I23*(1+'Feuille de Donnée'!$F$27)),'Feuille de Donnée'!$F$32,IF(AE23&lt;$I23*(1-'Feuille de Donnée'!$E$27),'Feuille de Donnée'!$F$33,'Feuille de Donnée'!$F$31)))))</f>
        <v/>
      </c>
      <c r="AK23" s="151"/>
      <c r="AL23" s="110"/>
      <c r="AM23" s="28"/>
      <c r="AN23" s="28"/>
      <c r="AO23" s="28" t="str">
        <f t="shared" si="29"/>
        <v/>
      </c>
      <c r="AP23" s="128" t="str">
        <f t="shared" si="30"/>
        <v/>
      </c>
      <c r="AQ23" s="128" t="str">
        <f t="shared" si="31"/>
        <v/>
      </c>
      <c r="AR23" s="28" t="str">
        <f>IF(AND(ISBLANK(AT23),AS23=""),"",1+MAX(AR$18:AR22))</f>
        <v/>
      </c>
      <c r="AS23" s="150" t="str">
        <f>IF(OR(AO23="",AO23=0,$J23="",$J23=0,NOT(ISNUMBER($J23)),NOT(ISNUMBER(AO23))),IF(AND($G23&lt;&gt;"",AND(OR(ISNUMBER(AO23),AO23=""),AND(ISNUMBER($J23),$J23&gt;0))),'Feuille de Donnée'!$K$13,""),IF(AO23&lt;$J$165*'Feuille de Donnée'!$I$9,"Négligeable",(IF(AND(AM23&gt;=$H23*(1-'Feuille de Donnée'!$E$12),AM23&lt;=$H23*(1+'Feuille de Donnée'!$F$12)),'Feuille de Donnée'!$F$17,IF(AM23&lt;$H23*(1-'Feuille de Donnée'!$E$12),'Feuille de Donnée'!$F$18,'Feuille de Donnée'!$F$16))&amp;""&amp;IF(AND(AN23&gt;=$I23*(1-'Feuille de Donnée'!$E$27),AN23&lt;=$I23*(1+'Feuille de Donnée'!$F$27)),'Feuille de Donnée'!$F$32,IF(AN23&lt;$I23*(1-'Feuille de Donnée'!$E$27),'Feuille de Donnée'!$F$33,'Feuille de Donnée'!$F$31)))))</f>
        <v/>
      </c>
      <c r="AT23" s="151"/>
      <c r="AU23" s="110"/>
      <c r="AV23" s="28"/>
      <c r="AW23" s="28"/>
      <c r="AX23" s="28" t="str">
        <f t="shared" si="32"/>
        <v/>
      </c>
      <c r="AY23" s="128" t="str">
        <f t="shared" si="33"/>
        <v/>
      </c>
      <c r="AZ23" s="128" t="str">
        <f t="shared" si="34"/>
        <v/>
      </c>
      <c r="BA23" s="28" t="str">
        <f>IF(AND(ISBLANK(BC23),BB23=""),"",1+MAX(BA$18:BA22))</f>
        <v/>
      </c>
      <c r="BB23" s="150" t="str">
        <f>IF(OR(AX23="",AX23=0,$J23="",$J23=0,NOT(ISNUMBER($J23)),NOT(ISNUMBER(AX23))),IF(AND($G23&lt;&gt;"",AND(OR(ISNUMBER(AX23),AX23=""),AND(ISNUMBER($J23),$J23&gt;0))),'Feuille de Donnée'!$K$13,""),IF(AX23&lt;$J$165*'Feuille de Donnée'!$I$9,"Négligeable",(IF(AND(AV23&gt;=$H23*(1-'Feuille de Donnée'!$E$12),AV23&lt;=$H23*(1+'Feuille de Donnée'!$F$12)),'Feuille de Donnée'!$F$17,IF(AV23&lt;$H23*(1-'Feuille de Donnée'!$E$12),'Feuille de Donnée'!$F$18,'Feuille de Donnée'!$F$16))&amp;""&amp;IF(AND(AW23&gt;=$I23*(1-'Feuille de Donnée'!$E$27),AW23&lt;=$I23*(1+'Feuille de Donnée'!$F$27)),'Feuille de Donnée'!$F$32,IF(AW23&lt;$I23*(1-'Feuille de Donnée'!$E$27),'Feuille de Donnée'!$F$33,'Feuille de Donnée'!$F$31)))))</f>
        <v/>
      </c>
      <c r="BC23" s="151"/>
      <c r="BD23" s="110"/>
      <c r="BE23" s="28"/>
      <c r="BF23" s="28"/>
      <c r="BG23" s="28" t="str">
        <f t="shared" si="35"/>
        <v/>
      </c>
      <c r="BH23" s="128" t="str">
        <f t="shared" si="36"/>
        <v/>
      </c>
      <c r="BI23" s="128" t="str">
        <f t="shared" si="37"/>
        <v/>
      </c>
      <c r="BJ23" s="28" t="str">
        <f>IF(AND(ISBLANK(BL23),BK23=""),"",1+MAX(BJ$18:BJ22))</f>
        <v/>
      </c>
      <c r="BK23" s="150" t="str">
        <f>IF(OR(BG23="",BG23=0,$J23="",$J23=0,NOT(ISNUMBER($J23)),NOT(ISNUMBER(BG23))),IF(AND($G23&lt;&gt;"",AND(OR(ISNUMBER(BG23),BG23=""),AND(ISNUMBER($J23),$J23&gt;0))),'Feuille de Donnée'!$K$13,""),IF(BG23&lt;$J$165*'Feuille de Donnée'!$I$9,"Négligeable",(IF(AND(BE23&gt;=$H23*(1-'Feuille de Donnée'!$E$12),BE23&lt;=$H23*(1+'Feuille de Donnée'!$F$12)),'Feuille de Donnée'!$F$17,IF(BE23&lt;$H23*(1-'Feuille de Donnée'!$E$12),'Feuille de Donnée'!$F$18,'Feuille de Donnée'!$F$16))&amp;""&amp;IF(AND(BF23&gt;=$I23*(1-'Feuille de Donnée'!$E$27),BF23&lt;=$I23*(1+'Feuille de Donnée'!$F$27)),'Feuille de Donnée'!$F$32,IF(BF23&lt;$I23*(1-'Feuille de Donnée'!$E$27),'Feuille de Donnée'!$F$33,'Feuille de Donnée'!$F$31)))))</f>
        <v/>
      </c>
      <c r="BL23" s="151"/>
      <c r="BM23" s="153"/>
    </row>
    <row r="24" spans="1:65" s="7" customFormat="1" x14ac:dyDescent="0.3">
      <c r="A24" s="24"/>
      <c r="B24" s="25"/>
      <c r="C24" s="25"/>
      <c r="D24" s="25"/>
      <c r="E24" s="25"/>
      <c r="F24" s="25"/>
      <c r="G24" s="23"/>
      <c r="H24" s="26"/>
      <c r="I24" s="27"/>
      <c r="J24" s="109" t="str">
        <f t="shared" si="19"/>
        <v/>
      </c>
      <c r="K24" s="110"/>
      <c r="L24" s="28"/>
      <c r="M24" s="28"/>
      <c r="N24" s="28" t="str">
        <f t="shared" si="20"/>
        <v/>
      </c>
      <c r="O24" s="128" t="str">
        <f t="shared" si="21"/>
        <v/>
      </c>
      <c r="P24" s="128" t="str">
        <f t="shared" si="22"/>
        <v/>
      </c>
      <c r="Q24" s="28" t="str">
        <f>IF(AND(ISBLANK(S24),R24=""),"",1+MAX(Q$18:Q23))</f>
        <v/>
      </c>
      <c r="R24" s="150" t="str">
        <f>IF(OR(N24="",N24=0,$J24="",$J24=0,NOT(ISNUMBER($J24)),NOT(ISNUMBER(N24))),IF(AND($G24&lt;&gt;"",AND(OR(ISNUMBER(N24),N24=""),AND(ISNUMBER($J24),$J24&gt;0))),'Feuille de Donnée'!$K$13,""),IF(N24&lt;$J$165*'Feuille de Donnée'!$I$9,"Négligeable",(IF(AND(L24&gt;=$H24*(1-'Feuille de Donnée'!$E$12),L24&lt;=$H24*(1+'Feuille de Donnée'!$F$12)),'Feuille de Donnée'!$F$17,IF(L24&lt;$H24*(1-'Feuille de Donnée'!$E$12),'Feuille de Donnée'!$F$18,'Feuille de Donnée'!$F$16))&amp;""&amp;IF(AND(M24&gt;=$I24*(1-'Feuille de Donnée'!$E$27),M24&lt;=$I24*(1+'Feuille de Donnée'!$F$27)),'Feuille de Donnée'!$F$32,IF(M24&lt;$I24*(1-'Feuille de Donnée'!$E$27),'Feuille de Donnée'!$F$33,'Feuille de Donnée'!$F$31)))))</f>
        <v/>
      </c>
      <c r="S24" s="151"/>
      <c r="T24" s="110"/>
      <c r="U24" s="28"/>
      <c r="V24" s="28"/>
      <c r="W24" s="28" t="str">
        <f t="shared" si="23"/>
        <v/>
      </c>
      <c r="X24" s="128" t="str">
        <f t="shared" si="24"/>
        <v/>
      </c>
      <c r="Y24" s="128" t="str">
        <f t="shared" si="25"/>
        <v/>
      </c>
      <c r="Z24" s="28" t="str">
        <f>IF(AND(ISBLANK(AB24),AA24=""),"",1+MAX(Z$18:Z23))</f>
        <v/>
      </c>
      <c r="AA24" s="150" t="str">
        <f>IF(OR(W24="",W24=0,$J24="",$J24=0,NOT(ISNUMBER($J24)),NOT(ISNUMBER(W24))),IF(AND($G24&lt;&gt;"",AND(OR(ISNUMBER(W24),W24=""),AND(ISNUMBER($J24),$J24&gt;0))),'Feuille de Donnée'!$K$13,""),IF(W24&lt;$J$165*'Feuille de Donnée'!$I$9,"Négligeable",(IF(AND(U24&gt;=$H24*(1-'Feuille de Donnée'!$E$12),U24&lt;=$H24*(1+'Feuille de Donnée'!$F$12)),'Feuille de Donnée'!$F$17,IF(U24&lt;$H24*(1-'Feuille de Donnée'!$E$12),'Feuille de Donnée'!$F$18,'Feuille de Donnée'!$F$16))&amp;""&amp;IF(AND(V24&gt;=$I24*(1-'Feuille de Donnée'!$E$27),V24&lt;=$I24*(1+'Feuille de Donnée'!$F$27)),'Feuille de Donnée'!$F$32,IF(V24&lt;$I24*(1-'Feuille de Donnée'!$E$27),'Feuille de Donnée'!$F$33,'Feuille de Donnée'!$F$31)))))</f>
        <v/>
      </c>
      <c r="AB24" s="151"/>
      <c r="AC24" s="110"/>
      <c r="AD24" s="28"/>
      <c r="AE24" s="28"/>
      <c r="AF24" s="28" t="str">
        <f t="shared" si="26"/>
        <v/>
      </c>
      <c r="AG24" s="128" t="str">
        <f t="shared" si="27"/>
        <v/>
      </c>
      <c r="AH24" s="128" t="str">
        <f t="shared" si="28"/>
        <v/>
      </c>
      <c r="AI24" s="28" t="str">
        <f>IF(AND(ISBLANK(AK24),AJ24=""),"",1+MAX(AI$18:AI23))</f>
        <v/>
      </c>
      <c r="AJ24" s="150" t="str">
        <f>IF(OR(AF24="",AF24=0,$J24="",$J24=0,NOT(ISNUMBER($J24)),NOT(ISNUMBER(AF24))),IF(AND($G24&lt;&gt;"",AND(OR(ISNUMBER(AF24),AF24=""),AND(ISNUMBER($J24),$J24&gt;0))),'Feuille de Donnée'!$K$13,""),IF(AF24&lt;$J$165*'Feuille de Donnée'!$I$9,"Négligeable",(IF(AND(AD24&gt;=$H24*(1-'Feuille de Donnée'!$E$12),AD24&lt;=$H24*(1+'Feuille de Donnée'!$F$12)),'Feuille de Donnée'!$F$17,IF(AD24&lt;$H24*(1-'Feuille de Donnée'!$E$12),'Feuille de Donnée'!$F$18,'Feuille de Donnée'!$F$16))&amp;""&amp;IF(AND(AE24&gt;=$I24*(1-'Feuille de Donnée'!$E$27),AE24&lt;=$I24*(1+'Feuille de Donnée'!$F$27)),'Feuille de Donnée'!$F$32,IF(AE24&lt;$I24*(1-'Feuille de Donnée'!$E$27),'Feuille de Donnée'!$F$33,'Feuille de Donnée'!$F$31)))))</f>
        <v/>
      </c>
      <c r="AK24" s="151"/>
      <c r="AL24" s="110"/>
      <c r="AM24" s="28"/>
      <c r="AN24" s="28"/>
      <c r="AO24" s="28" t="str">
        <f t="shared" si="29"/>
        <v/>
      </c>
      <c r="AP24" s="128" t="str">
        <f t="shared" si="30"/>
        <v/>
      </c>
      <c r="AQ24" s="128" t="str">
        <f t="shared" si="31"/>
        <v/>
      </c>
      <c r="AR24" s="28" t="str">
        <f>IF(AND(ISBLANK(AT24),AS24=""),"",1+MAX(AR$18:AR23))</f>
        <v/>
      </c>
      <c r="AS24" s="150" t="str">
        <f>IF(OR(AO24="",AO24=0,$J24="",$J24=0,NOT(ISNUMBER($J24)),NOT(ISNUMBER(AO24))),IF(AND($G24&lt;&gt;"",AND(OR(ISNUMBER(AO24),AO24=""),AND(ISNUMBER($J24),$J24&gt;0))),'Feuille de Donnée'!$K$13,""),IF(AO24&lt;$J$165*'Feuille de Donnée'!$I$9,"Négligeable",(IF(AND(AM24&gt;=$H24*(1-'Feuille de Donnée'!$E$12),AM24&lt;=$H24*(1+'Feuille de Donnée'!$F$12)),'Feuille de Donnée'!$F$17,IF(AM24&lt;$H24*(1-'Feuille de Donnée'!$E$12),'Feuille de Donnée'!$F$18,'Feuille de Donnée'!$F$16))&amp;""&amp;IF(AND(AN24&gt;=$I24*(1-'Feuille de Donnée'!$E$27),AN24&lt;=$I24*(1+'Feuille de Donnée'!$F$27)),'Feuille de Donnée'!$F$32,IF(AN24&lt;$I24*(1-'Feuille de Donnée'!$E$27),'Feuille de Donnée'!$F$33,'Feuille de Donnée'!$F$31)))))</f>
        <v/>
      </c>
      <c r="AT24" s="151"/>
      <c r="AU24" s="110"/>
      <c r="AV24" s="28"/>
      <c r="AW24" s="28"/>
      <c r="AX24" s="28" t="str">
        <f t="shared" si="32"/>
        <v/>
      </c>
      <c r="AY24" s="128" t="str">
        <f t="shared" si="33"/>
        <v/>
      </c>
      <c r="AZ24" s="128" t="str">
        <f t="shared" si="34"/>
        <v/>
      </c>
      <c r="BA24" s="28" t="str">
        <f>IF(AND(ISBLANK(BC24),BB24=""),"",1+MAX(BA$18:BA23))</f>
        <v/>
      </c>
      <c r="BB24" s="150" t="str">
        <f>IF(OR(AX24="",AX24=0,$J24="",$J24=0,NOT(ISNUMBER($J24)),NOT(ISNUMBER(AX24))),IF(AND($G24&lt;&gt;"",AND(OR(ISNUMBER(AX24),AX24=""),AND(ISNUMBER($J24),$J24&gt;0))),'Feuille de Donnée'!$K$13,""),IF(AX24&lt;$J$165*'Feuille de Donnée'!$I$9,"Négligeable",(IF(AND(AV24&gt;=$H24*(1-'Feuille de Donnée'!$E$12),AV24&lt;=$H24*(1+'Feuille de Donnée'!$F$12)),'Feuille de Donnée'!$F$17,IF(AV24&lt;$H24*(1-'Feuille de Donnée'!$E$12),'Feuille de Donnée'!$F$18,'Feuille de Donnée'!$F$16))&amp;""&amp;IF(AND(AW24&gt;=$I24*(1-'Feuille de Donnée'!$E$27),AW24&lt;=$I24*(1+'Feuille de Donnée'!$F$27)),'Feuille de Donnée'!$F$32,IF(AW24&lt;$I24*(1-'Feuille de Donnée'!$E$27),'Feuille de Donnée'!$F$33,'Feuille de Donnée'!$F$31)))))</f>
        <v/>
      </c>
      <c r="BC24" s="151"/>
      <c r="BD24" s="110"/>
      <c r="BE24" s="28"/>
      <c r="BF24" s="28"/>
      <c r="BG24" s="28" t="str">
        <f t="shared" si="35"/>
        <v/>
      </c>
      <c r="BH24" s="128" t="str">
        <f t="shared" si="36"/>
        <v/>
      </c>
      <c r="BI24" s="128" t="str">
        <f t="shared" si="37"/>
        <v/>
      </c>
      <c r="BJ24" s="28" t="str">
        <f>IF(AND(ISBLANK(BL24),BK24=""),"",1+MAX(BJ$18:BJ23))</f>
        <v/>
      </c>
      <c r="BK24" s="150" t="str">
        <f>IF(OR(BG24="",BG24=0,$J24="",$J24=0,NOT(ISNUMBER($J24)),NOT(ISNUMBER(BG24))),IF(AND($G24&lt;&gt;"",AND(OR(ISNUMBER(BG24),BG24=""),AND(ISNUMBER($J24),$J24&gt;0))),'Feuille de Donnée'!$K$13,""),IF(BG24&lt;$J$165*'Feuille de Donnée'!$I$9,"Négligeable",(IF(AND(BE24&gt;=$H24*(1-'Feuille de Donnée'!$E$12),BE24&lt;=$H24*(1+'Feuille de Donnée'!$F$12)),'Feuille de Donnée'!$F$17,IF(BE24&lt;$H24*(1-'Feuille de Donnée'!$E$12),'Feuille de Donnée'!$F$18,'Feuille de Donnée'!$F$16))&amp;""&amp;IF(AND(BF24&gt;=$I24*(1-'Feuille de Donnée'!$E$27),BF24&lt;=$I24*(1+'Feuille de Donnée'!$F$27)),'Feuille de Donnée'!$F$32,IF(BF24&lt;$I24*(1-'Feuille de Donnée'!$E$27),'Feuille de Donnée'!$F$33,'Feuille de Donnée'!$F$31)))))</f>
        <v/>
      </c>
      <c r="BL24" s="151"/>
      <c r="BM24" s="153"/>
    </row>
    <row r="25" spans="1:65" s="7" customFormat="1" x14ac:dyDescent="0.3">
      <c r="A25" s="24"/>
      <c r="B25" s="25"/>
      <c r="C25" s="25"/>
      <c r="D25" s="25"/>
      <c r="E25" s="25"/>
      <c r="F25" s="25"/>
      <c r="G25" s="23"/>
      <c r="H25" s="26"/>
      <c r="I25" s="27"/>
      <c r="J25" s="109" t="str">
        <f t="shared" si="19"/>
        <v/>
      </c>
      <c r="K25" s="110"/>
      <c r="L25" s="28"/>
      <c r="M25" s="28"/>
      <c r="N25" s="28" t="str">
        <f t="shared" si="20"/>
        <v/>
      </c>
      <c r="O25" s="128" t="str">
        <f t="shared" si="21"/>
        <v/>
      </c>
      <c r="P25" s="128" t="str">
        <f t="shared" si="22"/>
        <v/>
      </c>
      <c r="Q25" s="28" t="str">
        <f>IF(AND(ISBLANK(S25),R25=""),"",1+MAX(Q$18:Q24))</f>
        <v/>
      </c>
      <c r="R25" s="150" t="str">
        <f>IF(OR(N25="",N25=0,$J25="",$J25=0,NOT(ISNUMBER($J25)),NOT(ISNUMBER(N25))),IF(AND($G25&lt;&gt;"",AND(OR(ISNUMBER(N25),N25=""),AND(ISNUMBER($J25),$J25&gt;0))),'Feuille de Donnée'!$K$13,""),IF(N25&lt;$J$165*'Feuille de Donnée'!$I$9,"Négligeable",(IF(AND(L25&gt;=$H25*(1-'Feuille de Donnée'!$E$12),L25&lt;=$H25*(1+'Feuille de Donnée'!$F$12)),'Feuille de Donnée'!$F$17,IF(L25&lt;$H25*(1-'Feuille de Donnée'!$E$12),'Feuille de Donnée'!$F$18,'Feuille de Donnée'!$F$16))&amp;""&amp;IF(AND(M25&gt;=$I25*(1-'Feuille de Donnée'!$E$27),M25&lt;=$I25*(1+'Feuille de Donnée'!$F$27)),'Feuille de Donnée'!$F$32,IF(M25&lt;$I25*(1-'Feuille de Donnée'!$E$27),'Feuille de Donnée'!$F$33,'Feuille de Donnée'!$F$31)))))</f>
        <v/>
      </c>
      <c r="S25" s="151"/>
      <c r="T25" s="110"/>
      <c r="U25" s="28"/>
      <c r="V25" s="28"/>
      <c r="W25" s="28" t="str">
        <f t="shared" si="23"/>
        <v/>
      </c>
      <c r="X25" s="128" t="str">
        <f t="shared" si="24"/>
        <v/>
      </c>
      <c r="Y25" s="128" t="str">
        <f t="shared" si="25"/>
        <v/>
      </c>
      <c r="Z25" s="28" t="str">
        <f>IF(AND(ISBLANK(AB25),AA25=""),"",1+MAX(Z$18:Z24))</f>
        <v/>
      </c>
      <c r="AA25" s="150" t="str">
        <f>IF(OR(W25="",W25=0,$J25="",$J25=0,NOT(ISNUMBER($J25)),NOT(ISNUMBER(W25))),IF(AND($G25&lt;&gt;"",AND(OR(ISNUMBER(W25),W25=""),AND(ISNUMBER($J25),$J25&gt;0))),'Feuille de Donnée'!$K$13,""),IF(W25&lt;$J$165*'Feuille de Donnée'!$I$9,"Négligeable",(IF(AND(U25&gt;=$H25*(1-'Feuille de Donnée'!$E$12),U25&lt;=$H25*(1+'Feuille de Donnée'!$F$12)),'Feuille de Donnée'!$F$17,IF(U25&lt;$H25*(1-'Feuille de Donnée'!$E$12),'Feuille de Donnée'!$F$18,'Feuille de Donnée'!$F$16))&amp;""&amp;IF(AND(V25&gt;=$I25*(1-'Feuille de Donnée'!$E$27),V25&lt;=$I25*(1+'Feuille de Donnée'!$F$27)),'Feuille de Donnée'!$F$32,IF(V25&lt;$I25*(1-'Feuille de Donnée'!$E$27),'Feuille de Donnée'!$F$33,'Feuille de Donnée'!$F$31)))))</f>
        <v/>
      </c>
      <c r="AB25" s="151"/>
      <c r="AC25" s="110"/>
      <c r="AD25" s="28"/>
      <c r="AE25" s="28"/>
      <c r="AF25" s="28" t="str">
        <f t="shared" si="26"/>
        <v/>
      </c>
      <c r="AG25" s="128" t="str">
        <f t="shared" si="27"/>
        <v/>
      </c>
      <c r="AH25" s="128" t="str">
        <f t="shared" si="28"/>
        <v/>
      </c>
      <c r="AI25" s="28" t="str">
        <f>IF(AND(ISBLANK(AK25),AJ25=""),"",1+MAX(AI$18:AI24))</f>
        <v/>
      </c>
      <c r="AJ25" s="150" t="str">
        <f>IF(OR(AF25="",AF25=0,$J25="",$J25=0,NOT(ISNUMBER($J25)),NOT(ISNUMBER(AF25))),IF(AND($G25&lt;&gt;"",AND(OR(ISNUMBER(AF25),AF25=""),AND(ISNUMBER($J25),$J25&gt;0))),'Feuille de Donnée'!$K$13,""),IF(AF25&lt;$J$165*'Feuille de Donnée'!$I$9,"Négligeable",(IF(AND(AD25&gt;=$H25*(1-'Feuille de Donnée'!$E$12),AD25&lt;=$H25*(1+'Feuille de Donnée'!$F$12)),'Feuille de Donnée'!$F$17,IF(AD25&lt;$H25*(1-'Feuille de Donnée'!$E$12),'Feuille de Donnée'!$F$18,'Feuille de Donnée'!$F$16))&amp;""&amp;IF(AND(AE25&gt;=$I25*(1-'Feuille de Donnée'!$E$27),AE25&lt;=$I25*(1+'Feuille de Donnée'!$F$27)),'Feuille de Donnée'!$F$32,IF(AE25&lt;$I25*(1-'Feuille de Donnée'!$E$27),'Feuille de Donnée'!$F$33,'Feuille de Donnée'!$F$31)))))</f>
        <v/>
      </c>
      <c r="AK25" s="151"/>
      <c r="AL25" s="110"/>
      <c r="AM25" s="28"/>
      <c r="AN25" s="28"/>
      <c r="AO25" s="28" t="str">
        <f t="shared" si="29"/>
        <v/>
      </c>
      <c r="AP25" s="128" t="str">
        <f t="shared" si="30"/>
        <v/>
      </c>
      <c r="AQ25" s="128" t="str">
        <f t="shared" si="31"/>
        <v/>
      </c>
      <c r="AR25" s="28" t="str">
        <f>IF(AND(ISBLANK(AT25),AS25=""),"",1+MAX(AR$18:AR24))</f>
        <v/>
      </c>
      <c r="AS25" s="150" t="str">
        <f>IF(OR(AO25="",AO25=0,$J25="",$J25=0,NOT(ISNUMBER($J25)),NOT(ISNUMBER(AO25))),IF(AND($G25&lt;&gt;"",AND(OR(ISNUMBER(AO25),AO25=""),AND(ISNUMBER($J25),$J25&gt;0))),'Feuille de Donnée'!$K$13,""),IF(AO25&lt;$J$165*'Feuille de Donnée'!$I$9,"Négligeable",(IF(AND(AM25&gt;=$H25*(1-'Feuille de Donnée'!$E$12),AM25&lt;=$H25*(1+'Feuille de Donnée'!$F$12)),'Feuille de Donnée'!$F$17,IF(AM25&lt;$H25*(1-'Feuille de Donnée'!$E$12),'Feuille de Donnée'!$F$18,'Feuille de Donnée'!$F$16))&amp;""&amp;IF(AND(AN25&gt;=$I25*(1-'Feuille de Donnée'!$E$27),AN25&lt;=$I25*(1+'Feuille de Donnée'!$F$27)),'Feuille de Donnée'!$F$32,IF(AN25&lt;$I25*(1-'Feuille de Donnée'!$E$27),'Feuille de Donnée'!$F$33,'Feuille de Donnée'!$F$31)))))</f>
        <v/>
      </c>
      <c r="AT25" s="151"/>
      <c r="AU25" s="110"/>
      <c r="AV25" s="28"/>
      <c r="AW25" s="28"/>
      <c r="AX25" s="28" t="str">
        <f t="shared" si="32"/>
        <v/>
      </c>
      <c r="AY25" s="128" t="str">
        <f t="shared" si="33"/>
        <v/>
      </c>
      <c r="AZ25" s="128" t="str">
        <f t="shared" si="34"/>
        <v/>
      </c>
      <c r="BA25" s="28" t="str">
        <f>IF(AND(ISBLANK(BC25),BB25=""),"",1+MAX(BA$18:BA24))</f>
        <v/>
      </c>
      <c r="BB25" s="150" t="str">
        <f>IF(OR(AX25="",AX25=0,$J25="",$J25=0,NOT(ISNUMBER($J25)),NOT(ISNUMBER(AX25))),IF(AND($G25&lt;&gt;"",AND(OR(ISNUMBER(AX25),AX25=""),AND(ISNUMBER($J25),$J25&gt;0))),'Feuille de Donnée'!$K$13,""),IF(AX25&lt;$J$165*'Feuille de Donnée'!$I$9,"Négligeable",(IF(AND(AV25&gt;=$H25*(1-'Feuille de Donnée'!$E$12),AV25&lt;=$H25*(1+'Feuille de Donnée'!$F$12)),'Feuille de Donnée'!$F$17,IF(AV25&lt;$H25*(1-'Feuille de Donnée'!$E$12),'Feuille de Donnée'!$F$18,'Feuille de Donnée'!$F$16))&amp;""&amp;IF(AND(AW25&gt;=$I25*(1-'Feuille de Donnée'!$E$27),AW25&lt;=$I25*(1+'Feuille de Donnée'!$F$27)),'Feuille de Donnée'!$F$32,IF(AW25&lt;$I25*(1-'Feuille de Donnée'!$E$27),'Feuille de Donnée'!$F$33,'Feuille de Donnée'!$F$31)))))</f>
        <v/>
      </c>
      <c r="BC25" s="151"/>
      <c r="BD25" s="110"/>
      <c r="BE25" s="28"/>
      <c r="BF25" s="28"/>
      <c r="BG25" s="28" t="str">
        <f t="shared" si="35"/>
        <v/>
      </c>
      <c r="BH25" s="128" t="str">
        <f t="shared" si="36"/>
        <v/>
      </c>
      <c r="BI25" s="128" t="str">
        <f t="shared" si="37"/>
        <v/>
      </c>
      <c r="BJ25" s="28" t="str">
        <f>IF(AND(ISBLANK(BL25),BK25=""),"",1+MAX(BJ$18:BJ24))</f>
        <v/>
      </c>
      <c r="BK25" s="150" t="str">
        <f>IF(OR(BG25="",BG25=0,$J25="",$J25=0,NOT(ISNUMBER($J25)),NOT(ISNUMBER(BG25))),IF(AND($G25&lt;&gt;"",AND(OR(ISNUMBER(BG25),BG25=""),AND(ISNUMBER($J25),$J25&gt;0))),'Feuille de Donnée'!$K$13,""),IF(BG25&lt;$J$165*'Feuille de Donnée'!$I$9,"Négligeable",(IF(AND(BE25&gt;=$H25*(1-'Feuille de Donnée'!$E$12),BE25&lt;=$H25*(1+'Feuille de Donnée'!$F$12)),'Feuille de Donnée'!$F$17,IF(BE25&lt;$H25*(1-'Feuille de Donnée'!$E$12),'Feuille de Donnée'!$F$18,'Feuille de Donnée'!$F$16))&amp;""&amp;IF(AND(BF25&gt;=$I25*(1-'Feuille de Donnée'!$E$27),BF25&lt;=$I25*(1+'Feuille de Donnée'!$F$27)),'Feuille de Donnée'!$F$32,IF(BF25&lt;$I25*(1-'Feuille de Donnée'!$E$27),'Feuille de Donnée'!$F$33,'Feuille de Donnée'!$F$31)))))</f>
        <v/>
      </c>
      <c r="BL25" s="151"/>
      <c r="BM25" s="153"/>
    </row>
    <row r="26" spans="1:65" s="7" customFormat="1" x14ac:dyDescent="0.3">
      <c r="A26" s="24"/>
      <c r="B26" s="25"/>
      <c r="C26" s="25"/>
      <c r="D26" s="25"/>
      <c r="E26" s="25"/>
      <c r="F26" s="25"/>
      <c r="G26" s="23"/>
      <c r="H26" s="26"/>
      <c r="I26" s="27"/>
      <c r="J26" s="109" t="str">
        <f t="shared" si="19"/>
        <v/>
      </c>
      <c r="K26" s="110"/>
      <c r="L26" s="28"/>
      <c r="M26" s="28"/>
      <c r="N26" s="28" t="str">
        <f t="shared" si="20"/>
        <v/>
      </c>
      <c r="O26" s="128" t="str">
        <f t="shared" si="21"/>
        <v/>
      </c>
      <c r="P26" s="128" t="str">
        <f t="shared" si="22"/>
        <v/>
      </c>
      <c r="Q26" s="28" t="str">
        <f>IF(AND(ISBLANK(S26),R26=""),"",1+MAX(Q$18:Q25))</f>
        <v/>
      </c>
      <c r="R26" s="150" t="str">
        <f>IF(OR(N26="",N26=0,$J26="",$J26=0,NOT(ISNUMBER($J26)),NOT(ISNUMBER(N26))),IF(AND($G26&lt;&gt;"",AND(OR(ISNUMBER(N26),N26=""),AND(ISNUMBER($J26),$J26&gt;0))),'Feuille de Donnée'!$K$13,""),IF(N26&lt;$J$165*'Feuille de Donnée'!$I$9,"Négligeable",(IF(AND(L26&gt;=$H26*(1-'Feuille de Donnée'!$E$12),L26&lt;=$H26*(1+'Feuille de Donnée'!$F$12)),'Feuille de Donnée'!$F$17,IF(L26&lt;$H26*(1-'Feuille de Donnée'!$E$12),'Feuille de Donnée'!$F$18,'Feuille de Donnée'!$F$16))&amp;""&amp;IF(AND(M26&gt;=$I26*(1-'Feuille de Donnée'!$E$27),M26&lt;=$I26*(1+'Feuille de Donnée'!$F$27)),'Feuille de Donnée'!$F$32,IF(M26&lt;$I26*(1-'Feuille de Donnée'!$E$27),'Feuille de Donnée'!$F$33,'Feuille de Donnée'!$F$31)))))</f>
        <v/>
      </c>
      <c r="S26" s="151"/>
      <c r="T26" s="110"/>
      <c r="U26" s="28"/>
      <c r="V26" s="28"/>
      <c r="W26" s="28" t="str">
        <f t="shared" si="23"/>
        <v/>
      </c>
      <c r="X26" s="128" t="str">
        <f t="shared" si="24"/>
        <v/>
      </c>
      <c r="Y26" s="128" t="str">
        <f t="shared" si="25"/>
        <v/>
      </c>
      <c r="Z26" s="28" t="str">
        <f>IF(AND(ISBLANK(AB26),AA26=""),"",1+MAX(Z$18:Z25))</f>
        <v/>
      </c>
      <c r="AA26" s="150" t="str">
        <f>IF(OR(W26="",W26=0,$J26="",$J26=0,NOT(ISNUMBER($J26)),NOT(ISNUMBER(W26))),IF(AND($G26&lt;&gt;"",AND(OR(ISNUMBER(W26),W26=""),AND(ISNUMBER($J26),$J26&gt;0))),'Feuille de Donnée'!$K$13,""),IF(W26&lt;$J$165*'Feuille de Donnée'!$I$9,"Négligeable",(IF(AND(U26&gt;=$H26*(1-'Feuille de Donnée'!$E$12),U26&lt;=$H26*(1+'Feuille de Donnée'!$F$12)),'Feuille de Donnée'!$F$17,IF(U26&lt;$H26*(1-'Feuille de Donnée'!$E$12),'Feuille de Donnée'!$F$18,'Feuille de Donnée'!$F$16))&amp;""&amp;IF(AND(V26&gt;=$I26*(1-'Feuille de Donnée'!$E$27),V26&lt;=$I26*(1+'Feuille de Donnée'!$F$27)),'Feuille de Donnée'!$F$32,IF(V26&lt;$I26*(1-'Feuille de Donnée'!$E$27),'Feuille de Donnée'!$F$33,'Feuille de Donnée'!$F$31)))))</f>
        <v/>
      </c>
      <c r="AB26" s="151"/>
      <c r="AC26" s="110"/>
      <c r="AD26" s="28"/>
      <c r="AE26" s="28"/>
      <c r="AF26" s="28" t="str">
        <f t="shared" si="26"/>
        <v/>
      </c>
      <c r="AG26" s="128" t="str">
        <f t="shared" si="27"/>
        <v/>
      </c>
      <c r="AH26" s="128" t="str">
        <f t="shared" si="28"/>
        <v/>
      </c>
      <c r="AI26" s="28" t="str">
        <f>IF(AND(ISBLANK(AK26),AJ26=""),"",1+MAX(AI$18:AI25))</f>
        <v/>
      </c>
      <c r="AJ26" s="150" t="str">
        <f>IF(OR(AF26="",AF26=0,$J26="",$J26=0,NOT(ISNUMBER($J26)),NOT(ISNUMBER(AF26))),IF(AND($G26&lt;&gt;"",AND(OR(ISNUMBER(AF26),AF26=""),AND(ISNUMBER($J26),$J26&gt;0))),'Feuille de Donnée'!$K$13,""),IF(AF26&lt;$J$165*'Feuille de Donnée'!$I$9,"Négligeable",(IF(AND(AD26&gt;=$H26*(1-'Feuille de Donnée'!$E$12),AD26&lt;=$H26*(1+'Feuille de Donnée'!$F$12)),'Feuille de Donnée'!$F$17,IF(AD26&lt;$H26*(1-'Feuille de Donnée'!$E$12),'Feuille de Donnée'!$F$18,'Feuille de Donnée'!$F$16))&amp;""&amp;IF(AND(AE26&gt;=$I26*(1-'Feuille de Donnée'!$E$27),AE26&lt;=$I26*(1+'Feuille de Donnée'!$F$27)),'Feuille de Donnée'!$F$32,IF(AE26&lt;$I26*(1-'Feuille de Donnée'!$E$27),'Feuille de Donnée'!$F$33,'Feuille de Donnée'!$F$31)))))</f>
        <v/>
      </c>
      <c r="AK26" s="151"/>
      <c r="AL26" s="110"/>
      <c r="AM26" s="28"/>
      <c r="AN26" s="28"/>
      <c r="AO26" s="28" t="str">
        <f t="shared" si="29"/>
        <v/>
      </c>
      <c r="AP26" s="128" t="str">
        <f t="shared" si="30"/>
        <v/>
      </c>
      <c r="AQ26" s="128" t="str">
        <f t="shared" si="31"/>
        <v/>
      </c>
      <c r="AR26" s="28" t="str">
        <f>IF(AND(ISBLANK(AT26),AS26=""),"",1+MAX(AR$18:AR25))</f>
        <v/>
      </c>
      <c r="AS26" s="150" t="str">
        <f>IF(OR(AO26="",AO26=0,$J26="",$J26=0,NOT(ISNUMBER($J26)),NOT(ISNUMBER(AO26))),IF(AND($G26&lt;&gt;"",AND(OR(ISNUMBER(AO26),AO26=""),AND(ISNUMBER($J26),$J26&gt;0))),'Feuille de Donnée'!$K$13,""),IF(AO26&lt;$J$165*'Feuille de Donnée'!$I$9,"Négligeable",(IF(AND(AM26&gt;=$H26*(1-'Feuille de Donnée'!$E$12),AM26&lt;=$H26*(1+'Feuille de Donnée'!$F$12)),'Feuille de Donnée'!$F$17,IF(AM26&lt;$H26*(1-'Feuille de Donnée'!$E$12),'Feuille de Donnée'!$F$18,'Feuille de Donnée'!$F$16))&amp;""&amp;IF(AND(AN26&gt;=$I26*(1-'Feuille de Donnée'!$E$27),AN26&lt;=$I26*(1+'Feuille de Donnée'!$F$27)),'Feuille de Donnée'!$F$32,IF(AN26&lt;$I26*(1-'Feuille de Donnée'!$E$27),'Feuille de Donnée'!$F$33,'Feuille de Donnée'!$F$31)))))</f>
        <v/>
      </c>
      <c r="AT26" s="151"/>
      <c r="AU26" s="110"/>
      <c r="AV26" s="28"/>
      <c r="AW26" s="28"/>
      <c r="AX26" s="28" t="str">
        <f t="shared" si="32"/>
        <v/>
      </c>
      <c r="AY26" s="128" t="str">
        <f t="shared" si="33"/>
        <v/>
      </c>
      <c r="AZ26" s="128" t="str">
        <f t="shared" si="34"/>
        <v/>
      </c>
      <c r="BA26" s="28" t="str">
        <f>IF(AND(ISBLANK(BC26),BB26=""),"",1+MAX(BA$18:BA25))</f>
        <v/>
      </c>
      <c r="BB26" s="150" t="str">
        <f>IF(OR(AX26="",AX26=0,$J26="",$J26=0,NOT(ISNUMBER($J26)),NOT(ISNUMBER(AX26))),IF(AND($G26&lt;&gt;"",AND(OR(ISNUMBER(AX26),AX26=""),AND(ISNUMBER($J26),$J26&gt;0))),'Feuille de Donnée'!$K$13,""),IF(AX26&lt;$J$165*'Feuille de Donnée'!$I$9,"Négligeable",(IF(AND(AV26&gt;=$H26*(1-'Feuille de Donnée'!$E$12),AV26&lt;=$H26*(1+'Feuille de Donnée'!$F$12)),'Feuille de Donnée'!$F$17,IF(AV26&lt;$H26*(1-'Feuille de Donnée'!$E$12),'Feuille de Donnée'!$F$18,'Feuille de Donnée'!$F$16))&amp;""&amp;IF(AND(AW26&gt;=$I26*(1-'Feuille de Donnée'!$E$27),AW26&lt;=$I26*(1+'Feuille de Donnée'!$F$27)),'Feuille de Donnée'!$F$32,IF(AW26&lt;$I26*(1-'Feuille de Donnée'!$E$27),'Feuille de Donnée'!$F$33,'Feuille de Donnée'!$F$31)))))</f>
        <v/>
      </c>
      <c r="BC26" s="151"/>
      <c r="BD26" s="110"/>
      <c r="BE26" s="28"/>
      <c r="BF26" s="28"/>
      <c r="BG26" s="28" t="str">
        <f t="shared" si="35"/>
        <v/>
      </c>
      <c r="BH26" s="128" t="str">
        <f t="shared" si="36"/>
        <v/>
      </c>
      <c r="BI26" s="128" t="str">
        <f t="shared" si="37"/>
        <v/>
      </c>
      <c r="BJ26" s="28" t="str">
        <f>IF(AND(ISBLANK(BL26),BK26=""),"",1+MAX(BJ$18:BJ25))</f>
        <v/>
      </c>
      <c r="BK26" s="150" t="str">
        <f>IF(OR(BG26="",BG26=0,$J26="",$J26=0,NOT(ISNUMBER($J26)),NOT(ISNUMBER(BG26))),IF(AND($G26&lt;&gt;"",AND(OR(ISNUMBER(BG26),BG26=""),AND(ISNUMBER($J26),$J26&gt;0))),'Feuille de Donnée'!$K$13,""),IF(BG26&lt;$J$165*'Feuille de Donnée'!$I$9,"Négligeable",(IF(AND(BE26&gt;=$H26*(1-'Feuille de Donnée'!$E$12),BE26&lt;=$H26*(1+'Feuille de Donnée'!$F$12)),'Feuille de Donnée'!$F$17,IF(BE26&lt;$H26*(1-'Feuille de Donnée'!$E$12),'Feuille de Donnée'!$F$18,'Feuille de Donnée'!$F$16))&amp;""&amp;IF(AND(BF26&gt;=$I26*(1-'Feuille de Donnée'!$E$27),BF26&lt;=$I26*(1+'Feuille de Donnée'!$F$27)),'Feuille de Donnée'!$F$32,IF(BF26&lt;$I26*(1-'Feuille de Donnée'!$E$27),'Feuille de Donnée'!$F$33,'Feuille de Donnée'!$F$31)))))</f>
        <v/>
      </c>
      <c r="BL26" s="151"/>
      <c r="BM26" s="153"/>
    </row>
    <row r="27" spans="1:65" s="7" customFormat="1" x14ac:dyDescent="0.3">
      <c r="A27" s="24"/>
      <c r="B27" s="25"/>
      <c r="C27" s="25"/>
      <c r="D27" s="25"/>
      <c r="E27" s="25"/>
      <c r="F27" s="25"/>
      <c r="G27" s="23"/>
      <c r="H27" s="26"/>
      <c r="I27" s="27"/>
      <c r="J27" s="109" t="str">
        <f t="shared" si="19"/>
        <v/>
      </c>
      <c r="K27" s="110"/>
      <c r="L27" s="28"/>
      <c r="M27" s="28"/>
      <c r="N27" s="28" t="str">
        <f t="shared" si="20"/>
        <v/>
      </c>
      <c r="O27" s="128" t="str">
        <f t="shared" si="21"/>
        <v/>
      </c>
      <c r="P27" s="128" t="str">
        <f t="shared" si="22"/>
        <v/>
      </c>
      <c r="Q27" s="28" t="str">
        <f>IF(AND(ISBLANK(S27),R27=""),"",1+MAX(Q$18:Q26))</f>
        <v/>
      </c>
      <c r="R27" s="150" t="str">
        <f>IF(OR(N27="",N27=0,$J27="",$J27=0,NOT(ISNUMBER($J27)),NOT(ISNUMBER(N27))),IF(AND($G27&lt;&gt;"",AND(OR(ISNUMBER(N27),N27=""),AND(ISNUMBER($J27),$J27&gt;0))),'Feuille de Donnée'!$K$13,""),IF(N27&lt;$J$165*'Feuille de Donnée'!$I$9,"Négligeable",(IF(AND(L27&gt;=$H27*(1-'Feuille de Donnée'!$E$12),L27&lt;=$H27*(1+'Feuille de Donnée'!$F$12)),'Feuille de Donnée'!$F$17,IF(L27&lt;$H27*(1-'Feuille de Donnée'!$E$12),'Feuille de Donnée'!$F$18,'Feuille de Donnée'!$F$16))&amp;""&amp;IF(AND(M27&gt;=$I27*(1-'Feuille de Donnée'!$E$27),M27&lt;=$I27*(1+'Feuille de Donnée'!$F$27)),'Feuille de Donnée'!$F$32,IF(M27&lt;$I27*(1-'Feuille de Donnée'!$E$27),'Feuille de Donnée'!$F$33,'Feuille de Donnée'!$F$31)))))</f>
        <v/>
      </c>
      <c r="S27" s="151"/>
      <c r="T27" s="110"/>
      <c r="U27" s="28"/>
      <c r="V27" s="28"/>
      <c r="W27" s="28" t="str">
        <f t="shared" si="23"/>
        <v/>
      </c>
      <c r="X27" s="128" t="str">
        <f t="shared" si="24"/>
        <v/>
      </c>
      <c r="Y27" s="128" t="str">
        <f t="shared" si="25"/>
        <v/>
      </c>
      <c r="Z27" s="28" t="str">
        <f>IF(AND(ISBLANK(AB27),AA27=""),"",1+MAX(Z$18:Z26))</f>
        <v/>
      </c>
      <c r="AA27" s="150" t="str">
        <f>IF(OR(W27="",W27=0,$J27="",$J27=0,NOT(ISNUMBER($J27)),NOT(ISNUMBER(W27))),IF(AND($G27&lt;&gt;"",AND(OR(ISNUMBER(W27),W27=""),AND(ISNUMBER($J27),$J27&gt;0))),'Feuille de Donnée'!$K$13,""),IF(W27&lt;$J$165*'Feuille de Donnée'!$I$9,"Négligeable",(IF(AND(U27&gt;=$H27*(1-'Feuille de Donnée'!$E$12),U27&lt;=$H27*(1+'Feuille de Donnée'!$F$12)),'Feuille de Donnée'!$F$17,IF(U27&lt;$H27*(1-'Feuille de Donnée'!$E$12),'Feuille de Donnée'!$F$18,'Feuille de Donnée'!$F$16))&amp;""&amp;IF(AND(V27&gt;=$I27*(1-'Feuille de Donnée'!$E$27),V27&lt;=$I27*(1+'Feuille de Donnée'!$F$27)),'Feuille de Donnée'!$F$32,IF(V27&lt;$I27*(1-'Feuille de Donnée'!$E$27),'Feuille de Donnée'!$F$33,'Feuille de Donnée'!$F$31)))))</f>
        <v/>
      </c>
      <c r="AB27" s="151"/>
      <c r="AC27" s="110"/>
      <c r="AD27" s="28"/>
      <c r="AE27" s="28"/>
      <c r="AF27" s="28" t="str">
        <f t="shared" si="26"/>
        <v/>
      </c>
      <c r="AG27" s="128" t="str">
        <f t="shared" si="27"/>
        <v/>
      </c>
      <c r="AH27" s="128" t="str">
        <f t="shared" si="28"/>
        <v/>
      </c>
      <c r="AI27" s="28" t="str">
        <f>IF(AND(ISBLANK(AK27),AJ27=""),"",1+MAX(AI$18:AI26))</f>
        <v/>
      </c>
      <c r="AJ27" s="150" t="str">
        <f>IF(OR(AF27="",AF27=0,$J27="",$J27=0,NOT(ISNUMBER($J27)),NOT(ISNUMBER(AF27))),IF(AND($G27&lt;&gt;"",AND(OR(ISNUMBER(AF27),AF27=""),AND(ISNUMBER($J27),$J27&gt;0))),'Feuille de Donnée'!$K$13,""),IF(AF27&lt;$J$165*'Feuille de Donnée'!$I$9,"Négligeable",(IF(AND(AD27&gt;=$H27*(1-'Feuille de Donnée'!$E$12),AD27&lt;=$H27*(1+'Feuille de Donnée'!$F$12)),'Feuille de Donnée'!$F$17,IF(AD27&lt;$H27*(1-'Feuille de Donnée'!$E$12),'Feuille de Donnée'!$F$18,'Feuille de Donnée'!$F$16))&amp;""&amp;IF(AND(AE27&gt;=$I27*(1-'Feuille de Donnée'!$E$27),AE27&lt;=$I27*(1+'Feuille de Donnée'!$F$27)),'Feuille de Donnée'!$F$32,IF(AE27&lt;$I27*(1-'Feuille de Donnée'!$E$27),'Feuille de Donnée'!$F$33,'Feuille de Donnée'!$F$31)))))</f>
        <v/>
      </c>
      <c r="AK27" s="151"/>
      <c r="AL27" s="110"/>
      <c r="AM27" s="28"/>
      <c r="AN27" s="28"/>
      <c r="AO27" s="28" t="str">
        <f t="shared" si="29"/>
        <v/>
      </c>
      <c r="AP27" s="128" t="str">
        <f t="shared" si="30"/>
        <v/>
      </c>
      <c r="AQ27" s="128" t="str">
        <f t="shared" si="31"/>
        <v/>
      </c>
      <c r="AR27" s="28" t="str">
        <f>IF(AND(ISBLANK(AT27),AS27=""),"",1+MAX(AR$18:AR26))</f>
        <v/>
      </c>
      <c r="AS27" s="150" t="str">
        <f>IF(OR(AO27="",AO27=0,$J27="",$J27=0,NOT(ISNUMBER($J27)),NOT(ISNUMBER(AO27))),IF(AND($G27&lt;&gt;"",AND(OR(ISNUMBER(AO27),AO27=""),AND(ISNUMBER($J27),$J27&gt;0))),'Feuille de Donnée'!$K$13,""),IF(AO27&lt;$J$165*'Feuille de Donnée'!$I$9,"Négligeable",(IF(AND(AM27&gt;=$H27*(1-'Feuille de Donnée'!$E$12),AM27&lt;=$H27*(1+'Feuille de Donnée'!$F$12)),'Feuille de Donnée'!$F$17,IF(AM27&lt;$H27*(1-'Feuille de Donnée'!$E$12),'Feuille de Donnée'!$F$18,'Feuille de Donnée'!$F$16))&amp;""&amp;IF(AND(AN27&gt;=$I27*(1-'Feuille de Donnée'!$E$27),AN27&lt;=$I27*(1+'Feuille de Donnée'!$F$27)),'Feuille de Donnée'!$F$32,IF(AN27&lt;$I27*(1-'Feuille de Donnée'!$E$27),'Feuille de Donnée'!$F$33,'Feuille de Donnée'!$F$31)))))</f>
        <v/>
      </c>
      <c r="AT27" s="151"/>
      <c r="AU27" s="110"/>
      <c r="AV27" s="28"/>
      <c r="AW27" s="28"/>
      <c r="AX27" s="28" t="str">
        <f t="shared" si="32"/>
        <v/>
      </c>
      <c r="AY27" s="128" t="str">
        <f t="shared" si="33"/>
        <v/>
      </c>
      <c r="AZ27" s="128" t="str">
        <f t="shared" si="34"/>
        <v/>
      </c>
      <c r="BA27" s="28" t="str">
        <f>IF(AND(ISBLANK(BC27),BB27=""),"",1+MAX(BA$18:BA26))</f>
        <v/>
      </c>
      <c r="BB27" s="150" t="str">
        <f>IF(OR(AX27="",AX27=0,$J27="",$J27=0,NOT(ISNUMBER($J27)),NOT(ISNUMBER(AX27))),IF(AND($G27&lt;&gt;"",AND(OR(ISNUMBER(AX27),AX27=""),AND(ISNUMBER($J27),$J27&gt;0))),'Feuille de Donnée'!$K$13,""),IF(AX27&lt;$J$165*'Feuille de Donnée'!$I$9,"Négligeable",(IF(AND(AV27&gt;=$H27*(1-'Feuille de Donnée'!$E$12),AV27&lt;=$H27*(1+'Feuille de Donnée'!$F$12)),'Feuille de Donnée'!$F$17,IF(AV27&lt;$H27*(1-'Feuille de Donnée'!$E$12),'Feuille de Donnée'!$F$18,'Feuille de Donnée'!$F$16))&amp;""&amp;IF(AND(AW27&gt;=$I27*(1-'Feuille de Donnée'!$E$27),AW27&lt;=$I27*(1+'Feuille de Donnée'!$F$27)),'Feuille de Donnée'!$F$32,IF(AW27&lt;$I27*(1-'Feuille de Donnée'!$E$27),'Feuille de Donnée'!$F$33,'Feuille de Donnée'!$F$31)))))</f>
        <v/>
      </c>
      <c r="BC27" s="151"/>
      <c r="BD27" s="110"/>
      <c r="BE27" s="28"/>
      <c r="BF27" s="28"/>
      <c r="BG27" s="28" t="str">
        <f t="shared" si="35"/>
        <v/>
      </c>
      <c r="BH27" s="128" t="str">
        <f t="shared" si="36"/>
        <v/>
      </c>
      <c r="BI27" s="128" t="str">
        <f t="shared" si="37"/>
        <v/>
      </c>
      <c r="BJ27" s="28" t="str">
        <f>IF(AND(ISBLANK(BL27),BK27=""),"",1+MAX(BJ$18:BJ26))</f>
        <v/>
      </c>
      <c r="BK27" s="150" t="str">
        <f>IF(OR(BG27="",BG27=0,$J27="",$J27=0,NOT(ISNUMBER($J27)),NOT(ISNUMBER(BG27))),IF(AND($G27&lt;&gt;"",AND(OR(ISNUMBER(BG27),BG27=""),AND(ISNUMBER($J27),$J27&gt;0))),'Feuille de Donnée'!$K$13,""),IF(BG27&lt;$J$165*'Feuille de Donnée'!$I$9,"Négligeable",(IF(AND(BE27&gt;=$H27*(1-'Feuille de Donnée'!$E$12),BE27&lt;=$H27*(1+'Feuille de Donnée'!$F$12)),'Feuille de Donnée'!$F$17,IF(BE27&lt;$H27*(1-'Feuille de Donnée'!$E$12),'Feuille de Donnée'!$F$18,'Feuille de Donnée'!$F$16))&amp;""&amp;IF(AND(BF27&gt;=$I27*(1-'Feuille de Donnée'!$E$27),BF27&lt;=$I27*(1+'Feuille de Donnée'!$F$27)),'Feuille de Donnée'!$F$32,IF(BF27&lt;$I27*(1-'Feuille de Donnée'!$E$27),'Feuille de Donnée'!$F$33,'Feuille de Donnée'!$F$31)))))</f>
        <v/>
      </c>
      <c r="BL27" s="151"/>
      <c r="BM27" s="153"/>
    </row>
    <row r="28" spans="1:65" s="7" customFormat="1" x14ac:dyDescent="0.3">
      <c r="A28" s="24"/>
      <c r="B28" s="25"/>
      <c r="C28" s="25"/>
      <c r="D28" s="25"/>
      <c r="E28" s="25"/>
      <c r="F28" s="25"/>
      <c r="G28" s="23"/>
      <c r="H28" s="26"/>
      <c r="I28" s="27"/>
      <c r="J28" s="109" t="str">
        <f t="shared" si="19"/>
        <v/>
      </c>
      <c r="K28" s="110"/>
      <c r="L28" s="28"/>
      <c r="M28" s="28"/>
      <c r="N28" s="28" t="str">
        <f t="shared" si="20"/>
        <v/>
      </c>
      <c r="O28" s="128" t="str">
        <f t="shared" si="21"/>
        <v/>
      </c>
      <c r="P28" s="128" t="str">
        <f t="shared" si="22"/>
        <v/>
      </c>
      <c r="Q28" s="28" t="str">
        <f>IF(AND(ISBLANK(S28),R28=""),"",1+MAX(Q$18:Q27))</f>
        <v/>
      </c>
      <c r="R28" s="150" t="str">
        <f>IF(OR(N28="",N28=0,$J28="",$J28=0,NOT(ISNUMBER($J28)),NOT(ISNUMBER(N28))),IF(AND($G28&lt;&gt;"",AND(OR(ISNUMBER(N28),N28=""),AND(ISNUMBER($J28),$J28&gt;0))),'Feuille de Donnée'!$K$13,""),IF(N28&lt;$J$165*'Feuille de Donnée'!$I$9,"Négligeable",(IF(AND(L28&gt;=$H28*(1-'Feuille de Donnée'!$E$12),L28&lt;=$H28*(1+'Feuille de Donnée'!$F$12)),'Feuille de Donnée'!$F$17,IF(L28&lt;$H28*(1-'Feuille de Donnée'!$E$12),'Feuille de Donnée'!$F$18,'Feuille de Donnée'!$F$16))&amp;""&amp;IF(AND(M28&gt;=$I28*(1-'Feuille de Donnée'!$E$27),M28&lt;=$I28*(1+'Feuille de Donnée'!$F$27)),'Feuille de Donnée'!$F$32,IF(M28&lt;$I28*(1-'Feuille de Donnée'!$E$27),'Feuille de Donnée'!$F$33,'Feuille de Donnée'!$F$31)))))</f>
        <v/>
      </c>
      <c r="S28" s="151"/>
      <c r="T28" s="110"/>
      <c r="U28" s="28"/>
      <c r="V28" s="28"/>
      <c r="W28" s="28" t="str">
        <f t="shared" si="23"/>
        <v/>
      </c>
      <c r="X28" s="128" t="str">
        <f t="shared" si="24"/>
        <v/>
      </c>
      <c r="Y28" s="128" t="str">
        <f t="shared" si="25"/>
        <v/>
      </c>
      <c r="Z28" s="28" t="str">
        <f>IF(AND(ISBLANK(AB28),AA28=""),"",1+MAX(Z$18:Z27))</f>
        <v/>
      </c>
      <c r="AA28" s="150" t="str">
        <f>IF(OR(W28="",W28=0,$J28="",$J28=0,NOT(ISNUMBER($J28)),NOT(ISNUMBER(W28))),IF(AND($G28&lt;&gt;"",AND(OR(ISNUMBER(W28),W28=""),AND(ISNUMBER($J28),$J28&gt;0))),'Feuille de Donnée'!$K$13,""),IF(W28&lt;$J$165*'Feuille de Donnée'!$I$9,"Négligeable",(IF(AND(U28&gt;=$H28*(1-'Feuille de Donnée'!$E$12),U28&lt;=$H28*(1+'Feuille de Donnée'!$F$12)),'Feuille de Donnée'!$F$17,IF(U28&lt;$H28*(1-'Feuille de Donnée'!$E$12),'Feuille de Donnée'!$F$18,'Feuille de Donnée'!$F$16))&amp;""&amp;IF(AND(V28&gt;=$I28*(1-'Feuille de Donnée'!$E$27),V28&lt;=$I28*(1+'Feuille de Donnée'!$F$27)),'Feuille de Donnée'!$F$32,IF(V28&lt;$I28*(1-'Feuille de Donnée'!$E$27),'Feuille de Donnée'!$F$33,'Feuille de Donnée'!$F$31)))))</f>
        <v/>
      </c>
      <c r="AB28" s="151"/>
      <c r="AC28" s="110"/>
      <c r="AD28" s="28"/>
      <c r="AE28" s="28"/>
      <c r="AF28" s="28" t="str">
        <f t="shared" si="26"/>
        <v/>
      </c>
      <c r="AG28" s="128" t="str">
        <f t="shared" si="27"/>
        <v/>
      </c>
      <c r="AH28" s="128" t="str">
        <f t="shared" si="28"/>
        <v/>
      </c>
      <c r="AI28" s="28" t="str">
        <f>IF(AND(ISBLANK(AK28),AJ28=""),"",1+MAX(AI$18:AI27))</f>
        <v/>
      </c>
      <c r="AJ28" s="150" t="str">
        <f>IF(OR(AF28="",AF28=0,$J28="",$J28=0,NOT(ISNUMBER($J28)),NOT(ISNUMBER(AF28))),IF(AND($G28&lt;&gt;"",AND(OR(ISNUMBER(AF28),AF28=""),AND(ISNUMBER($J28),$J28&gt;0))),'Feuille de Donnée'!$K$13,""),IF(AF28&lt;$J$165*'Feuille de Donnée'!$I$9,"Négligeable",(IF(AND(AD28&gt;=$H28*(1-'Feuille de Donnée'!$E$12),AD28&lt;=$H28*(1+'Feuille de Donnée'!$F$12)),'Feuille de Donnée'!$F$17,IF(AD28&lt;$H28*(1-'Feuille de Donnée'!$E$12),'Feuille de Donnée'!$F$18,'Feuille de Donnée'!$F$16))&amp;""&amp;IF(AND(AE28&gt;=$I28*(1-'Feuille de Donnée'!$E$27),AE28&lt;=$I28*(1+'Feuille de Donnée'!$F$27)),'Feuille de Donnée'!$F$32,IF(AE28&lt;$I28*(1-'Feuille de Donnée'!$E$27),'Feuille de Donnée'!$F$33,'Feuille de Donnée'!$F$31)))))</f>
        <v/>
      </c>
      <c r="AK28" s="151"/>
      <c r="AL28" s="110"/>
      <c r="AM28" s="28"/>
      <c r="AN28" s="28"/>
      <c r="AO28" s="28" t="str">
        <f t="shared" si="29"/>
        <v/>
      </c>
      <c r="AP28" s="128" t="str">
        <f t="shared" si="30"/>
        <v/>
      </c>
      <c r="AQ28" s="128" t="str">
        <f t="shared" si="31"/>
        <v/>
      </c>
      <c r="AR28" s="28" t="str">
        <f>IF(AND(ISBLANK(AT28),AS28=""),"",1+MAX(AR$18:AR27))</f>
        <v/>
      </c>
      <c r="AS28" s="150" t="str">
        <f>IF(OR(AO28="",AO28=0,$J28="",$J28=0,NOT(ISNUMBER($J28)),NOT(ISNUMBER(AO28))),IF(AND($G28&lt;&gt;"",AND(OR(ISNUMBER(AO28),AO28=""),AND(ISNUMBER($J28),$J28&gt;0))),'Feuille de Donnée'!$K$13,""),IF(AO28&lt;$J$165*'Feuille de Donnée'!$I$9,"Négligeable",(IF(AND(AM28&gt;=$H28*(1-'Feuille de Donnée'!$E$12),AM28&lt;=$H28*(1+'Feuille de Donnée'!$F$12)),'Feuille de Donnée'!$F$17,IF(AM28&lt;$H28*(1-'Feuille de Donnée'!$E$12),'Feuille de Donnée'!$F$18,'Feuille de Donnée'!$F$16))&amp;""&amp;IF(AND(AN28&gt;=$I28*(1-'Feuille de Donnée'!$E$27),AN28&lt;=$I28*(1+'Feuille de Donnée'!$F$27)),'Feuille de Donnée'!$F$32,IF(AN28&lt;$I28*(1-'Feuille de Donnée'!$E$27),'Feuille de Donnée'!$F$33,'Feuille de Donnée'!$F$31)))))</f>
        <v/>
      </c>
      <c r="AT28" s="151"/>
      <c r="AU28" s="110"/>
      <c r="AV28" s="28"/>
      <c r="AW28" s="28"/>
      <c r="AX28" s="28" t="str">
        <f t="shared" si="32"/>
        <v/>
      </c>
      <c r="AY28" s="128" t="str">
        <f t="shared" si="33"/>
        <v/>
      </c>
      <c r="AZ28" s="128" t="str">
        <f t="shared" si="34"/>
        <v/>
      </c>
      <c r="BA28" s="28" t="str">
        <f>IF(AND(ISBLANK(BC28),BB28=""),"",1+MAX(BA$18:BA27))</f>
        <v/>
      </c>
      <c r="BB28" s="150" t="str">
        <f>IF(OR(AX28="",AX28=0,$J28="",$J28=0,NOT(ISNUMBER($J28)),NOT(ISNUMBER(AX28))),IF(AND($G28&lt;&gt;"",AND(OR(ISNUMBER(AX28),AX28=""),AND(ISNUMBER($J28),$J28&gt;0))),'Feuille de Donnée'!$K$13,""),IF(AX28&lt;$J$165*'Feuille de Donnée'!$I$9,"Négligeable",(IF(AND(AV28&gt;=$H28*(1-'Feuille de Donnée'!$E$12),AV28&lt;=$H28*(1+'Feuille de Donnée'!$F$12)),'Feuille de Donnée'!$F$17,IF(AV28&lt;$H28*(1-'Feuille de Donnée'!$E$12),'Feuille de Donnée'!$F$18,'Feuille de Donnée'!$F$16))&amp;""&amp;IF(AND(AW28&gt;=$I28*(1-'Feuille de Donnée'!$E$27),AW28&lt;=$I28*(1+'Feuille de Donnée'!$F$27)),'Feuille de Donnée'!$F$32,IF(AW28&lt;$I28*(1-'Feuille de Donnée'!$E$27),'Feuille de Donnée'!$F$33,'Feuille de Donnée'!$F$31)))))</f>
        <v/>
      </c>
      <c r="BC28" s="151"/>
      <c r="BD28" s="110"/>
      <c r="BE28" s="28"/>
      <c r="BF28" s="28"/>
      <c r="BG28" s="28" t="str">
        <f t="shared" si="35"/>
        <v/>
      </c>
      <c r="BH28" s="128" t="str">
        <f t="shared" si="36"/>
        <v/>
      </c>
      <c r="BI28" s="128" t="str">
        <f t="shared" si="37"/>
        <v/>
      </c>
      <c r="BJ28" s="28" t="str">
        <f>IF(AND(ISBLANK(BL28),BK28=""),"",1+MAX(BJ$18:BJ27))</f>
        <v/>
      </c>
      <c r="BK28" s="150" t="str">
        <f>IF(OR(BG28="",BG28=0,$J28="",$J28=0,NOT(ISNUMBER($J28)),NOT(ISNUMBER(BG28))),IF(AND($G28&lt;&gt;"",AND(OR(ISNUMBER(BG28),BG28=""),AND(ISNUMBER($J28),$J28&gt;0))),'Feuille de Donnée'!$K$13,""),IF(BG28&lt;$J$165*'Feuille de Donnée'!$I$9,"Négligeable",(IF(AND(BE28&gt;=$H28*(1-'Feuille de Donnée'!$E$12),BE28&lt;=$H28*(1+'Feuille de Donnée'!$F$12)),'Feuille de Donnée'!$F$17,IF(BE28&lt;$H28*(1-'Feuille de Donnée'!$E$12),'Feuille de Donnée'!$F$18,'Feuille de Donnée'!$F$16))&amp;""&amp;IF(AND(BF28&gt;=$I28*(1-'Feuille de Donnée'!$E$27),BF28&lt;=$I28*(1+'Feuille de Donnée'!$F$27)),'Feuille de Donnée'!$F$32,IF(BF28&lt;$I28*(1-'Feuille de Donnée'!$E$27),'Feuille de Donnée'!$F$33,'Feuille de Donnée'!$F$31)))))</f>
        <v/>
      </c>
      <c r="BL28" s="151"/>
      <c r="BM28" s="153"/>
    </row>
    <row r="29" spans="1:65" s="7" customFormat="1" x14ac:dyDescent="0.3">
      <c r="A29" s="24"/>
      <c r="B29" s="25"/>
      <c r="C29" s="25"/>
      <c r="D29" s="25"/>
      <c r="E29" s="25"/>
      <c r="F29" s="25"/>
      <c r="G29" s="23"/>
      <c r="H29" s="26"/>
      <c r="I29" s="27"/>
      <c r="J29" s="109" t="str">
        <f t="shared" si="19"/>
        <v/>
      </c>
      <c r="K29" s="110"/>
      <c r="L29" s="28"/>
      <c r="M29" s="28"/>
      <c r="N29" s="28" t="str">
        <f t="shared" si="20"/>
        <v/>
      </c>
      <c r="O29" s="128" t="str">
        <f t="shared" si="21"/>
        <v/>
      </c>
      <c r="P29" s="128" t="str">
        <f t="shared" si="22"/>
        <v/>
      </c>
      <c r="Q29" s="28" t="str">
        <f>IF(AND(ISBLANK(S29),R29=""),"",1+MAX(Q$18:Q28))</f>
        <v/>
      </c>
      <c r="R29" s="150" t="str">
        <f>IF(OR(N29="",N29=0,$J29="",$J29=0,NOT(ISNUMBER($J29)),NOT(ISNUMBER(N29))),IF(AND($G29&lt;&gt;"",AND(OR(ISNUMBER(N29),N29=""),AND(ISNUMBER($J29),$J29&gt;0))),'Feuille de Donnée'!$K$13,""),IF(N29&lt;$J$165*'Feuille de Donnée'!$I$9,"Négligeable",(IF(AND(L29&gt;=$H29*(1-'Feuille de Donnée'!$E$12),L29&lt;=$H29*(1+'Feuille de Donnée'!$F$12)),'Feuille de Donnée'!$F$17,IF(L29&lt;$H29*(1-'Feuille de Donnée'!$E$12),'Feuille de Donnée'!$F$18,'Feuille de Donnée'!$F$16))&amp;""&amp;IF(AND(M29&gt;=$I29*(1-'Feuille de Donnée'!$E$27),M29&lt;=$I29*(1+'Feuille de Donnée'!$F$27)),'Feuille de Donnée'!$F$32,IF(M29&lt;$I29*(1-'Feuille de Donnée'!$E$27),'Feuille de Donnée'!$F$33,'Feuille de Donnée'!$F$31)))))</f>
        <v/>
      </c>
      <c r="S29" s="151"/>
      <c r="T29" s="110"/>
      <c r="U29" s="28"/>
      <c r="V29" s="28"/>
      <c r="W29" s="28" t="str">
        <f t="shared" si="23"/>
        <v/>
      </c>
      <c r="X29" s="128" t="str">
        <f t="shared" si="24"/>
        <v/>
      </c>
      <c r="Y29" s="128" t="str">
        <f t="shared" si="25"/>
        <v/>
      </c>
      <c r="Z29" s="28" t="str">
        <f>IF(AND(ISBLANK(AB29),AA29=""),"",1+MAX(Z$18:Z28))</f>
        <v/>
      </c>
      <c r="AA29" s="150" t="str">
        <f>IF(OR(W29="",W29=0,$J29="",$J29=0,NOT(ISNUMBER($J29)),NOT(ISNUMBER(W29))),IF(AND($G29&lt;&gt;"",AND(OR(ISNUMBER(W29),W29=""),AND(ISNUMBER($J29),$J29&gt;0))),'Feuille de Donnée'!$K$13,""),IF(W29&lt;$J$165*'Feuille de Donnée'!$I$9,"Négligeable",(IF(AND(U29&gt;=$H29*(1-'Feuille de Donnée'!$E$12),U29&lt;=$H29*(1+'Feuille de Donnée'!$F$12)),'Feuille de Donnée'!$F$17,IF(U29&lt;$H29*(1-'Feuille de Donnée'!$E$12),'Feuille de Donnée'!$F$18,'Feuille de Donnée'!$F$16))&amp;""&amp;IF(AND(V29&gt;=$I29*(1-'Feuille de Donnée'!$E$27),V29&lt;=$I29*(1+'Feuille de Donnée'!$F$27)),'Feuille de Donnée'!$F$32,IF(V29&lt;$I29*(1-'Feuille de Donnée'!$E$27),'Feuille de Donnée'!$F$33,'Feuille de Donnée'!$F$31)))))</f>
        <v/>
      </c>
      <c r="AB29" s="151"/>
      <c r="AC29" s="110"/>
      <c r="AD29" s="28"/>
      <c r="AE29" s="28"/>
      <c r="AF29" s="28" t="str">
        <f t="shared" si="26"/>
        <v/>
      </c>
      <c r="AG29" s="128" t="str">
        <f t="shared" si="27"/>
        <v/>
      </c>
      <c r="AH29" s="128" t="str">
        <f t="shared" si="28"/>
        <v/>
      </c>
      <c r="AI29" s="28" t="str">
        <f>IF(AND(ISBLANK(AK29),AJ29=""),"",1+MAX(AI$18:AI28))</f>
        <v/>
      </c>
      <c r="AJ29" s="150" t="str">
        <f>IF(OR(AF29="",AF29=0,$J29="",$J29=0,NOT(ISNUMBER($J29)),NOT(ISNUMBER(AF29))),IF(AND($G29&lt;&gt;"",AND(OR(ISNUMBER(AF29),AF29=""),AND(ISNUMBER($J29),$J29&gt;0))),'Feuille de Donnée'!$K$13,""),IF(AF29&lt;$J$165*'Feuille de Donnée'!$I$9,"Négligeable",(IF(AND(AD29&gt;=$H29*(1-'Feuille de Donnée'!$E$12),AD29&lt;=$H29*(1+'Feuille de Donnée'!$F$12)),'Feuille de Donnée'!$F$17,IF(AD29&lt;$H29*(1-'Feuille de Donnée'!$E$12),'Feuille de Donnée'!$F$18,'Feuille de Donnée'!$F$16))&amp;""&amp;IF(AND(AE29&gt;=$I29*(1-'Feuille de Donnée'!$E$27),AE29&lt;=$I29*(1+'Feuille de Donnée'!$F$27)),'Feuille de Donnée'!$F$32,IF(AE29&lt;$I29*(1-'Feuille de Donnée'!$E$27),'Feuille de Donnée'!$F$33,'Feuille de Donnée'!$F$31)))))</f>
        <v/>
      </c>
      <c r="AK29" s="151"/>
      <c r="AL29" s="110"/>
      <c r="AM29" s="28"/>
      <c r="AN29" s="28"/>
      <c r="AO29" s="28" t="str">
        <f t="shared" si="29"/>
        <v/>
      </c>
      <c r="AP29" s="128" t="str">
        <f t="shared" si="30"/>
        <v/>
      </c>
      <c r="AQ29" s="128" t="str">
        <f t="shared" si="31"/>
        <v/>
      </c>
      <c r="AR29" s="28" t="str">
        <f>IF(AND(ISBLANK(AT29),AS29=""),"",1+MAX(AR$18:AR28))</f>
        <v/>
      </c>
      <c r="AS29" s="150" t="str">
        <f>IF(OR(AO29="",AO29=0,$J29="",$J29=0,NOT(ISNUMBER($J29)),NOT(ISNUMBER(AO29))),IF(AND($G29&lt;&gt;"",AND(OR(ISNUMBER(AO29),AO29=""),AND(ISNUMBER($J29),$J29&gt;0))),'Feuille de Donnée'!$K$13,""),IF(AO29&lt;$J$165*'Feuille de Donnée'!$I$9,"Négligeable",(IF(AND(AM29&gt;=$H29*(1-'Feuille de Donnée'!$E$12),AM29&lt;=$H29*(1+'Feuille de Donnée'!$F$12)),'Feuille de Donnée'!$F$17,IF(AM29&lt;$H29*(1-'Feuille de Donnée'!$E$12),'Feuille de Donnée'!$F$18,'Feuille de Donnée'!$F$16))&amp;""&amp;IF(AND(AN29&gt;=$I29*(1-'Feuille de Donnée'!$E$27),AN29&lt;=$I29*(1+'Feuille de Donnée'!$F$27)),'Feuille de Donnée'!$F$32,IF(AN29&lt;$I29*(1-'Feuille de Donnée'!$E$27),'Feuille de Donnée'!$F$33,'Feuille de Donnée'!$F$31)))))</f>
        <v/>
      </c>
      <c r="AT29" s="151"/>
      <c r="AU29" s="110"/>
      <c r="AV29" s="28"/>
      <c r="AW29" s="28"/>
      <c r="AX29" s="28" t="str">
        <f t="shared" si="32"/>
        <v/>
      </c>
      <c r="AY29" s="128" t="str">
        <f t="shared" si="33"/>
        <v/>
      </c>
      <c r="AZ29" s="128" t="str">
        <f t="shared" si="34"/>
        <v/>
      </c>
      <c r="BA29" s="28" t="str">
        <f>IF(AND(ISBLANK(BC29),BB29=""),"",1+MAX(BA$18:BA28))</f>
        <v/>
      </c>
      <c r="BB29" s="150" t="str">
        <f>IF(OR(AX29="",AX29=0,$J29="",$J29=0,NOT(ISNUMBER($J29)),NOT(ISNUMBER(AX29))),IF(AND($G29&lt;&gt;"",AND(OR(ISNUMBER(AX29),AX29=""),AND(ISNUMBER($J29),$J29&gt;0))),'Feuille de Donnée'!$K$13,""),IF(AX29&lt;$J$165*'Feuille de Donnée'!$I$9,"Négligeable",(IF(AND(AV29&gt;=$H29*(1-'Feuille de Donnée'!$E$12),AV29&lt;=$H29*(1+'Feuille de Donnée'!$F$12)),'Feuille de Donnée'!$F$17,IF(AV29&lt;$H29*(1-'Feuille de Donnée'!$E$12),'Feuille de Donnée'!$F$18,'Feuille de Donnée'!$F$16))&amp;""&amp;IF(AND(AW29&gt;=$I29*(1-'Feuille de Donnée'!$E$27),AW29&lt;=$I29*(1+'Feuille de Donnée'!$F$27)),'Feuille de Donnée'!$F$32,IF(AW29&lt;$I29*(1-'Feuille de Donnée'!$E$27),'Feuille de Donnée'!$F$33,'Feuille de Donnée'!$F$31)))))</f>
        <v/>
      </c>
      <c r="BC29" s="151"/>
      <c r="BD29" s="110"/>
      <c r="BE29" s="28"/>
      <c r="BF29" s="28"/>
      <c r="BG29" s="28" t="str">
        <f t="shared" si="35"/>
        <v/>
      </c>
      <c r="BH29" s="128" t="str">
        <f t="shared" si="36"/>
        <v/>
      </c>
      <c r="BI29" s="128" t="str">
        <f t="shared" si="37"/>
        <v/>
      </c>
      <c r="BJ29" s="28" t="str">
        <f>IF(AND(ISBLANK(BL29),BK29=""),"",1+MAX(BJ$18:BJ28))</f>
        <v/>
      </c>
      <c r="BK29" s="150" t="str">
        <f>IF(OR(BG29="",BG29=0,$J29="",$J29=0,NOT(ISNUMBER($J29)),NOT(ISNUMBER(BG29))),IF(AND($G29&lt;&gt;"",AND(OR(ISNUMBER(BG29),BG29=""),AND(ISNUMBER($J29),$J29&gt;0))),'Feuille de Donnée'!$K$13,""),IF(BG29&lt;$J$165*'Feuille de Donnée'!$I$9,"Négligeable",(IF(AND(BE29&gt;=$H29*(1-'Feuille de Donnée'!$E$12),BE29&lt;=$H29*(1+'Feuille de Donnée'!$F$12)),'Feuille de Donnée'!$F$17,IF(BE29&lt;$H29*(1-'Feuille de Donnée'!$E$12),'Feuille de Donnée'!$F$18,'Feuille de Donnée'!$F$16))&amp;""&amp;IF(AND(BF29&gt;=$I29*(1-'Feuille de Donnée'!$E$27),BF29&lt;=$I29*(1+'Feuille de Donnée'!$F$27)),'Feuille de Donnée'!$F$32,IF(BF29&lt;$I29*(1-'Feuille de Donnée'!$E$27),'Feuille de Donnée'!$F$33,'Feuille de Donnée'!$F$31)))))</f>
        <v/>
      </c>
      <c r="BL29" s="151"/>
      <c r="BM29" s="153"/>
    </row>
    <row r="30" spans="1:65" s="7" customFormat="1" x14ac:dyDescent="0.3">
      <c r="A30" s="24"/>
      <c r="B30" s="25"/>
      <c r="C30" s="25"/>
      <c r="D30" s="25"/>
      <c r="E30" s="25"/>
      <c r="F30" s="25"/>
      <c r="G30" s="23"/>
      <c r="H30" s="26"/>
      <c r="I30" s="27"/>
      <c r="J30" s="109" t="str">
        <f t="shared" si="19"/>
        <v/>
      </c>
      <c r="K30" s="110"/>
      <c r="L30" s="28"/>
      <c r="M30" s="28"/>
      <c r="N30" s="28" t="str">
        <f t="shared" si="20"/>
        <v/>
      </c>
      <c r="O30" s="128" t="str">
        <f t="shared" si="21"/>
        <v/>
      </c>
      <c r="P30" s="128" t="str">
        <f t="shared" si="22"/>
        <v/>
      </c>
      <c r="Q30" s="28" t="str">
        <f>IF(AND(ISBLANK(S30),R30=""),"",1+MAX(Q$18:Q29))</f>
        <v/>
      </c>
      <c r="R30" s="150" t="str">
        <f>IF(OR(N30="",N30=0,$J30="",$J30=0,NOT(ISNUMBER($J30)),NOT(ISNUMBER(N30))),IF(AND($G30&lt;&gt;"",AND(OR(ISNUMBER(N30),N30=""),AND(ISNUMBER($J30),$J30&gt;0))),'Feuille de Donnée'!$K$13,""),IF(N30&lt;$J$165*'Feuille de Donnée'!$I$9,"Négligeable",(IF(AND(L30&gt;=$H30*(1-'Feuille de Donnée'!$E$12),L30&lt;=$H30*(1+'Feuille de Donnée'!$F$12)),'Feuille de Donnée'!$F$17,IF(L30&lt;$H30*(1-'Feuille de Donnée'!$E$12),'Feuille de Donnée'!$F$18,'Feuille de Donnée'!$F$16))&amp;""&amp;IF(AND(M30&gt;=$I30*(1-'Feuille de Donnée'!$E$27),M30&lt;=$I30*(1+'Feuille de Donnée'!$F$27)),'Feuille de Donnée'!$F$32,IF(M30&lt;$I30*(1-'Feuille de Donnée'!$E$27),'Feuille de Donnée'!$F$33,'Feuille de Donnée'!$F$31)))))</f>
        <v/>
      </c>
      <c r="S30" s="151"/>
      <c r="T30" s="110"/>
      <c r="U30" s="28"/>
      <c r="V30" s="28"/>
      <c r="W30" s="28" t="str">
        <f t="shared" si="23"/>
        <v/>
      </c>
      <c r="X30" s="128" t="str">
        <f t="shared" si="24"/>
        <v/>
      </c>
      <c r="Y30" s="128" t="str">
        <f t="shared" si="25"/>
        <v/>
      </c>
      <c r="Z30" s="28" t="str">
        <f>IF(AND(ISBLANK(AB30),AA30=""),"",1+MAX(Z$18:Z29))</f>
        <v/>
      </c>
      <c r="AA30" s="150" t="str">
        <f>IF(OR(W30="",W30=0,$J30="",$J30=0,NOT(ISNUMBER($J30)),NOT(ISNUMBER(W30))),IF(AND($G30&lt;&gt;"",AND(OR(ISNUMBER(W30),W30=""),AND(ISNUMBER($J30),$J30&gt;0))),'Feuille de Donnée'!$K$13,""),IF(W30&lt;$J$165*'Feuille de Donnée'!$I$9,"Négligeable",(IF(AND(U30&gt;=$H30*(1-'Feuille de Donnée'!$E$12),U30&lt;=$H30*(1+'Feuille de Donnée'!$F$12)),'Feuille de Donnée'!$F$17,IF(U30&lt;$H30*(1-'Feuille de Donnée'!$E$12),'Feuille de Donnée'!$F$18,'Feuille de Donnée'!$F$16))&amp;""&amp;IF(AND(V30&gt;=$I30*(1-'Feuille de Donnée'!$E$27),V30&lt;=$I30*(1+'Feuille de Donnée'!$F$27)),'Feuille de Donnée'!$F$32,IF(V30&lt;$I30*(1-'Feuille de Donnée'!$E$27),'Feuille de Donnée'!$F$33,'Feuille de Donnée'!$F$31)))))</f>
        <v/>
      </c>
      <c r="AB30" s="151"/>
      <c r="AC30" s="110"/>
      <c r="AD30" s="28"/>
      <c r="AE30" s="28"/>
      <c r="AF30" s="28" t="str">
        <f t="shared" si="26"/>
        <v/>
      </c>
      <c r="AG30" s="128" t="str">
        <f t="shared" si="27"/>
        <v/>
      </c>
      <c r="AH30" s="128" t="str">
        <f t="shared" si="28"/>
        <v/>
      </c>
      <c r="AI30" s="28" t="str">
        <f>IF(AND(ISBLANK(AK30),AJ30=""),"",1+MAX(AI$18:AI29))</f>
        <v/>
      </c>
      <c r="AJ30" s="150" t="str">
        <f>IF(OR(AF30="",AF30=0,$J30="",$J30=0,NOT(ISNUMBER($J30)),NOT(ISNUMBER(AF30))),IF(AND($G30&lt;&gt;"",AND(OR(ISNUMBER(AF30),AF30=""),AND(ISNUMBER($J30),$J30&gt;0))),'Feuille de Donnée'!$K$13,""),IF(AF30&lt;$J$165*'Feuille de Donnée'!$I$9,"Négligeable",(IF(AND(AD30&gt;=$H30*(1-'Feuille de Donnée'!$E$12),AD30&lt;=$H30*(1+'Feuille de Donnée'!$F$12)),'Feuille de Donnée'!$F$17,IF(AD30&lt;$H30*(1-'Feuille de Donnée'!$E$12),'Feuille de Donnée'!$F$18,'Feuille de Donnée'!$F$16))&amp;""&amp;IF(AND(AE30&gt;=$I30*(1-'Feuille de Donnée'!$E$27),AE30&lt;=$I30*(1+'Feuille de Donnée'!$F$27)),'Feuille de Donnée'!$F$32,IF(AE30&lt;$I30*(1-'Feuille de Donnée'!$E$27),'Feuille de Donnée'!$F$33,'Feuille de Donnée'!$F$31)))))</f>
        <v/>
      </c>
      <c r="AK30" s="151"/>
      <c r="AL30" s="110"/>
      <c r="AM30" s="28"/>
      <c r="AN30" s="28"/>
      <c r="AO30" s="28" t="str">
        <f t="shared" si="29"/>
        <v/>
      </c>
      <c r="AP30" s="128" t="str">
        <f t="shared" si="30"/>
        <v/>
      </c>
      <c r="AQ30" s="128" t="str">
        <f t="shared" si="31"/>
        <v/>
      </c>
      <c r="AR30" s="28" t="str">
        <f>IF(AND(ISBLANK(AT30),AS30=""),"",1+MAX(AR$18:AR29))</f>
        <v/>
      </c>
      <c r="AS30" s="150" t="str">
        <f>IF(OR(AO30="",AO30=0,$J30="",$J30=0,NOT(ISNUMBER($J30)),NOT(ISNUMBER(AO30))),IF(AND($G30&lt;&gt;"",AND(OR(ISNUMBER(AO30),AO30=""),AND(ISNUMBER($J30),$J30&gt;0))),'Feuille de Donnée'!$K$13,""),IF(AO30&lt;$J$165*'Feuille de Donnée'!$I$9,"Négligeable",(IF(AND(AM30&gt;=$H30*(1-'Feuille de Donnée'!$E$12),AM30&lt;=$H30*(1+'Feuille de Donnée'!$F$12)),'Feuille de Donnée'!$F$17,IF(AM30&lt;$H30*(1-'Feuille de Donnée'!$E$12),'Feuille de Donnée'!$F$18,'Feuille de Donnée'!$F$16))&amp;""&amp;IF(AND(AN30&gt;=$I30*(1-'Feuille de Donnée'!$E$27),AN30&lt;=$I30*(1+'Feuille de Donnée'!$F$27)),'Feuille de Donnée'!$F$32,IF(AN30&lt;$I30*(1-'Feuille de Donnée'!$E$27),'Feuille de Donnée'!$F$33,'Feuille de Donnée'!$F$31)))))</f>
        <v/>
      </c>
      <c r="AT30" s="151"/>
      <c r="AU30" s="110"/>
      <c r="AV30" s="28"/>
      <c r="AW30" s="28"/>
      <c r="AX30" s="28" t="str">
        <f t="shared" si="32"/>
        <v/>
      </c>
      <c r="AY30" s="128" t="str">
        <f t="shared" si="33"/>
        <v/>
      </c>
      <c r="AZ30" s="128" t="str">
        <f t="shared" si="34"/>
        <v/>
      </c>
      <c r="BA30" s="28" t="str">
        <f>IF(AND(ISBLANK(BC30),BB30=""),"",1+MAX(BA$18:BA29))</f>
        <v/>
      </c>
      <c r="BB30" s="150" t="str">
        <f>IF(OR(AX30="",AX30=0,$J30="",$J30=0,NOT(ISNUMBER($J30)),NOT(ISNUMBER(AX30))),IF(AND($G30&lt;&gt;"",AND(OR(ISNUMBER(AX30),AX30=""),AND(ISNUMBER($J30),$J30&gt;0))),'Feuille de Donnée'!$K$13,""),IF(AX30&lt;$J$165*'Feuille de Donnée'!$I$9,"Négligeable",(IF(AND(AV30&gt;=$H30*(1-'Feuille de Donnée'!$E$12),AV30&lt;=$H30*(1+'Feuille de Donnée'!$F$12)),'Feuille de Donnée'!$F$17,IF(AV30&lt;$H30*(1-'Feuille de Donnée'!$E$12),'Feuille de Donnée'!$F$18,'Feuille de Donnée'!$F$16))&amp;""&amp;IF(AND(AW30&gt;=$I30*(1-'Feuille de Donnée'!$E$27),AW30&lt;=$I30*(1+'Feuille de Donnée'!$F$27)),'Feuille de Donnée'!$F$32,IF(AW30&lt;$I30*(1-'Feuille de Donnée'!$E$27),'Feuille de Donnée'!$F$33,'Feuille de Donnée'!$F$31)))))</f>
        <v/>
      </c>
      <c r="BC30" s="151"/>
      <c r="BD30" s="110"/>
      <c r="BE30" s="28"/>
      <c r="BF30" s="28"/>
      <c r="BG30" s="28" t="str">
        <f t="shared" si="35"/>
        <v/>
      </c>
      <c r="BH30" s="128" t="str">
        <f t="shared" si="36"/>
        <v/>
      </c>
      <c r="BI30" s="128" t="str">
        <f t="shared" si="37"/>
        <v/>
      </c>
      <c r="BJ30" s="28" t="str">
        <f>IF(AND(ISBLANK(BL30),BK30=""),"",1+MAX(BJ$18:BJ29))</f>
        <v/>
      </c>
      <c r="BK30" s="150" t="str">
        <f>IF(OR(BG30="",BG30=0,$J30="",$J30=0,NOT(ISNUMBER($J30)),NOT(ISNUMBER(BG30))),IF(AND($G30&lt;&gt;"",AND(OR(ISNUMBER(BG30),BG30=""),AND(ISNUMBER($J30),$J30&gt;0))),'Feuille de Donnée'!$K$13,""),IF(BG30&lt;$J$165*'Feuille de Donnée'!$I$9,"Négligeable",(IF(AND(BE30&gt;=$H30*(1-'Feuille de Donnée'!$E$12),BE30&lt;=$H30*(1+'Feuille de Donnée'!$F$12)),'Feuille de Donnée'!$F$17,IF(BE30&lt;$H30*(1-'Feuille de Donnée'!$E$12),'Feuille de Donnée'!$F$18,'Feuille de Donnée'!$F$16))&amp;""&amp;IF(AND(BF30&gt;=$I30*(1-'Feuille de Donnée'!$E$27),BF30&lt;=$I30*(1+'Feuille de Donnée'!$F$27)),'Feuille de Donnée'!$F$32,IF(BF30&lt;$I30*(1-'Feuille de Donnée'!$E$27),'Feuille de Donnée'!$F$33,'Feuille de Donnée'!$F$31)))))</f>
        <v/>
      </c>
      <c r="BL30" s="151"/>
      <c r="BM30" s="153"/>
    </row>
    <row r="31" spans="1:65" s="7" customFormat="1" x14ac:dyDescent="0.3">
      <c r="A31" s="24"/>
      <c r="B31" s="25"/>
      <c r="C31" s="25"/>
      <c r="D31" s="25"/>
      <c r="E31" s="25"/>
      <c r="F31" s="25"/>
      <c r="G31" s="23"/>
      <c r="H31" s="26"/>
      <c r="I31" s="27"/>
      <c r="J31" s="109" t="str">
        <f t="shared" si="19"/>
        <v/>
      </c>
      <c r="K31" s="110"/>
      <c r="L31" s="28"/>
      <c r="M31" s="28"/>
      <c r="N31" s="28" t="str">
        <f t="shared" si="20"/>
        <v/>
      </c>
      <c r="O31" s="128" t="str">
        <f t="shared" si="21"/>
        <v/>
      </c>
      <c r="P31" s="128" t="str">
        <f t="shared" si="22"/>
        <v/>
      </c>
      <c r="Q31" s="28" t="str">
        <f>IF(AND(ISBLANK(S31),R31=""),"",1+MAX(Q$18:Q30))</f>
        <v/>
      </c>
      <c r="R31" s="150" t="str">
        <f>IF(OR(N31="",N31=0,$J31="",$J31=0,NOT(ISNUMBER($J31)),NOT(ISNUMBER(N31))),IF(AND($G31&lt;&gt;"",AND(OR(ISNUMBER(N31),N31=""),AND(ISNUMBER($J31),$J31&gt;0))),'Feuille de Donnée'!$K$13,""),IF(N31&lt;$J$165*'Feuille de Donnée'!$I$9,"Négligeable",(IF(AND(L31&gt;=$H31*(1-'Feuille de Donnée'!$E$12),L31&lt;=$H31*(1+'Feuille de Donnée'!$F$12)),'Feuille de Donnée'!$F$17,IF(L31&lt;$H31*(1-'Feuille de Donnée'!$E$12),'Feuille de Donnée'!$F$18,'Feuille de Donnée'!$F$16))&amp;""&amp;IF(AND(M31&gt;=$I31*(1-'Feuille de Donnée'!$E$27),M31&lt;=$I31*(1+'Feuille de Donnée'!$F$27)),'Feuille de Donnée'!$F$32,IF(M31&lt;$I31*(1-'Feuille de Donnée'!$E$27),'Feuille de Donnée'!$F$33,'Feuille de Donnée'!$F$31)))))</f>
        <v/>
      </c>
      <c r="S31" s="151"/>
      <c r="T31" s="110"/>
      <c r="U31" s="28"/>
      <c r="V31" s="28"/>
      <c r="W31" s="28" t="str">
        <f t="shared" si="23"/>
        <v/>
      </c>
      <c r="X31" s="128" t="str">
        <f t="shared" si="24"/>
        <v/>
      </c>
      <c r="Y31" s="128" t="str">
        <f t="shared" si="25"/>
        <v/>
      </c>
      <c r="Z31" s="28" t="str">
        <f>IF(AND(ISBLANK(AB31),AA31=""),"",1+MAX(Z$18:Z30))</f>
        <v/>
      </c>
      <c r="AA31" s="150" t="str">
        <f>IF(OR(W31="",W31=0,$J31="",$J31=0,NOT(ISNUMBER($J31)),NOT(ISNUMBER(W31))),IF(AND($G31&lt;&gt;"",AND(OR(ISNUMBER(W31),W31=""),AND(ISNUMBER($J31),$J31&gt;0))),'Feuille de Donnée'!$K$13,""),IF(W31&lt;$J$165*'Feuille de Donnée'!$I$9,"Négligeable",(IF(AND(U31&gt;=$H31*(1-'Feuille de Donnée'!$E$12),U31&lt;=$H31*(1+'Feuille de Donnée'!$F$12)),'Feuille de Donnée'!$F$17,IF(U31&lt;$H31*(1-'Feuille de Donnée'!$E$12),'Feuille de Donnée'!$F$18,'Feuille de Donnée'!$F$16))&amp;""&amp;IF(AND(V31&gt;=$I31*(1-'Feuille de Donnée'!$E$27),V31&lt;=$I31*(1+'Feuille de Donnée'!$F$27)),'Feuille de Donnée'!$F$32,IF(V31&lt;$I31*(1-'Feuille de Donnée'!$E$27),'Feuille de Donnée'!$F$33,'Feuille de Donnée'!$F$31)))))</f>
        <v/>
      </c>
      <c r="AB31" s="151"/>
      <c r="AC31" s="110"/>
      <c r="AD31" s="28"/>
      <c r="AE31" s="28"/>
      <c r="AF31" s="28" t="str">
        <f t="shared" si="26"/>
        <v/>
      </c>
      <c r="AG31" s="128" t="str">
        <f t="shared" si="27"/>
        <v/>
      </c>
      <c r="AH31" s="128" t="str">
        <f t="shared" si="28"/>
        <v/>
      </c>
      <c r="AI31" s="28" t="str">
        <f>IF(AND(ISBLANK(AK31),AJ31=""),"",1+MAX(AI$18:AI30))</f>
        <v/>
      </c>
      <c r="AJ31" s="150" t="str">
        <f>IF(OR(AF31="",AF31=0,$J31="",$J31=0,NOT(ISNUMBER($J31)),NOT(ISNUMBER(AF31))),IF(AND($G31&lt;&gt;"",AND(OR(ISNUMBER(AF31),AF31=""),AND(ISNUMBER($J31),$J31&gt;0))),'Feuille de Donnée'!$K$13,""),IF(AF31&lt;$J$165*'Feuille de Donnée'!$I$9,"Négligeable",(IF(AND(AD31&gt;=$H31*(1-'Feuille de Donnée'!$E$12),AD31&lt;=$H31*(1+'Feuille de Donnée'!$F$12)),'Feuille de Donnée'!$F$17,IF(AD31&lt;$H31*(1-'Feuille de Donnée'!$E$12),'Feuille de Donnée'!$F$18,'Feuille de Donnée'!$F$16))&amp;""&amp;IF(AND(AE31&gt;=$I31*(1-'Feuille de Donnée'!$E$27),AE31&lt;=$I31*(1+'Feuille de Donnée'!$F$27)),'Feuille de Donnée'!$F$32,IF(AE31&lt;$I31*(1-'Feuille de Donnée'!$E$27),'Feuille de Donnée'!$F$33,'Feuille de Donnée'!$F$31)))))</f>
        <v/>
      </c>
      <c r="AK31" s="151"/>
      <c r="AL31" s="110"/>
      <c r="AM31" s="28"/>
      <c r="AN31" s="28"/>
      <c r="AO31" s="28" t="str">
        <f t="shared" si="29"/>
        <v/>
      </c>
      <c r="AP31" s="128" t="str">
        <f t="shared" si="30"/>
        <v/>
      </c>
      <c r="AQ31" s="128" t="str">
        <f t="shared" si="31"/>
        <v/>
      </c>
      <c r="AR31" s="28" t="str">
        <f>IF(AND(ISBLANK(AT31),AS31=""),"",1+MAX(AR$18:AR30))</f>
        <v/>
      </c>
      <c r="AS31" s="150" t="str">
        <f>IF(OR(AO31="",AO31=0,$J31="",$J31=0,NOT(ISNUMBER($J31)),NOT(ISNUMBER(AO31))),IF(AND($G31&lt;&gt;"",AND(OR(ISNUMBER(AO31),AO31=""),AND(ISNUMBER($J31),$J31&gt;0))),'Feuille de Donnée'!$K$13,""),IF(AO31&lt;$J$165*'Feuille de Donnée'!$I$9,"Négligeable",(IF(AND(AM31&gt;=$H31*(1-'Feuille de Donnée'!$E$12),AM31&lt;=$H31*(1+'Feuille de Donnée'!$F$12)),'Feuille de Donnée'!$F$17,IF(AM31&lt;$H31*(1-'Feuille de Donnée'!$E$12),'Feuille de Donnée'!$F$18,'Feuille de Donnée'!$F$16))&amp;""&amp;IF(AND(AN31&gt;=$I31*(1-'Feuille de Donnée'!$E$27),AN31&lt;=$I31*(1+'Feuille de Donnée'!$F$27)),'Feuille de Donnée'!$F$32,IF(AN31&lt;$I31*(1-'Feuille de Donnée'!$E$27),'Feuille de Donnée'!$F$33,'Feuille de Donnée'!$F$31)))))</f>
        <v/>
      </c>
      <c r="AT31" s="151"/>
      <c r="AU31" s="110"/>
      <c r="AV31" s="28"/>
      <c r="AW31" s="28"/>
      <c r="AX31" s="28" t="str">
        <f t="shared" si="32"/>
        <v/>
      </c>
      <c r="AY31" s="128" t="str">
        <f t="shared" si="33"/>
        <v/>
      </c>
      <c r="AZ31" s="128" t="str">
        <f t="shared" si="34"/>
        <v/>
      </c>
      <c r="BA31" s="28" t="str">
        <f>IF(AND(ISBLANK(BC31),BB31=""),"",1+MAX(BA$18:BA30))</f>
        <v/>
      </c>
      <c r="BB31" s="150" t="str">
        <f>IF(OR(AX31="",AX31=0,$J31="",$J31=0,NOT(ISNUMBER($J31)),NOT(ISNUMBER(AX31))),IF(AND($G31&lt;&gt;"",AND(OR(ISNUMBER(AX31),AX31=""),AND(ISNUMBER($J31),$J31&gt;0))),'Feuille de Donnée'!$K$13,""),IF(AX31&lt;$J$165*'Feuille de Donnée'!$I$9,"Négligeable",(IF(AND(AV31&gt;=$H31*(1-'Feuille de Donnée'!$E$12),AV31&lt;=$H31*(1+'Feuille de Donnée'!$F$12)),'Feuille de Donnée'!$F$17,IF(AV31&lt;$H31*(1-'Feuille de Donnée'!$E$12),'Feuille de Donnée'!$F$18,'Feuille de Donnée'!$F$16))&amp;""&amp;IF(AND(AW31&gt;=$I31*(1-'Feuille de Donnée'!$E$27),AW31&lt;=$I31*(1+'Feuille de Donnée'!$F$27)),'Feuille de Donnée'!$F$32,IF(AW31&lt;$I31*(1-'Feuille de Donnée'!$E$27),'Feuille de Donnée'!$F$33,'Feuille de Donnée'!$F$31)))))</f>
        <v/>
      </c>
      <c r="BC31" s="151"/>
      <c r="BD31" s="110"/>
      <c r="BE31" s="28"/>
      <c r="BF31" s="28"/>
      <c r="BG31" s="28" t="str">
        <f t="shared" si="35"/>
        <v/>
      </c>
      <c r="BH31" s="128" t="str">
        <f t="shared" si="36"/>
        <v/>
      </c>
      <c r="BI31" s="128" t="str">
        <f t="shared" si="37"/>
        <v/>
      </c>
      <c r="BJ31" s="28" t="str">
        <f>IF(AND(ISBLANK(BL31),BK31=""),"",1+MAX(BJ$18:BJ30))</f>
        <v/>
      </c>
      <c r="BK31" s="150" t="str">
        <f>IF(OR(BG31="",BG31=0,$J31="",$J31=0,NOT(ISNUMBER($J31)),NOT(ISNUMBER(BG31))),IF(AND($G31&lt;&gt;"",AND(OR(ISNUMBER(BG31),BG31=""),AND(ISNUMBER($J31),$J31&gt;0))),'Feuille de Donnée'!$K$13,""),IF(BG31&lt;$J$165*'Feuille de Donnée'!$I$9,"Négligeable",(IF(AND(BE31&gt;=$H31*(1-'Feuille de Donnée'!$E$12),BE31&lt;=$H31*(1+'Feuille de Donnée'!$F$12)),'Feuille de Donnée'!$F$17,IF(BE31&lt;$H31*(1-'Feuille de Donnée'!$E$12),'Feuille de Donnée'!$F$18,'Feuille de Donnée'!$F$16))&amp;""&amp;IF(AND(BF31&gt;=$I31*(1-'Feuille de Donnée'!$E$27),BF31&lt;=$I31*(1+'Feuille de Donnée'!$F$27)),'Feuille de Donnée'!$F$32,IF(BF31&lt;$I31*(1-'Feuille de Donnée'!$E$27),'Feuille de Donnée'!$F$33,'Feuille de Donnée'!$F$31)))))</f>
        <v/>
      </c>
      <c r="BL31" s="151"/>
      <c r="BM31" s="153"/>
    </row>
    <row r="32" spans="1:65" s="7" customFormat="1" x14ac:dyDescent="0.3">
      <c r="A32" s="24"/>
      <c r="B32" s="25"/>
      <c r="C32" s="25"/>
      <c r="D32" s="25"/>
      <c r="E32" s="25"/>
      <c r="F32" s="25"/>
      <c r="G32" s="23"/>
      <c r="H32" s="26"/>
      <c r="I32" s="27"/>
      <c r="J32" s="109" t="str">
        <f t="shared" si="19"/>
        <v/>
      </c>
      <c r="K32" s="110"/>
      <c r="L32" s="28"/>
      <c r="M32" s="28"/>
      <c r="N32" s="28" t="str">
        <f t="shared" si="20"/>
        <v/>
      </c>
      <c r="O32" s="128" t="str">
        <f t="shared" si="21"/>
        <v/>
      </c>
      <c r="P32" s="128" t="str">
        <f t="shared" si="22"/>
        <v/>
      </c>
      <c r="Q32" s="28" t="str">
        <f>IF(AND(ISBLANK(S32),R32=""),"",1+MAX(Q$18:Q31))</f>
        <v/>
      </c>
      <c r="R32" s="150" t="str">
        <f>IF(OR(N32="",N32=0,$J32="",$J32=0,NOT(ISNUMBER($J32)),NOT(ISNUMBER(N32))),IF(AND($G32&lt;&gt;"",AND(OR(ISNUMBER(N32),N32=""),AND(ISNUMBER($J32),$J32&gt;0))),'Feuille de Donnée'!$K$13,""),IF(N32&lt;$J$165*'Feuille de Donnée'!$I$9,"Négligeable",(IF(AND(L32&gt;=$H32*(1-'Feuille de Donnée'!$E$12),L32&lt;=$H32*(1+'Feuille de Donnée'!$F$12)),'Feuille de Donnée'!$F$17,IF(L32&lt;$H32*(1-'Feuille de Donnée'!$E$12),'Feuille de Donnée'!$F$18,'Feuille de Donnée'!$F$16))&amp;""&amp;IF(AND(M32&gt;=$I32*(1-'Feuille de Donnée'!$E$27),M32&lt;=$I32*(1+'Feuille de Donnée'!$F$27)),'Feuille de Donnée'!$F$32,IF(M32&lt;$I32*(1-'Feuille de Donnée'!$E$27),'Feuille de Donnée'!$F$33,'Feuille de Donnée'!$F$31)))))</f>
        <v/>
      </c>
      <c r="S32" s="151"/>
      <c r="T32" s="110"/>
      <c r="U32" s="28"/>
      <c r="V32" s="28"/>
      <c r="W32" s="28" t="str">
        <f t="shared" si="23"/>
        <v/>
      </c>
      <c r="X32" s="128" t="str">
        <f t="shared" si="24"/>
        <v/>
      </c>
      <c r="Y32" s="128" t="str">
        <f t="shared" si="25"/>
        <v/>
      </c>
      <c r="Z32" s="28" t="str">
        <f>IF(AND(ISBLANK(AB32),AA32=""),"",1+MAX(Z$18:Z31))</f>
        <v/>
      </c>
      <c r="AA32" s="150" t="str">
        <f>IF(OR(W32="",W32=0,$J32="",$J32=0,NOT(ISNUMBER($J32)),NOT(ISNUMBER(W32))),IF(AND($G32&lt;&gt;"",AND(OR(ISNUMBER(W32),W32=""),AND(ISNUMBER($J32),$J32&gt;0))),'Feuille de Donnée'!$K$13,""),IF(W32&lt;$J$165*'Feuille de Donnée'!$I$9,"Négligeable",(IF(AND(U32&gt;=$H32*(1-'Feuille de Donnée'!$E$12),U32&lt;=$H32*(1+'Feuille de Donnée'!$F$12)),'Feuille de Donnée'!$F$17,IF(U32&lt;$H32*(1-'Feuille de Donnée'!$E$12),'Feuille de Donnée'!$F$18,'Feuille de Donnée'!$F$16))&amp;""&amp;IF(AND(V32&gt;=$I32*(1-'Feuille de Donnée'!$E$27),V32&lt;=$I32*(1+'Feuille de Donnée'!$F$27)),'Feuille de Donnée'!$F$32,IF(V32&lt;$I32*(1-'Feuille de Donnée'!$E$27),'Feuille de Donnée'!$F$33,'Feuille de Donnée'!$F$31)))))</f>
        <v/>
      </c>
      <c r="AB32" s="151"/>
      <c r="AC32" s="110"/>
      <c r="AD32" s="28"/>
      <c r="AE32" s="28"/>
      <c r="AF32" s="28" t="str">
        <f t="shared" si="26"/>
        <v/>
      </c>
      <c r="AG32" s="128" t="str">
        <f t="shared" si="27"/>
        <v/>
      </c>
      <c r="AH32" s="128" t="str">
        <f t="shared" si="28"/>
        <v/>
      </c>
      <c r="AI32" s="28" t="str">
        <f>IF(AND(ISBLANK(AK32),AJ32=""),"",1+MAX(AI$18:AI31))</f>
        <v/>
      </c>
      <c r="AJ32" s="150" t="str">
        <f>IF(OR(AF32="",AF32=0,$J32="",$J32=0,NOT(ISNUMBER($J32)),NOT(ISNUMBER(AF32))),IF(AND($G32&lt;&gt;"",AND(OR(ISNUMBER(AF32),AF32=""),AND(ISNUMBER($J32),$J32&gt;0))),'Feuille de Donnée'!$K$13,""),IF(AF32&lt;$J$165*'Feuille de Donnée'!$I$9,"Négligeable",(IF(AND(AD32&gt;=$H32*(1-'Feuille de Donnée'!$E$12),AD32&lt;=$H32*(1+'Feuille de Donnée'!$F$12)),'Feuille de Donnée'!$F$17,IF(AD32&lt;$H32*(1-'Feuille de Donnée'!$E$12),'Feuille de Donnée'!$F$18,'Feuille de Donnée'!$F$16))&amp;""&amp;IF(AND(AE32&gt;=$I32*(1-'Feuille de Donnée'!$E$27),AE32&lt;=$I32*(1+'Feuille de Donnée'!$F$27)),'Feuille de Donnée'!$F$32,IF(AE32&lt;$I32*(1-'Feuille de Donnée'!$E$27),'Feuille de Donnée'!$F$33,'Feuille de Donnée'!$F$31)))))</f>
        <v/>
      </c>
      <c r="AK32" s="151"/>
      <c r="AL32" s="110"/>
      <c r="AM32" s="28"/>
      <c r="AN32" s="28"/>
      <c r="AO32" s="28" t="str">
        <f t="shared" si="29"/>
        <v/>
      </c>
      <c r="AP32" s="128" t="str">
        <f t="shared" si="30"/>
        <v/>
      </c>
      <c r="AQ32" s="128" t="str">
        <f t="shared" si="31"/>
        <v/>
      </c>
      <c r="AR32" s="28" t="str">
        <f>IF(AND(ISBLANK(AT32),AS32=""),"",1+MAX(AR$18:AR31))</f>
        <v/>
      </c>
      <c r="AS32" s="150" t="str">
        <f>IF(OR(AO32="",AO32=0,$J32="",$J32=0,NOT(ISNUMBER($J32)),NOT(ISNUMBER(AO32))),IF(AND($G32&lt;&gt;"",AND(OR(ISNUMBER(AO32),AO32=""),AND(ISNUMBER($J32),$J32&gt;0))),'Feuille de Donnée'!$K$13,""),IF(AO32&lt;$J$165*'Feuille de Donnée'!$I$9,"Négligeable",(IF(AND(AM32&gt;=$H32*(1-'Feuille de Donnée'!$E$12),AM32&lt;=$H32*(1+'Feuille de Donnée'!$F$12)),'Feuille de Donnée'!$F$17,IF(AM32&lt;$H32*(1-'Feuille de Donnée'!$E$12),'Feuille de Donnée'!$F$18,'Feuille de Donnée'!$F$16))&amp;""&amp;IF(AND(AN32&gt;=$I32*(1-'Feuille de Donnée'!$E$27),AN32&lt;=$I32*(1+'Feuille de Donnée'!$F$27)),'Feuille de Donnée'!$F$32,IF(AN32&lt;$I32*(1-'Feuille de Donnée'!$E$27),'Feuille de Donnée'!$F$33,'Feuille de Donnée'!$F$31)))))</f>
        <v/>
      </c>
      <c r="AT32" s="151"/>
      <c r="AU32" s="110"/>
      <c r="AV32" s="28"/>
      <c r="AW32" s="28"/>
      <c r="AX32" s="28" t="str">
        <f t="shared" si="32"/>
        <v/>
      </c>
      <c r="AY32" s="128" t="str">
        <f t="shared" si="33"/>
        <v/>
      </c>
      <c r="AZ32" s="128" t="str">
        <f t="shared" si="34"/>
        <v/>
      </c>
      <c r="BA32" s="28" t="str">
        <f>IF(AND(ISBLANK(BC32),BB32=""),"",1+MAX(BA$18:BA31))</f>
        <v/>
      </c>
      <c r="BB32" s="150" t="str">
        <f>IF(OR(AX32="",AX32=0,$J32="",$J32=0,NOT(ISNUMBER($J32)),NOT(ISNUMBER(AX32))),IF(AND($G32&lt;&gt;"",AND(OR(ISNUMBER(AX32),AX32=""),AND(ISNUMBER($J32),$J32&gt;0))),'Feuille de Donnée'!$K$13,""),IF(AX32&lt;$J$165*'Feuille de Donnée'!$I$9,"Négligeable",(IF(AND(AV32&gt;=$H32*(1-'Feuille de Donnée'!$E$12),AV32&lt;=$H32*(1+'Feuille de Donnée'!$F$12)),'Feuille de Donnée'!$F$17,IF(AV32&lt;$H32*(1-'Feuille de Donnée'!$E$12),'Feuille de Donnée'!$F$18,'Feuille de Donnée'!$F$16))&amp;""&amp;IF(AND(AW32&gt;=$I32*(1-'Feuille de Donnée'!$E$27),AW32&lt;=$I32*(1+'Feuille de Donnée'!$F$27)),'Feuille de Donnée'!$F$32,IF(AW32&lt;$I32*(1-'Feuille de Donnée'!$E$27),'Feuille de Donnée'!$F$33,'Feuille de Donnée'!$F$31)))))</f>
        <v/>
      </c>
      <c r="BC32" s="151"/>
      <c r="BD32" s="110"/>
      <c r="BE32" s="28"/>
      <c r="BF32" s="28"/>
      <c r="BG32" s="28" t="str">
        <f t="shared" si="35"/>
        <v/>
      </c>
      <c r="BH32" s="128" t="str">
        <f t="shared" si="36"/>
        <v/>
      </c>
      <c r="BI32" s="128" t="str">
        <f t="shared" si="37"/>
        <v/>
      </c>
      <c r="BJ32" s="28" t="str">
        <f>IF(AND(ISBLANK(BL32),BK32=""),"",1+MAX(BJ$18:BJ31))</f>
        <v/>
      </c>
      <c r="BK32" s="150" t="str">
        <f>IF(OR(BG32="",BG32=0,$J32="",$J32=0,NOT(ISNUMBER($J32)),NOT(ISNUMBER(BG32))),IF(AND($G32&lt;&gt;"",AND(OR(ISNUMBER(BG32),BG32=""),AND(ISNUMBER($J32),$J32&gt;0))),'Feuille de Donnée'!$K$13,""),IF(BG32&lt;$J$165*'Feuille de Donnée'!$I$9,"Négligeable",(IF(AND(BE32&gt;=$H32*(1-'Feuille de Donnée'!$E$12),BE32&lt;=$H32*(1+'Feuille de Donnée'!$F$12)),'Feuille de Donnée'!$F$17,IF(BE32&lt;$H32*(1-'Feuille de Donnée'!$E$12),'Feuille de Donnée'!$F$18,'Feuille de Donnée'!$F$16))&amp;""&amp;IF(AND(BF32&gt;=$I32*(1-'Feuille de Donnée'!$E$27),BF32&lt;=$I32*(1+'Feuille de Donnée'!$F$27)),'Feuille de Donnée'!$F$32,IF(BF32&lt;$I32*(1-'Feuille de Donnée'!$E$27),'Feuille de Donnée'!$F$33,'Feuille de Donnée'!$F$31)))))</f>
        <v/>
      </c>
      <c r="BL32" s="151"/>
      <c r="BM32" s="153"/>
    </row>
    <row r="33" spans="1:65" s="7" customFormat="1" x14ac:dyDescent="0.3">
      <c r="A33" s="24"/>
      <c r="B33" s="25"/>
      <c r="C33" s="25"/>
      <c r="D33" s="25"/>
      <c r="E33" s="25"/>
      <c r="F33" s="25"/>
      <c r="G33" s="23"/>
      <c r="H33" s="26"/>
      <c r="I33" s="27"/>
      <c r="J33" s="109" t="str">
        <f t="shared" si="19"/>
        <v/>
      </c>
      <c r="K33" s="110"/>
      <c r="L33" s="28"/>
      <c r="M33" s="28"/>
      <c r="N33" s="28" t="str">
        <f t="shared" si="20"/>
        <v/>
      </c>
      <c r="O33" s="128" t="str">
        <f t="shared" si="21"/>
        <v/>
      </c>
      <c r="P33" s="128" t="str">
        <f t="shared" si="22"/>
        <v/>
      </c>
      <c r="Q33" s="28" t="str">
        <f>IF(AND(ISBLANK(S33),R33=""),"",1+MAX(Q$18:Q32))</f>
        <v/>
      </c>
      <c r="R33" s="150" t="str">
        <f>IF(OR(N33="",N33=0,$J33="",$J33=0,NOT(ISNUMBER($J33)),NOT(ISNUMBER(N33))),IF(AND($G33&lt;&gt;"",AND(OR(ISNUMBER(N33),N33=""),AND(ISNUMBER($J33),$J33&gt;0))),'Feuille de Donnée'!$K$13,""),IF(N33&lt;$J$165*'Feuille de Donnée'!$I$9,"Négligeable",(IF(AND(L33&gt;=$H33*(1-'Feuille de Donnée'!$E$12),L33&lt;=$H33*(1+'Feuille de Donnée'!$F$12)),'Feuille de Donnée'!$F$17,IF(L33&lt;$H33*(1-'Feuille de Donnée'!$E$12),'Feuille de Donnée'!$F$18,'Feuille de Donnée'!$F$16))&amp;""&amp;IF(AND(M33&gt;=$I33*(1-'Feuille de Donnée'!$E$27),M33&lt;=$I33*(1+'Feuille de Donnée'!$F$27)),'Feuille de Donnée'!$F$32,IF(M33&lt;$I33*(1-'Feuille de Donnée'!$E$27),'Feuille de Donnée'!$F$33,'Feuille de Donnée'!$F$31)))))</f>
        <v/>
      </c>
      <c r="S33" s="151"/>
      <c r="T33" s="110"/>
      <c r="U33" s="28"/>
      <c r="V33" s="28"/>
      <c r="W33" s="28" t="str">
        <f t="shared" si="23"/>
        <v/>
      </c>
      <c r="X33" s="128" t="str">
        <f t="shared" si="24"/>
        <v/>
      </c>
      <c r="Y33" s="128" t="str">
        <f t="shared" si="25"/>
        <v/>
      </c>
      <c r="Z33" s="28" t="str">
        <f>IF(AND(ISBLANK(AB33),AA33=""),"",1+MAX(Z$18:Z32))</f>
        <v/>
      </c>
      <c r="AA33" s="150" t="str">
        <f>IF(OR(W33="",W33=0,$J33="",$J33=0,NOT(ISNUMBER($J33)),NOT(ISNUMBER(W33))),IF(AND($G33&lt;&gt;"",AND(OR(ISNUMBER(W33),W33=""),AND(ISNUMBER($J33),$J33&gt;0))),'Feuille de Donnée'!$K$13,""),IF(W33&lt;$J$165*'Feuille de Donnée'!$I$9,"Négligeable",(IF(AND(U33&gt;=$H33*(1-'Feuille de Donnée'!$E$12),U33&lt;=$H33*(1+'Feuille de Donnée'!$F$12)),'Feuille de Donnée'!$F$17,IF(U33&lt;$H33*(1-'Feuille de Donnée'!$E$12),'Feuille de Donnée'!$F$18,'Feuille de Donnée'!$F$16))&amp;""&amp;IF(AND(V33&gt;=$I33*(1-'Feuille de Donnée'!$E$27),V33&lt;=$I33*(1+'Feuille de Donnée'!$F$27)),'Feuille de Donnée'!$F$32,IF(V33&lt;$I33*(1-'Feuille de Donnée'!$E$27),'Feuille de Donnée'!$F$33,'Feuille de Donnée'!$F$31)))))</f>
        <v/>
      </c>
      <c r="AB33" s="151"/>
      <c r="AC33" s="110"/>
      <c r="AD33" s="28"/>
      <c r="AE33" s="28"/>
      <c r="AF33" s="28" t="str">
        <f t="shared" si="26"/>
        <v/>
      </c>
      <c r="AG33" s="128" t="str">
        <f t="shared" si="27"/>
        <v/>
      </c>
      <c r="AH33" s="128" t="str">
        <f t="shared" si="28"/>
        <v/>
      </c>
      <c r="AI33" s="28" t="str">
        <f>IF(AND(ISBLANK(AK33),AJ33=""),"",1+MAX(AI$18:AI32))</f>
        <v/>
      </c>
      <c r="AJ33" s="150" t="str">
        <f>IF(OR(AF33="",AF33=0,$J33="",$J33=0,NOT(ISNUMBER($J33)),NOT(ISNUMBER(AF33))),IF(AND($G33&lt;&gt;"",AND(OR(ISNUMBER(AF33),AF33=""),AND(ISNUMBER($J33),$J33&gt;0))),'Feuille de Donnée'!$K$13,""),IF(AF33&lt;$J$165*'Feuille de Donnée'!$I$9,"Négligeable",(IF(AND(AD33&gt;=$H33*(1-'Feuille de Donnée'!$E$12),AD33&lt;=$H33*(1+'Feuille de Donnée'!$F$12)),'Feuille de Donnée'!$F$17,IF(AD33&lt;$H33*(1-'Feuille de Donnée'!$E$12),'Feuille de Donnée'!$F$18,'Feuille de Donnée'!$F$16))&amp;""&amp;IF(AND(AE33&gt;=$I33*(1-'Feuille de Donnée'!$E$27),AE33&lt;=$I33*(1+'Feuille de Donnée'!$F$27)),'Feuille de Donnée'!$F$32,IF(AE33&lt;$I33*(1-'Feuille de Donnée'!$E$27),'Feuille de Donnée'!$F$33,'Feuille de Donnée'!$F$31)))))</f>
        <v/>
      </c>
      <c r="AK33" s="151"/>
      <c r="AL33" s="110"/>
      <c r="AM33" s="28"/>
      <c r="AN33" s="28"/>
      <c r="AO33" s="28" t="str">
        <f t="shared" si="29"/>
        <v/>
      </c>
      <c r="AP33" s="128" t="str">
        <f t="shared" si="30"/>
        <v/>
      </c>
      <c r="AQ33" s="128" t="str">
        <f t="shared" si="31"/>
        <v/>
      </c>
      <c r="AR33" s="28" t="str">
        <f>IF(AND(ISBLANK(AT33),AS33=""),"",1+MAX(AR$18:AR32))</f>
        <v/>
      </c>
      <c r="AS33" s="150" t="str">
        <f>IF(OR(AO33="",AO33=0,$J33="",$J33=0,NOT(ISNUMBER($J33)),NOT(ISNUMBER(AO33))),IF(AND($G33&lt;&gt;"",AND(OR(ISNUMBER(AO33),AO33=""),AND(ISNUMBER($J33),$J33&gt;0))),'Feuille de Donnée'!$K$13,""),IF(AO33&lt;$J$165*'Feuille de Donnée'!$I$9,"Négligeable",(IF(AND(AM33&gt;=$H33*(1-'Feuille de Donnée'!$E$12),AM33&lt;=$H33*(1+'Feuille de Donnée'!$F$12)),'Feuille de Donnée'!$F$17,IF(AM33&lt;$H33*(1-'Feuille de Donnée'!$E$12),'Feuille de Donnée'!$F$18,'Feuille de Donnée'!$F$16))&amp;""&amp;IF(AND(AN33&gt;=$I33*(1-'Feuille de Donnée'!$E$27),AN33&lt;=$I33*(1+'Feuille de Donnée'!$F$27)),'Feuille de Donnée'!$F$32,IF(AN33&lt;$I33*(1-'Feuille de Donnée'!$E$27),'Feuille de Donnée'!$F$33,'Feuille de Donnée'!$F$31)))))</f>
        <v/>
      </c>
      <c r="AT33" s="151"/>
      <c r="AU33" s="110"/>
      <c r="AV33" s="28"/>
      <c r="AW33" s="28"/>
      <c r="AX33" s="28" t="str">
        <f t="shared" si="32"/>
        <v/>
      </c>
      <c r="AY33" s="128" t="str">
        <f t="shared" si="33"/>
        <v/>
      </c>
      <c r="AZ33" s="128" t="str">
        <f t="shared" si="34"/>
        <v/>
      </c>
      <c r="BA33" s="28" t="str">
        <f>IF(AND(ISBLANK(BC33),BB33=""),"",1+MAX(BA$18:BA32))</f>
        <v/>
      </c>
      <c r="BB33" s="150" t="str">
        <f>IF(OR(AX33="",AX33=0,$J33="",$J33=0,NOT(ISNUMBER($J33)),NOT(ISNUMBER(AX33))),IF(AND($G33&lt;&gt;"",AND(OR(ISNUMBER(AX33),AX33=""),AND(ISNUMBER($J33),$J33&gt;0))),'Feuille de Donnée'!$K$13,""),IF(AX33&lt;$J$165*'Feuille de Donnée'!$I$9,"Négligeable",(IF(AND(AV33&gt;=$H33*(1-'Feuille de Donnée'!$E$12),AV33&lt;=$H33*(1+'Feuille de Donnée'!$F$12)),'Feuille de Donnée'!$F$17,IF(AV33&lt;$H33*(1-'Feuille de Donnée'!$E$12),'Feuille de Donnée'!$F$18,'Feuille de Donnée'!$F$16))&amp;""&amp;IF(AND(AW33&gt;=$I33*(1-'Feuille de Donnée'!$E$27),AW33&lt;=$I33*(1+'Feuille de Donnée'!$F$27)),'Feuille de Donnée'!$F$32,IF(AW33&lt;$I33*(1-'Feuille de Donnée'!$E$27),'Feuille de Donnée'!$F$33,'Feuille de Donnée'!$F$31)))))</f>
        <v/>
      </c>
      <c r="BC33" s="151"/>
      <c r="BD33" s="110"/>
      <c r="BE33" s="28"/>
      <c r="BF33" s="28"/>
      <c r="BG33" s="28" t="str">
        <f t="shared" si="35"/>
        <v/>
      </c>
      <c r="BH33" s="128" t="str">
        <f t="shared" si="36"/>
        <v/>
      </c>
      <c r="BI33" s="128" t="str">
        <f t="shared" si="37"/>
        <v/>
      </c>
      <c r="BJ33" s="28" t="str">
        <f>IF(AND(ISBLANK(BL33),BK33=""),"",1+MAX(BJ$18:BJ32))</f>
        <v/>
      </c>
      <c r="BK33" s="150" t="str">
        <f>IF(OR(BG33="",BG33=0,$J33="",$J33=0,NOT(ISNUMBER($J33)),NOT(ISNUMBER(BG33))),IF(AND($G33&lt;&gt;"",AND(OR(ISNUMBER(BG33),BG33=""),AND(ISNUMBER($J33),$J33&gt;0))),'Feuille de Donnée'!$K$13,""),IF(BG33&lt;$J$165*'Feuille de Donnée'!$I$9,"Négligeable",(IF(AND(BE33&gt;=$H33*(1-'Feuille de Donnée'!$E$12),BE33&lt;=$H33*(1+'Feuille de Donnée'!$F$12)),'Feuille de Donnée'!$F$17,IF(BE33&lt;$H33*(1-'Feuille de Donnée'!$E$12),'Feuille de Donnée'!$F$18,'Feuille de Donnée'!$F$16))&amp;""&amp;IF(AND(BF33&gt;=$I33*(1-'Feuille de Donnée'!$E$27),BF33&lt;=$I33*(1+'Feuille de Donnée'!$F$27)),'Feuille de Donnée'!$F$32,IF(BF33&lt;$I33*(1-'Feuille de Donnée'!$E$27),'Feuille de Donnée'!$F$33,'Feuille de Donnée'!$F$31)))))</f>
        <v/>
      </c>
      <c r="BL33" s="151"/>
      <c r="BM33" s="153"/>
    </row>
    <row r="34" spans="1:65" s="7" customFormat="1" x14ac:dyDescent="0.3">
      <c r="A34" s="24"/>
      <c r="B34" s="25"/>
      <c r="C34" s="25"/>
      <c r="D34" s="25"/>
      <c r="E34" s="25"/>
      <c r="F34" s="25"/>
      <c r="G34" s="23"/>
      <c r="H34" s="26"/>
      <c r="I34" s="27"/>
      <c r="J34" s="109" t="str">
        <f t="shared" si="19"/>
        <v/>
      </c>
      <c r="K34" s="110"/>
      <c r="L34" s="28"/>
      <c r="M34" s="28"/>
      <c r="N34" s="28" t="str">
        <f t="shared" si="20"/>
        <v/>
      </c>
      <c r="O34" s="128" t="str">
        <f t="shared" si="21"/>
        <v/>
      </c>
      <c r="P34" s="128" t="str">
        <f t="shared" si="22"/>
        <v/>
      </c>
      <c r="Q34" s="28" t="str">
        <f>IF(AND(ISBLANK(S34),R34=""),"",1+MAX(Q$18:Q33))</f>
        <v/>
      </c>
      <c r="R34" s="150" t="str">
        <f>IF(OR(N34="",N34=0,$J34="",$J34=0,NOT(ISNUMBER($J34)),NOT(ISNUMBER(N34))),IF(AND($G34&lt;&gt;"",AND(OR(ISNUMBER(N34),N34=""),AND(ISNUMBER($J34),$J34&gt;0))),'Feuille de Donnée'!$K$13,""),IF(N34&lt;$J$165*'Feuille de Donnée'!$I$9,"Négligeable",(IF(AND(L34&gt;=$H34*(1-'Feuille de Donnée'!$E$12),L34&lt;=$H34*(1+'Feuille de Donnée'!$F$12)),'Feuille de Donnée'!$F$17,IF(L34&lt;$H34*(1-'Feuille de Donnée'!$E$12),'Feuille de Donnée'!$F$18,'Feuille de Donnée'!$F$16))&amp;""&amp;IF(AND(M34&gt;=$I34*(1-'Feuille de Donnée'!$E$27),M34&lt;=$I34*(1+'Feuille de Donnée'!$F$27)),'Feuille de Donnée'!$F$32,IF(M34&lt;$I34*(1-'Feuille de Donnée'!$E$27),'Feuille de Donnée'!$F$33,'Feuille de Donnée'!$F$31)))))</f>
        <v/>
      </c>
      <c r="S34" s="151"/>
      <c r="T34" s="110"/>
      <c r="U34" s="28"/>
      <c r="V34" s="28"/>
      <c r="W34" s="28" t="str">
        <f t="shared" si="23"/>
        <v/>
      </c>
      <c r="X34" s="128" t="str">
        <f t="shared" si="24"/>
        <v/>
      </c>
      <c r="Y34" s="128" t="str">
        <f t="shared" si="25"/>
        <v/>
      </c>
      <c r="Z34" s="28" t="str">
        <f>IF(AND(ISBLANK(AB34),AA34=""),"",1+MAX(Z$18:Z33))</f>
        <v/>
      </c>
      <c r="AA34" s="150" t="str">
        <f>IF(OR(W34="",W34=0,$J34="",$J34=0,NOT(ISNUMBER($J34)),NOT(ISNUMBER(W34))),IF(AND($G34&lt;&gt;"",AND(OR(ISNUMBER(W34),W34=""),AND(ISNUMBER($J34),$J34&gt;0))),'Feuille de Donnée'!$K$13,""),IF(W34&lt;$J$165*'Feuille de Donnée'!$I$9,"Négligeable",(IF(AND(U34&gt;=$H34*(1-'Feuille de Donnée'!$E$12),U34&lt;=$H34*(1+'Feuille de Donnée'!$F$12)),'Feuille de Donnée'!$F$17,IF(U34&lt;$H34*(1-'Feuille de Donnée'!$E$12),'Feuille de Donnée'!$F$18,'Feuille de Donnée'!$F$16))&amp;""&amp;IF(AND(V34&gt;=$I34*(1-'Feuille de Donnée'!$E$27),V34&lt;=$I34*(1+'Feuille de Donnée'!$F$27)),'Feuille de Donnée'!$F$32,IF(V34&lt;$I34*(1-'Feuille de Donnée'!$E$27),'Feuille de Donnée'!$F$33,'Feuille de Donnée'!$F$31)))))</f>
        <v/>
      </c>
      <c r="AB34" s="151"/>
      <c r="AC34" s="110"/>
      <c r="AD34" s="28"/>
      <c r="AE34" s="28"/>
      <c r="AF34" s="28" t="str">
        <f t="shared" si="26"/>
        <v/>
      </c>
      <c r="AG34" s="128" t="str">
        <f t="shared" si="27"/>
        <v/>
      </c>
      <c r="AH34" s="128" t="str">
        <f t="shared" si="28"/>
        <v/>
      </c>
      <c r="AI34" s="28" t="str">
        <f>IF(AND(ISBLANK(AK34),AJ34=""),"",1+MAX(AI$18:AI33))</f>
        <v/>
      </c>
      <c r="AJ34" s="150" t="str">
        <f>IF(OR(AF34="",AF34=0,$J34="",$J34=0,NOT(ISNUMBER($J34)),NOT(ISNUMBER(AF34))),IF(AND($G34&lt;&gt;"",AND(OR(ISNUMBER(AF34),AF34=""),AND(ISNUMBER($J34),$J34&gt;0))),'Feuille de Donnée'!$K$13,""),IF(AF34&lt;$J$165*'Feuille de Donnée'!$I$9,"Négligeable",(IF(AND(AD34&gt;=$H34*(1-'Feuille de Donnée'!$E$12),AD34&lt;=$H34*(1+'Feuille de Donnée'!$F$12)),'Feuille de Donnée'!$F$17,IF(AD34&lt;$H34*(1-'Feuille de Donnée'!$E$12),'Feuille de Donnée'!$F$18,'Feuille de Donnée'!$F$16))&amp;""&amp;IF(AND(AE34&gt;=$I34*(1-'Feuille de Donnée'!$E$27),AE34&lt;=$I34*(1+'Feuille de Donnée'!$F$27)),'Feuille de Donnée'!$F$32,IF(AE34&lt;$I34*(1-'Feuille de Donnée'!$E$27),'Feuille de Donnée'!$F$33,'Feuille de Donnée'!$F$31)))))</f>
        <v/>
      </c>
      <c r="AK34" s="151"/>
      <c r="AL34" s="110"/>
      <c r="AM34" s="28"/>
      <c r="AN34" s="28"/>
      <c r="AO34" s="28" t="str">
        <f t="shared" si="29"/>
        <v/>
      </c>
      <c r="AP34" s="128" t="str">
        <f t="shared" si="30"/>
        <v/>
      </c>
      <c r="AQ34" s="128" t="str">
        <f t="shared" si="31"/>
        <v/>
      </c>
      <c r="AR34" s="28" t="str">
        <f>IF(AND(ISBLANK(AT34),AS34=""),"",1+MAX(AR$18:AR33))</f>
        <v/>
      </c>
      <c r="AS34" s="150" t="str">
        <f>IF(OR(AO34="",AO34=0,$J34="",$J34=0,NOT(ISNUMBER($J34)),NOT(ISNUMBER(AO34))),IF(AND($G34&lt;&gt;"",AND(OR(ISNUMBER(AO34),AO34=""),AND(ISNUMBER($J34),$J34&gt;0))),'Feuille de Donnée'!$K$13,""),IF(AO34&lt;$J$165*'Feuille de Donnée'!$I$9,"Négligeable",(IF(AND(AM34&gt;=$H34*(1-'Feuille de Donnée'!$E$12),AM34&lt;=$H34*(1+'Feuille de Donnée'!$F$12)),'Feuille de Donnée'!$F$17,IF(AM34&lt;$H34*(1-'Feuille de Donnée'!$E$12),'Feuille de Donnée'!$F$18,'Feuille de Donnée'!$F$16))&amp;""&amp;IF(AND(AN34&gt;=$I34*(1-'Feuille de Donnée'!$E$27),AN34&lt;=$I34*(1+'Feuille de Donnée'!$F$27)),'Feuille de Donnée'!$F$32,IF(AN34&lt;$I34*(1-'Feuille de Donnée'!$E$27),'Feuille de Donnée'!$F$33,'Feuille de Donnée'!$F$31)))))</f>
        <v/>
      </c>
      <c r="AT34" s="151"/>
      <c r="AU34" s="110"/>
      <c r="AV34" s="28"/>
      <c r="AW34" s="28"/>
      <c r="AX34" s="28" t="str">
        <f t="shared" si="32"/>
        <v/>
      </c>
      <c r="AY34" s="128" t="str">
        <f t="shared" si="33"/>
        <v/>
      </c>
      <c r="AZ34" s="128" t="str">
        <f t="shared" si="34"/>
        <v/>
      </c>
      <c r="BA34" s="28" t="str">
        <f>IF(AND(ISBLANK(BC34),BB34=""),"",1+MAX(BA$18:BA33))</f>
        <v/>
      </c>
      <c r="BB34" s="150" t="str">
        <f>IF(OR(AX34="",AX34=0,$J34="",$J34=0,NOT(ISNUMBER($J34)),NOT(ISNUMBER(AX34))),IF(AND($G34&lt;&gt;"",AND(OR(ISNUMBER(AX34),AX34=""),AND(ISNUMBER($J34),$J34&gt;0))),'Feuille de Donnée'!$K$13,""),IF(AX34&lt;$J$165*'Feuille de Donnée'!$I$9,"Négligeable",(IF(AND(AV34&gt;=$H34*(1-'Feuille de Donnée'!$E$12),AV34&lt;=$H34*(1+'Feuille de Donnée'!$F$12)),'Feuille de Donnée'!$F$17,IF(AV34&lt;$H34*(1-'Feuille de Donnée'!$E$12),'Feuille de Donnée'!$F$18,'Feuille de Donnée'!$F$16))&amp;""&amp;IF(AND(AW34&gt;=$I34*(1-'Feuille de Donnée'!$E$27),AW34&lt;=$I34*(1+'Feuille de Donnée'!$F$27)),'Feuille de Donnée'!$F$32,IF(AW34&lt;$I34*(1-'Feuille de Donnée'!$E$27),'Feuille de Donnée'!$F$33,'Feuille de Donnée'!$F$31)))))</f>
        <v/>
      </c>
      <c r="BC34" s="151"/>
      <c r="BD34" s="110"/>
      <c r="BE34" s="28"/>
      <c r="BF34" s="28"/>
      <c r="BG34" s="28" t="str">
        <f t="shared" si="35"/>
        <v/>
      </c>
      <c r="BH34" s="128" t="str">
        <f t="shared" si="36"/>
        <v/>
      </c>
      <c r="BI34" s="128" t="str">
        <f t="shared" si="37"/>
        <v/>
      </c>
      <c r="BJ34" s="28" t="str">
        <f>IF(AND(ISBLANK(BL34),BK34=""),"",1+MAX(BJ$18:BJ33))</f>
        <v/>
      </c>
      <c r="BK34" s="150" t="str">
        <f>IF(OR(BG34="",BG34=0,$J34="",$J34=0,NOT(ISNUMBER($J34)),NOT(ISNUMBER(BG34))),IF(AND($G34&lt;&gt;"",AND(OR(ISNUMBER(BG34),BG34=""),AND(ISNUMBER($J34),$J34&gt;0))),'Feuille de Donnée'!$K$13,""),IF(BG34&lt;$J$165*'Feuille de Donnée'!$I$9,"Négligeable",(IF(AND(BE34&gt;=$H34*(1-'Feuille de Donnée'!$E$12),BE34&lt;=$H34*(1+'Feuille de Donnée'!$F$12)),'Feuille de Donnée'!$F$17,IF(BE34&lt;$H34*(1-'Feuille de Donnée'!$E$12),'Feuille de Donnée'!$F$18,'Feuille de Donnée'!$F$16))&amp;""&amp;IF(AND(BF34&gt;=$I34*(1-'Feuille de Donnée'!$E$27),BF34&lt;=$I34*(1+'Feuille de Donnée'!$F$27)),'Feuille de Donnée'!$F$32,IF(BF34&lt;$I34*(1-'Feuille de Donnée'!$E$27),'Feuille de Donnée'!$F$33,'Feuille de Donnée'!$F$31)))))</f>
        <v/>
      </c>
      <c r="BL34" s="151"/>
      <c r="BM34" s="153"/>
    </row>
    <row r="35" spans="1:65" s="7" customFormat="1" x14ac:dyDescent="0.3">
      <c r="A35" s="24"/>
      <c r="B35" s="25"/>
      <c r="C35" s="25"/>
      <c r="D35" s="25"/>
      <c r="E35" s="25"/>
      <c r="F35" s="25"/>
      <c r="G35" s="23"/>
      <c r="H35" s="26"/>
      <c r="I35" s="27"/>
      <c r="J35" s="109" t="str">
        <f t="shared" si="19"/>
        <v/>
      </c>
      <c r="K35" s="110"/>
      <c r="L35" s="28"/>
      <c r="M35" s="28"/>
      <c r="N35" s="28" t="str">
        <f t="shared" si="20"/>
        <v/>
      </c>
      <c r="O35" s="128" t="str">
        <f t="shared" si="21"/>
        <v/>
      </c>
      <c r="P35" s="128" t="str">
        <f t="shared" si="22"/>
        <v/>
      </c>
      <c r="Q35" s="28" t="str">
        <f>IF(AND(ISBLANK(S35),R35=""),"",1+MAX(Q$18:Q34))</f>
        <v/>
      </c>
      <c r="R35" s="150" t="str">
        <f>IF(OR(N35="",N35=0,$J35="",$J35=0,NOT(ISNUMBER($J35)),NOT(ISNUMBER(N35))),IF(AND($G35&lt;&gt;"",AND(OR(ISNUMBER(N35),N35=""),AND(ISNUMBER($J35),$J35&gt;0))),'Feuille de Donnée'!$K$13,""),IF(N35&lt;$J$165*'Feuille de Donnée'!$I$9,"Négligeable",(IF(AND(L35&gt;=$H35*(1-'Feuille de Donnée'!$E$12),L35&lt;=$H35*(1+'Feuille de Donnée'!$F$12)),'Feuille de Donnée'!$F$17,IF(L35&lt;$H35*(1-'Feuille de Donnée'!$E$12),'Feuille de Donnée'!$F$18,'Feuille de Donnée'!$F$16))&amp;""&amp;IF(AND(M35&gt;=$I35*(1-'Feuille de Donnée'!$E$27),M35&lt;=$I35*(1+'Feuille de Donnée'!$F$27)),'Feuille de Donnée'!$F$32,IF(M35&lt;$I35*(1-'Feuille de Donnée'!$E$27),'Feuille de Donnée'!$F$33,'Feuille de Donnée'!$F$31)))))</f>
        <v/>
      </c>
      <c r="S35" s="151"/>
      <c r="T35" s="110"/>
      <c r="U35" s="28"/>
      <c r="V35" s="28"/>
      <c r="W35" s="28" t="str">
        <f t="shared" si="23"/>
        <v/>
      </c>
      <c r="X35" s="128" t="str">
        <f t="shared" si="24"/>
        <v/>
      </c>
      <c r="Y35" s="128" t="str">
        <f t="shared" si="25"/>
        <v/>
      </c>
      <c r="Z35" s="28" t="str">
        <f>IF(AND(ISBLANK(AB35),AA35=""),"",1+MAX(Z$18:Z34))</f>
        <v/>
      </c>
      <c r="AA35" s="150" t="str">
        <f>IF(OR(W35="",W35=0,$J35="",$J35=0,NOT(ISNUMBER($J35)),NOT(ISNUMBER(W35))),IF(AND($G35&lt;&gt;"",AND(OR(ISNUMBER(W35),W35=""),AND(ISNUMBER($J35),$J35&gt;0))),'Feuille de Donnée'!$K$13,""),IF(W35&lt;$J$165*'Feuille de Donnée'!$I$9,"Négligeable",(IF(AND(U35&gt;=$H35*(1-'Feuille de Donnée'!$E$12),U35&lt;=$H35*(1+'Feuille de Donnée'!$F$12)),'Feuille de Donnée'!$F$17,IF(U35&lt;$H35*(1-'Feuille de Donnée'!$E$12),'Feuille de Donnée'!$F$18,'Feuille de Donnée'!$F$16))&amp;""&amp;IF(AND(V35&gt;=$I35*(1-'Feuille de Donnée'!$E$27),V35&lt;=$I35*(1+'Feuille de Donnée'!$F$27)),'Feuille de Donnée'!$F$32,IF(V35&lt;$I35*(1-'Feuille de Donnée'!$E$27),'Feuille de Donnée'!$F$33,'Feuille de Donnée'!$F$31)))))</f>
        <v/>
      </c>
      <c r="AB35" s="151"/>
      <c r="AC35" s="110"/>
      <c r="AD35" s="28"/>
      <c r="AE35" s="28"/>
      <c r="AF35" s="28" t="str">
        <f t="shared" si="26"/>
        <v/>
      </c>
      <c r="AG35" s="128" t="str">
        <f t="shared" si="27"/>
        <v/>
      </c>
      <c r="AH35" s="128" t="str">
        <f t="shared" si="28"/>
        <v/>
      </c>
      <c r="AI35" s="28" t="str">
        <f>IF(AND(ISBLANK(AK35),AJ35=""),"",1+MAX(AI$18:AI34))</f>
        <v/>
      </c>
      <c r="AJ35" s="150" t="str">
        <f>IF(OR(AF35="",AF35=0,$J35="",$J35=0,NOT(ISNUMBER($J35)),NOT(ISNUMBER(AF35))),IF(AND($G35&lt;&gt;"",AND(OR(ISNUMBER(AF35),AF35=""),AND(ISNUMBER($J35),$J35&gt;0))),'Feuille de Donnée'!$K$13,""),IF(AF35&lt;$J$165*'Feuille de Donnée'!$I$9,"Négligeable",(IF(AND(AD35&gt;=$H35*(1-'Feuille de Donnée'!$E$12),AD35&lt;=$H35*(1+'Feuille de Donnée'!$F$12)),'Feuille de Donnée'!$F$17,IF(AD35&lt;$H35*(1-'Feuille de Donnée'!$E$12),'Feuille de Donnée'!$F$18,'Feuille de Donnée'!$F$16))&amp;""&amp;IF(AND(AE35&gt;=$I35*(1-'Feuille de Donnée'!$E$27),AE35&lt;=$I35*(1+'Feuille de Donnée'!$F$27)),'Feuille de Donnée'!$F$32,IF(AE35&lt;$I35*(1-'Feuille de Donnée'!$E$27),'Feuille de Donnée'!$F$33,'Feuille de Donnée'!$F$31)))))</f>
        <v/>
      </c>
      <c r="AK35" s="151"/>
      <c r="AL35" s="110"/>
      <c r="AM35" s="28"/>
      <c r="AN35" s="28"/>
      <c r="AO35" s="28" t="str">
        <f t="shared" si="29"/>
        <v/>
      </c>
      <c r="AP35" s="128" t="str">
        <f t="shared" si="30"/>
        <v/>
      </c>
      <c r="AQ35" s="128" t="str">
        <f t="shared" si="31"/>
        <v/>
      </c>
      <c r="AR35" s="28" t="str">
        <f>IF(AND(ISBLANK(AT35),AS35=""),"",1+MAX(AR$18:AR34))</f>
        <v/>
      </c>
      <c r="AS35" s="150" t="str">
        <f>IF(OR(AO35="",AO35=0,$J35="",$J35=0,NOT(ISNUMBER($J35)),NOT(ISNUMBER(AO35))),IF(AND($G35&lt;&gt;"",AND(OR(ISNUMBER(AO35),AO35=""),AND(ISNUMBER($J35),$J35&gt;0))),'Feuille de Donnée'!$K$13,""),IF(AO35&lt;$J$165*'Feuille de Donnée'!$I$9,"Négligeable",(IF(AND(AM35&gt;=$H35*(1-'Feuille de Donnée'!$E$12),AM35&lt;=$H35*(1+'Feuille de Donnée'!$F$12)),'Feuille de Donnée'!$F$17,IF(AM35&lt;$H35*(1-'Feuille de Donnée'!$E$12),'Feuille de Donnée'!$F$18,'Feuille de Donnée'!$F$16))&amp;""&amp;IF(AND(AN35&gt;=$I35*(1-'Feuille de Donnée'!$E$27),AN35&lt;=$I35*(1+'Feuille de Donnée'!$F$27)),'Feuille de Donnée'!$F$32,IF(AN35&lt;$I35*(1-'Feuille de Donnée'!$E$27),'Feuille de Donnée'!$F$33,'Feuille de Donnée'!$F$31)))))</f>
        <v/>
      </c>
      <c r="AT35" s="151"/>
      <c r="AU35" s="110"/>
      <c r="AV35" s="28"/>
      <c r="AW35" s="28"/>
      <c r="AX35" s="28" t="str">
        <f t="shared" si="32"/>
        <v/>
      </c>
      <c r="AY35" s="128" t="str">
        <f t="shared" si="33"/>
        <v/>
      </c>
      <c r="AZ35" s="128" t="str">
        <f t="shared" si="34"/>
        <v/>
      </c>
      <c r="BA35" s="28" t="str">
        <f>IF(AND(ISBLANK(BC35),BB35=""),"",1+MAX(BA$18:BA34))</f>
        <v/>
      </c>
      <c r="BB35" s="150" t="str">
        <f>IF(OR(AX35="",AX35=0,$J35="",$J35=0,NOT(ISNUMBER($J35)),NOT(ISNUMBER(AX35))),IF(AND($G35&lt;&gt;"",AND(OR(ISNUMBER(AX35),AX35=""),AND(ISNUMBER($J35),$J35&gt;0))),'Feuille de Donnée'!$K$13,""),IF(AX35&lt;$J$165*'Feuille de Donnée'!$I$9,"Négligeable",(IF(AND(AV35&gt;=$H35*(1-'Feuille de Donnée'!$E$12),AV35&lt;=$H35*(1+'Feuille de Donnée'!$F$12)),'Feuille de Donnée'!$F$17,IF(AV35&lt;$H35*(1-'Feuille de Donnée'!$E$12),'Feuille de Donnée'!$F$18,'Feuille de Donnée'!$F$16))&amp;""&amp;IF(AND(AW35&gt;=$I35*(1-'Feuille de Donnée'!$E$27),AW35&lt;=$I35*(1+'Feuille de Donnée'!$F$27)),'Feuille de Donnée'!$F$32,IF(AW35&lt;$I35*(1-'Feuille de Donnée'!$E$27),'Feuille de Donnée'!$F$33,'Feuille de Donnée'!$F$31)))))</f>
        <v/>
      </c>
      <c r="BC35" s="151"/>
      <c r="BD35" s="110"/>
      <c r="BE35" s="28"/>
      <c r="BF35" s="28"/>
      <c r="BG35" s="28" t="str">
        <f t="shared" si="35"/>
        <v/>
      </c>
      <c r="BH35" s="128" t="str">
        <f t="shared" si="36"/>
        <v/>
      </c>
      <c r="BI35" s="128" t="str">
        <f t="shared" si="37"/>
        <v/>
      </c>
      <c r="BJ35" s="28" t="str">
        <f>IF(AND(ISBLANK(BL35),BK35=""),"",1+MAX(BJ$18:BJ34))</f>
        <v/>
      </c>
      <c r="BK35" s="150" t="str">
        <f>IF(OR(BG35="",BG35=0,$J35="",$J35=0,NOT(ISNUMBER($J35)),NOT(ISNUMBER(BG35))),IF(AND($G35&lt;&gt;"",AND(OR(ISNUMBER(BG35),BG35=""),AND(ISNUMBER($J35),$J35&gt;0))),'Feuille de Donnée'!$K$13,""),IF(BG35&lt;$J$165*'Feuille de Donnée'!$I$9,"Négligeable",(IF(AND(BE35&gt;=$H35*(1-'Feuille de Donnée'!$E$12),BE35&lt;=$H35*(1+'Feuille de Donnée'!$F$12)),'Feuille de Donnée'!$F$17,IF(BE35&lt;$H35*(1-'Feuille de Donnée'!$E$12),'Feuille de Donnée'!$F$18,'Feuille de Donnée'!$F$16))&amp;""&amp;IF(AND(BF35&gt;=$I35*(1-'Feuille de Donnée'!$E$27),BF35&lt;=$I35*(1+'Feuille de Donnée'!$F$27)),'Feuille de Donnée'!$F$32,IF(BF35&lt;$I35*(1-'Feuille de Donnée'!$E$27),'Feuille de Donnée'!$F$33,'Feuille de Donnée'!$F$31)))))</f>
        <v/>
      </c>
      <c r="BL35" s="151"/>
      <c r="BM35" s="153"/>
    </row>
    <row r="36" spans="1:65" s="7" customFormat="1" x14ac:dyDescent="0.3">
      <c r="A36" s="24"/>
      <c r="B36" s="25"/>
      <c r="C36" s="25"/>
      <c r="D36" s="25"/>
      <c r="E36" s="25"/>
      <c r="F36" s="25"/>
      <c r="G36" s="23"/>
      <c r="H36" s="26"/>
      <c r="I36" s="27"/>
      <c r="J36" s="109" t="str">
        <f t="shared" si="19"/>
        <v/>
      </c>
      <c r="K36" s="110"/>
      <c r="L36" s="28"/>
      <c r="M36" s="28"/>
      <c r="N36" s="28" t="str">
        <f t="shared" si="20"/>
        <v/>
      </c>
      <c r="O36" s="128" t="str">
        <f t="shared" si="21"/>
        <v/>
      </c>
      <c r="P36" s="128" t="str">
        <f t="shared" si="22"/>
        <v/>
      </c>
      <c r="Q36" s="28" t="str">
        <f>IF(AND(ISBLANK(S36),R36=""),"",1+MAX(Q$18:Q35))</f>
        <v/>
      </c>
      <c r="R36" s="150" t="str">
        <f>IF(OR(N36="",N36=0,$J36="",$J36=0,NOT(ISNUMBER($J36)),NOT(ISNUMBER(N36))),IF(AND($G36&lt;&gt;"",AND(OR(ISNUMBER(N36),N36=""),AND(ISNUMBER($J36),$J36&gt;0))),'Feuille de Donnée'!$K$13,""),IF(N36&lt;$J$165*'Feuille de Donnée'!$I$9,"Négligeable",(IF(AND(L36&gt;=$H36*(1-'Feuille de Donnée'!$E$12),L36&lt;=$H36*(1+'Feuille de Donnée'!$F$12)),'Feuille de Donnée'!$F$17,IF(L36&lt;$H36*(1-'Feuille de Donnée'!$E$12),'Feuille de Donnée'!$F$18,'Feuille de Donnée'!$F$16))&amp;""&amp;IF(AND(M36&gt;=$I36*(1-'Feuille de Donnée'!$E$27),M36&lt;=$I36*(1+'Feuille de Donnée'!$F$27)),'Feuille de Donnée'!$F$32,IF(M36&lt;$I36*(1-'Feuille de Donnée'!$E$27),'Feuille de Donnée'!$F$33,'Feuille de Donnée'!$F$31)))))</f>
        <v/>
      </c>
      <c r="S36" s="151"/>
      <c r="T36" s="110"/>
      <c r="U36" s="28"/>
      <c r="V36" s="28"/>
      <c r="W36" s="28" t="str">
        <f t="shared" si="23"/>
        <v/>
      </c>
      <c r="X36" s="128" t="str">
        <f t="shared" si="24"/>
        <v/>
      </c>
      <c r="Y36" s="128" t="str">
        <f t="shared" si="25"/>
        <v/>
      </c>
      <c r="Z36" s="28" t="str">
        <f>IF(AND(ISBLANK(AB36),AA36=""),"",1+MAX(Z$18:Z35))</f>
        <v/>
      </c>
      <c r="AA36" s="150" t="str">
        <f>IF(OR(W36="",W36=0,$J36="",$J36=0,NOT(ISNUMBER($J36)),NOT(ISNUMBER(W36))),IF(AND($G36&lt;&gt;"",AND(OR(ISNUMBER(W36),W36=""),AND(ISNUMBER($J36),$J36&gt;0))),'Feuille de Donnée'!$K$13,""),IF(W36&lt;$J$165*'Feuille de Donnée'!$I$9,"Négligeable",(IF(AND(U36&gt;=$H36*(1-'Feuille de Donnée'!$E$12),U36&lt;=$H36*(1+'Feuille de Donnée'!$F$12)),'Feuille de Donnée'!$F$17,IF(U36&lt;$H36*(1-'Feuille de Donnée'!$E$12),'Feuille de Donnée'!$F$18,'Feuille de Donnée'!$F$16))&amp;""&amp;IF(AND(V36&gt;=$I36*(1-'Feuille de Donnée'!$E$27),V36&lt;=$I36*(1+'Feuille de Donnée'!$F$27)),'Feuille de Donnée'!$F$32,IF(V36&lt;$I36*(1-'Feuille de Donnée'!$E$27),'Feuille de Donnée'!$F$33,'Feuille de Donnée'!$F$31)))))</f>
        <v/>
      </c>
      <c r="AB36" s="151"/>
      <c r="AC36" s="110"/>
      <c r="AD36" s="28"/>
      <c r="AE36" s="28"/>
      <c r="AF36" s="28" t="str">
        <f t="shared" si="26"/>
        <v/>
      </c>
      <c r="AG36" s="128" t="str">
        <f t="shared" si="27"/>
        <v/>
      </c>
      <c r="AH36" s="128" t="str">
        <f t="shared" si="28"/>
        <v/>
      </c>
      <c r="AI36" s="28" t="str">
        <f>IF(AND(ISBLANK(AK36),AJ36=""),"",1+MAX(AI$18:AI35))</f>
        <v/>
      </c>
      <c r="AJ36" s="150" t="str">
        <f>IF(OR(AF36="",AF36=0,$J36="",$J36=0,NOT(ISNUMBER($J36)),NOT(ISNUMBER(AF36))),IF(AND($G36&lt;&gt;"",AND(OR(ISNUMBER(AF36),AF36=""),AND(ISNUMBER($J36),$J36&gt;0))),'Feuille de Donnée'!$K$13,""),IF(AF36&lt;$J$165*'Feuille de Donnée'!$I$9,"Négligeable",(IF(AND(AD36&gt;=$H36*(1-'Feuille de Donnée'!$E$12),AD36&lt;=$H36*(1+'Feuille de Donnée'!$F$12)),'Feuille de Donnée'!$F$17,IF(AD36&lt;$H36*(1-'Feuille de Donnée'!$E$12),'Feuille de Donnée'!$F$18,'Feuille de Donnée'!$F$16))&amp;""&amp;IF(AND(AE36&gt;=$I36*(1-'Feuille de Donnée'!$E$27),AE36&lt;=$I36*(1+'Feuille de Donnée'!$F$27)),'Feuille de Donnée'!$F$32,IF(AE36&lt;$I36*(1-'Feuille de Donnée'!$E$27),'Feuille de Donnée'!$F$33,'Feuille de Donnée'!$F$31)))))</f>
        <v/>
      </c>
      <c r="AK36" s="151"/>
      <c r="AL36" s="110"/>
      <c r="AM36" s="28"/>
      <c r="AN36" s="28"/>
      <c r="AO36" s="28" t="str">
        <f t="shared" si="29"/>
        <v/>
      </c>
      <c r="AP36" s="128" t="str">
        <f t="shared" si="30"/>
        <v/>
      </c>
      <c r="AQ36" s="128" t="str">
        <f t="shared" si="31"/>
        <v/>
      </c>
      <c r="AR36" s="28" t="str">
        <f>IF(AND(ISBLANK(AT36),AS36=""),"",1+MAX(AR$18:AR35))</f>
        <v/>
      </c>
      <c r="AS36" s="150" t="str">
        <f>IF(OR(AO36="",AO36=0,$J36="",$J36=0,NOT(ISNUMBER($J36)),NOT(ISNUMBER(AO36))),IF(AND($G36&lt;&gt;"",AND(OR(ISNUMBER(AO36),AO36=""),AND(ISNUMBER($J36),$J36&gt;0))),'Feuille de Donnée'!$K$13,""),IF(AO36&lt;$J$165*'Feuille de Donnée'!$I$9,"Négligeable",(IF(AND(AM36&gt;=$H36*(1-'Feuille de Donnée'!$E$12),AM36&lt;=$H36*(1+'Feuille de Donnée'!$F$12)),'Feuille de Donnée'!$F$17,IF(AM36&lt;$H36*(1-'Feuille de Donnée'!$E$12),'Feuille de Donnée'!$F$18,'Feuille de Donnée'!$F$16))&amp;""&amp;IF(AND(AN36&gt;=$I36*(1-'Feuille de Donnée'!$E$27),AN36&lt;=$I36*(1+'Feuille de Donnée'!$F$27)),'Feuille de Donnée'!$F$32,IF(AN36&lt;$I36*(1-'Feuille de Donnée'!$E$27),'Feuille de Donnée'!$F$33,'Feuille de Donnée'!$F$31)))))</f>
        <v/>
      </c>
      <c r="AT36" s="151"/>
      <c r="AU36" s="110"/>
      <c r="AV36" s="28"/>
      <c r="AW36" s="28"/>
      <c r="AX36" s="28" t="str">
        <f t="shared" si="32"/>
        <v/>
      </c>
      <c r="AY36" s="128" t="str">
        <f t="shared" si="33"/>
        <v/>
      </c>
      <c r="AZ36" s="128" t="str">
        <f t="shared" si="34"/>
        <v/>
      </c>
      <c r="BA36" s="28" t="str">
        <f>IF(AND(ISBLANK(BC36),BB36=""),"",1+MAX(BA$18:BA35))</f>
        <v/>
      </c>
      <c r="BB36" s="150" t="str">
        <f>IF(OR(AX36="",AX36=0,$J36="",$J36=0,NOT(ISNUMBER($J36)),NOT(ISNUMBER(AX36))),IF(AND($G36&lt;&gt;"",AND(OR(ISNUMBER(AX36),AX36=""),AND(ISNUMBER($J36),$J36&gt;0))),'Feuille de Donnée'!$K$13,""),IF(AX36&lt;$J$165*'Feuille de Donnée'!$I$9,"Négligeable",(IF(AND(AV36&gt;=$H36*(1-'Feuille de Donnée'!$E$12),AV36&lt;=$H36*(1+'Feuille de Donnée'!$F$12)),'Feuille de Donnée'!$F$17,IF(AV36&lt;$H36*(1-'Feuille de Donnée'!$E$12),'Feuille de Donnée'!$F$18,'Feuille de Donnée'!$F$16))&amp;""&amp;IF(AND(AW36&gt;=$I36*(1-'Feuille de Donnée'!$E$27),AW36&lt;=$I36*(1+'Feuille de Donnée'!$F$27)),'Feuille de Donnée'!$F$32,IF(AW36&lt;$I36*(1-'Feuille de Donnée'!$E$27),'Feuille de Donnée'!$F$33,'Feuille de Donnée'!$F$31)))))</f>
        <v/>
      </c>
      <c r="BC36" s="151"/>
      <c r="BD36" s="110"/>
      <c r="BE36" s="28"/>
      <c r="BF36" s="28"/>
      <c r="BG36" s="28" t="str">
        <f t="shared" si="35"/>
        <v/>
      </c>
      <c r="BH36" s="128" t="str">
        <f t="shared" si="36"/>
        <v/>
      </c>
      <c r="BI36" s="128" t="str">
        <f t="shared" si="37"/>
        <v/>
      </c>
      <c r="BJ36" s="28" t="str">
        <f>IF(AND(ISBLANK(BL36),BK36=""),"",1+MAX(BJ$18:BJ35))</f>
        <v/>
      </c>
      <c r="BK36" s="150" t="str">
        <f>IF(OR(BG36="",BG36=0,$J36="",$J36=0,NOT(ISNUMBER($J36)),NOT(ISNUMBER(BG36))),IF(AND($G36&lt;&gt;"",AND(OR(ISNUMBER(BG36),BG36=""),AND(ISNUMBER($J36),$J36&gt;0))),'Feuille de Donnée'!$K$13,""),IF(BG36&lt;$J$165*'Feuille de Donnée'!$I$9,"Négligeable",(IF(AND(BE36&gt;=$H36*(1-'Feuille de Donnée'!$E$12),BE36&lt;=$H36*(1+'Feuille de Donnée'!$F$12)),'Feuille de Donnée'!$F$17,IF(BE36&lt;$H36*(1-'Feuille de Donnée'!$E$12),'Feuille de Donnée'!$F$18,'Feuille de Donnée'!$F$16))&amp;""&amp;IF(AND(BF36&gt;=$I36*(1-'Feuille de Donnée'!$E$27),BF36&lt;=$I36*(1+'Feuille de Donnée'!$F$27)),'Feuille de Donnée'!$F$32,IF(BF36&lt;$I36*(1-'Feuille de Donnée'!$E$27),'Feuille de Donnée'!$F$33,'Feuille de Donnée'!$F$31)))))</f>
        <v/>
      </c>
      <c r="BL36" s="151"/>
      <c r="BM36" s="153"/>
    </row>
    <row r="37" spans="1:65" s="7" customFormat="1" x14ac:dyDescent="0.3">
      <c r="A37" s="24"/>
      <c r="B37" s="25"/>
      <c r="C37" s="25"/>
      <c r="D37" s="25"/>
      <c r="E37" s="25"/>
      <c r="F37" s="25"/>
      <c r="G37" s="23"/>
      <c r="H37" s="26"/>
      <c r="I37" s="27"/>
      <c r="J37" s="109" t="str">
        <f t="shared" si="19"/>
        <v/>
      </c>
      <c r="K37" s="110"/>
      <c r="L37" s="28"/>
      <c r="M37" s="28"/>
      <c r="N37" s="28" t="str">
        <f t="shared" si="20"/>
        <v/>
      </c>
      <c r="O37" s="128" t="str">
        <f t="shared" si="21"/>
        <v/>
      </c>
      <c r="P37" s="128" t="str">
        <f t="shared" si="22"/>
        <v/>
      </c>
      <c r="Q37" s="28" t="str">
        <f>IF(AND(ISBLANK(S37),R37=""),"",1+MAX(Q$18:Q36))</f>
        <v/>
      </c>
      <c r="R37" s="150" t="str">
        <f>IF(OR(N37="",N37=0,$J37="",$J37=0,NOT(ISNUMBER($J37)),NOT(ISNUMBER(N37))),IF(AND($G37&lt;&gt;"",AND(OR(ISNUMBER(N37),N37=""),AND(ISNUMBER($J37),$J37&gt;0))),'Feuille de Donnée'!$K$13,""),IF(N37&lt;$J$165*'Feuille de Donnée'!$I$9,"Négligeable",(IF(AND(L37&gt;=$H37*(1-'Feuille de Donnée'!$E$12),L37&lt;=$H37*(1+'Feuille de Donnée'!$F$12)),'Feuille de Donnée'!$F$17,IF(L37&lt;$H37*(1-'Feuille de Donnée'!$E$12),'Feuille de Donnée'!$F$18,'Feuille de Donnée'!$F$16))&amp;""&amp;IF(AND(M37&gt;=$I37*(1-'Feuille de Donnée'!$E$27),M37&lt;=$I37*(1+'Feuille de Donnée'!$F$27)),'Feuille de Donnée'!$F$32,IF(M37&lt;$I37*(1-'Feuille de Donnée'!$E$27),'Feuille de Donnée'!$F$33,'Feuille de Donnée'!$F$31)))))</f>
        <v/>
      </c>
      <c r="S37" s="151"/>
      <c r="T37" s="110"/>
      <c r="U37" s="28"/>
      <c r="V37" s="28"/>
      <c r="W37" s="28" t="str">
        <f t="shared" si="23"/>
        <v/>
      </c>
      <c r="X37" s="128" t="str">
        <f t="shared" si="24"/>
        <v/>
      </c>
      <c r="Y37" s="128" t="str">
        <f t="shared" si="25"/>
        <v/>
      </c>
      <c r="Z37" s="28" t="str">
        <f>IF(AND(ISBLANK(AB37),AA37=""),"",1+MAX(Z$18:Z36))</f>
        <v/>
      </c>
      <c r="AA37" s="150" t="str">
        <f>IF(OR(W37="",W37=0,$J37="",$J37=0,NOT(ISNUMBER($J37)),NOT(ISNUMBER(W37))),IF(AND($G37&lt;&gt;"",AND(OR(ISNUMBER(W37),W37=""),AND(ISNUMBER($J37),$J37&gt;0))),'Feuille de Donnée'!$K$13,""),IF(W37&lt;$J$165*'Feuille de Donnée'!$I$9,"Négligeable",(IF(AND(U37&gt;=$H37*(1-'Feuille de Donnée'!$E$12),U37&lt;=$H37*(1+'Feuille de Donnée'!$F$12)),'Feuille de Donnée'!$F$17,IF(U37&lt;$H37*(1-'Feuille de Donnée'!$E$12),'Feuille de Donnée'!$F$18,'Feuille de Donnée'!$F$16))&amp;""&amp;IF(AND(V37&gt;=$I37*(1-'Feuille de Donnée'!$E$27),V37&lt;=$I37*(1+'Feuille de Donnée'!$F$27)),'Feuille de Donnée'!$F$32,IF(V37&lt;$I37*(1-'Feuille de Donnée'!$E$27),'Feuille de Donnée'!$F$33,'Feuille de Donnée'!$F$31)))))</f>
        <v/>
      </c>
      <c r="AB37" s="151"/>
      <c r="AC37" s="110"/>
      <c r="AD37" s="28"/>
      <c r="AE37" s="28"/>
      <c r="AF37" s="28" t="str">
        <f t="shared" si="26"/>
        <v/>
      </c>
      <c r="AG37" s="128" t="str">
        <f t="shared" si="27"/>
        <v/>
      </c>
      <c r="AH37" s="128" t="str">
        <f t="shared" si="28"/>
        <v/>
      </c>
      <c r="AI37" s="28" t="str">
        <f>IF(AND(ISBLANK(AK37),AJ37=""),"",1+MAX(AI$18:AI36))</f>
        <v/>
      </c>
      <c r="AJ37" s="150" t="str">
        <f>IF(OR(AF37="",AF37=0,$J37="",$J37=0,NOT(ISNUMBER($J37)),NOT(ISNUMBER(AF37))),IF(AND($G37&lt;&gt;"",AND(OR(ISNUMBER(AF37),AF37=""),AND(ISNUMBER($J37),$J37&gt;0))),'Feuille de Donnée'!$K$13,""),IF(AF37&lt;$J$165*'Feuille de Donnée'!$I$9,"Négligeable",(IF(AND(AD37&gt;=$H37*(1-'Feuille de Donnée'!$E$12),AD37&lt;=$H37*(1+'Feuille de Donnée'!$F$12)),'Feuille de Donnée'!$F$17,IF(AD37&lt;$H37*(1-'Feuille de Donnée'!$E$12),'Feuille de Donnée'!$F$18,'Feuille de Donnée'!$F$16))&amp;""&amp;IF(AND(AE37&gt;=$I37*(1-'Feuille de Donnée'!$E$27),AE37&lt;=$I37*(1+'Feuille de Donnée'!$F$27)),'Feuille de Donnée'!$F$32,IF(AE37&lt;$I37*(1-'Feuille de Donnée'!$E$27),'Feuille de Donnée'!$F$33,'Feuille de Donnée'!$F$31)))))</f>
        <v/>
      </c>
      <c r="AK37" s="151"/>
      <c r="AL37" s="110"/>
      <c r="AM37" s="28"/>
      <c r="AN37" s="28"/>
      <c r="AO37" s="28" t="str">
        <f t="shared" si="29"/>
        <v/>
      </c>
      <c r="AP37" s="128" t="str">
        <f t="shared" si="30"/>
        <v/>
      </c>
      <c r="AQ37" s="128" t="str">
        <f t="shared" si="31"/>
        <v/>
      </c>
      <c r="AR37" s="28" t="str">
        <f>IF(AND(ISBLANK(AT37),AS37=""),"",1+MAX(AR$18:AR36))</f>
        <v/>
      </c>
      <c r="AS37" s="150" t="str">
        <f>IF(OR(AO37="",AO37=0,$J37="",$J37=0,NOT(ISNUMBER($J37)),NOT(ISNUMBER(AO37))),IF(AND($G37&lt;&gt;"",AND(OR(ISNUMBER(AO37),AO37=""),AND(ISNUMBER($J37),$J37&gt;0))),'Feuille de Donnée'!$K$13,""),IF(AO37&lt;$J$165*'Feuille de Donnée'!$I$9,"Négligeable",(IF(AND(AM37&gt;=$H37*(1-'Feuille de Donnée'!$E$12),AM37&lt;=$H37*(1+'Feuille de Donnée'!$F$12)),'Feuille de Donnée'!$F$17,IF(AM37&lt;$H37*(1-'Feuille de Donnée'!$E$12),'Feuille de Donnée'!$F$18,'Feuille de Donnée'!$F$16))&amp;""&amp;IF(AND(AN37&gt;=$I37*(1-'Feuille de Donnée'!$E$27),AN37&lt;=$I37*(1+'Feuille de Donnée'!$F$27)),'Feuille de Donnée'!$F$32,IF(AN37&lt;$I37*(1-'Feuille de Donnée'!$E$27),'Feuille de Donnée'!$F$33,'Feuille de Donnée'!$F$31)))))</f>
        <v/>
      </c>
      <c r="AT37" s="151"/>
      <c r="AU37" s="110"/>
      <c r="AV37" s="28"/>
      <c r="AW37" s="28"/>
      <c r="AX37" s="28" t="str">
        <f t="shared" si="32"/>
        <v/>
      </c>
      <c r="AY37" s="128" t="str">
        <f t="shared" si="33"/>
        <v/>
      </c>
      <c r="AZ37" s="128" t="str">
        <f t="shared" si="34"/>
        <v/>
      </c>
      <c r="BA37" s="28" t="str">
        <f>IF(AND(ISBLANK(BC37),BB37=""),"",1+MAX(BA$18:BA36))</f>
        <v/>
      </c>
      <c r="BB37" s="150" t="str">
        <f>IF(OR(AX37="",AX37=0,$J37="",$J37=0,NOT(ISNUMBER($J37)),NOT(ISNUMBER(AX37))),IF(AND($G37&lt;&gt;"",AND(OR(ISNUMBER(AX37),AX37=""),AND(ISNUMBER($J37),$J37&gt;0))),'Feuille de Donnée'!$K$13,""),IF(AX37&lt;$J$165*'Feuille de Donnée'!$I$9,"Négligeable",(IF(AND(AV37&gt;=$H37*(1-'Feuille de Donnée'!$E$12),AV37&lt;=$H37*(1+'Feuille de Donnée'!$F$12)),'Feuille de Donnée'!$F$17,IF(AV37&lt;$H37*(1-'Feuille de Donnée'!$E$12),'Feuille de Donnée'!$F$18,'Feuille de Donnée'!$F$16))&amp;""&amp;IF(AND(AW37&gt;=$I37*(1-'Feuille de Donnée'!$E$27),AW37&lt;=$I37*(1+'Feuille de Donnée'!$F$27)),'Feuille de Donnée'!$F$32,IF(AW37&lt;$I37*(1-'Feuille de Donnée'!$E$27),'Feuille de Donnée'!$F$33,'Feuille de Donnée'!$F$31)))))</f>
        <v/>
      </c>
      <c r="BC37" s="151"/>
      <c r="BD37" s="110"/>
      <c r="BE37" s="28"/>
      <c r="BF37" s="28"/>
      <c r="BG37" s="28" t="str">
        <f t="shared" si="35"/>
        <v/>
      </c>
      <c r="BH37" s="128" t="str">
        <f t="shared" si="36"/>
        <v/>
      </c>
      <c r="BI37" s="128" t="str">
        <f t="shared" si="37"/>
        <v/>
      </c>
      <c r="BJ37" s="28" t="str">
        <f>IF(AND(ISBLANK(BL37),BK37=""),"",1+MAX(BJ$18:BJ36))</f>
        <v/>
      </c>
      <c r="BK37" s="150" t="str">
        <f>IF(OR(BG37="",BG37=0,$J37="",$J37=0,NOT(ISNUMBER($J37)),NOT(ISNUMBER(BG37))),IF(AND($G37&lt;&gt;"",AND(OR(ISNUMBER(BG37),BG37=""),AND(ISNUMBER($J37),$J37&gt;0))),'Feuille de Donnée'!$K$13,""),IF(BG37&lt;$J$165*'Feuille de Donnée'!$I$9,"Négligeable",(IF(AND(BE37&gt;=$H37*(1-'Feuille de Donnée'!$E$12),BE37&lt;=$H37*(1+'Feuille de Donnée'!$F$12)),'Feuille de Donnée'!$F$17,IF(BE37&lt;$H37*(1-'Feuille de Donnée'!$E$12),'Feuille de Donnée'!$F$18,'Feuille de Donnée'!$F$16))&amp;""&amp;IF(AND(BF37&gt;=$I37*(1-'Feuille de Donnée'!$E$27),BF37&lt;=$I37*(1+'Feuille de Donnée'!$F$27)),'Feuille de Donnée'!$F$32,IF(BF37&lt;$I37*(1-'Feuille de Donnée'!$E$27),'Feuille de Donnée'!$F$33,'Feuille de Donnée'!$F$31)))))</f>
        <v/>
      </c>
      <c r="BL37" s="151"/>
      <c r="BM37" s="153"/>
    </row>
    <row r="38" spans="1:65" s="7" customFormat="1" x14ac:dyDescent="0.3">
      <c r="A38" s="24"/>
      <c r="B38" s="25"/>
      <c r="C38" s="25"/>
      <c r="D38" s="25"/>
      <c r="E38" s="25"/>
      <c r="F38" s="25"/>
      <c r="G38" s="23"/>
      <c r="H38" s="26"/>
      <c r="I38" s="27"/>
      <c r="J38" s="109" t="str">
        <f t="shared" si="19"/>
        <v/>
      </c>
      <c r="K38" s="110"/>
      <c r="L38" s="28"/>
      <c r="M38" s="28"/>
      <c r="N38" s="28" t="str">
        <f t="shared" si="20"/>
        <v/>
      </c>
      <c r="O38" s="128" t="str">
        <f t="shared" si="21"/>
        <v/>
      </c>
      <c r="P38" s="128" t="str">
        <f t="shared" si="22"/>
        <v/>
      </c>
      <c r="Q38" s="28" t="str">
        <f>IF(AND(ISBLANK(S38),R38=""),"",1+MAX(Q$18:Q37))</f>
        <v/>
      </c>
      <c r="R38" s="150" t="str">
        <f>IF(OR(N38="",N38=0,$J38="",$J38=0,NOT(ISNUMBER($J38)),NOT(ISNUMBER(N38))),IF(AND($G38&lt;&gt;"",AND(OR(ISNUMBER(N38),N38=""),AND(ISNUMBER($J38),$J38&gt;0))),'Feuille de Donnée'!$K$13,""),IF(N38&lt;$J$165*'Feuille de Donnée'!$I$9,"Négligeable",(IF(AND(L38&gt;=$H38*(1-'Feuille de Donnée'!$E$12),L38&lt;=$H38*(1+'Feuille de Donnée'!$F$12)),'Feuille de Donnée'!$F$17,IF(L38&lt;$H38*(1-'Feuille de Donnée'!$E$12),'Feuille de Donnée'!$F$18,'Feuille de Donnée'!$F$16))&amp;""&amp;IF(AND(M38&gt;=$I38*(1-'Feuille de Donnée'!$E$27),M38&lt;=$I38*(1+'Feuille de Donnée'!$F$27)),'Feuille de Donnée'!$F$32,IF(M38&lt;$I38*(1-'Feuille de Donnée'!$E$27),'Feuille de Donnée'!$F$33,'Feuille de Donnée'!$F$31)))))</f>
        <v/>
      </c>
      <c r="S38" s="151"/>
      <c r="T38" s="110"/>
      <c r="U38" s="28"/>
      <c r="V38" s="28"/>
      <c r="W38" s="28" t="str">
        <f t="shared" si="23"/>
        <v/>
      </c>
      <c r="X38" s="128" t="str">
        <f t="shared" si="24"/>
        <v/>
      </c>
      <c r="Y38" s="128" t="str">
        <f t="shared" si="25"/>
        <v/>
      </c>
      <c r="Z38" s="28" t="str">
        <f>IF(AND(ISBLANK(AB38),AA38=""),"",1+MAX(Z$18:Z37))</f>
        <v/>
      </c>
      <c r="AA38" s="150" t="str">
        <f>IF(OR(W38="",W38=0,$J38="",$J38=0,NOT(ISNUMBER($J38)),NOT(ISNUMBER(W38))),IF(AND($G38&lt;&gt;"",AND(OR(ISNUMBER(W38),W38=""),AND(ISNUMBER($J38),$J38&gt;0))),'Feuille de Donnée'!$K$13,""),IF(W38&lt;$J$165*'Feuille de Donnée'!$I$9,"Négligeable",(IF(AND(U38&gt;=$H38*(1-'Feuille de Donnée'!$E$12),U38&lt;=$H38*(1+'Feuille de Donnée'!$F$12)),'Feuille de Donnée'!$F$17,IF(U38&lt;$H38*(1-'Feuille de Donnée'!$E$12),'Feuille de Donnée'!$F$18,'Feuille de Donnée'!$F$16))&amp;""&amp;IF(AND(V38&gt;=$I38*(1-'Feuille de Donnée'!$E$27),V38&lt;=$I38*(1+'Feuille de Donnée'!$F$27)),'Feuille de Donnée'!$F$32,IF(V38&lt;$I38*(1-'Feuille de Donnée'!$E$27),'Feuille de Donnée'!$F$33,'Feuille de Donnée'!$F$31)))))</f>
        <v/>
      </c>
      <c r="AB38" s="151"/>
      <c r="AC38" s="110"/>
      <c r="AD38" s="28"/>
      <c r="AE38" s="28"/>
      <c r="AF38" s="28" t="str">
        <f t="shared" si="26"/>
        <v/>
      </c>
      <c r="AG38" s="128" t="str">
        <f t="shared" si="27"/>
        <v/>
      </c>
      <c r="AH38" s="128" t="str">
        <f t="shared" si="28"/>
        <v/>
      </c>
      <c r="AI38" s="28" t="str">
        <f>IF(AND(ISBLANK(AK38),AJ38=""),"",1+MAX(AI$18:AI37))</f>
        <v/>
      </c>
      <c r="AJ38" s="150" t="str">
        <f>IF(OR(AF38="",AF38=0,$J38="",$J38=0,NOT(ISNUMBER($J38)),NOT(ISNUMBER(AF38))),IF(AND($G38&lt;&gt;"",AND(OR(ISNUMBER(AF38),AF38=""),AND(ISNUMBER($J38),$J38&gt;0))),'Feuille de Donnée'!$K$13,""),IF(AF38&lt;$J$165*'Feuille de Donnée'!$I$9,"Négligeable",(IF(AND(AD38&gt;=$H38*(1-'Feuille de Donnée'!$E$12),AD38&lt;=$H38*(1+'Feuille de Donnée'!$F$12)),'Feuille de Donnée'!$F$17,IF(AD38&lt;$H38*(1-'Feuille de Donnée'!$E$12),'Feuille de Donnée'!$F$18,'Feuille de Donnée'!$F$16))&amp;""&amp;IF(AND(AE38&gt;=$I38*(1-'Feuille de Donnée'!$E$27),AE38&lt;=$I38*(1+'Feuille de Donnée'!$F$27)),'Feuille de Donnée'!$F$32,IF(AE38&lt;$I38*(1-'Feuille de Donnée'!$E$27),'Feuille de Donnée'!$F$33,'Feuille de Donnée'!$F$31)))))</f>
        <v/>
      </c>
      <c r="AK38" s="151"/>
      <c r="AL38" s="110"/>
      <c r="AM38" s="28"/>
      <c r="AN38" s="28"/>
      <c r="AO38" s="28" t="str">
        <f t="shared" si="29"/>
        <v/>
      </c>
      <c r="AP38" s="128" t="str">
        <f t="shared" si="30"/>
        <v/>
      </c>
      <c r="AQ38" s="128" t="str">
        <f t="shared" si="31"/>
        <v/>
      </c>
      <c r="AR38" s="28" t="str">
        <f>IF(AND(ISBLANK(AT38),AS38=""),"",1+MAX(AR$18:AR37))</f>
        <v/>
      </c>
      <c r="AS38" s="150" t="str">
        <f>IF(OR(AO38="",AO38=0,$J38="",$J38=0,NOT(ISNUMBER($J38)),NOT(ISNUMBER(AO38))),IF(AND($G38&lt;&gt;"",AND(OR(ISNUMBER(AO38),AO38=""),AND(ISNUMBER($J38),$J38&gt;0))),'Feuille de Donnée'!$K$13,""),IF(AO38&lt;$J$165*'Feuille de Donnée'!$I$9,"Négligeable",(IF(AND(AM38&gt;=$H38*(1-'Feuille de Donnée'!$E$12),AM38&lt;=$H38*(1+'Feuille de Donnée'!$F$12)),'Feuille de Donnée'!$F$17,IF(AM38&lt;$H38*(1-'Feuille de Donnée'!$E$12),'Feuille de Donnée'!$F$18,'Feuille de Donnée'!$F$16))&amp;""&amp;IF(AND(AN38&gt;=$I38*(1-'Feuille de Donnée'!$E$27),AN38&lt;=$I38*(1+'Feuille de Donnée'!$F$27)),'Feuille de Donnée'!$F$32,IF(AN38&lt;$I38*(1-'Feuille de Donnée'!$E$27),'Feuille de Donnée'!$F$33,'Feuille de Donnée'!$F$31)))))</f>
        <v/>
      </c>
      <c r="AT38" s="151"/>
      <c r="AU38" s="110"/>
      <c r="AV38" s="28"/>
      <c r="AW38" s="28"/>
      <c r="AX38" s="28" t="str">
        <f t="shared" si="32"/>
        <v/>
      </c>
      <c r="AY38" s="128" t="str">
        <f t="shared" si="33"/>
        <v/>
      </c>
      <c r="AZ38" s="128" t="str">
        <f t="shared" si="34"/>
        <v/>
      </c>
      <c r="BA38" s="28" t="str">
        <f>IF(AND(ISBLANK(BC38),BB38=""),"",1+MAX(BA$18:BA37))</f>
        <v/>
      </c>
      <c r="BB38" s="150" t="str">
        <f>IF(OR(AX38="",AX38=0,$J38="",$J38=0,NOT(ISNUMBER($J38)),NOT(ISNUMBER(AX38))),IF(AND($G38&lt;&gt;"",AND(OR(ISNUMBER(AX38),AX38=""),AND(ISNUMBER($J38),$J38&gt;0))),'Feuille de Donnée'!$K$13,""),IF(AX38&lt;$J$165*'Feuille de Donnée'!$I$9,"Négligeable",(IF(AND(AV38&gt;=$H38*(1-'Feuille de Donnée'!$E$12),AV38&lt;=$H38*(1+'Feuille de Donnée'!$F$12)),'Feuille de Donnée'!$F$17,IF(AV38&lt;$H38*(1-'Feuille de Donnée'!$E$12),'Feuille de Donnée'!$F$18,'Feuille de Donnée'!$F$16))&amp;""&amp;IF(AND(AW38&gt;=$I38*(1-'Feuille de Donnée'!$E$27),AW38&lt;=$I38*(1+'Feuille de Donnée'!$F$27)),'Feuille de Donnée'!$F$32,IF(AW38&lt;$I38*(1-'Feuille de Donnée'!$E$27),'Feuille de Donnée'!$F$33,'Feuille de Donnée'!$F$31)))))</f>
        <v/>
      </c>
      <c r="BC38" s="151"/>
      <c r="BD38" s="110"/>
      <c r="BE38" s="28"/>
      <c r="BF38" s="28"/>
      <c r="BG38" s="28" t="str">
        <f t="shared" si="35"/>
        <v/>
      </c>
      <c r="BH38" s="128" t="str">
        <f t="shared" si="36"/>
        <v/>
      </c>
      <c r="BI38" s="128" t="str">
        <f t="shared" si="37"/>
        <v/>
      </c>
      <c r="BJ38" s="28" t="str">
        <f>IF(AND(ISBLANK(BL38),BK38=""),"",1+MAX(BJ$18:BJ37))</f>
        <v/>
      </c>
      <c r="BK38" s="150" t="str">
        <f>IF(OR(BG38="",BG38=0,$J38="",$J38=0,NOT(ISNUMBER($J38)),NOT(ISNUMBER(BG38))),IF(AND($G38&lt;&gt;"",AND(OR(ISNUMBER(BG38),BG38=""),AND(ISNUMBER($J38),$J38&gt;0))),'Feuille de Donnée'!$K$13,""),IF(BG38&lt;$J$165*'Feuille de Donnée'!$I$9,"Négligeable",(IF(AND(BE38&gt;=$H38*(1-'Feuille de Donnée'!$E$12),BE38&lt;=$H38*(1+'Feuille de Donnée'!$F$12)),'Feuille de Donnée'!$F$17,IF(BE38&lt;$H38*(1-'Feuille de Donnée'!$E$12),'Feuille de Donnée'!$F$18,'Feuille de Donnée'!$F$16))&amp;""&amp;IF(AND(BF38&gt;=$I38*(1-'Feuille de Donnée'!$E$27),BF38&lt;=$I38*(1+'Feuille de Donnée'!$F$27)),'Feuille de Donnée'!$F$32,IF(BF38&lt;$I38*(1-'Feuille de Donnée'!$E$27),'Feuille de Donnée'!$F$33,'Feuille de Donnée'!$F$31)))))</f>
        <v/>
      </c>
      <c r="BL38" s="151"/>
      <c r="BM38" s="153"/>
    </row>
    <row r="39" spans="1:65" s="7" customFormat="1" x14ac:dyDescent="0.3">
      <c r="A39" s="24"/>
      <c r="B39" s="25"/>
      <c r="C39" s="25"/>
      <c r="D39" s="25"/>
      <c r="E39" s="25"/>
      <c r="F39" s="25"/>
      <c r="G39" s="23"/>
      <c r="H39" s="26"/>
      <c r="I39" s="27"/>
      <c r="J39" s="109" t="str">
        <f t="shared" si="19"/>
        <v/>
      </c>
      <c r="K39" s="110"/>
      <c r="L39" s="28"/>
      <c r="M39" s="28"/>
      <c r="N39" s="28" t="str">
        <f t="shared" si="20"/>
        <v/>
      </c>
      <c r="O39" s="128" t="str">
        <f t="shared" si="21"/>
        <v/>
      </c>
      <c r="P39" s="128" t="str">
        <f t="shared" si="22"/>
        <v/>
      </c>
      <c r="Q39" s="28" t="str">
        <f>IF(AND(ISBLANK(S39),R39=""),"",1+MAX(Q$18:Q38))</f>
        <v/>
      </c>
      <c r="R39" s="150" t="str">
        <f>IF(OR(N39="",N39=0,$J39="",$J39=0,NOT(ISNUMBER($J39)),NOT(ISNUMBER(N39))),IF(AND($G39&lt;&gt;"",AND(OR(ISNUMBER(N39),N39=""),AND(ISNUMBER($J39),$J39&gt;0))),'Feuille de Donnée'!$K$13,""),IF(N39&lt;$J$165*'Feuille de Donnée'!$I$9,"Négligeable",(IF(AND(L39&gt;=$H39*(1-'Feuille de Donnée'!$E$12),L39&lt;=$H39*(1+'Feuille de Donnée'!$F$12)),'Feuille de Donnée'!$F$17,IF(L39&lt;$H39*(1-'Feuille de Donnée'!$E$12),'Feuille de Donnée'!$F$18,'Feuille de Donnée'!$F$16))&amp;""&amp;IF(AND(M39&gt;=$I39*(1-'Feuille de Donnée'!$E$27),M39&lt;=$I39*(1+'Feuille de Donnée'!$F$27)),'Feuille de Donnée'!$F$32,IF(M39&lt;$I39*(1-'Feuille de Donnée'!$E$27),'Feuille de Donnée'!$F$33,'Feuille de Donnée'!$F$31)))))</f>
        <v/>
      </c>
      <c r="S39" s="151"/>
      <c r="T39" s="110"/>
      <c r="U39" s="28"/>
      <c r="V39" s="28"/>
      <c r="W39" s="28" t="str">
        <f t="shared" si="23"/>
        <v/>
      </c>
      <c r="X39" s="128" t="str">
        <f t="shared" si="24"/>
        <v/>
      </c>
      <c r="Y39" s="128" t="str">
        <f t="shared" si="25"/>
        <v/>
      </c>
      <c r="Z39" s="28" t="str">
        <f>IF(AND(ISBLANK(AB39),AA39=""),"",1+MAX(Z$18:Z38))</f>
        <v/>
      </c>
      <c r="AA39" s="150" t="str">
        <f>IF(OR(W39="",W39=0,$J39="",$J39=0,NOT(ISNUMBER($J39)),NOT(ISNUMBER(W39))),IF(AND($G39&lt;&gt;"",AND(OR(ISNUMBER(W39),W39=""),AND(ISNUMBER($J39),$J39&gt;0))),'Feuille de Donnée'!$K$13,""),IF(W39&lt;$J$165*'Feuille de Donnée'!$I$9,"Négligeable",(IF(AND(U39&gt;=$H39*(1-'Feuille de Donnée'!$E$12),U39&lt;=$H39*(1+'Feuille de Donnée'!$F$12)),'Feuille de Donnée'!$F$17,IF(U39&lt;$H39*(1-'Feuille de Donnée'!$E$12),'Feuille de Donnée'!$F$18,'Feuille de Donnée'!$F$16))&amp;""&amp;IF(AND(V39&gt;=$I39*(1-'Feuille de Donnée'!$E$27),V39&lt;=$I39*(1+'Feuille de Donnée'!$F$27)),'Feuille de Donnée'!$F$32,IF(V39&lt;$I39*(1-'Feuille de Donnée'!$E$27),'Feuille de Donnée'!$F$33,'Feuille de Donnée'!$F$31)))))</f>
        <v/>
      </c>
      <c r="AB39" s="151"/>
      <c r="AC39" s="110"/>
      <c r="AD39" s="28"/>
      <c r="AE39" s="28"/>
      <c r="AF39" s="28" t="str">
        <f t="shared" si="26"/>
        <v/>
      </c>
      <c r="AG39" s="128" t="str">
        <f t="shared" si="27"/>
        <v/>
      </c>
      <c r="AH39" s="128" t="str">
        <f t="shared" si="28"/>
        <v/>
      </c>
      <c r="AI39" s="28" t="str">
        <f>IF(AND(ISBLANK(AK39),AJ39=""),"",1+MAX(AI$18:AI38))</f>
        <v/>
      </c>
      <c r="AJ39" s="150" t="str">
        <f>IF(OR(AF39="",AF39=0,$J39="",$J39=0,NOT(ISNUMBER($J39)),NOT(ISNUMBER(AF39))),IF(AND($G39&lt;&gt;"",AND(OR(ISNUMBER(AF39),AF39=""),AND(ISNUMBER($J39),$J39&gt;0))),'Feuille de Donnée'!$K$13,""),IF(AF39&lt;$J$165*'Feuille de Donnée'!$I$9,"Négligeable",(IF(AND(AD39&gt;=$H39*(1-'Feuille de Donnée'!$E$12),AD39&lt;=$H39*(1+'Feuille de Donnée'!$F$12)),'Feuille de Donnée'!$F$17,IF(AD39&lt;$H39*(1-'Feuille de Donnée'!$E$12),'Feuille de Donnée'!$F$18,'Feuille de Donnée'!$F$16))&amp;""&amp;IF(AND(AE39&gt;=$I39*(1-'Feuille de Donnée'!$E$27),AE39&lt;=$I39*(1+'Feuille de Donnée'!$F$27)),'Feuille de Donnée'!$F$32,IF(AE39&lt;$I39*(1-'Feuille de Donnée'!$E$27),'Feuille de Donnée'!$F$33,'Feuille de Donnée'!$F$31)))))</f>
        <v/>
      </c>
      <c r="AK39" s="151"/>
      <c r="AL39" s="110"/>
      <c r="AM39" s="28"/>
      <c r="AN39" s="28"/>
      <c r="AO39" s="28" t="str">
        <f t="shared" si="29"/>
        <v/>
      </c>
      <c r="AP39" s="128" t="str">
        <f t="shared" si="30"/>
        <v/>
      </c>
      <c r="AQ39" s="128" t="str">
        <f t="shared" si="31"/>
        <v/>
      </c>
      <c r="AR39" s="28" t="str">
        <f>IF(AND(ISBLANK(AT39),AS39=""),"",1+MAX(AR$18:AR38))</f>
        <v/>
      </c>
      <c r="AS39" s="150" t="str">
        <f>IF(OR(AO39="",AO39=0,$J39="",$J39=0,NOT(ISNUMBER($J39)),NOT(ISNUMBER(AO39))),IF(AND($G39&lt;&gt;"",AND(OR(ISNUMBER(AO39),AO39=""),AND(ISNUMBER($J39),$J39&gt;0))),'Feuille de Donnée'!$K$13,""),IF(AO39&lt;$J$165*'Feuille de Donnée'!$I$9,"Négligeable",(IF(AND(AM39&gt;=$H39*(1-'Feuille de Donnée'!$E$12),AM39&lt;=$H39*(1+'Feuille de Donnée'!$F$12)),'Feuille de Donnée'!$F$17,IF(AM39&lt;$H39*(1-'Feuille de Donnée'!$E$12),'Feuille de Donnée'!$F$18,'Feuille de Donnée'!$F$16))&amp;""&amp;IF(AND(AN39&gt;=$I39*(1-'Feuille de Donnée'!$E$27),AN39&lt;=$I39*(1+'Feuille de Donnée'!$F$27)),'Feuille de Donnée'!$F$32,IF(AN39&lt;$I39*(1-'Feuille de Donnée'!$E$27),'Feuille de Donnée'!$F$33,'Feuille de Donnée'!$F$31)))))</f>
        <v/>
      </c>
      <c r="AT39" s="151"/>
      <c r="AU39" s="110"/>
      <c r="AV39" s="28"/>
      <c r="AW39" s="28"/>
      <c r="AX39" s="28" t="str">
        <f t="shared" si="32"/>
        <v/>
      </c>
      <c r="AY39" s="128" t="str">
        <f t="shared" si="33"/>
        <v/>
      </c>
      <c r="AZ39" s="128" t="str">
        <f t="shared" si="34"/>
        <v/>
      </c>
      <c r="BA39" s="28" t="str">
        <f>IF(AND(ISBLANK(BC39),BB39=""),"",1+MAX(BA$18:BA38))</f>
        <v/>
      </c>
      <c r="BB39" s="150" t="str">
        <f>IF(OR(AX39="",AX39=0,$J39="",$J39=0,NOT(ISNUMBER($J39)),NOT(ISNUMBER(AX39))),IF(AND($G39&lt;&gt;"",AND(OR(ISNUMBER(AX39),AX39=""),AND(ISNUMBER($J39),$J39&gt;0))),'Feuille de Donnée'!$K$13,""),IF(AX39&lt;$J$165*'Feuille de Donnée'!$I$9,"Négligeable",(IF(AND(AV39&gt;=$H39*(1-'Feuille de Donnée'!$E$12),AV39&lt;=$H39*(1+'Feuille de Donnée'!$F$12)),'Feuille de Donnée'!$F$17,IF(AV39&lt;$H39*(1-'Feuille de Donnée'!$E$12),'Feuille de Donnée'!$F$18,'Feuille de Donnée'!$F$16))&amp;""&amp;IF(AND(AW39&gt;=$I39*(1-'Feuille de Donnée'!$E$27),AW39&lt;=$I39*(1+'Feuille de Donnée'!$F$27)),'Feuille de Donnée'!$F$32,IF(AW39&lt;$I39*(1-'Feuille de Donnée'!$E$27),'Feuille de Donnée'!$F$33,'Feuille de Donnée'!$F$31)))))</f>
        <v/>
      </c>
      <c r="BC39" s="151"/>
      <c r="BD39" s="110"/>
      <c r="BE39" s="28"/>
      <c r="BF39" s="28"/>
      <c r="BG39" s="28" t="str">
        <f t="shared" si="35"/>
        <v/>
      </c>
      <c r="BH39" s="128" t="str">
        <f t="shared" si="36"/>
        <v/>
      </c>
      <c r="BI39" s="128" t="str">
        <f t="shared" si="37"/>
        <v/>
      </c>
      <c r="BJ39" s="28" t="str">
        <f>IF(AND(ISBLANK(BL39),BK39=""),"",1+MAX(BJ$18:BJ38))</f>
        <v/>
      </c>
      <c r="BK39" s="150" t="str">
        <f>IF(OR(BG39="",BG39=0,$J39="",$J39=0,NOT(ISNUMBER($J39)),NOT(ISNUMBER(BG39))),IF(AND($G39&lt;&gt;"",AND(OR(ISNUMBER(BG39),BG39=""),AND(ISNUMBER($J39),$J39&gt;0))),'Feuille de Donnée'!$K$13,""),IF(BG39&lt;$J$165*'Feuille de Donnée'!$I$9,"Négligeable",(IF(AND(BE39&gt;=$H39*(1-'Feuille de Donnée'!$E$12),BE39&lt;=$H39*(1+'Feuille de Donnée'!$F$12)),'Feuille de Donnée'!$F$17,IF(BE39&lt;$H39*(1-'Feuille de Donnée'!$E$12),'Feuille de Donnée'!$F$18,'Feuille de Donnée'!$F$16))&amp;""&amp;IF(AND(BF39&gt;=$I39*(1-'Feuille de Donnée'!$E$27),BF39&lt;=$I39*(1+'Feuille de Donnée'!$F$27)),'Feuille de Donnée'!$F$32,IF(BF39&lt;$I39*(1-'Feuille de Donnée'!$E$27),'Feuille de Donnée'!$F$33,'Feuille de Donnée'!$F$31)))))</f>
        <v/>
      </c>
      <c r="BL39" s="151"/>
      <c r="BM39" s="153"/>
    </row>
    <row r="40" spans="1:65" s="7" customFormat="1" x14ac:dyDescent="0.3">
      <c r="A40" s="24"/>
      <c r="B40" s="25"/>
      <c r="C40" s="25"/>
      <c r="D40" s="25"/>
      <c r="E40" s="25"/>
      <c r="F40" s="25"/>
      <c r="G40" s="23"/>
      <c r="H40" s="26"/>
      <c r="I40" s="27"/>
      <c r="J40" s="109" t="str">
        <f t="shared" si="19"/>
        <v/>
      </c>
      <c r="K40" s="110"/>
      <c r="L40" s="28"/>
      <c r="M40" s="28"/>
      <c r="N40" s="28" t="str">
        <f t="shared" si="20"/>
        <v/>
      </c>
      <c r="O40" s="128" t="str">
        <f t="shared" si="21"/>
        <v/>
      </c>
      <c r="P40" s="128" t="str">
        <f t="shared" si="22"/>
        <v/>
      </c>
      <c r="Q40" s="28" t="str">
        <f>IF(AND(ISBLANK(S40),R40=""),"",1+MAX(Q$18:Q39))</f>
        <v/>
      </c>
      <c r="R40" s="150" t="str">
        <f>IF(OR(N40="",N40=0,$J40="",$J40=0,NOT(ISNUMBER($J40)),NOT(ISNUMBER(N40))),IF(AND($G40&lt;&gt;"",AND(OR(ISNUMBER(N40),N40=""),AND(ISNUMBER($J40),$J40&gt;0))),'Feuille de Donnée'!$K$13,""),IF(N40&lt;$J$165*'Feuille de Donnée'!$I$9,"Négligeable",(IF(AND(L40&gt;=$H40*(1-'Feuille de Donnée'!$E$12),L40&lt;=$H40*(1+'Feuille de Donnée'!$F$12)),'Feuille de Donnée'!$F$17,IF(L40&lt;$H40*(1-'Feuille de Donnée'!$E$12),'Feuille de Donnée'!$F$18,'Feuille de Donnée'!$F$16))&amp;""&amp;IF(AND(M40&gt;=$I40*(1-'Feuille de Donnée'!$E$27),M40&lt;=$I40*(1+'Feuille de Donnée'!$F$27)),'Feuille de Donnée'!$F$32,IF(M40&lt;$I40*(1-'Feuille de Donnée'!$E$27),'Feuille de Donnée'!$F$33,'Feuille de Donnée'!$F$31)))))</f>
        <v/>
      </c>
      <c r="S40" s="151"/>
      <c r="T40" s="110"/>
      <c r="U40" s="28"/>
      <c r="V40" s="28"/>
      <c r="W40" s="28" t="str">
        <f t="shared" si="23"/>
        <v/>
      </c>
      <c r="X40" s="128" t="str">
        <f t="shared" si="24"/>
        <v/>
      </c>
      <c r="Y40" s="128" t="str">
        <f t="shared" si="25"/>
        <v/>
      </c>
      <c r="Z40" s="28" t="str">
        <f>IF(AND(ISBLANK(AB40),AA40=""),"",1+MAX(Z$18:Z39))</f>
        <v/>
      </c>
      <c r="AA40" s="150" t="str">
        <f>IF(OR(W40="",W40=0,$J40="",$J40=0,NOT(ISNUMBER($J40)),NOT(ISNUMBER(W40))),IF(AND($G40&lt;&gt;"",AND(OR(ISNUMBER(W40),W40=""),AND(ISNUMBER($J40),$J40&gt;0))),'Feuille de Donnée'!$K$13,""),IF(W40&lt;$J$165*'Feuille de Donnée'!$I$9,"Négligeable",(IF(AND(U40&gt;=$H40*(1-'Feuille de Donnée'!$E$12),U40&lt;=$H40*(1+'Feuille de Donnée'!$F$12)),'Feuille de Donnée'!$F$17,IF(U40&lt;$H40*(1-'Feuille de Donnée'!$E$12),'Feuille de Donnée'!$F$18,'Feuille de Donnée'!$F$16))&amp;""&amp;IF(AND(V40&gt;=$I40*(1-'Feuille de Donnée'!$E$27),V40&lt;=$I40*(1+'Feuille de Donnée'!$F$27)),'Feuille de Donnée'!$F$32,IF(V40&lt;$I40*(1-'Feuille de Donnée'!$E$27),'Feuille de Donnée'!$F$33,'Feuille de Donnée'!$F$31)))))</f>
        <v/>
      </c>
      <c r="AB40" s="151"/>
      <c r="AC40" s="110"/>
      <c r="AD40" s="28"/>
      <c r="AE40" s="28"/>
      <c r="AF40" s="28" t="str">
        <f t="shared" si="26"/>
        <v/>
      </c>
      <c r="AG40" s="128" t="str">
        <f t="shared" si="27"/>
        <v/>
      </c>
      <c r="AH40" s="128" t="str">
        <f t="shared" si="28"/>
        <v/>
      </c>
      <c r="AI40" s="28" t="str">
        <f>IF(AND(ISBLANK(AK40),AJ40=""),"",1+MAX(AI$18:AI39))</f>
        <v/>
      </c>
      <c r="AJ40" s="150" t="str">
        <f>IF(OR(AF40="",AF40=0,$J40="",$J40=0,NOT(ISNUMBER($J40)),NOT(ISNUMBER(AF40))),IF(AND($G40&lt;&gt;"",AND(OR(ISNUMBER(AF40),AF40=""),AND(ISNUMBER($J40),$J40&gt;0))),'Feuille de Donnée'!$K$13,""),IF(AF40&lt;$J$165*'Feuille de Donnée'!$I$9,"Négligeable",(IF(AND(AD40&gt;=$H40*(1-'Feuille de Donnée'!$E$12),AD40&lt;=$H40*(1+'Feuille de Donnée'!$F$12)),'Feuille de Donnée'!$F$17,IF(AD40&lt;$H40*(1-'Feuille de Donnée'!$E$12),'Feuille de Donnée'!$F$18,'Feuille de Donnée'!$F$16))&amp;""&amp;IF(AND(AE40&gt;=$I40*(1-'Feuille de Donnée'!$E$27),AE40&lt;=$I40*(1+'Feuille de Donnée'!$F$27)),'Feuille de Donnée'!$F$32,IF(AE40&lt;$I40*(1-'Feuille de Donnée'!$E$27),'Feuille de Donnée'!$F$33,'Feuille de Donnée'!$F$31)))))</f>
        <v/>
      </c>
      <c r="AK40" s="151"/>
      <c r="AL40" s="110"/>
      <c r="AM40" s="28"/>
      <c r="AN40" s="28"/>
      <c r="AO40" s="28" t="str">
        <f t="shared" si="29"/>
        <v/>
      </c>
      <c r="AP40" s="128" t="str">
        <f t="shared" si="30"/>
        <v/>
      </c>
      <c r="AQ40" s="128" t="str">
        <f t="shared" si="31"/>
        <v/>
      </c>
      <c r="AR40" s="28" t="str">
        <f>IF(AND(ISBLANK(AT40),AS40=""),"",1+MAX(AR$18:AR39))</f>
        <v/>
      </c>
      <c r="AS40" s="150" t="str">
        <f>IF(OR(AO40="",AO40=0,$J40="",$J40=0,NOT(ISNUMBER($J40)),NOT(ISNUMBER(AO40))),IF(AND($G40&lt;&gt;"",AND(OR(ISNUMBER(AO40),AO40=""),AND(ISNUMBER($J40),$J40&gt;0))),'Feuille de Donnée'!$K$13,""),IF(AO40&lt;$J$165*'Feuille de Donnée'!$I$9,"Négligeable",(IF(AND(AM40&gt;=$H40*(1-'Feuille de Donnée'!$E$12),AM40&lt;=$H40*(1+'Feuille de Donnée'!$F$12)),'Feuille de Donnée'!$F$17,IF(AM40&lt;$H40*(1-'Feuille de Donnée'!$E$12),'Feuille de Donnée'!$F$18,'Feuille de Donnée'!$F$16))&amp;""&amp;IF(AND(AN40&gt;=$I40*(1-'Feuille de Donnée'!$E$27),AN40&lt;=$I40*(1+'Feuille de Donnée'!$F$27)),'Feuille de Donnée'!$F$32,IF(AN40&lt;$I40*(1-'Feuille de Donnée'!$E$27),'Feuille de Donnée'!$F$33,'Feuille de Donnée'!$F$31)))))</f>
        <v/>
      </c>
      <c r="AT40" s="151"/>
      <c r="AU40" s="110"/>
      <c r="AV40" s="28"/>
      <c r="AW40" s="28"/>
      <c r="AX40" s="28" t="str">
        <f t="shared" si="32"/>
        <v/>
      </c>
      <c r="AY40" s="128" t="str">
        <f t="shared" si="33"/>
        <v/>
      </c>
      <c r="AZ40" s="128" t="str">
        <f t="shared" si="34"/>
        <v/>
      </c>
      <c r="BA40" s="28" t="str">
        <f>IF(AND(ISBLANK(BC40),BB40=""),"",1+MAX(BA$18:BA39))</f>
        <v/>
      </c>
      <c r="BB40" s="150" t="str">
        <f>IF(OR(AX40="",AX40=0,$J40="",$J40=0,NOT(ISNUMBER($J40)),NOT(ISNUMBER(AX40))),IF(AND($G40&lt;&gt;"",AND(OR(ISNUMBER(AX40),AX40=""),AND(ISNUMBER($J40),$J40&gt;0))),'Feuille de Donnée'!$K$13,""),IF(AX40&lt;$J$165*'Feuille de Donnée'!$I$9,"Négligeable",(IF(AND(AV40&gt;=$H40*(1-'Feuille de Donnée'!$E$12),AV40&lt;=$H40*(1+'Feuille de Donnée'!$F$12)),'Feuille de Donnée'!$F$17,IF(AV40&lt;$H40*(1-'Feuille de Donnée'!$E$12),'Feuille de Donnée'!$F$18,'Feuille de Donnée'!$F$16))&amp;""&amp;IF(AND(AW40&gt;=$I40*(1-'Feuille de Donnée'!$E$27),AW40&lt;=$I40*(1+'Feuille de Donnée'!$F$27)),'Feuille de Donnée'!$F$32,IF(AW40&lt;$I40*(1-'Feuille de Donnée'!$E$27),'Feuille de Donnée'!$F$33,'Feuille de Donnée'!$F$31)))))</f>
        <v/>
      </c>
      <c r="BC40" s="151"/>
      <c r="BD40" s="110"/>
      <c r="BE40" s="28"/>
      <c r="BF40" s="28"/>
      <c r="BG40" s="28" t="str">
        <f t="shared" si="35"/>
        <v/>
      </c>
      <c r="BH40" s="128" t="str">
        <f t="shared" si="36"/>
        <v/>
      </c>
      <c r="BI40" s="128" t="str">
        <f t="shared" si="37"/>
        <v/>
      </c>
      <c r="BJ40" s="28" t="str">
        <f>IF(AND(ISBLANK(BL40),BK40=""),"",1+MAX(BJ$18:BJ39))</f>
        <v/>
      </c>
      <c r="BK40" s="150" t="str">
        <f>IF(OR(BG40="",BG40=0,$J40="",$J40=0,NOT(ISNUMBER($J40)),NOT(ISNUMBER(BG40))),IF(AND($G40&lt;&gt;"",AND(OR(ISNUMBER(BG40),BG40=""),AND(ISNUMBER($J40),$J40&gt;0))),'Feuille de Donnée'!$K$13,""),IF(BG40&lt;$J$165*'Feuille de Donnée'!$I$9,"Négligeable",(IF(AND(BE40&gt;=$H40*(1-'Feuille de Donnée'!$E$12),BE40&lt;=$H40*(1+'Feuille de Donnée'!$F$12)),'Feuille de Donnée'!$F$17,IF(BE40&lt;$H40*(1-'Feuille de Donnée'!$E$12),'Feuille de Donnée'!$F$18,'Feuille de Donnée'!$F$16))&amp;""&amp;IF(AND(BF40&gt;=$I40*(1-'Feuille de Donnée'!$E$27),BF40&lt;=$I40*(1+'Feuille de Donnée'!$F$27)),'Feuille de Donnée'!$F$32,IF(BF40&lt;$I40*(1-'Feuille de Donnée'!$E$27),'Feuille de Donnée'!$F$33,'Feuille de Donnée'!$F$31)))))</f>
        <v/>
      </c>
      <c r="BL40" s="151"/>
      <c r="BM40" s="153"/>
    </row>
    <row r="41" spans="1:65" s="7" customFormat="1" x14ac:dyDescent="0.3">
      <c r="A41" s="24"/>
      <c r="B41" s="25"/>
      <c r="C41" s="25"/>
      <c r="D41" s="25"/>
      <c r="E41" s="25"/>
      <c r="F41" s="25"/>
      <c r="G41" s="23"/>
      <c r="H41" s="26"/>
      <c r="I41" s="27"/>
      <c r="J41" s="109" t="str">
        <f t="shared" si="19"/>
        <v/>
      </c>
      <c r="K41" s="110"/>
      <c r="L41" s="28"/>
      <c r="M41" s="28"/>
      <c r="N41" s="28" t="str">
        <f t="shared" si="20"/>
        <v/>
      </c>
      <c r="O41" s="128" t="str">
        <f t="shared" si="21"/>
        <v/>
      </c>
      <c r="P41" s="128" t="str">
        <f t="shared" si="22"/>
        <v/>
      </c>
      <c r="Q41" s="28" t="str">
        <f>IF(AND(ISBLANK(S41),R41=""),"",1+MAX(Q$18:Q40))</f>
        <v/>
      </c>
      <c r="R41" s="150" t="str">
        <f>IF(OR(N41="",N41=0,$J41="",$J41=0,NOT(ISNUMBER($J41)),NOT(ISNUMBER(N41))),IF(AND($G41&lt;&gt;"",AND(OR(ISNUMBER(N41),N41=""),AND(ISNUMBER($J41),$J41&gt;0))),'Feuille de Donnée'!$K$13,""),IF(N41&lt;$J$165*'Feuille de Donnée'!$I$9,"Négligeable",(IF(AND(L41&gt;=$H41*(1-'Feuille de Donnée'!$E$12),L41&lt;=$H41*(1+'Feuille de Donnée'!$F$12)),'Feuille de Donnée'!$F$17,IF(L41&lt;$H41*(1-'Feuille de Donnée'!$E$12),'Feuille de Donnée'!$F$18,'Feuille de Donnée'!$F$16))&amp;""&amp;IF(AND(M41&gt;=$I41*(1-'Feuille de Donnée'!$E$27),M41&lt;=$I41*(1+'Feuille de Donnée'!$F$27)),'Feuille de Donnée'!$F$32,IF(M41&lt;$I41*(1-'Feuille de Donnée'!$E$27),'Feuille de Donnée'!$F$33,'Feuille de Donnée'!$F$31)))))</f>
        <v/>
      </c>
      <c r="S41" s="151"/>
      <c r="T41" s="110"/>
      <c r="U41" s="28"/>
      <c r="V41" s="28"/>
      <c r="W41" s="28" t="str">
        <f t="shared" si="23"/>
        <v/>
      </c>
      <c r="X41" s="128" t="str">
        <f t="shared" si="24"/>
        <v/>
      </c>
      <c r="Y41" s="128" t="str">
        <f t="shared" si="25"/>
        <v/>
      </c>
      <c r="Z41" s="28" t="str">
        <f>IF(AND(ISBLANK(AB41),AA41=""),"",1+MAX(Z$18:Z40))</f>
        <v/>
      </c>
      <c r="AA41" s="150" t="str">
        <f>IF(OR(W41="",W41=0,$J41="",$J41=0,NOT(ISNUMBER($J41)),NOT(ISNUMBER(W41))),IF(AND($G41&lt;&gt;"",AND(OR(ISNUMBER(W41),W41=""),AND(ISNUMBER($J41),$J41&gt;0))),'Feuille de Donnée'!$K$13,""),IF(W41&lt;$J$165*'Feuille de Donnée'!$I$9,"Négligeable",(IF(AND(U41&gt;=$H41*(1-'Feuille de Donnée'!$E$12),U41&lt;=$H41*(1+'Feuille de Donnée'!$F$12)),'Feuille de Donnée'!$F$17,IF(U41&lt;$H41*(1-'Feuille de Donnée'!$E$12),'Feuille de Donnée'!$F$18,'Feuille de Donnée'!$F$16))&amp;""&amp;IF(AND(V41&gt;=$I41*(1-'Feuille de Donnée'!$E$27),V41&lt;=$I41*(1+'Feuille de Donnée'!$F$27)),'Feuille de Donnée'!$F$32,IF(V41&lt;$I41*(1-'Feuille de Donnée'!$E$27),'Feuille de Donnée'!$F$33,'Feuille de Donnée'!$F$31)))))</f>
        <v/>
      </c>
      <c r="AB41" s="151"/>
      <c r="AC41" s="110"/>
      <c r="AD41" s="28"/>
      <c r="AE41" s="28"/>
      <c r="AF41" s="28" t="str">
        <f t="shared" si="26"/>
        <v/>
      </c>
      <c r="AG41" s="128" t="str">
        <f t="shared" si="27"/>
        <v/>
      </c>
      <c r="AH41" s="128" t="str">
        <f t="shared" si="28"/>
        <v/>
      </c>
      <c r="AI41" s="28" t="str">
        <f>IF(AND(ISBLANK(AK41),AJ41=""),"",1+MAX(AI$18:AI40))</f>
        <v/>
      </c>
      <c r="AJ41" s="150" t="str">
        <f>IF(OR(AF41="",AF41=0,$J41="",$J41=0,NOT(ISNUMBER($J41)),NOT(ISNUMBER(AF41))),IF(AND($G41&lt;&gt;"",AND(OR(ISNUMBER(AF41),AF41=""),AND(ISNUMBER($J41),$J41&gt;0))),'Feuille de Donnée'!$K$13,""),IF(AF41&lt;$J$165*'Feuille de Donnée'!$I$9,"Négligeable",(IF(AND(AD41&gt;=$H41*(1-'Feuille de Donnée'!$E$12),AD41&lt;=$H41*(1+'Feuille de Donnée'!$F$12)),'Feuille de Donnée'!$F$17,IF(AD41&lt;$H41*(1-'Feuille de Donnée'!$E$12),'Feuille de Donnée'!$F$18,'Feuille de Donnée'!$F$16))&amp;""&amp;IF(AND(AE41&gt;=$I41*(1-'Feuille de Donnée'!$E$27),AE41&lt;=$I41*(1+'Feuille de Donnée'!$F$27)),'Feuille de Donnée'!$F$32,IF(AE41&lt;$I41*(1-'Feuille de Donnée'!$E$27),'Feuille de Donnée'!$F$33,'Feuille de Donnée'!$F$31)))))</f>
        <v/>
      </c>
      <c r="AK41" s="151"/>
      <c r="AL41" s="110"/>
      <c r="AM41" s="28"/>
      <c r="AN41" s="28"/>
      <c r="AO41" s="28" t="str">
        <f t="shared" si="29"/>
        <v/>
      </c>
      <c r="AP41" s="128" t="str">
        <f t="shared" si="30"/>
        <v/>
      </c>
      <c r="AQ41" s="128" t="str">
        <f t="shared" si="31"/>
        <v/>
      </c>
      <c r="AR41" s="28" t="str">
        <f>IF(AND(ISBLANK(AT41),AS41=""),"",1+MAX(AR$18:AR40))</f>
        <v/>
      </c>
      <c r="AS41" s="150" t="str">
        <f>IF(OR(AO41="",AO41=0,$J41="",$J41=0,NOT(ISNUMBER($J41)),NOT(ISNUMBER(AO41))),IF(AND($G41&lt;&gt;"",AND(OR(ISNUMBER(AO41),AO41=""),AND(ISNUMBER($J41),$J41&gt;0))),'Feuille de Donnée'!$K$13,""),IF(AO41&lt;$J$165*'Feuille de Donnée'!$I$9,"Négligeable",(IF(AND(AM41&gt;=$H41*(1-'Feuille de Donnée'!$E$12),AM41&lt;=$H41*(1+'Feuille de Donnée'!$F$12)),'Feuille de Donnée'!$F$17,IF(AM41&lt;$H41*(1-'Feuille de Donnée'!$E$12),'Feuille de Donnée'!$F$18,'Feuille de Donnée'!$F$16))&amp;""&amp;IF(AND(AN41&gt;=$I41*(1-'Feuille de Donnée'!$E$27),AN41&lt;=$I41*(1+'Feuille de Donnée'!$F$27)),'Feuille de Donnée'!$F$32,IF(AN41&lt;$I41*(1-'Feuille de Donnée'!$E$27),'Feuille de Donnée'!$F$33,'Feuille de Donnée'!$F$31)))))</f>
        <v/>
      </c>
      <c r="AT41" s="151"/>
      <c r="AU41" s="110"/>
      <c r="AV41" s="28"/>
      <c r="AW41" s="28"/>
      <c r="AX41" s="28" t="str">
        <f t="shared" si="32"/>
        <v/>
      </c>
      <c r="AY41" s="128" t="str">
        <f t="shared" si="33"/>
        <v/>
      </c>
      <c r="AZ41" s="128" t="str">
        <f t="shared" si="34"/>
        <v/>
      </c>
      <c r="BA41" s="28" t="str">
        <f>IF(AND(ISBLANK(BC41),BB41=""),"",1+MAX(BA$18:BA40))</f>
        <v/>
      </c>
      <c r="BB41" s="150" t="str">
        <f>IF(OR(AX41="",AX41=0,$J41="",$J41=0,NOT(ISNUMBER($J41)),NOT(ISNUMBER(AX41))),IF(AND($G41&lt;&gt;"",AND(OR(ISNUMBER(AX41),AX41=""),AND(ISNUMBER($J41),$J41&gt;0))),'Feuille de Donnée'!$K$13,""),IF(AX41&lt;$J$165*'Feuille de Donnée'!$I$9,"Négligeable",(IF(AND(AV41&gt;=$H41*(1-'Feuille de Donnée'!$E$12),AV41&lt;=$H41*(1+'Feuille de Donnée'!$F$12)),'Feuille de Donnée'!$F$17,IF(AV41&lt;$H41*(1-'Feuille de Donnée'!$E$12),'Feuille de Donnée'!$F$18,'Feuille de Donnée'!$F$16))&amp;""&amp;IF(AND(AW41&gt;=$I41*(1-'Feuille de Donnée'!$E$27),AW41&lt;=$I41*(1+'Feuille de Donnée'!$F$27)),'Feuille de Donnée'!$F$32,IF(AW41&lt;$I41*(1-'Feuille de Donnée'!$E$27),'Feuille de Donnée'!$F$33,'Feuille de Donnée'!$F$31)))))</f>
        <v/>
      </c>
      <c r="BC41" s="151"/>
      <c r="BD41" s="110"/>
      <c r="BE41" s="28"/>
      <c r="BF41" s="28"/>
      <c r="BG41" s="28" t="str">
        <f t="shared" si="35"/>
        <v/>
      </c>
      <c r="BH41" s="128" t="str">
        <f t="shared" si="36"/>
        <v/>
      </c>
      <c r="BI41" s="128" t="str">
        <f t="shared" si="37"/>
        <v/>
      </c>
      <c r="BJ41" s="28" t="str">
        <f>IF(AND(ISBLANK(BL41),BK41=""),"",1+MAX(BJ$18:BJ40))</f>
        <v/>
      </c>
      <c r="BK41" s="150" t="str">
        <f>IF(OR(BG41="",BG41=0,$J41="",$J41=0,NOT(ISNUMBER($J41)),NOT(ISNUMBER(BG41))),IF(AND($G41&lt;&gt;"",AND(OR(ISNUMBER(BG41),BG41=""),AND(ISNUMBER($J41),$J41&gt;0))),'Feuille de Donnée'!$K$13,""),IF(BG41&lt;$J$165*'Feuille de Donnée'!$I$9,"Négligeable",(IF(AND(BE41&gt;=$H41*(1-'Feuille de Donnée'!$E$12),BE41&lt;=$H41*(1+'Feuille de Donnée'!$F$12)),'Feuille de Donnée'!$F$17,IF(BE41&lt;$H41*(1-'Feuille de Donnée'!$E$12),'Feuille de Donnée'!$F$18,'Feuille de Donnée'!$F$16))&amp;""&amp;IF(AND(BF41&gt;=$I41*(1-'Feuille de Donnée'!$E$27),BF41&lt;=$I41*(1+'Feuille de Donnée'!$F$27)),'Feuille de Donnée'!$F$32,IF(BF41&lt;$I41*(1-'Feuille de Donnée'!$E$27),'Feuille de Donnée'!$F$33,'Feuille de Donnée'!$F$31)))))</f>
        <v/>
      </c>
      <c r="BL41" s="151"/>
      <c r="BM41" s="153"/>
    </row>
    <row r="42" spans="1:65" s="7" customFormat="1" x14ac:dyDescent="0.3">
      <c r="A42" s="24"/>
      <c r="B42" s="25"/>
      <c r="C42" s="25"/>
      <c r="D42" s="25"/>
      <c r="E42" s="25"/>
      <c r="F42" s="25"/>
      <c r="G42" s="23"/>
      <c r="H42" s="26"/>
      <c r="I42" s="27"/>
      <c r="J42" s="109" t="str">
        <f t="shared" si="19"/>
        <v/>
      </c>
      <c r="K42" s="110"/>
      <c r="L42" s="28"/>
      <c r="M42" s="28"/>
      <c r="N42" s="28" t="str">
        <f t="shared" si="20"/>
        <v/>
      </c>
      <c r="O42" s="128" t="str">
        <f t="shared" si="21"/>
        <v/>
      </c>
      <c r="P42" s="128" t="str">
        <f t="shared" si="22"/>
        <v/>
      </c>
      <c r="Q42" s="28" t="str">
        <f>IF(AND(ISBLANK(S42),R42=""),"",1+MAX(Q$18:Q41))</f>
        <v/>
      </c>
      <c r="R42" s="150" t="str">
        <f>IF(OR(N42="",N42=0,$J42="",$J42=0,NOT(ISNUMBER($J42)),NOT(ISNUMBER(N42))),IF(AND($G42&lt;&gt;"",AND(OR(ISNUMBER(N42),N42=""),AND(ISNUMBER($J42),$J42&gt;0))),'Feuille de Donnée'!$K$13,""),IF(N42&lt;$J$165*'Feuille de Donnée'!$I$9,"Négligeable",(IF(AND(L42&gt;=$H42*(1-'Feuille de Donnée'!$E$12),L42&lt;=$H42*(1+'Feuille de Donnée'!$F$12)),'Feuille de Donnée'!$F$17,IF(L42&lt;$H42*(1-'Feuille de Donnée'!$E$12),'Feuille de Donnée'!$F$18,'Feuille de Donnée'!$F$16))&amp;""&amp;IF(AND(M42&gt;=$I42*(1-'Feuille de Donnée'!$E$27),M42&lt;=$I42*(1+'Feuille de Donnée'!$F$27)),'Feuille de Donnée'!$F$32,IF(M42&lt;$I42*(1-'Feuille de Donnée'!$E$27),'Feuille de Donnée'!$F$33,'Feuille de Donnée'!$F$31)))))</f>
        <v/>
      </c>
      <c r="S42" s="151"/>
      <c r="T42" s="110"/>
      <c r="U42" s="28"/>
      <c r="V42" s="28"/>
      <c r="W42" s="28" t="str">
        <f t="shared" si="23"/>
        <v/>
      </c>
      <c r="X42" s="128" t="str">
        <f t="shared" si="24"/>
        <v/>
      </c>
      <c r="Y42" s="128" t="str">
        <f t="shared" si="25"/>
        <v/>
      </c>
      <c r="Z42" s="28" t="str">
        <f>IF(AND(ISBLANK(AB42),AA42=""),"",1+MAX(Z$18:Z41))</f>
        <v/>
      </c>
      <c r="AA42" s="150" t="str">
        <f>IF(OR(W42="",W42=0,$J42="",$J42=0,NOT(ISNUMBER($J42)),NOT(ISNUMBER(W42))),IF(AND($G42&lt;&gt;"",AND(OR(ISNUMBER(W42),W42=""),AND(ISNUMBER($J42),$J42&gt;0))),'Feuille de Donnée'!$K$13,""),IF(W42&lt;$J$165*'Feuille de Donnée'!$I$9,"Négligeable",(IF(AND(U42&gt;=$H42*(1-'Feuille de Donnée'!$E$12),U42&lt;=$H42*(1+'Feuille de Donnée'!$F$12)),'Feuille de Donnée'!$F$17,IF(U42&lt;$H42*(1-'Feuille de Donnée'!$E$12),'Feuille de Donnée'!$F$18,'Feuille de Donnée'!$F$16))&amp;""&amp;IF(AND(V42&gt;=$I42*(1-'Feuille de Donnée'!$E$27),V42&lt;=$I42*(1+'Feuille de Donnée'!$F$27)),'Feuille de Donnée'!$F$32,IF(V42&lt;$I42*(1-'Feuille de Donnée'!$E$27),'Feuille de Donnée'!$F$33,'Feuille de Donnée'!$F$31)))))</f>
        <v/>
      </c>
      <c r="AB42" s="151"/>
      <c r="AC42" s="110"/>
      <c r="AD42" s="28"/>
      <c r="AE42" s="28"/>
      <c r="AF42" s="28" t="str">
        <f t="shared" si="26"/>
        <v/>
      </c>
      <c r="AG42" s="128" t="str">
        <f t="shared" si="27"/>
        <v/>
      </c>
      <c r="AH42" s="128" t="str">
        <f t="shared" si="28"/>
        <v/>
      </c>
      <c r="AI42" s="28" t="str">
        <f>IF(AND(ISBLANK(AK42),AJ42=""),"",1+MAX(AI$18:AI41))</f>
        <v/>
      </c>
      <c r="AJ42" s="150" t="str">
        <f>IF(OR(AF42="",AF42=0,$J42="",$J42=0,NOT(ISNUMBER($J42)),NOT(ISNUMBER(AF42))),IF(AND($G42&lt;&gt;"",AND(OR(ISNUMBER(AF42),AF42=""),AND(ISNUMBER($J42),$J42&gt;0))),'Feuille de Donnée'!$K$13,""),IF(AF42&lt;$J$165*'Feuille de Donnée'!$I$9,"Négligeable",(IF(AND(AD42&gt;=$H42*(1-'Feuille de Donnée'!$E$12),AD42&lt;=$H42*(1+'Feuille de Donnée'!$F$12)),'Feuille de Donnée'!$F$17,IF(AD42&lt;$H42*(1-'Feuille de Donnée'!$E$12),'Feuille de Donnée'!$F$18,'Feuille de Donnée'!$F$16))&amp;""&amp;IF(AND(AE42&gt;=$I42*(1-'Feuille de Donnée'!$E$27),AE42&lt;=$I42*(1+'Feuille de Donnée'!$F$27)),'Feuille de Donnée'!$F$32,IF(AE42&lt;$I42*(1-'Feuille de Donnée'!$E$27),'Feuille de Donnée'!$F$33,'Feuille de Donnée'!$F$31)))))</f>
        <v/>
      </c>
      <c r="AK42" s="151"/>
      <c r="AL42" s="110"/>
      <c r="AM42" s="28"/>
      <c r="AN42" s="28"/>
      <c r="AO42" s="28" t="str">
        <f t="shared" si="29"/>
        <v/>
      </c>
      <c r="AP42" s="128" t="str">
        <f t="shared" si="30"/>
        <v/>
      </c>
      <c r="AQ42" s="128" t="str">
        <f t="shared" si="31"/>
        <v/>
      </c>
      <c r="AR42" s="28" t="str">
        <f>IF(AND(ISBLANK(AT42),AS42=""),"",1+MAX(AR$18:AR41))</f>
        <v/>
      </c>
      <c r="AS42" s="150" t="str">
        <f>IF(OR(AO42="",AO42=0,$J42="",$J42=0,NOT(ISNUMBER($J42)),NOT(ISNUMBER(AO42))),IF(AND($G42&lt;&gt;"",AND(OR(ISNUMBER(AO42),AO42=""),AND(ISNUMBER($J42),$J42&gt;0))),'Feuille de Donnée'!$K$13,""),IF(AO42&lt;$J$165*'Feuille de Donnée'!$I$9,"Négligeable",(IF(AND(AM42&gt;=$H42*(1-'Feuille de Donnée'!$E$12),AM42&lt;=$H42*(1+'Feuille de Donnée'!$F$12)),'Feuille de Donnée'!$F$17,IF(AM42&lt;$H42*(1-'Feuille de Donnée'!$E$12),'Feuille de Donnée'!$F$18,'Feuille de Donnée'!$F$16))&amp;""&amp;IF(AND(AN42&gt;=$I42*(1-'Feuille de Donnée'!$E$27),AN42&lt;=$I42*(1+'Feuille de Donnée'!$F$27)),'Feuille de Donnée'!$F$32,IF(AN42&lt;$I42*(1-'Feuille de Donnée'!$E$27),'Feuille de Donnée'!$F$33,'Feuille de Donnée'!$F$31)))))</f>
        <v/>
      </c>
      <c r="AT42" s="151"/>
      <c r="AU42" s="110"/>
      <c r="AV42" s="28"/>
      <c r="AW42" s="28"/>
      <c r="AX42" s="28" t="str">
        <f t="shared" si="32"/>
        <v/>
      </c>
      <c r="AY42" s="128" t="str">
        <f t="shared" si="33"/>
        <v/>
      </c>
      <c r="AZ42" s="128" t="str">
        <f t="shared" si="34"/>
        <v/>
      </c>
      <c r="BA42" s="28" t="str">
        <f>IF(AND(ISBLANK(BC42),BB42=""),"",1+MAX(BA$18:BA41))</f>
        <v/>
      </c>
      <c r="BB42" s="150" t="str">
        <f>IF(OR(AX42="",AX42=0,$J42="",$J42=0,NOT(ISNUMBER($J42)),NOT(ISNUMBER(AX42))),IF(AND($G42&lt;&gt;"",AND(OR(ISNUMBER(AX42),AX42=""),AND(ISNUMBER($J42),$J42&gt;0))),'Feuille de Donnée'!$K$13,""),IF(AX42&lt;$J$165*'Feuille de Donnée'!$I$9,"Négligeable",(IF(AND(AV42&gt;=$H42*(1-'Feuille de Donnée'!$E$12),AV42&lt;=$H42*(1+'Feuille de Donnée'!$F$12)),'Feuille de Donnée'!$F$17,IF(AV42&lt;$H42*(1-'Feuille de Donnée'!$E$12),'Feuille de Donnée'!$F$18,'Feuille de Donnée'!$F$16))&amp;""&amp;IF(AND(AW42&gt;=$I42*(1-'Feuille de Donnée'!$E$27),AW42&lt;=$I42*(1+'Feuille de Donnée'!$F$27)),'Feuille de Donnée'!$F$32,IF(AW42&lt;$I42*(1-'Feuille de Donnée'!$E$27),'Feuille de Donnée'!$F$33,'Feuille de Donnée'!$F$31)))))</f>
        <v/>
      </c>
      <c r="BC42" s="151"/>
      <c r="BD42" s="110"/>
      <c r="BE42" s="28"/>
      <c r="BF42" s="28"/>
      <c r="BG42" s="28" t="str">
        <f t="shared" si="35"/>
        <v/>
      </c>
      <c r="BH42" s="128" t="str">
        <f t="shared" si="36"/>
        <v/>
      </c>
      <c r="BI42" s="128" t="str">
        <f t="shared" si="37"/>
        <v/>
      </c>
      <c r="BJ42" s="28" t="str">
        <f>IF(AND(ISBLANK(BL42),BK42=""),"",1+MAX(BJ$18:BJ41))</f>
        <v/>
      </c>
      <c r="BK42" s="150" t="str">
        <f>IF(OR(BG42="",BG42=0,$J42="",$J42=0,NOT(ISNUMBER($J42)),NOT(ISNUMBER(BG42))),IF(AND($G42&lt;&gt;"",AND(OR(ISNUMBER(BG42),BG42=""),AND(ISNUMBER($J42),$J42&gt;0))),'Feuille de Donnée'!$K$13,""),IF(BG42&lt;$J$165*'Feuille de Donnée'!$I$9,"Négligeable",(IF(AND(BE42&gt;=$H42*(1-'Feuille de Donnée'!$E$12),BE42&lt;=$H42*(1+'Feuille de Donnée'!$F$12)),'Feuille de Donnée'!$F$17,IF(BE42&lt;$H42*(1-'Feuille de Donnée'!$E$12),'Feuille de Donnée'!$F$18,'Feuille de Donnée'!$F$16))&amp;""&amp;IF(AND(BF42&gt;=$I42*(1-'Feuille de Donnée'!$E$27),BF42&lt;=$I42*(1+'Feuille de Donnée'!$F$27)),'Feuille de Donnée'!$F$32,IF(BF42&lt;$I42*(1-'Feuille de Donnée'!$E$27),'Feuille de Donnée'!$F$33,'Feuille de Donnée'!$F$31)))))</f>
        <v/>
      </c>
      <c r="BL42" s="151"/>
      <c r="BM42" s="153"/>
    </row>
    <row r="43" spans="1:65" s="7" customFormat="1" x14ac:dyDescent="0.3">
      <c r="A43" s="24"/>
      <c r="B43" s="25"/>
      <c r="C43" s="25"/>
      <c r="D43" s="25"/>
      <c r="E43" s="25"/>
      <c r="F43" s="25"/>
      <c r="G43" s="23"/>
      <c r="H43" s="26"/>
      <c r="I43" s="27"/>
      <c r="J43" s="109" t="str">
        <f t="shared" si="19"/>
        <v/>
      </c>
      <c r="K43" s="110"/>
      <c r="L43" s="28"/>
      <c r="M43" s="28"/>
      <c r="N43" s="28" t="str">
        <f t="shared" si="20"/>
        <v/>
      </c>
      <c r="O43" s="128" t="str">
        <f t="shared" si="21"/>
        <v/>
      </c>
      <c r="P43" s="128" t="str">
        <f t="shared" si="22"/>
        <v/>
      </c>
      <c r="Q43" s="28" t="str">
        <f>IF(AND(ISBLANK(S43),R43=""),"",1+MAX(Q$18:Q42))</f>
        <v/>
      </c>
      <c r="R43" s="150" t="str">
        <f>IF(OR(N43="",N43=0,$J43="",$J43=0,NOT(ISNUMBER($J43)),NOT(ISNUMBER(N43))),IF(AND($G43&lt;&gt;"",AND(OR(ISNUMBER(N43),N43=""),AND(ISNUMBER($J43),$J43&gt;0))),'Feuille de Donnée'!$K$13,""),IF(N43&lt;$J$165*'Feuille de Donnée'!$I$9,"Négligeable",(IF(AND(L43&gt;=$H43*(1-'Feuille de Donnée'!$E$12),L43&lt;=$H43*(1+'Feuille de Donnée'!$F$12)),'Feuille de Donnée'!$F$17,IF(L43&lt;$H43*(1-'Feuille de Donnée'!$E$12),'Feuille de Donnée'!$F$18,'Feuille de Donnée'!$F$16))&amp;""&amp;IF(AND(M43&gt;=$I43*(1-'Feuille de Donnée'!$E$27),M43&lt;=$I43*(1+'Feuille de Donnée'!$F$27)),'Feuille de Donnée'!$F$32,IF(M43&lt;$I43*(1-'Feuille de Donnée'!$E$27),'Feuille de Donnée'!$F$33,'Feuille de Donnée'!$F$31)))))</f>
        <v/>
      </c>
      <c r="S43" s="151"/>
      <c r="T43" s="110"/>
      <c r="U43" s="28"/>
      <c r="V43" s="28"/>
      <c r="W43" s="28" t="str">
        <f t="shared" si="23"/>
        <v/>
      </c>
      <c r="X43" s="128" t="str">
        <f t="shared" si="24"/>
        <v/>
      </c>
      <c r="Y43" s="128" t="str">
        <f t="shared" si="25"/>
        <v/>
      </c>
      <c r="Z43" s="28" t="str">
        <f>IF(AND(ISBLANK(AB43),AA43=""),"",1+MAX(Z$18:Z42))</f>
        <v/>
      </c>
      <c r="AA43" s="150" t="str">
        <f>IF(OR(W43="",W43=0,$J43="",$J43=0,NOT(ISNUMBER($J43)),NOT(ISNUMBER(W43))),IF(AND($G43&lt;&gt;"",AND(OR(ISNUMBER(W43),W43=""),AND(ISNUMBER($J43),$J43&gt;0))),'Feuille de Donnée'!$K$13,""),IF(W43&lt;$J$165*'Feuille de Donnée'!$I$9,"Négligeable",(IF(AND(U43&gt;=$H43*(1-'Feuille de Donnée'!$E$12),U43&lt;=$H43*(1+'Feuille de Donnée'!$F$12)),'Feuille de Donnée'!$F$17,IF(U43&lt;$H43*(1-'Feuille de Donnée'!$E$12),'Feuille de Donnée'!$F$18,'Feuille de Donnée'!$F$16))&amp;""&amp;IF(AND(V43&gt;=$I43*(1-'Feuille de Donnée'!$E$27),V43&lt;=$I43*(1+'Feuille de Donnée'!$F$27)),'Feuille de Donnée'!$F$32,IF(V43&lt;$I43*(1-'Feuille de Donnée'!$E$27),'Feuille de Donnée'!$F$33,'Feuille de Donnée'!$F$31)))))</f>
        <v/>
      </c>
      <c r="AB43" s="151"/>
      <c r="AC43" s="110"/>
      <c r="AD43" s="28"/>
      <c r="AE43" s="28"/>
      <c r="AF43" s="28" t="str">
        <f t="shared" si="26"/>
        <v/>
      </c>
      <c r="AG43" s="128" t="str">
        <f t="shared" si="27"/>
        <v/>
      </c>
      <c r="AH43" s="128" t="str">
        <f t="shared" si="28"/>
        <v/>
      </c>
      <c r="AI43" s="28" t="str">
        <f>IF(AND(ISBLANK(AK43),AJ43=""),"",1+MAX(AI$18:AI42))</f>
        <v/>
      </c>
      <c r="AJ43" s="150" t="str">
        <f>IF(OR(AF43="",AF43=0,$J43="",$J43=0,NOT(ISNUMBER($J43)),NOT(ISNUMBER(AF43))),IF(AND($G43&lt;&gt;"",AND(OR(ISNUMBER(AF43),AF43=""),AND(ISNUMBER($J43),$J43&gt;0))),'Feuille de Donnée'!$K$13,""),IF(AF43&lt;$J$165*'Feuille de Donnée'!$I$9,"Négligeable",(IF(AND(AD43&gt;=$H43*(1-'Feuille de Donnée'!$E$12),AD43&lt;=$H43*(1+'Feuille de Donnée'!$F$12)),'Feuille de Donnée'!$F$17,IF(AD43&lt;$H43*(1-'Feuille de Donnée'!$E$12),'Feuille de Donnée'!$F$18,'Feuille de Donnée'!$F$16))&amp;""&amp;IF(AND(AE43&gt;=$I43*(1-'Feuille de Donnée'!$E$27),AE43&lt;=$I43*(1+'Feuille de Donnée'!$F$27)),'Feuille de Donnée'!$F$32,IF(AE43&lt;$I43*(1-'Feuille de Donnée'!$E$27),'Feuille de Donnée'!$F$33,'Feuille de Donnée'!$F$31)))))</f>
        <v/>
      </c>
      <c r="AK43" s="151"/>
      <c r="AL43" s="110"/>
      <c r="AM43" s="28"/>
      <c r="AN43" s="28"/>
      <c r="AO43" s="28" t="str">
        <f t="shared" si="29"/>
        <v/>
      </c>
      <c r="AP43" s="128" t="str">
        <f t="shared" si="30"/>
        <v/>
      </c>
      <c r="AQ43" s="128" t="str">
        <f t="shared" si="31"/>
        <v/>
      </c>
      <c r="AR43" s="28" t="str">
        <f>IF(AND(ISBLANK(AT43),AS43=""),"",1+MAX(AR$18:AR42))</f>
        <v/>
      </c>
      <c r="AS43" s="150" t="str">
        <f>IF(OR(AO43="",AO43=0,$J43="",$J43=0,NOT(ISNUMBER($J43)),NOT(ISNUMBER(AO43))),IF(AND($G43&lt;&gt;"",AND(OR(ISNUMBER(AO43),AO43=""),AND(ISNUMBER($J43),$J43&gt;0))),'Feuille de Donnée'!$K$13,""),IF(AO43&lt;$J$165*'Feuille de Donnée'!$I$9,"Négligeable",(IF(AND(AM43&gt;=$H43*(1-'Feuille de Donnée'!$E$12),AM43&lt;=$H43*(1+'Feuille de Donnée'!$F$12)),'Feuille de Donnée'!$F$17,IF(AM43&lt;$H43*(1-'Feuille de Donnée'!$E$12),'Feuille de Donnée'!$F$18,'Feuille de Donnée'!$F$16))&amp;""&amp;IF(AND(AN43&gt;=$I43*(1-'Feuille de Donnée'!$E$27),AN43&lt;=$I43*(1+'Feuille de Donnée'!$F$27)),'Feuille de Donnée'!$F$32,IF(AN43&lt;$I43*(1-'Feuille de Donnée'!$E$27),'Feuille de Donnée'!$F$33,'Feuille de Donnée'!$F$31)))))</f>
        <v/>
      </c>
      <c r="AT43" s="151"/>
      <c r="AU43" s="110"/>
      <c r="AV43" s="28"/>
      <c r="AW43" s="28"/>
      <c r="AX43" s="28" t="str">
        <f t="shared" si="32"/>
        <v/>
      </c>
      <c r="AY43" s="128" t="str">
        <f t="shared" si="33"/>
        <v/>
      </c>
      <c r="AZ43" s="128" t="str">
        <f t="shared" si="34"/>
        <v/>
      </c>
      <c r="BA43" s="28" t="str">
        <f>IF(AND(ISBLANK(BC43),BB43=""),"",1+MAX(BA$18:BA42))</f>
        <v/>
      </c>
      <c r="BB43" s="150" t="str">
        <f>IF(OR(AX43="",AX43=0,$J43="",$J43=0,NOT(ISNUMBER($J43)),NOT(ISNUMBER(AX43))),IF(AND($G43&lt;&gt;"",AND(OR(ISNUMBER(AX43),AX43=""),AND(ISNUMBER($J43),$J43&gt;0))),'Feuille de Donnée'!$K$13,""),IF(AX43&lt;$J$165*'Feuille de Donnée'!$I$9,"Négligeable",(IF(AND(AV43&gt;=$H43*(1-'Feuille de Donnée'!$E$12),AV43&lt;=$H43*(1+'Feuille de Donnée'!$F$12)),'Feuille de Donnée'!$F$17,IF(AV43&lt;$H43*(1-'Feuille de Donnée'!$E$12),'Feuille de Donnée'!$F$18,'Feuille de Donnée'!$F$16))&amp;""&amp;IF(AND(AW43&gt;=$I43*(1-'Feuille de Donnée'!$E$27),AW43&lt;=$I43*(1+'Feuille de Donnée'!$F$27)),'Feuille de Donnée'!$F$32,IF(AW43&lt;$I43*(1-'Feuille de Donnée'!$E$27),'Feuille de Donnée'!$F$33,'Feuille de Donnée'!$F$31)))))</f>
        <v/>
      </c>
      <c r="BC43" s="151"/>
      <c r="BD43" s="110"/>
      <c r="BE43" s="28"/>
      <c r="BF43" s="28"/>
      <c r="BG43" s="28" t="str">
        <f t="shared" si="35"/>
        <v/>
      </c>
      <c r="BH43" s="128" t="str">
        <f t="shared" si="36"/>
        <v/>
      </c>
      <c r="BI43" s="128" t="str">
        <f t="shared" si="37"/>
        <v/>
      </c>
      <c r="BJ43" s="28" t="str">
        <f>IF(AND(ISBLANK(BL43),BK43=""),"",1+MAX(BJ$18:BJ42))</f>
        <v/>
      </c>
      <c r="BK43" s="150" t="str">
        <f>IF(OR(BG43="",BG43=0,$J43="",$J43=0,NOT(ISNUMBER($J43)),NOT(ISNUMBER(BG43))),IF(AND($G43&lt;&gt;"",AND(OR(ISNUMBER(BG43),BG43=""),AND(ISNUMBER($J43),$J43&gt;0))),'Feuille de Donnée'!$K$13,""),IF(BG43&lt;$J$165*'Feuille de Donnée'!$I$9,"Négligeable",(IF(AND(BE43&gt;=$H43*(1-'Feuille de Donnée'!$E$12),BE43&lt;=$H43*(1+'Feuille de Donnée'!$F$12)),'Feuille de Donnée'!$F$17,IF(BE43&lt;$H43*(1-'Feuille de Donnée'!$E$12),'Feuille de Donnée'!$F$18,'Feuille de Donnée'!$F$16))&amp;""&amp;IF(AND(BF43&gt;=$I43*(1-'Feuille de Donnée'!$E$27),BF43&lt;=$I43*(1+'Feuille de Donnée'!$F$27)),'Feuille de Donnée'!$F$32,IF(BF43&lt;$I43*(1-'Feuille de Donnée'!$E$27),'Feuille de Donnée'!$F$33,'Feuille de Donnée'!$F$31)))))</f>
        <v/>
      </c>
      <c r="BL43" s="151"/>
      <c r="BM43" s="153"/>
    </row>
    <row r="44" spans="1:65" s="7" customFormat="1" x14ac:dyDescent="0.3">
      <c r="A44" s="24"/>
      <c r="B44" s="25"/>
      <c r="C44" s="25"/>
      <c r="D44" s="25"/>
      <c r="E44" s="25"/>
      <c r="F44" s="25"/>
      <c r="G44" s="23"/>
      <c r="H44" s="26"/>
      <c r="I44" s="27"/>
      <c r="J44" s="109" t="str">
        <f t="shared" si="19"/>
        <v/>
      </c>
      <c r="K44" s="110"/>
      <c r="L44" s="28"/>
      <c r="M44" s="28"/>
      <c r="N44" s="28" t="str">
        <f t="shared" si="20"/>
        <v/>
      </c>
      <c r="O44" s="128" t="str">
        <f t="shared" si="21"/>
        <v/>
      </c>
      <c r="P44" s="128" t="str">
        <f t="shared" si="22"/>
        <v/>
      </c>
      <c r="Q44" s="28" t="str">
        <f>IF(AND(ISBLANK(S44),R44=""),"",1+MAX(Q$18:Q43))</f>
        <v/>
      </c>
      <c r="R44" s="150" t="str">
        <f>IF(OR(N44="",N44=0,$J44="",$J44=0,NOT(ISNUMBER($J44)),NOT(ISNUMBER(N44))),IF(AND($G44&lt;&gt;"",AND(OR(ISNUMBER(N44),N44=""),AND(ISNUMBER($J44),$J44&gt;0))),'Feuille de Donnée'!$K$13,""),IF(N44&lt;$J$165*'Feuille de Donnée'!$I$9,"Négligeable",(IF(AND(L44&gt;=$H44*(1-'Feuille de Donnée'!$E$12),L44&lt;=$H44*(1+'Feuille de Donnée'!$F$12)),'Feuille de Donnée'!$F$17,IF(L44&lt;$H44*(1-'Feuille de Donnée'!$E$12),'Feuille de Donnée'!$F$18,'Feuille de Donnée'!$F$16))&amp;""&amp;IF(AND(M44&gt;=$I44*(1-'Feuille de Donnée'!$E$27),M44&lt;=$I44*(1+'Feuille de Donnée'!$F$27)),'Feuille de Donnée'!$F$32,IF(M44&lt;$I44*(1-'Feuille de Donnée'!$E$27),'Feuille de Donnée'!$F$33,'Feuille de Donnée'!$F$31)))))</f>
        <v/>
      </c>
      <c r="S44" s="151"/>
      <c r="T44" s="110"/>
      <c r="U44" s="28"/>
      <c r="V44" s="28"/>
      <c r="W44" s="28" t="str">
        <f t="shared" si="23"/>
        <v/>
      </c>
      <c r="X44" s="128" t="str">
        <f t="shared" si="24"/>
        <v/>
      </c>
      <c r="Y44" s="128" t="str">
        <f t="shared" si="25"/>
        <v/>
      </c>
      <c r="Z44" s="28" t="str">
        <f>IF(AND(ISBLANK(AB44),AA44=""),"",1+MAX(Z$18:Z43))</f>
        <v/>
      </c>
      <c r="AA44" s="150" t="str">
        <f>IF(OR(W44="",W44=0,$J44="",$J44=0,NOT(ISNUMBER($J44)),NOT(ISNUMBER(W44))),IF(AND($G44&lt;&gt;"",AND(OR(ISNUMBER(W44),W44=""),AND(ISNUMBER($J44),$J44&gt;0))),'Feuille de Donnée'!$K$13,""),IF(W44&lt;$J$165*'Feuille de Donnée'!$I$9,"Négligeable",(IF(AND(U44&gt;=$H44*(1-'Feuille de Donnée'!$E$12),U44&lt;=$H44*(1+'Feuille de Donnée'!$F$12)),'Feuille de Donnée'!$F$17,IF(U44&lt;$H44*(1-'Feuille de Donnée'!$E$12),'Feuille de Donnée'!$F$18,'Feuille de Donnée'!$F$16))&amp;""&amp;IF(AND(V44&gt;=$I44*(1-'Feuille de Donnée'!$E$27),V44&lt;=$I44*(1+'Feuille de Donnée'!$F$27)),'Feuille de Donnée'!$F$32,IF(V44&lt;$I44*(1-'Feuille de Donnée'!$E$27),'Feuille de Donnée'!$F$33,'Feuille de Donnée'!$F$31)))))</f>
        <v/>
      </c>
      <c r="AB44" s="151"/>
      <c r="AC44" s="110"/>
      <c r="AD44" s="28"/>
      <c r="AE44" s="28"/>
      <c r="AF44" s="28" t="str">
        <f t="shared" si="26"/>
        <v/>
      </c>
      <c r="AG44" s="128" t="str">
        <f t="shared" si="27"/>
        <v/>
      </c>
      <c r="AH44" s="128" t="str">
        <f t="shared" si="28"/>
        <v/>
      </c>
      <c r="AI44" s="28" t="str">
        <f>IF(AND(ISBLANK(AK44),AJ44=""),"",1+MAX(AI$18:AI43))</f>
        <v/>
      </c>
      <c r="AJ44" s="150" t="str">
        <f>IF(OR(AF44="",AF44=0,$J44="",$J44=0,NOT(ISNUMBER($J44)),NOT(ISNUMBER(AF44))),IF(AND($G44&lt;&gt;"",AND(OR(ISNUMBER(AF44),AF44=""),AND(ISNUMBER($J44),$J44&gt;0))),'Feuille de Donnée'!$K$13,""),IF(AF44&lt;$J$165*'Feuille de Donnée'!$I$9,"Négligeable",(IF(AND(AD44&gt;=$H44*(1-'Feuille de Donnée'!$E$12),AD44&lt;=$H44*(1+'Feuille de Donnée'!$F$12)),'Feuille de Donnée'!$F$17,IF(AD44&lt;$H44*(1-'Feuille de Donnée'!$E$12),'Feuille de Donnée'!$F$18,'Feuille de Donnée'!$F$16))&amp;""&amp;IF(AND(AE44&gt;=$I44*(1-'Feuille de Donnée'!$E$27),AE44&lt;=$I44*(1+'Feuille de Donnée'!$F$27)),'Feuille de Donnée'!$F$32,IF(AE44&lt;$I44*(1-'Feuille de Donnée'!$E$27),'Feuille de Donnée'!$F$33,'Feuille de Donnée'!$F$31)))))</f>
        <v/>
      </c>
      <c r="AK44" s="151"/>
      <c r="AL44" s="110"/>
      <c r="AM44" s="28"/>
      <c r="AN44" s="28"/>
      <c r="AO44" s="28" t="str">
        <f t="shared" si="29"/>
        <v/>
      </c>
      <c r="AP44" s="128" t="str">
        <f t="shared" si="30"/>
        <v/>
      </c>
      <c r="AQ44" s="128" t="str">
        <f t="shared" si="31"/>
        <v/>
      </c>
      <c r="AR44" s="28" t="str">
        <f>IF(AND(ISBLANK(AT44),AS44=""),"",1+MAX(AR$18:AR43))</f>
        <v/>
      </c>
      <c r="AS44" s="150" t="str">
        <f>IF(OR(AO44="",AO44=0,$J44="",$J44=0,NOT(ISNUMBER($J44)),NOT(ISNUMBER(AO44))),IF(AND($G44&lt;&gt;"",AND(OR(ISNUMBER(AO44),AO44=""),AND(ISNUMBER($J44),$J44&gt;0))),'Feuille de Donnée'!$K$13,""),IF(AO44&lt;$J$165*'Feuille de Donnée'!$I$9,"Négligeable",(IF(AND(AM44&gt;=$H44*(1-'Feuille de Donnée'!$E$12),AM44&lt;=$H44*(1+'Feuille de Donnée'!$F$12)),'Feuille de Donnée'!$F$17,IF(AM44&lt;$H44*(1-'Feuille de Donnée'!$E$12),'Feuille de Donnée'!$F$18,'Feuille de Donnée'!$F$16))&amp;""&amp;IF(AND(AN44&gt;=$I44*(1-'Feuille de Donnée'!$E$27),AN44&lt;=$I44*(1+'Feuille de Donnée'!$F$27)),'Feuille de Donnée'!$F$32,IF(AN44&lt;$I44*(1-'Feuille de Donnée'!$E$27),'Feuille de Donnée'!$F$33,'Feuille de Donnée'!$F$31)))))</f>
        <v/>
      </c>
      <c r="AT44" s="151"/>
      <c r="AU44" s="110"/>
      <c r="AV44" s="28"/>
      <c r="AW44" s="28"/>
      <c r="AX44" s="28" t="str">
        <f t="shared" si="32"/>
        <v/>
      </c>
      <c r="AY44" s="128" t="str">
        <f t="shared" si="33"/>
        <v/>
      </c>
      <c r="AZ44" s="128" t="str">
        <f t="shared" si="34"/>
        <v/>
      </c>
      <c r="BA44" s="28" t="str">
        <f>IF(AND(ISBLANK(BC44),BB44=""),"",1+MAX(BA$18:BA43))</f>
        <v/>
      </c>
      <c r="BB44" s="150" t="str">
        <f>IF(OR(AX44="",AX44=0,$J44="",$J44=0,NOT(ISNUMBER($J44)),NOT(ISNUMBER(AX44))),IF(AND($G44&lt;&gt;"",AND(OR(ISNUMBER(AX44),AX44=""),AND(ISNUMBER($J44),$J44&gt;0))),'Feuille de Donnée'!$K$13,""),IF(AX44&lt;$J$165*'Feuille de Donnée'!$I$9,"Négligeable",(IF(AND(AV44&gt;=$H44*(1-'Feuille de Donnée'!$E$12),AV44&lt;=$H44*(1+'Feuille de Donnée'!$F$12)),'Feuille de Donnée'!$F$17,IF(AV44&lt;$H44*(1-'Feuille de Donnée'!$E$12),'Feuille de Donnée'!$F$18,'Feuille de Donnée'!$F$16))&amp;""&amp;IF(AND(AW44&gt;=$I44*(1-'Feuille de Donnée'!$E$27),AW44&lt;=$I44*(1+'Feuille de Donnée'!$F$27)),'Feuille de Donnée'!$F$32,IF(AW44&lt;$I44*(1-'Feuille de Donnée'!$E$27),'Feuille de Donnée'!$F$33,'Feuille de Donnée'!$F$31)))))</f>
        <v/>
      </c>
      <c r="BC44" s="151"/>
      <c r="BD44" s="110"/>
      <c r="BE44" s="28"/>
      <c r="BF44" s="28"/>
      <c r="BG44" s="28" t="str">
        <f t="shared" si="35"/>
        <v/>
      </c>
      <c r="BH44" s="128" t="str">
        <f t="shared" si="36"/>
        <v/>
      </c>
      <c r="BI44" s="128" t="str">
        <f t="shared" si="37"/>
        <v/>
      </c>
      <c r="BJ44" s="28" t="str">
        <f>IF(AND(ISBLANK(BL44),BK44=""),"",1+MAX(BJ$18:BJ43))</f>
        <v/>
      </c>
      <c r="BK44" s="150" t="str">
        <f>IF(OR(BG44="",BG44=0,$J44="",$J44=0,NOT(ISNUMBER($J44)),NOT(ISNUMBER(BG44))),IF(AND($G44&lt;&gt;"",AND(OR(ISNUMBER(BG44),BG44=""),AND(ISNUMBER($J44),$J44&gt;0))),'Feuille de Donnée'!$K$13,""),IF(BG44&lt;$J$165*'Feuille de Donnée'!$I$9,"Négligeable",(IF(AND(BE44&gt;=$H44*(1-'Feuille de Donnée'!$E$12),BE44&lt;=$H44*(1+'Feuille de Donnée'!$F$12)),'Feuille de Donnée'!$F$17,IF(BE44&lt;$H44*(1-'Feuille de Donnée'!$E$12),'Feuille de Donnée'!$F$18,'Feuille de Donnée'!$F$16))&amp;""&amp;IF(AND(BF44&gt;=$I44*(1-'Feuille de Donnée'!$E$27),BF44&lt;=$I44*(1+'Feuille de Donnée'!$F$27)),'Feuille de Donnée'!$F$32,IF(BF44&lt;$I44*(1-'Feuille de Donnée'!$E$27),'Feuille de Donnée'!$F$33,'Feuille de Donnée'!$F$31)))))</f>
        <v/>
      </c>
      <c r="BL44" s="151"/>
      <c r="BM44" s="153"/>
    </row>
    <row r="45" spans="1:65" s="7" customFormat="1" x14ac:dyDescent="0.3">
      <c r="A45" s="24"/>
      <c r="B45" s="25"/>
      <c r="C45" s="25"/>
      <c r="D45" s="25"/>
      <c r="E45" s="25"/>
      <c r="F45" s="25"/>
      <c r="G45" s="23"/>
      <c r="H45" s="26"/>
      <c r="I45" s="27"/>
      <c r="J45" s="109" t="str">
        <f t="shared" si="19"/>
        <v/>
      </c>
      <c r="K45" s="110"/>
      <c r="L45" s="28"/>
      <c r="M45" s="28"/>
      <c r="N45" s="28" t="str">
        <f t="shared" si="20"/>
        <v/>
      </c>
      <c r="O45" s="128" t="str">
        <f t="shared" si="21"/>
        <v/>
      </c>
      <c r="P45" s="128" t="str">
        <f t="shared" si="22"/>
        <v/>
      </c>
      <c r="Q45" s="28" t="str">
        <f>IF(AND(ISBLANK(S45),R45=""),"",1+MAX(Q$18:Q44))</f>
        <v/>
      </c>
      <c r="R45" s="150" t="str">
        <f>IF(OR(N45="",N45=0,$J45="",$J45=0,NOT(ISNUMBER($J45)),NOT(ISNUMBER(N45))),IF(AND($G45&lt;&gt;"",AND(OR(ISNUMBER(N45),N45=""),AND(ISNUMBER($J45),$J45&gt;0))),'Feuille de Donnée'!$K$13,""),IF(N45&lt;$J$165*'Feuille de Donnée'!$I$9,"Négligeable",(IF(AND(L45&gt;=$H45*(1-'Feuille de Donnée'!$E$12),L45&lt;=$H45*(1+'Feuille de Donnée'!$F$12)),'Feuille de Donnée'!$F$17,IF(L45&lt;$H45*(1-'Feuille de Donnée'!$E$12),'Feuille de Donnée'!$F$18,'Feuille de Donnée'!$F$16))&amp;""&amp;IF(AND(M45&gt;=$I45*(1-'Feuille de Donnée'!$E$27),M45&lt;=$I45*(1+'Feuille de Donnée'!$F$27)),'Feuille de Donnée'!$F$32,IF(M45&lt;$I45*(1-'Feuille de Donnée'!$E$27),'Feuille de Donnée'!$F$33,'Feuille de Donnée'!$F$31)))))</f>
        <v/>
      </c>
      <c r="S45" s="151"/>
      <c r="T45" s="110"/>
      <c r="U45" s="28"/>
      <c r="V45" s="28"/>
      <c r="W45" s="28" t="str">
        <f t="shared" si="23"/>
        <v/>
      </c>
      <c r="X45" s="128" t="str">
        <f t="shared" si="24"/>
        <v/>
      </c>
      <c r="Y45" s="128" t="str">
        <f t="shared" si="25"/>
        <v/>
      </c>
      <c r="Z45" s="28" t="str">
        <f>IF(AND(ISBLANK(AB45),AA45=""),"",1+MAX(Z$18:Z44))</f>
        <v/>
      </c>
      <c r="AA45" s="150" t="str">
        <f>IF(OR(W45="",W45=0,$J45="",$J45=0,NOT(ISNUMBER($J45)),NOT(ISNUMBER(W45))),IF(AND($G45&lt;&gt;"",AND(OR(ISNUMBER(W45),W45=""),AND(ISNUMBER($J45),$J45&gt;0))),'Feuille de Donnée'!$K$13,""),IF(W45&lt;$J$165*'Feuille de Donnée'!$I$9,"Négligeable",(IF(AND(U45&gt;=$H45*(1-'Feuille de Donnée'!$E$12),U45&lt;=$H45*(1+'Feuille de Donnée'!$F$12)),'Feuille de Donnée'!$F$17,IF(U45&lt;$H45*(1-'Feuille de Donnée'!$E$12),'Feuille de Donnée'!$F$18,'Feuille de Donnée'!$F$16))&amp;""&amp;IF(AND(V45&gt;=$I45*(1-'Feuille de Donnée'!$E$27),V45&lt;=$I45*(1+'Feuille de Donnée'!$F$27)),'Feuille de Donnée'!$F$32,IF(V45&lt;$I45*(1-'Feuille de Donnée'!$E$27),'Feuille de Donnée'!$F$33,'Feuille de Donnée'!$F$31)))))</f>
        <v/>
      </c>
      <c r="AB45" s="151"/>
      <c r="AC45" s="110"/>
      <c r="AD45" s="28"/>
      <c r="AE45" s="28"/>
      <c r="AF45" s="28" t="str">
        <f t="shared" si="26"/>
        <v/>
      </c>
      <c r="AG45" s="128" t="str">
        <f t="shared" si="27"/>
        <v/>
      </c>
      <c r="AH45" s="128" t="str">
        <f t="shared" si="28"/>
        <v/>
      </c>
      <c r="AI45" s="28" t="str">
        <f>IF(AND(ISBLANK(AK45),AJ45=""),"",1+MAX(AI$18:AI44))</f>
        <v/>
      </c>
      <c r="AJ45" s="150" t="str">
        <f>IF(OR(AF45="",AF45=0,$J45="",$J45=0,NOT(ISNUMBER($J45)),NOT(ISNUMBER(AF45))),IF(AND($G45&lt;&gt;"",AND(OR(ISNUMBER(AF45),AF45=""),AND(ISNUMBER($J45),$J45&gt;0))),'Feuille de Donnée'!$K$13,""),IF(AF45&lt;$J$165*'Feuille de Donnée'!$I$9,"Négligeable",(IF(AND(AD45&gt;=$H45*(1-'Feuille de Donnée'!$E$12),AD45&lt;=$H45*(1+'Feuille de Donnée'!$F$12)),'Feuille de Donnée'!$F$17,IF(AD45&lt;$H45*(1-'Feuille de Donnée'!$E$12),'Feuille de Donnée'!$F$18,'Feuille de Donnée'!$F$16))&amp;""&amp;IF(AND(AE45&gt;=$I45*(1-'Feuille de Donnée'!$E$27),AE45&lt;=$I45*(1+'Feuille de Donnée'!$F$27)),'Feuille de Donnée'!$F$32,IF(AE45&lt;$I45*(1-'Feuille de Donnée'!$E$27),'Feuille de Donnée'!$F$33,'Feuille de Donnée'!$F$31)))))</f>
        <v/>
      </c>
      <c r="AK45" s="151"/>
      <c r="AL45" s="110"/>
      <c r="AM45" s="28"/>
      <c r="AN45" s="28"/>
      <c r="AO45" s="28" t="str">
        <f t="shared" si="29"/>
        <v/>
      </c>
      <c r="AP45" s="128" t="str">
        <f t="shared" si="30"/>
        <v/>
      </c>
      <c r="AQ45" s="128" t="str">
        <f t="shared" si="31"/>
        <v/>
      </c>
      <c r="AR45" s="28" t="str">
        <f>IF(AND(ISBLANK(AT45),AS45=""),"",1+MAX(AR$18:AR44))</f>
        <v/>
      </c>
      <c r="AS45" s="150" t="str">
        <f>IF(OR(AO45="",AO45=0,$J45="",$J45=0,NOT(ISNUMBER($J45)),NOT(ISNUMBER(AO45))),IF(AND($G45&lt;&gt;"",AND(OR(ISNUMBER(AO45),AO45=""),AND(ISNUMBER($J45),$J45&gt;0))),'Feuille de Donnée'!$K$13,""),IF(AO45&lt;$J$165*'Feuille de Donnée'!$I$9,"Négligeable",(IF(AND(AM45&gt;=$H45*(1-'Feuille de Donnée'!$E$12),AM45&lt;=$H45*(1+'Feuille de Donnée'!$F$12)),'Feuille de Donnée'!$F$17,IF(AM45&lt;$H45*(1-'Feuille de Donnée'!$E$12),'Feuille de Donnée'!$F$18,'Feuille de Donnée'!$F$16))&amp;""&amp;IF(AND(AN45&gt;=$I45*(1-'Feuille de Donnée'!$E$27),AN45&lt;=$I45*(1+'Feuille de Donnée'!$F$27)),'Feuille de Donnée'!$F$32,IF(AN45&lt;$I45*(1-'Feuille de Donnée'!$E$27),'Feuille de Donnée'!$F$33,'Feuille de Donnée'!$F$31)))))</f>
        <v/>
      </c>
      <c r="AT45" s="151"/>
      <c r="AU45" s="110"/>
      <c r="AV45" s="28"/>
      <c r="AW45" s="28"/>
      <c r="AX45" s="28" t="str">
        <f t="shared" si="32"/>
        <v/>
      </c>
      <c r="AY45" s="128" t="str">
        <f t="shared" si="33"/>
        <v/>
      </c>
      <c r="AZ45" s="128" t="str">
        <f t="shared" si="34"/>
        <v/>
      </c>
      <c r="BA45" s="28" t="str">
        <f>IF(AND(ISBLANK(BC45),BB45=""),"",1+MAX(BA$18:BA44))</f>
        <v/>
      </c>
      <c r="BB45" s="150" t="str">
        <f>IF(OR(AX45="",AX45=0,$J45="",$J45=0,NOT(ISNUMBER($J45)),NOT(ISNUMBER(AX45))),IF(AND($G45&lt;&gt;"",AND(OR(ISNUMBER(AX45),AX45=""),AND(ISNUMBER($J45),$J45&gt;0))),'Feuille de Donnée'!$K$13,""),IF(AX45&lt;$J$165*'Feuille de Donnée'!$I$9,"Négligeable",(IF(AND(AV45&gt;=$H45*(1-'Feuille de Donnée'!$E$12),AV45&lt;=$H45*(1+'Feuille de Donnée'!$F$12)),'Feuille de Donnée'!$F$17,IF(AV45&lt;$H45*(1-'Feuille de Donnée'!$E$12),'Feuille de Donnée'!$F$18,'Feuille de Donnée'!$F$16))&amp;""&amp;IF(AND(AW45&gt;=$I45*(1-'Feuille de Donnée'!$E$27),AW45&lt;=$I45*(1+'Feuille de Donnée'!$F$27)),'Feuille de Donnée'!$F$32,IF(AW45&lt;$I45*(1-'Feuille de Donnée'!$E$27),'Feuille de Donnée'!$F$33,'Feuille de Donnée'!$F$31)))))</f>
        <v/>
      </c>
      <c r="BC45" s="151"/>
      <c r="BD45" s="110"/>
      <c r="BE45" s="28"/>
      <c r="BF45" s="28"/>
      <c r="BG45" s="28" t="str">
        <f t="shared" si="35"/>
        <v/>
      </c>
      <c r="BH45" s="128" t="str">
        <f t="shared" si="36"/>
        <v/>
      </c>
      <c r="BI45" s="128" t="str">
        <f t="shared" si="37"/>
        <v/>
      </c>
      <c r="BJ45" s="28" t="str">
        <f>IF(AND(ISBLANK(BL45),BK45=""),"",1+MAX(BJ$18:BJ44))</f>
        <v/>
      </c>
      <c r="BK45" s="150" t="str">
        <f>IF(OR(BG45="",BG45=0,$J45="",$J45=0,NOT(ISNUMBER($J45)),NOT(ISNUMBER(BG45))),IF(AND($G45&lt;&gt;"",AND(OR(ISNUMBER(BG45),BG45=""),AND(ISNUMBER($J45),$J45&gt;0))),'Feuille de Donnée'!$K$13,""),IF(BG45&lt;$J$165*'Feuille de Donnée'!$I$9,"Négligeable",(IF(AND(BE45&gt;=$H45*(1-'Feuille de Donnée'!$E$12),BE45&lt;=$H45*(1+'Feuille de Donnée'!$F$12)),'Feuille de Donnée'!$F$17,IF(BE45&lt;$H45*(1-'Feuille de Donnée'!$E$12),'Feuille de Donnée'!$F$18,'Feuille de Donnée'!$F$16))&amp;""&amp;IF(AND(BF45&gt;=$I45*(1-'Feuille de Donnée'!$E$27),BF45&lt;=$I45*(1+'Feuille de Donnée'!$F$27)),'Feuille de Donnée'!$F$32,IF(BF45&lt;$I45*(1-'Feuille de Donnée'!$E$27),'Feuille de Donnée'!$F$33,'Feuille de Donnée'!$F$31)))))</f>
        <v/>
      </c>
      <c r="BL45" s="151"/>
      <c r="BM45" s="153"/>
    </row>
    <row r="46" spans="1:65" s="7" customFormat="1" x14ac:dyDescent="0.3">
      <c r="A46" s="24"/>
      <c r="B46" s="25"/>
      <c r="C46" s="25"/>
      <c r="D46" s="25"/>
      <c r="E46" s="25"/>
      <c r="F46" s="25"/>
      <c r="G46" s="23"/>
      <c r="H46" s="26"/>
      <c r="I46" s="27"/>
      <c r="J46" s="109" t="str">
        <f t="shared" si="19"/>
        <v/>
      </c>
      <c r="K46" s="110"/>
      <c r="L46" s="28"/>
      <c r="M46" s="28"/>
      <c r="N46" s="28" t="str">
        <f t="shared" si="20"/>
        <v/>
      </c>
      <c r="O46" s="128" t="str">
        <f t="shared" si="21"/>
        <v/>
      </c>
      <c r="P46" s="128" t="str">
        <f t="shared" si="22"/>
        <v/>
      </c>
      <c r="Q46" s="28" t="str">
        <f>IF(AND(ISBLANK(S46),R46=""),"",1+MAX(Q$18:Q45))</f>
        <v/>
      </c>
      <c r="R46" s="150" t="str">
        <f>IF(OR(N46="",N46=0,$J46="",$J46=0,NOT(ISNUMBER($J46)),NOT(ISNUMBER(N46))),IF(AND($G46&lt;&gt;"",AND(OR(ISNUMBER(N46),N46=""),AND(ISNUMBER($J46),$J46&gt;0))),'Feuille de Donnée'!$K$13,""),IF(N46&lt;$J$165*'Feuille de Donnée'!$I$9,"Négligeable",(IF(AND(L46&gt;=$H46*(1-'Feuille de Donnée'!$E$12),L46&lt;=$H46*(1+'Feuille de Donnée'!$F$12)),'Feuille de Donnée'!$F$17,IF(L46&lt;$H46*(1-'Feuille de Donnée'!$E$12),'Feuille de Donnée'!$F$18,'Feuille de Donnée'!$F$16))&amp;""&amp;IF(AND(M46&gt;=$I46*(1-'Feuille de Donnée'!$E$27),M46&lt;=$I46*(1+'Feuille de Donnée'!$F$27)),'Feuille de Donnée'!$F$32,IF(M46&lt;$I46*(1-'Feuille de Donnée'!$E$27),'Feuille de Donnée'!$F$33,'Feuille de Donnée'!$F$31)))))</f>
        <v/>
      </c>
      <c r="S46" s="151"/>
      <c r="T46" s="110"/>
      <c r="U46" s="28"/>
      <c r="V46" s="28"/>
      <c r="W46" s="28" t="str">
        <f t="shared" si="23"/>
        <v/>
      </c>
      <c r="X46" s="128" t="str">
        <f t="shared" si="24"/>
        <v/>
      </c>
      <c r="Y46" s="128" t="str">
        <f t="shared" si="25"/>
        <v/>
      </c>
      <c r="Z46" s="28" t="str">
        <f>IF(AND(ISBLANK(AB46),AA46=""),"",1+MAX(Z$18:Z45))</f>
        <v/>
      </c>
      <c r="AA46" s="150" t="str">
        <f>IF(OR(W46="",W46=0,$J46="",$J46=0,NOT(ISNUMBER($J46)),NOT(ISNUMBER(W46))),IF(AND($G46&lt;&gt;"",AND(OR(ISNUMBER(W46),W46=""),AND(ISNUMBER($J46),$J46&gt;0))),'Feuille de Donnée'!$K$13,""),IF(W46&lt;$J$165*'Feuille de Donnée'!$I$9,"Négligeable",(IF(AND(U46&gt;=$H46*(1-'Feuille de Donnée'!$E$12),U46&lt;=$H46*(1+'Feuille de Donnée'!$F$12)),'Feuille de Donnée'!$F$17,IF(U46&lt;$H46*(1-'Feuille de Donnée'!$E$12),'Feuille de Donnée'!$F$18,'Feuille de Donnée'!$F$16))&amp;""&amp;IF(AND(V46&gt;=$I46*(1-'Feuille de Donnée'!$E$27),V46&lt;=$I46*(1+'Feuille de Donnée'!$F$27)),'Feuille de Donnée'!$F$32,IF(V46&lt;$I46*(1-'Feuille de Donnée'!$E$27),'Feuille de Donnée'!$F$33,'Feuille de Donnée'!$F$31)))))</f>
        <v/>
      </c>
      <c r="AB46" s="151"/>
      <c r="AC46" s="110"/>
      <c r="AD46" s="28"/>
      <c r="AE46" s="28"/>
      <c r="AF46" s="28" t="str">
        <f t="shared" si="26"/>
        <v/>
      </c>
      <c r="AG46" s="128" t="str">
        <f t="shared" si="27"/>
        <v/>
      </c>
      <c r="AH46" s="128" t="str">
        <f t="shared" si="28"/>
        <v/>
      </c>
      <c r="AI46" s="28" t="str">
        <f>IF(AND(ISBLANK(AK46),AJ46=""),"",1+MAX(AI$18:AI45))</f>
        <v/>
      </c>
      <c r="AJ46" s="150" t="str">
        <f>IF(OR(AF46="",AF46=0,$J46="",$J46=0,NOT(ISNUMBER($J46)),NOT(ISNUMBER(AF46))),IF(AND($G46&lt;&gt;"",AND(OR(ISNUMBER(AF46),AF46=""),AND(ISNUMBER($J46),$J46&gt;0))),'Feuille de Donnée'!$K$13,""),IF(AF46&lt;$J$165*'Feuille de Donnée'!$I$9,"Négligeable",(IF(AND(AD46&gt;=$H46*(1-'Feuille de Donnée'!$E$12),AD46&lt;=$H46*(1+'Feuille de Donnée'!$F$12)),'Feuille de Donnée'!$F$17,IF(AD46&lt;$H46*(1-'Feuille de Donnée'!$E$12),'Feuille de Donnée'!$F$18,'Feuille de Donnée'!$F$16))&amp;""&amp;IF(AND(AE46&gt;=$I46*(1-'Feuille de Donnée'!$E$27),AE46&lt;=$I46*(1+'Feuille de Donnée'!$F$27)),'Feuille de Donnée'!$F$32,IF(AE46&lt;$I46*(1-'Feuille de Donnée'!$E$27),'Feuille de Donnée'!$F$33,'Feuille de Donnée'!$F$31)))))</f>
        <v/>
      </c>
      <c r="AK46" s="151"/>
      <c r="AL46" s="110"/>
      <c r="AM46" s="28"/>
      <c r="AN46" s="28"/>
      <c r="AO46" s="28" t="str">
        <f t="shared" si="29"/>
        <v/>
      </c>
      <c r="AP46" s="128" t="str">
        <f t="shared" si="30"/>
        <v/>
      </c>
      <c r="AQ46" s="128" t="str">
        <f t="shared" si="31"/>
        <v/>
      </c>
      <c r="AR46" s="28" t="str">
        <f>IF(AND(ISBLANK(AT46),AS46=""),"",1+MAX(AR$18:AR45))</f>
        <v/>
      </c>
      <c r="AS46" s="150" t="str">
        <f>IF(OR(AO46="",AO46=0,$J46="",$J46=0,NOT(ISNUMBER($J46)),NOT(ISNUMBER(AO46))),IF(AND($G46&lt;&gt;"",AND(OR(ISNUMBER(AO46),AO46=""),AND(ISNUMBER($J46),$J46&gt;0))),'Feuille de Donnée'!$K$13,""),IF(AO46&lt;$J$165*'Feuille de Donnée'!$I$9,"Négligeable",(IF(AND(AM46&gt;=$H46*(1-'Feuille de Donnée'!$E$12),AM46&lt;=$H46*(1+'Feuille de Donnée'!$F$12)),'Feuille de Donnée'!$F$17,IF(AM46&lt;$H46*(1-'Feuille de Donnée'!$E$12),'Feuille de Donnée'!$F$18,'Feuille de Donnée'!$F$16))&amp;""&amp;IF(AND(AN46&gt;=$I46*(1-'Feuille de Donnée'!$E$27),AN46&lt;=$I46*(1+'Feuille de Donnée'!$F$27)),'Feuille de Donnée'!$F$32,IF(AN46&lt;$I46*(1-'Feuille de Donnée'!$E$27),'Feuille de Donnée'!$F$33,'Feuille de Donnée'!$F$31)))))</f>
        <v/>
      </c>
      <c r="AT46" s="151"/>
      <c r="AU46" s="110"/>
      <c r="AV46" s="28"/>
      <c r="AW46" s="28"/>
      <c r="AX46" s="28" t="str">
        <f t="shared" si="32"/>
        <v/>
      </c>
      <c r="AY46" s="128" t="str">
        <f t="shared" si="33"/>
        <v/>
      </c>
      <c r="AZ46" s="128" t="str">
        <f t="shared" si="34"/>
        <v/>
      </c>
      <c r="BA46" s="28" t="str">
        <f>IF(AND(ISBLANK(BC46),BB46=""),"",1+MAX(BA$18:BA45))</f>
        <v/>
      </c>
      <c r="BB46" s="150" t="str">
        <f>IF(OR(AX46="",AX46=0,$J46="",$J46=0,NOT(ISNUMBER($J46)),NOT(ISNUMBER(AX46))),IF(AND($G46&lt;&gt;"",AND(OR(ISNUMBER(AX46),AX46=""),AND(ISNUMBER($J46),$J46&gt;0))),'Feuille de Donnée'!$K$13,""),IF(AX46&lt;$J$165*'Feuille de Donnée'!$I$9,"Négligeable",(IF(AND(AV46&gt;=$H46*(1-'Feuille de Donnée'!$E$12),AV46&lt;=$H46*(1+'Feuille de Donnée'!$F$12)),'Feuille de Donnée'!$F$17,IF(AV46&lt;$H46*(1-'Feuille de Donnée'!$E$12),'Feuille de Donnée'!$F$18,'Feuille de Donnée'!$F$16))&amp;""&amp;IF(AND(AW46&gt;=$I46*(1-'Feuille de Donnée'!$E$27),AW46&lt;=$I46*(1+'Feuille de Donnée'!$F$27)),'Feuille de Donnée'!$F$32,IF(AW46&lt;$I46*(1-'Feuille de Donnée'!$E$27),'Feuille de Donnée'!$F$33,'Feuille de Donnée'!$F$31)))))</f>
        <v/>
      </c>
      <c r="BC46" s="151"/>
      <c r="BD46" s="110"/>
      <c r="BE46" s="28"/>
      <c r="BF46" s="28"/>
      <c r="BG46" s="28" t="str">
        <f t="shared" si="35"/>
        <v/>
      </c>
      <c r="BH46" s="128" t="str">
        <f t="shared" si="36"/>
        <v/>
      </c>
      <c r="BI46" s="128" t="str">
        <f t="shared" si="37"/>
        <v/>
      </c>
      <c r="BJ46" s="28" t="str">
        <f>IF(AND(ISBLANK(BL46),BK46=""),"",1+MAX(BJ$18:BJ45))</f>
        <v/>
      </c>
      <c r="BK46" s="150" t="str">
        <f>IF(OR(BG46="",BG46=0,$J46="",$J46=0,NOT(ISNUMBER($J46)),NOT(ISNUMBER(BG46))),IF(AND($G46&lt;&gt;"",AND(OR(ISNUMBER(BG46),BG46=""),AND(ISNUMBER($J46),$J46&gt;0))),'Feuille de Donnée'!$K$13,""),IF(BG46&lt;$J$165*'Feuille de Donnée'!$I$9,"Négligeable",(IF(AND(BE46&gt;=$H46*(1-'Feuille de Donnée'!$E$12),BE46&lt;=$H46*(1+'Feuille de Donnée'!$F$12)),'Feuille de Donnée'!$F$17,IF(BE46&lt;$H46*(1-'Feuille de Donnée'!$E$12),'Feuille de Donnée'!$F$18,'Feuille de Donnée'!$F$16))&amp;""&amp;IF(AND(BF46&gt;=$I46*(1-'Feuille de Donnée'!$E$27),BF46&lt;=$I46*(1+'Feuille de Donnée'!$F$27)),'Feuille de Donnée'!$F$32,IF(BF46&lt;$I46*(1-'Feuille de Donnée'!$E$27),'Feuille de Donnée'!$F$33,'Feuille de Donnée'!$F$31)))))</f>
        <v/>
      </c>
      <c r="BL46" s="151"/>
      <c r="BM46" s="153"/>
    </row>
    <row r="47" spans="1:65" s="7" customFormat="1" x14ac:dyDescent="0.3">
      <c r="A47" s="24"/>
      <c r="B47" s="25"/>
      <c r="C47" s="25"/>
      <c r="D47" s="25"/>
      <c r="E47" s="25"/>
      <c r="F47" s="25"/>
      <c r="G47" s="23"/>
      <c r="H47" s="26"/>
      <c r="I47" s="27"/>
      <c r="J47" s="109" t="str">
        <f t="shared" si="19"/>
        <v/>
      </c>
      <c r="K47" s="110"/>
      <c r="L47" s="28"/>
      <c r="M47" s="28"/>
      <c r="N47" s="28" t="str">
        <f t="shared" si="20"/>
        <v/>
      </c>
      <c r="O47" s="128" t="str">
        <f t="shared" si="21"/>
        <v/>
      </c>
      <c r="P47" s="128" t="str">
        <f t="shared" si="22"/>
        <v/>
      </c>
      <c r="Q47" s="28" t="str">
        <f>IF(AND(ISBLANK(S47),R47=""),"",1+MAX(Q$18:Q46))</f>
        <v/>
      </c>
      <c r="R47" s="150" t="str">
        <f>IF(OR(N47="",N47=0,$J47="",$J47=0,NOT(ISNUMBER($J47)),NOT(ISNUMBER(N47))),IF(AND($G47&lt;&gt;"",AND(OR(ISNUMBER(N47),N47=""),AND(ISNUMBER($J47),$J47&gt;0))),'Feuille de Donnée'!$K$13,""),IF(N47&lt;$J$165*'Feuille de Donnée'!$I$9,"Négligeable",(IF(AND(L47&gt;=$H47*(1-'Feuille de Donnée'!$E$12),L47&lt;=$H47*(1+'Feuille de Donnée'!$F$12)),'Feuille de Donnée'!$F$17,IF(L47&lt;$H47*(1-'Feuille de Donnée'!$E$12),'Feuille de Donnée'!$F$18,'Feuille de Donnée'!$F$16))&amp;""&amp;IF(AND(M47&gt;=$I47*(1-'Feuille de Donnée'!$E$27),M47&lt;=$I47*(1+'Feuille de Donnée'!$F$27)),'Feuille de Donnée'!$F$32,IF(M47&lt;$I47*(1-'Feuille de Donnée'!$E$27),'Feuille de Donnée'!$F$33,'Feuille de Donnée'!$F$31)))))</f>
        <v/>
      </c>
      <c r="S47" s="151"/>
      <c r="T47" s="110"/>
      <c r="U47" s="28"/>
      <c r="V47" s="28"/>
      <c r="W47" s="28" t="str">
        <f t="shared" si="23"/>
        <v/>
      </c>
      <c r="X47" s="128" t="str">
        <f t="shared" si="24"/>
        <v/>
      </c>
      <c r="Y47" s="128" t="str">
        <f t="shared" si="25"/>
        <v/>
      </c>
      <c r="Z47" s="28" t="str">
        <f>IF(AND(ISBLANK(AB47),AA47=""),"",1+MAX(Z$18:Z46))</f>
        <v/>
      </c>
      <c r="AA47" s="150" t="str">
        <f>IF(OR(W47="",W47=0,$J47="",$J47=0,NOT(ISNUMBER($J47)),NOT(ISNUMBER(W47))),IF(AND($G47&lt;&gt;"",AND(OR(ISNUMBER(W47),W47=""),AND(ISNUMBER($J47),$J47&gt;0))),'Feuille de Donnée'!$K$13,""),IF(W47&lt;$J$165*'Feuille de Donnée'!$I$9,"Négligeable",(IF(AND(U47&gt;=$H47*(1-'Feuille de Donnée'!$E$12),U47&lt;=$H47*(1+'Feuille de Donnée'!$F$12)),'Feuille de Donnée'!$F$17,IF(U47&lt;$H47*(1-'Feuille de Donnée'!$E$12),'Feuille de Donnée'!$F$18,'Feuille de Donnée'!$F$16))&amp;""&amp;IF(AND(V47&gt;=$I47*(1-'Feuille de Donnée'!$E$27),V47&lt;=$I47*(1+'Feuille de Donnée'!$F$27)),'Feuille de Donnée'!$F$32,IF(V47&lt;$I47*(1-'Feuille de Donnée'!$E$27),'Feuille de Donnée'!$F$33,'Feuille de Donnée'!$F$31)))))</f>
        <v/>
      </c>
      <c r="AB47" s="151"/>
      <c r="AC47" s="110"/>
      <c r="AD47" s="28"/>
      <c r="AE47" s="28"/>
      <c r="AF47" s="28" t="str">
        <f t="shared" si="26"/>
        <v/>
      </c>
      <c r="AG47" s="128" t="str">
        <f t="shared" si="27"/>
        <v/>
      </c>
      <c r="AH47" s="128" t="str">
        <f t="shared" si="28"/>
        <v/>
      </c>
      <c r="AI47" s="28" t="str">
        <f>IF(AND(ISBLANK(AK47),AJ47=""),"",1+MAX(AI$18:AI46))</f>
        <v/>
      </c>
      <c r="AJ47" s="150" t="str">
        <f>IF(OR(AF47="",AF47=0,$J47="",$J47=0,NOT(ISNUMBER($J47)),NOT(ISNUMBER(AF47))),IF(AND($G47&lt;&gt;"",AND(OR(ISNUMBER(AF47),AF47=""),AND(ISNUMBER($J47),$J47&gt;0))),'Feuille de Donnée'!$K$13,""),IF(AF47&lt;$J$165*'Feuille de Donnée'!$I$9,"Négligeable",(IF(AND(AD47&gt;=$H47*(1-'Feuille de Donnée'!$E$12),AD47&lt;=$H47*(1+'Feuille de Donnée'!$F$12)),'Feuille de Donnée'!$F$17,IF(AD47&lt;$H47*(1-'Feuille de Donnée'!$E$12),'Feuille de Donnée'!$F$18,'Feuille de Donnée'!$F$16))&amp;""&amp;IF(AND(AE47&gt;=$I47*(1-'Feuille de Donnée'!$E$27),AE47&lt;=$I47*(1+'Feuille de Donnée'!$F$27)),'Feuille de Donnée'!$F$32,IF(AE47&lt;$I47*(1-'Feuille de Donnée'!$E$27),'Feuille de Donnée'!$F$33,'Feuille de Donnée'!$F$31)))))</f>
        <v/>
      </c>
      <c r="AK47" s="151"/>
      <c r="AL47" s="110"/>
      <c r="AM47" s="28"/>
      <c r="AN47" s="28"/>
      <c r="AO47" s="28" t="str">
        <f t="shared" si="29"/>
        <v/>
      </c>
      <c r="AP47" s="128" t="str">
        <f t="shared" si="30"/>
        <v/>
      </c>
      <c r="AQ47" s="128" t="str">
        <f t="shared" si="31"/>
        <v/>
      </c>
      <c r="AR47" s="28" t="str">
        <f>IF(AND(ISBLANK(AT47),AS47=""),"",1+MAX(AR$18:AR46))</f>
        <v/>
      </c>
      <c r="AS47" s="150" t="str">
        <f>IF(OR(AO47="",AO47=0,$J47="",$J47=0,NOT(ISNUMBER($J47)),NOT(ISNUMBER(AO47))),IF(AND($G47&lt;&gt;"",AND(OR(ISNUMBER(AO47),AO47=""),AND(ISNUMBER($J47),$J47&gt;0))),'Feuille de Donnée'!$K$13,""),IF(AO47&lt;$J$165*'Feuille de Donnée'!$I$9,"Négligeable",(IF(AND(AM47&gt;=$H47*(1-'Feuille de Donnée'!$E$12),AM47&lt;=$H47*(1+'Feuille de Donnée'!$F$12)),'Feuille de Donnée'!$F$17,IF(AM47&lt;$H47*(1-'Feuille de Donnée'!$E$12),'Feuille de Donnée'!$F$18,'Feuille de Donnée'!$F$16))&amp;""&amp;IF(AND(AN47&gt;=$I47*(1-'Feuille de Donnée'!$E$27),AN47&lt;=$I47*(1+'Feuille de Donnée'!$F$27)),'Feuille de Donnée'!$F$32,IF(AN47&lt;$I47*(1-'Feuille de Donnée'!$E$27),'Feuille de Donnée'!$F$33,'Feuille de Donnée'!$F$31)))))</f>
        <v/>
      </c>
      <c r="AT47" s="151"/>
      <c r="AU47" s="110"/>
      <c r="AV47" s="28"/>
      <c r="AW47" s="28"/>
      <c r="AX47" s="28" t="str">
        <f t="shared" si="32"/>
        <v/>
      </c>
      <c r="AY47" s="128" t="str">
        <f t="shared" si="33"/>
        <v/>
      </c>
      <c r="AZ47" s="128" t="str">
        <f t="shared" si="34"/>
        <v/>
      </c>
      <c r="BA47" s="28" t="str">
        <f>IF(AND(ISBLANK(BC47),BB47=""),"",1+MAX(BA$18:BA46))</f>
        <v/>
      </c>
      <c r="BB47" s="150" t="str">
        <f>IF(OR(AX47="",AX47=0,$J47="",$J47=0,NOT(ISNUMBER($J47)),NOT(ISNUMBER(AX47))),IF(AND($G47&lt;&gt;"",AND(OR(ISNUMBER(AX47),AX47=""),AND(ISNUMBER($J47),$J47&gt;0))),'Feuille de Donnée'!$K$13,""),IF(AX47&lt;$J$165*'Feuille de Donnée'!$I$9,"Négligeable",(IF(AND(AV47&gt;=$H47*(1-'Feuille de Donnée'!$E$12),AV47&lt;=$H47*(1+'Feuille de Donnée'!$F$12)),'Feuille de Donnée'!$F$17,IF(AV47&lt;$H47*(1-'Feuille de Donnée'!$E$12),'Feuille de Donnée'!$F$18,'Feuille de Donnée'!$F$16))&amp;""&amp;IF(AND(AW47&gt;=$I47*(1-'Feuille de Donnée'!$E$27),AW47&lt;=$I47*(1+'Feuille de Donnée'!$F$27)),'Feuille de Donnée'!$F$32,IF(AW47&lt;$I47*(1-'Feuille de Donnée'!$E$27),'Feuille de Donnée'!$F$33,'Feuille de Donnée'!$F$31)))))</f>
        <v/>
      </c>
      <c r="BC47" s="151"/>
      <c r="BD47" s="110"/>
      <c r="BE47" s="28"/>
      <c r="BF47" s="28"/>
      <c r="BG47" s="28" t="str">
        <f t="shared" si="35"/>
        <v/>
      </c>
      <c r="BH47" s="128" t="str">
        <f t="shared" si="36"/>
        <v/>
      </c>
      <c r="BI47" s="128" t="str">
        <f t="shared" si="37"/>
        <v/>
      </c>
      <c r="BJ47" s="28" t="str">
        <f>IF(AND(ISBLANK(BL47),BK47=""),"",1+MAX(BJ$18:BJ46))</f>
        <v/>
      </c>
      <c r="BK47" s="150" t="str">
        <f>IF(OR(BG47="",BG47=0,$J47="",$J47=0,NOT(ISNUMBER($J47)),NOT(ISNUMBER(BG47))),IF(AND($G47&lt;&gt;"",AND(OR(ISNUMBER(BG47),BG47=""),AND(ISNUMBER($J47),$J47&gt;0))),'Feuille de Donnée'!$K$13,""),IF(BG47&lt;$J$165*'Feuille de Donnée'!$I$9,"Négligeable",(IF(AND(BE47&gt;=$H47*(1-'Feuille de Donnée'!$E$12),BE47&lt;=$H47*(1+'Feuille de Donnée'!$F$12)),'Feuille de Donnée'!$F$17,IF(BE47&lt;$H47*(1-'Feuille de Donnée'!$E$12),'Feuille de Donnée'!$F$18,'Feuille de Donnée'!$F$16))&amp;""&amp;IF(AND(BF47&gt;=$I47*(1-'Feuille de Donnée'!$E$27),BF47&lt;=$I47*(1+'Feuille de Donnée'!$F$27)),'Feuille de Donnée'!$F$32,IF(BF47&lt;$I47*(1-'Feuille de Donnée'!$E$27),'Feuille de Donnée'!$F$33,'Feuille de Donnée'!$F$31)))))</f>
        <v/>
      </c>
      <c r="BL47" s="151"/>
      <c r="BM47" s="153"/>
    </row>
    <row r="48" spans="1:65" s="7" customFormat="1" x14ac:dyDescent="0.3">
      <c r="A48" s="24"/>
      <c r="B48" s="25"/>
      <c r="C48" s="25"/>
      <c r="D48" s="25"/>
      <c r="E48" s="25"/>
      <c r="F48" s="25"/>
      <c r="G48" s="23"/>
      <c r="H48" s="26"/>
      <c r="I48" s="27"/>
      <c r="J48" s="109" t="str">
        <f t="shared" si="19"/>
        <v/>
      </c>
      <c r="K48" s="110"/>
      <c r="L48" s="28"/>
      <c r="M48" s="28"/>
      <c r="N48" s="28" t="str">
        <f t="shared" si="20"/>
        <v/>
      </c>
      <c r="O48" s="128" t="str">
        <f t="shared" si="21"/>
        <v/>
      </c>
      <c r="P48" s="128" t="str">
        <f t="shared" si="22"/>
        <v/>
      </c>
      <c r="Q48" s="28" t="str">
        <f>IF(AND(ISBLANK(S48),R48=""),"",1+MAX(Q$18:Q47))</f>
        <v/>
      </c>
      <c r="R48" s="150" t="str">
        <f>IF(OR(N48="",N48=0,$J48="",$J48=0,NOT(ISNUMBER($J48)),NOT(ISNUMBER(N48))),IF(AND($G48&lt;&gt;"",AND(OR(ISNUMBER(N48),N48=""),AND(ISNUMBER($J48),$J48&gt;0))),'Feuille de Donnée'!$K$13,""),IF(N48&lt;$J$165*'Feuille de Donnée'!$I$9,"Négligeable",(IF(AND(L48&gt;=$H48*(1-'Feuille de Donnée'!$E$12),L48&lt;=$H48*(1+'Feuille de Donnée'!$F$12)),'Feuille de Donnée'!$F$17,IF(L48&lt;$H48*(1-'Feuille de Donnée'!$E$12),'Feuille de Donnée'!$F$18,'Feuille de Donnée'!$F$16))&amp;""&amp;IF(AND(M48&gt;=$I48*(1-'Feuille de Donnée'!$E$27),M48&lt;=$I48*(1+'Feuille de Donnée'!$F$27)),'Feuille de Donnée'!$F$32,IF(M48&lt;$I48*(1-'Feuille de Donnée'!$E$27),'Feuille de Donnée'!$F$33,'Feuille de Donnée'!$F$31)))))</f>
        <v/>
      </c>
      <c r="S48" s="151"/>
      <c r="T48" s="110"/>
      <c r="U48" s="28"/>
      <c r="V48" s="28"/>
      <c r="W48" s="28" t="str">
        <f t="shared" si="23"/>
        <v/>
      </c>
      <c r="X48" s="128" t="str">
        <f t="shared" si="24"/>
        <v/>
      </c>
      <c r="Y48" s="128" t="str">
        <f t="shared" si="25"/>
        <v/>
      </c>
      <c r="Z48" s="28" t="str">
        <f>IF(AND(ISBLANK(AB48),AA48=""),"",1+MAX(Z$18:Z47))</f>
        <v/>
      </c>
      <c r="AA48" s="150" t="str">
        <f>IF(OR(W48="",W48=0,$J48="",$J48=0,NOT(ISNUMBER($J48)),NOT(ISNUMBER(W48))),IF(AND($G48&lt;&gt;"",AND(OR(ISNUMBER(W48),W48=""),AND(ISNUMBER($J48),$J48&gt;0))),'Feuille de Donnée'!$K$13,""),IF(W48&lt;$J$165*'Feuille de Donnée'!$I$9,"Négligeable",(IF(AND(U48&gt;=$H48*(1-'Feuille de Donnée'!$E$12),U48&lt;=$H48*(1+'Feuille de Donnée'!$F$12)),'Feuille de Donnée'!$F$17,IF(U48&lt;$H48*(1-'Feuille de Donnée'!$E$12),'Feuille de Donnée'!$F$18,'Feuille de Donnée'!$F$16))&amp;""&amp;IF(AND(V48&gt;=$I48*(1-'Feuille de Donnée'!$E$27),V48&lt;=$I48*(1+'Feuille de Donnée'!$F$27)),'Feuille de Donnée'!$F$32,IF(V48&lt;$I48*(1-'Feuille de Donnée'!$E$27),'Feuille de Donnée'!$F$33,'Feuille de Donnée'!$F$31)))))</f>
        <v/>
      </c>
      <c r="AB48" s="151"/>
      <c r="AC48" s="110"/>
      <c r="AD48" s="28"/>
      <c r="AE48" s="28"/>
      <c r="AF48" s="28" t="str">
        <f t="shared" si="26"/>
        <v/>
      </c>
      <c r="AG48" s="128" t="str">
        <f t="shared" si="27"/>
        <v/>
      </c>
      <c r="AH48" s="128" t="str">
        <f t="shared" si="28"/>
        <v/>
      </c>
      <c r="AI48" s="28" t="str">
        <f>IF(AND(ISBLANK(AK48),AJ48=""),"",1+MAX(AI$18:AI47))</f>
        <v/>
      </c>
      <c r="AJ48" s="150" t="str">
        <f>IF(OR(AF48="",AF48=0,$J48="",$J48=0,NOT(ISNUMBER($J48)),NOT(ISNUMBER(AF48))),IF(AND($G48&lt;&gt;"",AND(OR(ISNUMBER(AF48),AF48=""),AND(ISNUMBER($J48),$J48&gt;0))),'Feuille de Donnée'!$K$13,""),IF(AF48&lt;$J$165*'Feuille de Donnée'!$I$9,"Négligeable",(IF(AND(AD48&gt;=$H48*(1-'Feuille de Donnée'!$E$12),AD48&lt;=$H48*(1+'Feuille de Donnée'!$F$12)),'Feuille de Donnée'!$F$17,IF(AD48&lt;$H48*(1-'Feuille de Donnée'!$E$12),'Feuille de Donnée'!$F$18,'Feuille de Donnée'!$F$16))&amp;""&amp;IF(AND(AE48&gt;=$I48*(1-'Feuille de Donnée'!$E$27),AE48&lt;=$I48*(1+'Feuille de Donnée'!$F$27)),'Feuille de Donnée'!$F$32,IF(AE48&lt;$I48*(1-'Feuille de Donnée'!$E$27),'Feuille de Donnée'!$F$33,'Feuille de Donnée'!$F$31)))))</f>
        <v/>
      </c>
      <c r="AK48" s="151"/>
      <c r="AL48" s="110"/>
      <c r="AM48" s="28"/>
      <c r="AN48" s="28"/>
      <c r="AO48" s="28" t="str">
        <f t="shared" si="29"/>
        <v/>
      </c>
      <c r="AP48" s="128" t="str">
        <f t="shared" si="30"/>
        <v/>
      </c>
      <c r="AQ48" s="128" t="str">
        <f t="shared" si="31"/>
        <v/>
      </c>
      <c r="AR48" s="28" t="str">
        <f>IF(AND(ISBLANK(AT48),AS48=""),"",1+MAX(AR$18:AR47))</f>
        <v/>
      </c>
      <c r="AS48" s="150" t="str">
        <f>IF(OR(AO48="",AO48=0,$J48="",$J48=0,NOT(ISNUMBER($J48)),NOT(ISNUMBER(AO48))),IF(AND($G48&lt;&gt;"",AND(OR(ISNUMBER(AO48),AO48=""),AND(ISNUMBER($J48),$J48&gt;0))),'Feuille de Donnée'!$K$13,""),IF(AO48&lt;$J$165*'Feuille de Donnée'!$I$9,"Négligeable",(IF(AND(AM48&gt;=$H48*(1-'Feuille de Donnée'!$E$12),AM48&lt;=$H48*(1+'Feuille de Donnée'!$F$12)),'Feuille de Donnée'!$F$17,IF(AM48&lt;$H48*(1-'Feuille de Donnée'!$E$12),'Feuille de Donnée'!$F$18,'Feuille de Donnée'!$F$16))&amp;""&amp;IF(AND(AN48&gt;=$I48*(1-'Feuille de Donnée'!$E$27),AN48&lt;=$I48*(1+'Feuille de Donnée'!$F$27)),'Feuille de Donnée'!$F$32,IF(AN48&lt;$I48*(1-'Feuille de Donnée'!$E$27),'Feuille de Donnée'!$F$33,'Feuille de Donnée'!$F$31)))))</f>
        <v/>
      </c>
      <c r="AT48" s="151"/>
      <c r="AU48" s="110"/>
      <c r="AV48" s="28"/>
      <c r="AW48" s="28"/>
      <c r="AX48" s="28" t="str">
        <f t="shared" si="32"/>
        <v/>
      </c>
      <c r="AY48" s="128" t="str">
        <f t="shared" si="33"/>
        <v/>
      </c>
      <c r="AZ48" s="128" t="str">
        <f t="shared" si="34"/>
        <v/>
      </c>
      <c r="BA48" s="28" t="str">
        <f>IF(AND(ISBLANK(BC48),BB48=""),"",1+MAX(BA$18:BA47))</f>
        <v/>
      </c>
      <c r="BB48" s="150" t="str">
        <f>IF(OR(AX48="",AX48=0,$J48="",$J48=0,NOT(ISNUMBER($J48)),NOT(ISNUMBER(AX48))),IF(AND($G48&lt;&gt;"",AND(OR(ISNUMBER(AX48),AX48=""),AND(ISNUMBER($J48),$J48&gt;0))),'Feuille de Donnée'!$K$13,""),IF(AX48&lt;$J$165*'Feuille de Donnée'!$I$9,"Négligeable",(IF(AND(AV48&gt;=$H48*(1-'Feuille de Donnée'!$E$12),AV48&lt;=$H48*(1+'Feuille de Donnée'!$F$12)),'Feuille de Donnée'!$F$17,IF(AV48&lt;$H48*(1-'Feuille de Donnée'!$E$12),'Feuille de Donnée'!$F$18,'Feuille de Donnée'!$F$16))&amp;""&amp;IF(AND(AW48&gt;=$I48*(1-'Feuille de Donnée'!$E$27),AW48&lt;=$I48*(1+'Feuille de Donnée'!$F$27)),'Feuille de Donnée'!$F$32,IF(AW48&lt;$I48*(1-'Feuille de Donnée'!$E$27),'Feuille de Donnée'!$F$33,'Feuille de Donnée'!$F$31)))))</f>
        <v/>
      </c>
      <c r="BC48" s="151"/>
      <c r="BD48" s="110"/>
      <c r="BE48" s="28"/>
      <c r="BF48" s="28"/>
      <c r="BG48" s="28" t="str">
        <f t="shared" si="35"/>
        <v/>
      </c>
      <c r="BH48" s="128" t="str">
        <f t="shared" si="36"/>
        <v/>
      </c>
      <c r="BI48" s="128" t="str">
        <f t="shared" si="37"/>
        <v/>
      </c>
      <c r="BJ48" s="28" t="str">
        <f>IF(AND(ISBLANK(BL48),BK48=""),"",1+MAX(BJ$18:BJ47))</f>
        <v/>
      </c>
      <c r="BK48" s="150" t="str">
        <f>IF(OR(BG48="",BG48=0,$J48="",$J48=0,NOT(ISNUMBER($J48)),NOT(ISNUMBER(BG48))),IF(AND($G48&lt;&gt;"",AND(OR(ISNUMBER(BG48),BG48=""),AND(ISNUMBER($J48),$J48&gt;0))),'Feuille de Donnée'!$K$13,""),IF(BG48&lt;$J$165*'Feuille de Donnée'!$I$9,"Négligeable",(IF(AND(BE48&gt;=$H48*(1-'Feuille de Donnée'!$E$12),BE48&lt;=$H48*(1+'Feuille de Donnée'!$F$12)),'Feuille de Donnée'!$F$17,IF(BE48&lt;$H48*(1-'Feuille de Donnée'!$E$12),'Feuille de Donnée'!$F$18,'Feuille de Donnée'!$F$16))&amp;""&amp;IF(AND(BF48&gt;=$I48*(1-'Feuille de Donnée'!$E$27),BF48&lt;=$I48*(1+'Feuille de Donnée'!$F$27)),'Feuille de Donnée'!$F$32,IF(BF48&lt;$I48*(1-'Feuille de Donnée'!$E$27),'Feuille de Donnée'!$F$33,'Feuille de Donnée'!$F$31)))))</f>
        <v/>
      </c>
      <c r="BL48" s="151"/>
      <c r="BM48" s="153"/>
    </row>
    <row r="49" spans="1:65" s="7" customFormat="1" x14ac:dyDescent="0.3">
      <c r="A49" s="24"/>
      <c r="B49" s="25"/>
      <c r="C49" s="25"/>
      <c r="D49" s="25"/>
      <c r="E49" s="25"/>
      <c r="F49" s="25"/>
      <c r="G49" s="23"/>
      <c r="H49" s="26"/>
      <c r="I49" s="27"/>
      <c r="J49" s="109" t="str">
        <f t="shared" si="19"/>
        <v/>
      </c>
      <c r="K49" s="110"/>
      <c r="L49" s="28"/>
      <c r="M49" s="28"/>
      <c r="N49" s="28" t="str">
        <f t="shared" si="20"/>
        <v/>
      </c>
      <c r="O49" s="128" t="str">
        <f t="shared" si="21"/>
        <v/>
      </c>
      <c r="P49" s="128" t="str">
        <f t="shared" si="22"/>
        <v/>
      </c>
      <c r="Q49" s="28" t="str">
        <f>IF(AND(ISBLANK(S49),R49=""),"",1+MAX(Q$18:Q48))</f>
        <v/>
      </c>
      <c r="R49" s="150" t="str">
        <f>IF(OR(N49="",N49=0,$J49="",$J49=0,NOT(ISNUMBER($J49)),NOT(ISNUMBER(N49))),IF(AND($G49&lt;&gt;"",AND(OR(ISNUMBER(N49),N49=""),AND(ISNUMBER($J49),$J49&gt;0))),'Feuille de Donnée'!$K$13,""),IF(N49&lt;$J$165*'Feuille de Donnée'!$I$9,"Négligeable",(IF(AND(L49&gt;=$H49*(1-'Feuille de Donnée'!$E$12),L49&lt;=$H49*(1+'Feuille de Donnée'!$F$12)),'Feuille de Donnée'!$F$17,IF(L49&lt;$H49*(1-'Feuille de Donnée'!$E$12),'Feuille de Donnée'!$F$18,'Feuille de Donnée'!$F$16))&amp;""&amp;IF(AND(M49&gt;=$I49*(1-'Feuille de Donnée'!$E$27),M49&lt;=$I49*(1+'Feuille de Donnée'!$F$27)),'Feuille de Donnée'!$F$32,IF(M49&lt;$I49*(1-'Feuille de Donnée'!$E$27),'Feuille de Donnée'!$F$33,'Feuille de Donnée'!$F$31)))))</f>
        <v/>
      </c>
      <c r="S49" s="151"/>
      <c r="T49" s="110"/>
      <c r="U49" s="28"/>
      <c r="V49" s="28"/>
      <c r="W49" s="28" t="str">
        <f t="shared" si="23"/>
        <v/>
      </c>
      <c r="X49" s="128" t="str">
        <f t="shared" si="24"/>
        <v/>
      </c>
      <c r="Y49" s="128" t="str">
        <f t="shared" si="25"/>
        <v/>
      </c>
      <c r="Z49" s="28" t="str">
        <f>IF(AND(ISBLANK(AB49),AA49=""),"",1+MAX(Z$18:Z48))</f>
        <v/>
      </c>
      <c r="AA49" s="150" t="str">
        <f>IF(OR(W49="",W49=0,$J49="",$J49=0,NOT(ISNUMBER($J49)),NOT(ISNUMBER(W49))),IF(AND($G49&lt;&gt;"",AND(OR(ISNUMBER(W49),W49=""),AND(ISNUMBER($J49),$J49&gt;0))),'Feuille de Donnée'!$K$13,""),IF(W49&lt;$J$165*'Feuille de Donnée'!$I$9,"Négligeable",(IF(AND(U49&gt;=$H49*(1-'Feuille de Donnée'!$E$12),U49&lt;=$H49*(1+'Feuille de Donnée'!$F$12)),'Feuille de Donnée'!$F$17,IF(U49&lt;$H49*(1-'Feuille de Donnée'!$E$12),'Feuille de Donnée'!$F$18,'Feuille de Donnée'!$F$16))&amp;""&amp;IF(AND(V49&gt;=$I49*(1-'Feuille de Donnée'!$E$27),V49&lt;=$I49*(1+'Feuille de Donnée'!$F$27)),'Feuille de Donnée'!$F$32,IF(V49&lt;$I49*(1-'Feuille de Donnée'!$E$27),'Feuille de Donnée'!$F$33,'Feuille de Donnée'!$F$31)))))</f>
        <v/>
      </c>
      <c r="AB49" s="151"/>
      <c r="AC49" s="110"/>
      <c r="AD49" s="28"/>
      <c r="AE49" s="28"/>
      <c r="AF49" s="28" t="str">
        <f t="shared" si="26"/>
        <v/>
      </c>
      <c r="AG49" s="128" t="str">
        <f t="shared" si="27"/>
        <v/>
      </c>
      <c r="AH49" s="128" t="str">
        <f t="shared" si="28"/>
        <v/>
      </c>
      <c r="AI49" s="28" t="str">
        <f>IF(AND(ISBLANK(AK49),AJ49=""),"",1+MAX(AI$18:AI48))</f>
        <v/>
      </c>
      <c r="AJ49" s="150" t="str">
        <f>IF(OR(AF49="",AF49=0,$J49="",$J49=0,NOT(ISNUMBER($J49)),NOT(ISNUMBER(AF49))),IF(AND($G49&lt;&gt;"",AND(OR(ISNUMBER(AF49),AF49=""),AND(ISNUMBER($J49),$J49&gt;0))),'Feuille de Donnée'!$K$13,""),IF(AF49&lt;$J$165*'Feuille de Donnée'!$I$9,"Négligeable",(IF(AND(AD49&gt;=$H49*(1-'Feuille de Donnée'!$E$12),AD49&lt;=$H49*(1+'Feuille de Donnée'!$F$12)),'Feuille de Donnée'!$F$17,IF(AD49&lt;$H49*(1-'Feuille de Donnée'!$E$12),'Feuille de Donnée'!$F$18,'Feuille de Donnée'!$F$16))&amp;""&amp;IF(AND(AE49&gt;=$I49*(1-'Feuille de Donnée'!$E$27),AE49&lt;=$I49*(1+'Feuille de Donnée'!$F$27)),'Feuille de Donnée'!$F$32,IF(AE49&lt;$I49*(1-'Feuille de Donnée'!$E$27),'Feuille de Donnée'!$F$33,'Feuille de Donnée'!$F$31)))))</f>
        <v/>
      </c>
      <c r="AK49" s="151"/>
      <c r="AL49" s="110"/>
      <c r="AM49" s="28"/>
      <c r="AN49" s="28"/>
      <c r="AO49" s="28" t="str">
        <f t="shared" si="29"/>
        <v/>
      </c>
      <c r="AP49" s="128" t="str">
        <f t="shared" si="30"/>
        <v/>
      </c>
      <c r="AQ49" s="128" t="str">
        <f t="shared" si="31"/>
        <v/>
      </c>
      <c r="AR49" s="28" t="str">
        <f>IF(AND(ISBLANK(AT49),AS49=""),"",1+MAX(AR$18:AR48))</f>
        <v/>
      </c>
      <c r="AS49" s="150" t="str">
        <f>IF(OR(AO49="",AO49=0,$J49="",$J49=0,NOT(ISNUMBER($J49)),NOT(ISNUMBER(AO49))),IF(AND($G49&lt;&gt;"",AND(OR(ISNUMBER(AO49),AO49=""),AND(ISNUMBER($J49),$J49&gt;0))),'Feuille de Donnée'!$K$13,""),IF(AO49&lt;$J$165*'Feuille de Donnée'!$I$9,"Négligeable",(IF(AND(AM49&gt;=$H49*(1-'Feuille de Donnée'!$E$12),AM49&lt;=$H49*(1+'Feuille de Donnée'!$F$12)),'Feuille de Donnée'!$F$17,IF(AM49&lt;$H49*(1-'Feuille de Donnée'!$E$12),'Feuille de Donnée'!$F$18,'Feuille de Donnée'!$F$16))&amp;""&amp;IF(AND(AN49&gt;=$I49*(1-'Feuille de Donnée'!$E$27),AN49&lt;=$I49*(1+'Feuille de Donnée'!$F$27)),'Feuille de Donnée'!$F$32,IF(AN49&lt;$I49*(1-'Feuille de Donnée'!$E$27),'Feuille de Donnée'!$F$33,'Feuille de Donnée'!$F$31)))))</f>
        <v/>
      </c>
      <c r="AT49" s="151"/>
      <c r="AU49" s="110"/>
      <c r="AV49" s="28"/>
      <c r="AW49" s="28"/>
      <c r="AX49" s="28" t="str">
        <f t="shared" si="32"/>
        <v/>
      </c>
      <c r="AY49" s="128" t="str">
        <f t="shared" si="33"/>
        <v/>
      </c>
      <c r="AZ49" s="128" t="str">
        <f t="shared" si="34"/>
        <v/>
      </c>
      <c r="BA49" s="28" t="str">
        <f>IF(AND(ISBLANK(BC49),BB49=""),"",1+MAX(BA$18:BA48))</f>
        <v/>
      </c>
      <c r="BB49" s="150" t="str">
        <f>IF(OR(AX49="",AX49=0,$J49="",$J49=0,NOT(ISNUMBER($J49)),NOT(ISNUMBER(AX49))),IF(AND($G49&lt;&gt;"",AND(OR(ISNUMBER(AX49),AX49=""),AND(ISNUMBER($J49),$J49&gt;0))),'Feuille de Donnée'!$K$13,""),IF(AX49&lt;$J$165*'Feuille de Donnée'!$I$9,"Négligeable",(IF(AND(AV49&gt;=$H49*(1-'Feuille de Donnée'!$E$12),AV49&lt;=$H49*(1+'Feuille de Donnée'!$F$12)),'Feuille de Donnée'!$F$17,IF(AV49&lt;$H49*(1-'Feuille de Donnée'!$E$12),'Feuille de Donnée'!$F$18,'Feuille de Donnée'!$F$16))&amp;""&amp;IF(AND(AW49&gt;=$I49*(1-'Feuille de Donnée'!$E$27),AW49&lt;=$I49*(1+'Feuille de Donnée'!$F$27)),'Feuille de Donnée'!$F$32,IF(AW49&lt;$I49*(1-'Feuille de Donnée'!$E$27),'Feuille de Donnée'!$F$33,'Feuille de Donnée'!$F$31)))))</f>
        <v/>
      </c>
      <c r="BC49" s="151"/>
      <c r="BD49" s="110"/>
      <c r="BE49" s="28"/>
      <c r="BF49" s="28"/>
      <c r="BG49" s="28" t="str">
        <f t="shared" si="35"/>
        <v/>
      </c>
      <c r="BH49" s="128" t="str">
        <f t="shared" si="36"/>
        <v/>
      </c>
      <c r="BI49" s="128" t="str">
        <f t="shared" si="37"/>
        <v/>
      </c>
      <c r="BJ49" s="28" t="str">
        <f>IF(AND(ISBLANK(BL49),BK49=""),"",1+MAX(BJ$18:BJ48))</f>
        <v/>
      </c>
      <c r="BK49" s="150" t="str">
        <f>IF(OR(BG49="",BG49=0,$J49="",$J49=0,NOT(ISNUMBER($J49)),NOT(ISNUMBER(BG49))),IF(AND($G49&lt;&gt;"",AND(OR(ISNUMBER(BG49),BG49=""),AND(ISNUMBER($J49),$J49&gt;0))),'Feuille de Donnée'!$K$13,""),IF(BG49&lt;$J$165*'Feuille de Donnée'!$I$9,"Négligeable",(IF(AND(BE49&gt;=$H49*(1-'Feuille de Donnée'!$E$12),BE49&lt;=$H49*(1+'Feuille de Donnée'!$F$12)),'Feuille de Donnée'!$F$17,IF(BE49&lt;$H49*(1-'Feuille de Donnée'!$E$12),'Feuille de Donnée'!$F$18,'Feuille de Donnée'!$F$16))&amp;""&amp;IF(AND(BF49&gt;=$I49*(1-'Feuille de Donnée'!$E$27),BF49&lt;=$I49*(1+'Feuille de Donnée'!$F$27)),'Feuille de Donnée'!$F$32,IF(BF49&lt;$I49*(1-'Feuille de Donnée'!$E$27),'Feuille de Donnée'!$F$33,'Feuille de Donnée'!$F$31)))))</f>
        <v/>
      </c>
      <c r="BL49" s="151"/>
      <c r="BM49" s="153"/>
    </row>
    <row r="50" spans="1:65" s="7" customFormat="1" x14ac:dyDescent="0.3">
      <c r="A50" s="24"/>
      <c r="B50" s="25"/>
      <c r="C50" s="25"/>
      <c r="D50" s="25"/>
      <c r="E50" s="25"/>
      <c r="F50" s="25"/>
      <c r="G50" s="23"/>
      <c r="H50" s="26"/>
      <c r="I50" s="27"/>
      <c r="J50" s="109" t="str">
        <f t="shared" si="19"/>
        <v/>
      </c>
      <c r="K50" s="110"/>
      <c r="L50" s="28"/>
      <c r="M50" s="28"/>
      <c r="N50" s="28" t="str">
        <f t="shared" si="20"/>
        <v/>
      </c>
      <c r="O50" s="128" t="str">
        <f t="shared" si="21"/>
        <v/>
      </c>
      <c r="P50" s="128" t="str">
        <f t="shared" si="22"/>
        <v/>
      </c>
      <c r="Q50" s="28" t="str">
        <f>IF(AND(ISBLANK(S50),R50=""),"",1+MAX(Q$18:Q49))</f>
        <v/>
      </c>
      <c r="R50" s="150" t="str">
        <f>IF(OR(N50="",N50=0,$J50="",$J50=0,NOT(ISNUMBER($J50)),NOT(ISNUMBER(N50))),IF(AND($G50&lt;&gt;"",AND(OR(ISNUMBER(N50),N50=""),AND(ISNUMBER($J50),$J50&gt;0))),'Feuille de Donnée'!$K$13,""),IF(N50&lt;$J$165*'Feuille de Donnée'!$I$9,"Négligeable",(IF(AND(L50&gt;=$H50*(1-'Feuille de Donnée'!$E$12),L50&lt;=$H50*(1+'Feuille de Donnée'!$F$12)),'Feuille de Donnée'!$F$17,IF(L50&lt;$H50*(1-'Feuille de Donnée'!$E$12),'Feuille de Donnée'!$F$18,'Feuille de Donnée'!$F$16))&amp;""&amp;IF(AND(M50&gt;=$I50*(1-'Feuille de Donnée'!$E$27),M50&lt;=$I50*(1+'Feuille de Donnée'!$F$27)),'Feuille de Donnée'!$F$32,IF(M50&lt;$I50*(1-'Feuille de Donnée'!$E$27),'Feuille de Donnée'!$F$33,'Feuille de Donnée'!$F$31)))))</f>
        <v/>
      </c>
      <c r="S50" s="151"/>
      <c r="T50" s="110"/>
      <c r="U50" s="28"/>
      <c r="V50" s="28"/>
      <c r="W50" s="28" t="str">
        <f t="shared" si="23"/>
        <v/>
      </c>
      <c r="X50" s="128" t="str">
        <f t="shared" si="24"/>
        <v/>
      </c>
      <c r="Y50" s="128" t="str">
        <f t="shared" si="25"/>
        <v/>
      </c>
      <c r="Z50" s="28" t="str">
        <f>IF(AND(ISBLANK(AB50),AA50=""),"",1+MAX(Z$18:Z49))</f>
        <v/>
      </c>
      <c r="AA50" s="150" t="str">
        <f>IF(OR(W50="",W50=0,$J50="",$J50=0,NOT(ISNUMBER($J50)),NOT(ISNUMBER(W50))),IF(AND($G50&lt;&gt;"",AND(OR(ISNUMBER(W50),W50=""),AND(ISNUMBER($J50),$J50&gt;0))),'Feuille de Donnée'!$K$13,""),IF(W50&lt;$J$165*'Feuille de Donnée'!$I$9,"Négligeable",(IF(AND(U50&gt;=$H50*(1-'Feuille de Donnée'!$E$12),U50&lt;=$H50*(1+'Feuille de Donnée'!$F$12)),'Feuille de Donnée'!$F$17,IF(U50&lt;$H50*(1-'Feuille de Donnée'!$E$12),'Feuille de Donnée'!$F$18,'Feuille de Donnée'!$F$16))&amp;""&amp;IF(AND(V50&gt;=$I50*(1-'Feuille de Donnée'!$E$27),V50&lt;=$I50*(1+'Feuille de Donnée'!$F$27)),'Feuille de Donnée'!$F$32,IF(V50&lt;$I50*(1-'Feuille de Donnée'!$E$27),'Feuille de Donnée'!$F$33,'Feuille de Donnée'!$F$31)))))</f>
        <v/>
      </c>
      <c r="AB50" s="151"/>
      <c r="AC50" s="110"/>
      <c r="AD50" s="28"/>
      <c r="AE50" s="28"/>
      <c r="AF50" s="28" t="str">
        <f t="shared" si="26"/>
        <v/>
      </c>
      <c r="AG50" s="128" t="str">
        <f t="shared" si="27"/>
        <v/>
      </c>
      <c r="AH50" s="128" t="str">
        <f t="shared" si="28"/>
        <v/>
      </c>
      <c r="AI50" s="28" t="str">
        <f>IF(AND(ISBLANK(AK50),AJ50=""),"",1+MAX(AI$18:AI49))</f>
        <v/>
      </c>
      <c r="AJ50" s="150" t="str">
        <f>IF(OR(AF50="",AF50=0,$J50="",$J50=0,NOT(ISNUMBER($J50)),NOT(ISNUMBER(AF50))),IF(AND($G50&lt;&gt;"",AND(OR(ISNUMBER(AF50),AF50=""),AND(ISNUMBER($J50),$J50&gt;0))),'Feuille de Donnée'!$K$13,""),IF(AF50&lt;$J$165*'Feuille de Donnée'!$I$9,"Négligeable",(IF(AND(AD50&gt;=$H50*(1-'Feuille de Donnée'!$E$12),AD50&lt;=$H50*(1+'Feuille de Donnée'!$F$12)),'Feuille de Donnée'!$F$17,IF(AD50&lt;$H50*(1-'Feuille de Donnée'!$E$12),'Feuille de Donnée'!$F$18,'Feuille de Donnée'!$F$16))&amp;""&amp;IF(AND(AE50&gt;=$I50*(1-'Feuille de Donnée'!$E$27),AE50&lt;=$I50*(1+'Feuille de Donnée'!$F$27)),'Feuille de Donnée'!$F$32,IF(AE50&lt;$I50*(1-'Feuille de Donnée'!$E$27),'Feuille de Donnée'!$F$33,'Feuille de Donnée'!$F$31)))))</f>
        <v/>
      </c>
      <c r="AK50" s="151"/>
      <c r="AL50" s="110"/>
      <c r="AM50" s="28"/>
      <c r="AN50" s="28"/>
      <c r="AO50" s="28" t="str">
        <f t="shared" si="29"/>
        <v/>
      </c>
      <c r="AP50" s="128" t="str">
        <f t="shared" si="30"/>
        <v/>
      </c>
      <c r="AQ50" s="128" t="str">
        <f t="shared" si="31"/>
        <v/>
      </c>
      <c r="AR50" s="28" t="str">
        <f>IF(AND(ISBLANK(AT50),AS50=""),"",1+MAX(AR$18:AR49))</f>
        <v/>
      </c>
      <c r="AS50" s="150" t="str">
        <f>IF(OR(AO50="",AO50=0,$J50="",$J50=0,NOT(ISNUMBER($J50)),NOT(ISNUMBER(AO50))),IF(AND($G50&lt;&gt;"",AND(OR(ISNUMBER(AO50),AO50=""),AND(ISNUMBER($J50),$J50&gt;0))),'Feuille de Donnée'!$K$13,""),IF(AO50&lt;$J$165*'Feuille de Donnée'!$I$9,"Négligeable",(IF(AND(AM50&gt;=$H50*(1-'Feuille de Donnée'!$E$12),AM50&lt;=$H50*(1+'Feuille de Donnée'!$F$12)),'Feuille de Donnée'!$F$17,IF(AM50&lt;$H50*(1-'Feuille de Donnée'!$E$12),'Feuille de Donnée'!$F$18,'Feuille de Donnée'!$F$16))&amp;""&amp;IF(AND(AN50&gt;=$I50*(1-'Feuille de Donnée'!$E$27),AN50&lt;=$I50*(1+'Feuille de Donnée'!$F$27)),'Feuille de Donnée'!$F$32,IF(AN50&lt;$I50*(1-'Feuille de Donnée'!$E$27),'Feuille de Donnée'!$F$33,'Feuille de Donnée'!$F$31)))))</f>
        <v/>
      </c>
      <c r="AT50" s="151"/>
      <c r="AU50" s="110"/>
      <c r="AV50" s="28"/>
      <c r="AW50" s="28"/>
      <c r="AX50" s="28" t="str">
        <f t="shared" si="32"/>
        <v/>
      </c>
      <c r="AY50" s="128" t="str">
        <f t="shared" si="33"/>
        <v/>
      </c>
      <c r="AZ50" s="128" t="str">
        <f t="shared" si="34"/>
        <v/>
      </c>
      <c r="BA50" s="28" t="str">
        <f>IF(AND(ISBLANK(BC50),BB50=""),"",1+MAX(BA$18:BA49))</f>
        <v/>
      </c>
      <c r="BB50" s="150" t="str">
        <f>IF(OR(AX50="",AX50=0,$J50="",$J50=0,NOT(ISNUMBER($J50)),NOT(ISNUMBER(AX50))),IF(AND($G50&lt;&gt;"",AND(OR(ISNUMBER(AX50),AX50=""),AND(ISNUMBER($J50),$J50&gt;0))),'Feuille de Donnée'!$K$13,""),IF(AX50&lt;$J$165*'Feuille de Donnée'!$I$9,"Négligeable",(IF(AND(AV50&gt;=$H50*(1-'Feuille de Donnée'!$E$12),AV50&lt;=$H50*(1+'Feuille de Donnée'!$F$12)),'Feuille de Donnée'!$F$17,IF(AV50&lt;$H50*(1-'Feuille de Donnée'!$E$12),'Feuille de Donnée'!$F$18,'Feuille de Donnée'!$F$16))&amp;""&amp;IF(AND(AW50&gt;=$I50*(1-'Feuille de Donnée'!$E$27),AW50&lt;=$I50*(1+'Feuille de Donnée'!$F$27)),'Feuille de Donnée'!$F$32,IF(AW50&lt;$I50*(1-'Feuille de Donnée'!$E$27),'Feuille de Donnée'!$F$33,'Feuille de Donnée'!$F$31)))))</f>
        <v/>
      </c>
      <c r="BC50" s="151"/>
      <c r="BD50" s="110"/>
      <c r="BE50" s="28"/>
      <c r="BF50" s="28"/>
      <c r="BG50" s="28" t="str">
        <f t="shared" si="35"/>
        <v/>
      </c>
      <c r="BH50" s="128" t="str">
        <f t="shared" si="36"/>
        <v/>
      </c>
      <c r="BI50" s="128" t="str">
        <f t="shared" si="37"/>
        <v/>
      </c>
      <c r="BJ50" s="28" t="str">
        <f>IF(AND(ISBLANK(BL50),BK50=""),"",1+MAX(BJ$18:BJ49))</f>
        <v/>
      </c>
      <c r="BK50" s="150" t="str">
        <f>IF(OR(BG50="",BG50=0,$J50="",$J50=0,NOT(ISNUMBER($J50)),NOT(ISNUMBER(BG50))),IF(AND($G50&lt;&gt;"",AND(OR(ISNUMBER(BG50),BG50=""),AND(ISNUMBER($J50),$J50&gt;0))),'Feuille de Donnée'!$K$13,""),IF(BG50&lt;$J$165*'Feuille de Donnée'!$I$9,"Négligeable",(IF(AND(BE50&gt;=$H50*(1-'Feuille de Donnée'!$E$12),BE50&lt;=$H50*(1+'Feuille de Donnée'!$F$12)),'Feuille de Donnée'!$F$17,IF(BE50&lt;$H50*(1-'Feuille de Donnée'!$E$12),'Feuille de Donnée'!$F$18,'Feuille de Donnée'!$F$16))&amp;""&amp;IF(AND(BF50&gt;=$I50*(1-'Feuille de Donnée'!$E$27),BF50&lt;=$I50*(1+'Feuille de Donnée'!$F$27)),'Feuille de Donnée'!$F$32,IF(BF50&lt;$I50*(1-'Feuille de Donnée'!$E$27),'Feuille de Donnée'!$F$33,'Feuille de Donnée'!$F$31)))))</f>
        <v/>
      </c>
      <c r="BL50" s="151"/>
      <c r="BM50" s="153"/>
    </row>
    <row r="51" spans="1:65" s="7" customFormat="1" x14ac:dyDescent="0.3">
      <c r="A51" s="24"/>
      <c r="B51" s="25"/>
      <c r="C51" s="25"/>
      <c r="D51" s="25"/>
      <c r="E51" s="25"/>
      <c r="F51" s="25"/>
      <c r="G51" s="23"/>
      <c r="H51" s="26"/>
      <c r="I51" s="27"/>
      <c r="J51" s="109" t="str">
        <f t="shared" si="19"/>
        <v/>
      </c>
      <c r="K51" s="110"/>
      <c r="L51" s="28"/>
      <c r="M51" s="28"/>
      <c r="N51" s="28" t="str">
        <f t="shared" si="20"/>
        <v/>
      </c>
      <c r="O51" s="128" t="str">
        <f t="shared" si="21"/>
        <v/>
      </c>
      <c r="P51" s="128" t="str">
        <f t="shared" si="22"/>
        <v/>
      </c>
      <c r="Q51" s="28" t="str">
        <f>IF(AND(ISBLANK(S51),R51=""),"",1+MAX(Q$18:Q50))</f>
        <v/>
      </c>
      <c r="R51" s="150" t="str">
        <f>IF(OR(N51="",N51=0,$J51="",$J51=0,NOT(ISNUMBER($J51)),NOT(ISNUMBER(N51))),IF(AND($G51&lt;&gt;"",AND(OR(ISNUMBER(N51),N51=""),AND(ISNUMBER($J51),$J51&gt;0))),'Feuille de Donnée'!$K$13,""),IF(N51&lt;$J$165*'Feuille de Donnée'!$I$9,"Négligeable",(IF(AND(L51&gt;=$H51*(1-'Feuille de Donnée'!$E$12),L51&lt;=$H51*(1+'Feuille de Donnée'!$F$12)),'Feuille de Donnée'!$F$17,IF(L51&lt;$H51*(1-'Feuille de Donnée'!$E$12),'Feuille de Donnée'!$F$18,'Feuille de Donnée'!$F$16))&amp;""&amp;IF(AND(M51&gt;=$I51*(1-'Feuille de Donnée'!$E$27),M51&lt;=$I51*(1+'Feuille de Donnée'!$F$27)),'Feuille de Donnée'!$F$32,IF(M51&lt;$I51*(1-'Feuille de Donnée'!$E$27),'Feuille de Donnée'!$F$33,'Feuille de Donnée'!$F$31)))))</f>
        <v/>
      </c>
      <c r="S51" s="151"/>
      <c r="T51" s="110"/>
      <c r="U51" s="28"/>
      <c r="V51" s="28"/>
      <c r="W51" s="28" t="str">
        <f t="shared" si="23"/>
        <v/>
      </c>
      <c r="X51" s="128" t="str">
        <f t="shared" si="24"/>
        <v/>
      </c>
      <c r="Y51" s="128" t="str">
        <f t="shared" si="25"/>
        <v/>
      </c>
      <c r="Z51" s="28" t="str">
        <f>IF(AND(ISBLANK(AB51),AA51=""),"",1+MAX(Z$18:Z50))</f>
        <v/>
      </c>
      <c r="AA51" s="150" t="str">
        <f>IF(OR(W51="",W51=0,$J51="",$J51=0,NOT(ISNUMBER($J51)),NOT(ISNUMBER(W51))),IF(AND($G51&lt;&gt;"",AND(OR(ISNUMBER(W51),W51=""),AND(ISNUMBER($J51),$J51&gt;0))),'Feuille de Donnée'!$K$13,""),IF(W51&lt;$J$165*'Feuille de Donnée'!$I$9,"Négligeable",(IF(AND(U51&gt;=$H51*(1-'Feuille de Donnée'!$E$12),U51&lt;=$H51*(1+'Feuille de Donnée'!$F$12)),'Feuille de Donnée'!$F$17,IF(U51&lt;$H51*(1-'Feuille de Donnée'!$E$12),'Feuille de Donnée'!$F$18,'Feuille de Donnée'!$F$16))&amp;""&amp;IF(AND(V51&gt;=$I51*(1-'Feuille de Donnée'!$E$27),V51&lt;=$I51*(1+'Feuille de Donnée'!$F$27)),'Feuille de Donnée'!$F$32,IF(V51&lt;$I51*(1-'Feuille de Donnée'!$E$27),'Feuille de Donnée'!$F$33,'Feuille de Donnée'!$F$31)))))</f>
        <v/>
      </c>
      <c r="AB51" s="151"/>
      <c r="AC51" s="110"/>
      <c r="AD51" s="28"/>
      <c r="AE51" s="28"/>
      <c r="AF51" s="28" t="str">
        <f t="shared" si="26"/>
        <v/>
      </c>
      <c r="AG51" s="128" t="str">
        <f t="shared" si="27"/>
        <v/>
      </c>
      <c r="AH51" s="128" t="str">
        <f t="shared" si="28"/>
        <v/>
      </c>
      <c r="AI51" s="28" t="str">
        <f>IF(AND(ISBLANK(AK51),AJ51=""),"",1+MAX(AI$18:AI50))</f>
        <v/>
      </c>
      <c r="AJ51" s="150" t="str">
        <f>IF(OR(AF51="",AF51=0,$J51="",$J51=0,NOT(ISNUMBER($J51)),NOT(ISNUMBER(AF51))),IF(AND($G51&lt;&gt;"",AND(OR(ISNUMBER(AF51),AF51=""),AND(ISNUMBER($J51),$J51&gt;0))),'Feuille de Donnée'!$K$13,""),IF(AF51&lt;$J$165*'Feuille de Donnée'!$I$9,"Négligeable",(IF(AND(AD51&gt;=$H51*(1-'Feuille de Donnée'!$E$12),AD51&lt;=$H51*(1+'Feuille de Donnée'!$F$12)),'Feuille de Donnée'!$F$17,IF(AD51&lt;$H51*(1-'Feuille de Donnée'!$E$12),'Feuille de Donnée'!$F$18,'Feuille de Donnée'!$F$16))&amp;""&amp;IF(AND(AE51&gt;=$I51*(1-'Feuille de Donnée'!$E$27),AE51&lt;=$I51*(1+'Feuille de Donnée'!$F$27)),'Feuille de Donnée'!$F$32,IF(AE51&lt;$I51*(1-'Feuille de Donnée'!$E$27),'Feuille de Donnée'!$F$33,'Feuille de Donnée'!$F$31)))))</f>
        <v/>
      </c>
      <c r="AK51" s="151"/>
      <c r="AL51" s="110"/>
      <c r="AM51" s="28"/>
      <c r="AN51" s="28"/>
      <c r="AO51" s="28" t="str">
        <f t="shared" si="29"/>
        <v/>
      </c>
      <c r="AP51" s="128" t="str">
        <f t="shared" si="30"/>
        <v/>
      </c>
      <c r="AQ51" s="128" t="str">
        <f t="shared" si="31"/>
        <v/>
      </c>
      <c r="AR51" s="28" t="str">
        <f>IF(AND(ISBLANK(AT51),AS51=""),"",1+MAX(AR$18:AR50))</f>
        <v/>
      </c>
      <c r="AS51" s="150" t="str">
        <f>IF(OR(AO51="",AO51=0,$J51="",$J51=0,NOT(ISNUMBER($J51)),NOT(ISNUMBER(AO51))),IF(AND($G51&lt;&gt;"",AND(OR(ISNUMBER(AO51),AO51=""),AND(ISNUMBER($J51),$J51&gt;0))),'Feuille de Donnée'!$K$13,""),IF(AO51&lt;$J$165*'Feuille de Donnée'!$I$9,"Négligeable",(IF(AND(AM51&gt;=$H51*(1-'Feuille de Donnée'!$E$12),AM51&lt;=$H51*(1+'Feuille de Donnée'!$F$12)),'Feuille de Donnée'!$F$17,IF(AM51&lt;$H51*(1-'Feuille de Donnée'!$E$12),'Feuille de Donnée'!$F$18,'Feuille de Donnée'!$F$16))&amp;""&amp;IF(AND(AN51&gt;=$I51*(1-'Feuille de Donnée'!$E$27),AN51&lt;=$I51*(1+'Feuille de Donnée'!$F$27)),'Feuille de Donnée'!$F$32,IF(AN51&lt;$I51*(1-'Feuille de Donnée'!$E$27),'Feuille de Donnée'!$F$33,'Feuille de Donnée'!$F$31)))))</f>
        <v/>
      </c>
      <c r="AT51" s="151"/>
      <c r="AU51" s="110"/>
      <c r="AV51" s="28"/>
      <c r="AW51" s="28"/>
      <c r="AX51" s="28" t="str">
        <f t="shared" si="32"/>
        <v/>
      </c>
      <c r="AY51" s="128" t="str">
        <f t="shared" si="33"/>
        <v/>
      </c>
      <c r="AZ51" s="128" t="str">
        <f t="shared" si="34"/>
        <v/>
      </c>
      <c r="BA51" s="28" t="str">
        <f>IF(AND(ISBLANK(BC51),BB51=""),"",1+MAX(BA$18:BA50))</f>
        <v/>
      </c>
      <c r="BB51" s="150" t="str">
        <f>IF(OR(AX51="",AX51=0,$J51="",$J51=0,NOT(ISNUMBER($J51)),NOT(ISNUMBER(AX51))),IF(AND($G51&lt;&gt;"",AND(OR(ISNUMBER(AX51),AX51=""),AND(ISNUMBER($J51),$J51&gt;0))),'Feuille de Donnée'!$K$13,""),IF(AX51&lt;$J$165*'Feuille de Donnée'!$I$9,"Négligeable",(IF(AND(AV51&gt;=$H51*(1-'Feuille de Donnée'!$E$12),AV51&lt;=$H51*(1+'Feuille de Donnée'!$F$12)),'Feuille de Donnée'!$F$17,IF(AV51&lt;$H51*(1-'Feuille de Donnée'!$E$12),'Feuille de Donnée'!$F$18,'Feuille de Donnée'!$F$16))&amp;""&amp;IF(AND(AW51&gt;=$I51*(1-'Feuille de Donnée'!$E$27),AW51&lt;=$I51*(1+'Feuille de Donnée'!$F$27)),'Feuille de Donnée'!$F$32,IF(AW51&lt;$I51*(1-'Feuille de Donnée'!$E$27),'Feuille de Donnée'!$F$33,'Feuille de Donnée'!$F$31)))))</f>
        <v/>
      </c>
      <c r="BC51" s="151"/>
      <c r="BD51" s="110"/>
      <c r="BE51" s="28"/>
      <c r="BF51" s="28"/>
      <c r="BG51" s="28" t="str">
        <f t="shared" si="35"/>
        <v/>
      </c>
      <c r="BH51" s="128" t="str">
        <f t="shared" si="36"/>
        <v/>
      </c>
      <c r="BI51" s="128" t="str">
        <f t="shared" si="37"/>
        <v/>
      </c>
      <c r="BJ51" s="28" t="str">
        <f>IF(AND(ISBLANK(BL51),BK51=""),"",1+MAX(BJ$18:BJ50))</f>
        <v/>
      </c>
      <c r="BK51" s="150" t="str">
        <f>IF(OR(BG51="",BG51=0,$J51="",$J51=0,NOT(ISNUMBER($J51)),NOT(ISNUMBER(BG51))),IF(AND($G51&lt;&gt;"",AND(OR(ISNUMBER(BG51),BG51=""),AND(ISNUMBER($J51),$J51&gt;0))),'Feuille de Donnée'!$K$13,""),IF(BG51&lt;$J$165*'Feuille de Donnée'!$I$9,"Négligeable",(IF(AND(BE51&gt;=$H51*(1-'Feuille de Donnée'!$E$12),BE51&lt;=$H51*(1+'Feuille de Donnée'!$F$12)),'Feuille de Donnée'!$F$17,IF(BE51&lt;$H51*(1-'Feuille de Donnée'!$E$12),'Feuille de Donnée'!$F$18,'Feuille de Donnée'!$F$16))&amp;""&amp;IF(AND(BF51&gt;=$I51*(1-'Feuille de Donnée'!$E$27),BF51&lt;=$I51*(1+'Feuille de Donnée'!$F$27)),'Feuille de Donnée'!$F$32,IF(BF51&lt;$I51*(1-'Feuille de Donnée'!$E$27),'Feuille de Donnée'!$F$33,'Feuille de Donnée'!$F$31)))))</f>
        <v/>
      </c>
      <c r="BL51" s="151"/>
      <c r="BM51" s="153"/>
    </row>
    <row r="52" spans="1:65" s="7" customFormat="1" x14ac:dyDescent="0.3">
      <c r="A52" s="24"/>
      <c r="B52" s="25"/>
      <c r="C52" s="25"/>
      <c r="D52" s="25"/>
      <c r="E52" s="25"/>
      <c r="F52" s="25"/>
      <c r="G52" s="23"/>
      <c r="H52" s="26"/>
      <c r="I52" s="27"/>
      <c r="J52" s="109" t="str">
        <f t="shared" si="19"/>
        <v/>
      </c>
      <c r="K52" s="110"/>
      <c r="L52" s="28"/>
      <c r="M52" s="28"/>
      <c r="N52" s="28" t="str">
        <f t="shared" si="20"/>
        <v/>
      </c>
      <c r="O52" s="128" t="str">
        <f t="shared" si="21"/>
        <v/>
      </c>
      <c r="P52" s="128" t="str">
        <f t="shared" si="22"/>
        <v/>
      </c>
      <c r="Q52" s="28" t="str">
        <f>IF(AND(ISBLANK(S52),R52=""),"",1+MAX(Q$18:Q51))</f>
        <v/>
      </c>
      <c r="R52" s="150" t="str">
        <f>IF(OR(N52="",N52=0,$J52="",$J52=0,NOT(ISNUMBER($J52)),NOT(ISNUMBER(N52))),IF(AND($G52&lt;&gt;"",AND(OR(ISNUMBER(N52),N52=""),AND(ISNUMBER($J52),$J52&gt;0))),'Feuille de Donnée'!$K$13,""),IF(N52&lt;$J$165*'Feuille de Donnée'!$I$9,"Négligeable",(IF(AND(L52&gt;=$H52*(1-'Feuille de Donnée'!$E$12),L52&lt;=$H52*(1+'Feuille de Donnée'!$F$12)),'Feuille de Donnée'!$F$17,IF(L52&lt;$H52*(1-'Feuille de Donnée'!$E$12),'Feuille de Donnée'!$F$18,'Feuille de Donnée'!$F$16))&amp;""&amp;IF(AND(M52&gt;=$I52*(1-'Feuille de Donnée'!$E$27),M52&lt;=$I52*(1+'Feuille de Donnée'!$F$27)),'Feuille de Donnée'!$F$32,IF(M52&lt;$I52*(1-'Feuille de Donnée'!$E$27),'Feuille de Donnée'!$F$33,'Feuille de Donnée'!$F$31)))))</f>
        <v/>
      </c>
      <c r="S52" s="151"/>
      <c r="T52" s="110"/>
      <c r="U52" s="28"/>
      <c r="V52" s="28"/>
      <c r="W52" s="28" t="str">
        <f t="shared" si="23"/>
        <v/>
      </c>
      <c r="X52" s="128" t="str">
        <f t="shared" si="24"/>
        <v/>
      </c>
      <c r="Y52" s="128" t="str">
        <f t="shared" si="25"/>
        <v/>
      </c>
      <c r="Z52" s="28" t="str">
        <f>IF(AND(ISBLANK(AB52),AA52=""),"",1+MAX(Z$18:Z51))</f>
        <v/>
      </c>
      <c r="AA52" s="150" t="str">
        <f>IF(OR(W52="",W52=0,$J52="",$J52=0,NOT(ISNUMBER($J52)),NOT(ISNUMBER(W52))),IF(AND($G52&lt;&gt;"",AND(OR(ISNUMBER(W52),W52=""),AND(ISNUMBER($J52),$J52&gt;0))),'Feuille de Donnée'!$K$13,""),IF(W52&lt;$J$165*'Feuille de Donnée'!$I$9,"Négligeable",(IF(AND(U52&gt;=$H52*(1-'Feuille de Donnée'!$E$12),U52&lt;=$H52*(1+'Feuille de Donnée'!$F$12)),'Feuille de Donnée'!$F$17,IF(U52&lt;$H52*(1-'Feuille de Donnée'!$E$12),'Feuille de Donnée'!$F$18,'Feuille de Donnée'!$F$16))&amp;""&amp;IF(AND(V52&gt;=$I52*(1-'Feuille de Donnée'!$E$27),V52&lt;=$I52*(1+'Feuille de Donnée'!$F$27)),'Feuille de Donnée'!$F$32,IF(V52&lt;$I52*(1-'Feuille de Donnée'!$E$27),'Feuille de Donnée'!$F$33,'Feuille de Donnée'!$F$31)))))</f>
        <v/>
      </c>
      <c r="AB52" s="151"/>
      <c r="AC52" s="110"/>
      <c r="AD52" s="28"/>
      <c r="AE52" s="28"/>
      <c r="AF52" s="28" t="str">
        <f t="shared" si="26"/>
        <v/>
      </c>
      <c r="AG52" s="128" t="str">
        <f t="shared" si="27"/>
        <v/>
      </c>
      <c r="AH52" s="128" t="str">
        <f t="shared" si="28"/>
        <v/>
      </c>
      <c r="AI52" s="28" t="str">
        <f>IF(AND(ISBLANK(AK52),AJ52=""),"",1+MAX(AI$18:AI51))</f>
        <v/>
      </c>
      <c r="AJ52" s="150" t="str">
        <f>IF(OR(AF52="",AF52=0,$J52="",$J52=0,NOT(ISNUMBER($J52)),NOT(ISNUMBER(AF52))),IF(AND($G52&lt;&gt;"",AND(OR(ISNUMBER(AF52),AF52=""),AND(ISNUMBER($J52),$J52&gt;0))),'Feuille de Donnée'!$K$13,""),IF(AF52&lt;$J$165*'Feuille de Donnée'!$I$9,"Négligeable",(IF(AND(AD52&gt;=$H52*(1-'Feuille de Donnée'!$E$12),AD52&lt;=$H52*(1+'Feuille de Donnée'!$F$12)),'Feuille de Donnée'!$F$17,IF(AD52&lt;$H52*(1-'Feuille de Donnée'!$E$12),'Feuille de Donnée'!$F$18,'Feuille de Donnée'!$F$16))&amp;""&amp;IF(AND(AE52&gt;=$I52*(1-'Feuille de Donnée'!$E$27),AE52&lt;=$I52*(1+'Feuille de Donnée'!$F$27)),'Feuille de Donnée'!$F$32,IF(AE52&lt;$I52*(1-'Feuille de Donnée'!$E$27),'Feuille de Donnée'!$F$33,'Feuille de Donnée'!$F$31)))))</f>
        <v/>
      </c>
      <c r="AK52" s="151"/>
      <c r="AL52" s="110"/>
      <c r="AM52" s="28"/>
      <c r="AN52" s="28"/>
      <c r="AO52" s="28" t="str">
        <f t="shared" si="29"/>
        <v/>
      </c>
      <c r="AP52" s="128" t="str">
        <f t="shared" si="30"/>
        <v/>
      </c>
      <c r="AQ52" s="128" t="str">
        <f t="shared" si="31"/>
        <v/>
      </c>
      <c r="AR52" s="28" t="str">
        <f>IF(AND(ISBLANK(AT52),AS52=""),"",1+MAX(AR$18:AR51))</f>
        <v/>
      </c>
      <c r="AS52" s="150" t="str">
        <f>IF(OR(AO52="",AO52=0,$J52="",$J52=0,NOT(ISNUMBER($J52)),NOT(ISNUMBER(AO52))),IF(AND($G52&lt;&gt;"",AND(OR(ISNUMBER(AO52),AO52=""),AND(ISNUMBER($J52),$J52&gt;0))),'Feuille de Donnée'!$K$13,""),IF(AO52&lt;$J$165*'Feuille de Donnée'!$I$9,"Négligeable",(IF(AND(AM52&gt;=$H52*(1-'Feuille de Donnée'!$E$12),AM52&lt;=$H52*(1+'Feuille de Donnée'!$F$12)),'Feuille de Donnée'!$F$17,IF(AM52&lt;$H52*(1-'Feuille de Donnée'!$E$12),'Feuille de Donnée'!$F$18,'Feuille de Donnée'!$F$16))&amp;""&amp;IF(AND(AN52&gt;=$I52*(1-'Feuille de Donnée'!$E$27),AN52&lt;=$I52*(1+'Feuille de Donnée'!$F$27)),'Feuille de Donnée'!$F$32,IF(AN52&lt;$I52*(1-'Feuille de Donnée'!$E$27),'Feuille de Donnée'!$F$33,'Feuille de Donnée'!$F$31)))))</f>
        <v/>
      </c>
      <c r="AT52" s="151"/>
      <c r="AU52" s="110"/>
      <c r="AV52" s="28"/>
      <c r="AW52" s="28"/>
      <c r="AX52" s="28" t="str">
        <f t="shared" si="32"/>
        <v/>
      </c>
      <c r="AY52" s="128" t="str">
        <f t="shared" si="33"/>
        <v/>
      </c>
      <c r="AZ52" s="128" t="str">
        <f t="shared" si="34"/>
        <v/>
      </c>
      <c r="BA52" s="28" t="str">
        <f>IF(AND(ISBLANK(BC52),BB52=""),"",1+MAX(BA$18:BA51))</f>
        <v/>
      </c>
      <c r="BB52" s="150" t="str">
        <f>IF(OR(AX52="",AX52=0,$J52="",$J52=0,NOT(ISNUMBER($J52)),NOT(ISNUMBER(AX52))),IF(AND($G52&lt;&gt;"",AND(OR(ISNUMBER(AX52),AX52=""),AND(ISNUMBER($J52),$J52&gt;0))),'Feuille de Donnée'!$K$13,""),IF(AX52&lt;$J$165*'Feuille de Donnée'!$I$9,"Négligeable",(IF(AND(AV52&gt;=$H52*(1-'Feuille de Donnée'!$E$12),AV52&lt;=$H52*(1+'Feuille de Donnée'!$F$12)),'Feuille de Donnée'!$F$17,IF(AV52&lt;$H52*(1-'Feuille de Donnée'!$E$12),'Feuille de Donnée'!$F$18,'Feuille de Donnée'!$F$16))&amp;""&amp;IF(AND(AW52&gt;=$I52*(1-'Feuille de Donnée'!$E$27),AW52&lt;=$I52*(1+'Feuille de Donnée'!$F$27)),'Feuille de Donnée'!$F$32,IF(AW52&lt;$I52*(1-'Feuille de Donnée'!$E$27),'Feuille de Donnée'!$F$33,'Feuille de Donnée'!$F$31)))))</f>
        <v/>
      </c>
      <c r="BC52" s="151"/>
      <c r="BD52" s="110"/>
      <c r="BE52" s="28"/>
      <c r="BF52" s="28"/>
      <c r="BG52" s="28" t="str">
        <f t="shared" si="35"/>
        <v/>
      </c>
      <c r="BH52" s="128" t="str">
        <f t="shared" si="36"/>
        <v/>
      </c>
      <c r="BI52" s="128" t="str">
        <f t="shared" si="37"/>
        <v/>
      </c>
      <c r="BJ52" s="28" t="str">
        <f>IF(AND(ISBLANK(BL52),BK52=""),"",1+MAX(BJ$18:BJ51))</f>
        <v/>
      </c>
      <c r="BK52" s="150" t="str">
        <f>IF(OR(BG52="",BG52=0,$J52="",$J52=0,NOT(ISNUMBER($J52)),NOT(ISNUMBER(BG52))),IF(AND($G52&lt;&gt;"",AND(OR(ISNUMBER(BG52),BG52=""),AND(ISNUMBER($J52),$J52&gt;0))),'Feuille de Donnée'!$K$13,""),IF(BG52&lt;$J$165*'Feuille de Donnée'!$I$9,"Négligeable",(IF(AND(BE52&gt;=$H52*(1-'Feuille de Donnée'!$E$12),BE52&lt;=$H52*(1+'Feuille de Donnée'!$F$12)),'Feuille de Donnée'!$F$17,IF(BE52&lt;$H52*(1-'Feuille de Donnée'!$E$12),'Feuille de Donnée'!$F$18,'Feuille de Donnée'!$F$16))&amp;""&amp;IF(AND(BF52&gt;=$I52*(1-'Feuille de Donnée'!$E$27),BF52&lt;=$I52*(1+'Feuille de Donnée'!$F$27)),'Feuille de Donnée'!$F$32,IF(BF52&lt;$I52*(1-'Feuille de Donnée'!$E$27),'Feuille de Donnée'!$F$33,'Feuille de Donnée'!$F$31)))))</f>
        <v/>
      </c>
      <c r="BL52" s="151"/>
      <c r="BM52" s="153"/>
    </row>
    <row r="53" spans="1:65" s="7" customFormat="1" x14ac:dyDescent="0.3">
      <c r="A53" s="24"/>
      <c r="B53" s="25"/>
      <c r="C53" s="25"/>
      <c r="D53" s="25"/>
      <c r="E53" s="25"/>
      <c r="F53" s="25"/>
      <c r="G53" s="23"/>
      <c r="H53" s="26"/>
      <c r="I53" s="27"/>
      <c r="J53" s="109" t="str">
        <f t="shared" si="19"/>
        <v/>
      </c>
      <c r="K53" s="110"/>
      <c r="L53" s="28"/>
      <c r="M53" s="28"/>
      <c r="N53" s="28" t="str">
        <f t="shared" si="20"/>
        <v/>
      </c>
      <c r="O53" s="128" t="str">
        <f t="shared" si="21"/>
        <v/>
      </c>
      <c r="P53" s="128" t="str">
        <f t="shared" si="22"/>
        <v/>
      </c>
      <c r="Q53" s="28" t="str">
        <f>IF(AND(ISBLANK(S53),R53=""),"",1+MAX(Q$18:Q52))</f>
        <v/>
      </c>
      <c r="R53" s="150" t="str">
        <f>IF(OR(N53="",N53=0,$J53="",$J53=0,NOT(ISNUMBER($J53)),NOT(ISNUMBER(N53))),IF(AND($G53&lt;&gt;"",AND(OR(ISNUMBER(N53),N53=""),AND(ISNUMBER($J53),$J53&gt;0))),'Feuille de Donnée'!$K$13,""),IF(N53&lt;$J$165*'Feuille de Donnée'!$I$9,"Négligeable",(IF(AND(L53&gt;=$H53*(1-'Feuille de Donnée'!$E$12),L53&lt;=$H53*(1+'Feuille de Donnée'!$F$12)),'Feuille de Donnée'!$F$17,IF(L53&lt;$H53*(1-'Feuille de Donnée'!$E$12),'Feuille de Donnée'!$F$18,'Feuille de Donnée'!$F$16))&amp;""&amp;IF(AND(M53&gt;=$I53*(1-'Feuille de Donnée'!$E$27),M53&lt;=$I53*(1+'Feuille de Donnée'!$F$27)),'Feuille de Donnée'!$F$32,IF(M53&lt;$I53*(1-'Feuille de Donnée'!$E$27),'Feuille de Donnée'!$F$33,'Feuille de Donnée'!$F$31)))))</f>
        <v/>
      </c>
      <c r="S53" s="151"/>
      <c r="T53" s="110"/>
      <c r="U53" s="28"/>
      <c r="V53" s="28"/>
      <c r="W53" s="28" t="str">
        <f t="shared" si="23"/>
        <v/>
      </c>
      <c r="X53" s="128" t="str">
        <f t="shared" si="24"/>
        <v/>
      </c>
      <c r="Y53" s="128" t="str">
        <f t="shared" si="25"/>
        <v/>
      </c>
      <c r="Z53" s="28" t="str">
        <f>IF(AND(ISBLANK(AB53),AA53=""),"",1+MAX(Z$18:Z52))</f>
        <v/>
      </c>
      <c r="AA53" s="150" t="str">
        <f>IF(OR(W53="",W53=0,$J53="",$J53=0,NOT(ISNUMBER($J53)),NOT(ISNUMBER(W53))),IF(AND($G53&lt;&gt;"",AND(OR(ISNUMBER(W53),W53=""),AND(ISNUMBER($J53),$J53&gt;0))),'Feuille de Donnée'!$K$13,""),IF(W53&lt;$J$165*'Feuille de Donnée'!$I$9,"Négligeable",(IF(AND(U53&gt;=$H53*(1-'Feuille de Donnée'!$E$12),U53&lt;=$H53*(1+'Feuille de Donnée'!$F$12)),'Feuille de Donnée'!$F$17,IF(U53&lt;$H53*(1-'Feuille de Donnée'!$E$12),'Feuille de Donnée'!$F$18,'Feuille de Donnée'!$F$16))&amp;""&amp;IF(AND(V53&gt;=$I53*(1-'Feuille de Donnée'!$E$27),V53&lt;=$I53*(1+'Feuille de Donnée'!$F$27)),'Feuille de Donnée'!$F$32,IF(V53&lt;$I53*(1-'Feuille de Donnée'!$E$27),'Feuille de Donnée'!$F$33,'Feuille de Donnée'!$F$31)))))</f>
        <v/>
      </c>
      <c r="AB53" s="151"/>
      <c r="AC53" s="110"/>
      <c r="AD53" s="28"/>
      <c r="AE53" s="28"/>
      <c r="AF53" s="28" t="str">
        <f t="shared" si="26"/>
        <v/>
      </c>
      <c r="AG53" s="128" t="str">
        <f t="shared" si="27"/>
        <v/>
      </c>
      <c r="AH53" s="128" t="str">
        <f t="shared" si="28"/>
        <v/>
      </c>
      <c r="AI53" s="28" t="str">
        <f>IF(AND(ISBLANK(AK53),AJ53=""),"",1+MAX(AI$18:AI52))</f>
        <v/>
      </c>
      <c r="AJ53" s="150" t="str">
        <f>IF(OR(AF53="",AF53=0,$J53="",$J53=0,NOT(ISNUMBER($J53)),NOT(ISNUMBER(AF53))),IF(AND($G53&lt;&gt;"",AND(OR(ISNUMBER(AF53),AF53=""),AND(ISNUMBER($J53),$J53&gt;0))),'Feuille de Donnée'!$K$13,""),IF(AF53&lt;$J$165*'Feuille de Donnée'!$I$9,"Négligeable",(IF(AND(AD53&gt;=$H53*(1-'Feuille de Donnée'!$E$12),AD53&lt;=$H53*(1+'Feuille de Donnée'!$F$12)),'Feuille de Donnée'!$F$17,IF(AD53&lt;$H53*(1-'Feuille de Donnée'!$E$12),'Feuille de Donnée'!$F$18,'Feuille de Donnée'!$F$16))&amp;""&amp;IF(AND(AE53&gt;=$I53*(1-'Feuille de Donnée'!$E$27),AE53&lt;=$I53*(1+'Feuille de Donnée'!$F$27)),'Feuille de Donnée'!$F$32,IF(AE53&lt;$I53*(1-'Feuille de Donnée'!$E$27),'Feuille de Donnée'!$F$33,'Feuille de Donnée'!$F$31)))))</f>
        <v/>
      </c>
      <c r="AK53" s="151"/>
      <c r="AL53" s="110"/>
      <c r="AM53" s="28"/>
      <c r="AN53" s="28"/>
      <c r="AO53" s="28" t="str">
        <f t="shared" si="29"/>
        <v/>
      </c>
      <c r="AP53" s="128" t="str">
        <f t="shared" si="30"/>
        <v/>
      </c>
      <c r="AQ53" s="128" t="str">
        <f t="shared" si="31"/>
        <v/>
      </c>
      <c r="AR53" s="28" t="str">
        <f>IF(AND(ISBLANK(AT53),AS53=""),"",1+MAX(AR$18:AR52))</f>
        <v/>
      </c>
      <c r="AS53" s="150" t="str">
        <f>IF(OR(AO53="",AO53=0,$J53="",$J53=0,NOT(ISNUMBER($J53)),NOT(ISNUMBER(AO53))),IF(AND($G53&lt;&gt;"",AND(OR(ISNUMBER(AO53),AO53=""),AND(ISNUMBER($J53),$J53&gt;0))),'Feuille de Donnée'!$K$13,""),IF(AO53&lt;$J$165*'Feuille de Donnée'!$I$9,"Négligeable",(IF(AND(AM53&gt;=$H53*(1-'Feuille de Donnée'!$E$12),AM53&lt;=$H53*(1+'Feuille de Donnée'!$F$12)),'Feuille de Donnée'!$F$17,IF(AM53&lt;$H53*(1-'Feuille de Donnée'!$E$12),'Feuille de Donnée'!$F$18,'Feuille de Donnée'!$F$16))&amp;""&amp;IF(AND(AN53&gt;=$I53*(1-'Feuille de Donnée'!$E$27),AN53&lt;=$I53*(1+'Feuille de Donnée'!$F$27)),'Feuille de Donnée'!$F$32,IF(AN53&lt;$I53*(1-'Feuille de Donnée'!$E$27),'Feuille de Donnée'!$F$33,'Feuille de Donnée'!$F$31)))))</f>
        <v/>
      </c>
      <c r="AT53" s="151"/>
      <c r="AU53" s="110"/>
      <c r="AV53" s="28"/>
      <c r="AW53" s="28"/>
      <c r="AX53" s="28" t="str">
        <f t="shared" si="32"/>
        <v/>
      </c>
      <c r="AY53" s="128" t="str">
        <f t="shared" si="33"/>
        <v/>
      </c>
      <c r="AZ53" s="128" t="str">
        <f t="shared" si="34"/>
        <v/>
      </c>
      <c r="BA53" s="28" t="str">
        <f>IF(AND(ISBLANK(BC53),BB53=""),"",1+MAX(BA$18:BA52))</f>
        <v/>
      </c>
      <c r="BB53" s="150" t="str">
        <f>IF(OR(AX53="",AX53=0,$J53="",$J53=0,NOT(ISNUMBER($J53)),NOT(ISNUMBER(AX53))),IF(AND($G53&lt;&gt;"",AND(OR(ISNUMBER(AX53),AX53=""),AND(ISNUMBER($J53),$J53&gt;0))),'Feuille de Donnée'!$K$13,""),IF(AX53&lt;$J$165*'Feuille de Donnée'!$I$9,"Négligeable",(IF(AND(AV53&gt;=$H53*(1-'Feuille de Donnée'!$E$12),AV53&lt;=$H53*(1+'Feuille de Donnée'!$F$12)),'Feuille de Donnée'!$F$17,IF(AV53&lt;$H53*(1-'Feuille de Donnée'!$E$12),'Feuille de Donnée'!$F$18,'Feuille de Donnée'!$F$16))&amp;""&amp;IF(AND(AW53&gt;=$I53*(1-'Feuille de Donnée'!$E$27),AW53&lt;=$I53*(1+'Feuille de Donnée'!$F$27)),'Feuille de Donnée'!$F$32,IF(AW53&lt;$I53*(1-'Feuille de Donnée'!$E$27),'Feuille de Donnée'!$F$33,'Feuille de Donnée'!$F$31)))))</f>
        <v/>
      </c>
      <c r="BC53" s="151"/>
      <c r="BD53" s="110"/>
      <c r="BE53" s="28"/>
      <c r="BF53" s="28"/>
      <c r="BG53" s="28" t="str">
        <f t="shared" si="35"/>
        <v/>
      </c>
      <c r="BH53" s="128" t="str">
        <f t="shared" si="36"/>
        <v/>
      </c>
      <c r="BI53" s="128" t="str">
        <f t="shared" si="37"/>
        <v/>
      </c>
      <c r="BJ53" s="28" t="str">
        <f>IF(AND(ISBLANK(BL53),BK53=""),"",1+MAX(BJ$18:BJ52))</f>
        <v/>
      </c>
      <c r="BK53" s="150" t="str">
        <f>IF(OR(BG53="",BG53=0,$J53="",$J53=0,NOT(ISNUMBER($J53)),NOT(ISNUMBER(BG53))),IF(AND($G53&lt;&gt;"",AND(OR(ISNUMBER(BG53),BG53=""),AND(ISNUMBER($J53),$J53&gt;0))),'Feuille de Donnée'!$K$13,""),IF(BG53&lt;$J$165*'Feuille de Donnée'!$I$9,"Négligeable",(IF(AND(BE53&gt;=$H53*(1-'Feuille de Donnée'!$E$12),BE53&lt;=$H53*(1+'Feuille de Donnée'!$F$12)),'Feuille de Donnée'!$F$17,IF(BE53&lt;$H53*(1-'Feuille de Donnée'!$E$12),'Feuille de Donnée'!$F$18,'Feuille de Donnée'!$F$16))&amp;""&amp;IF(AND(BF53&gt;=$I53*(1-'Feuille de Donnée'!$E$27),BF53&lt;=$I53*(1+'Feuille de Donnée'!$F$27)),'Feuille de Donnée'!$F$32,IF(BF53&lt;$I53*(1-'Feuille de Donnée'!$E$27),'Feuille de Donnée'!$F$33,'Feuille de Donnée'!$F$31)))))</f>
        <v/>
      </c>
      <c r="BL53" s="151"/>
      <c r="BM53" s="153"/>
    </row>
    <row r="54" spans="1:65" s="7" customFormat="1" x14ac:dyDescent="0.3">
      <c r="A54" s="24"/>
      <c r="B54" s="25"/>
      <c r="C54" s="25"/>
      <c r="D54" s="25"/>
      <c r="E54" s="25"/>
      <c r="F54" s="25"/>
      <c r="G54" s="23"/>
      <c r="H54" s="26"/>
      <c r="I54" s="27"/>
      <c r="J54" s="109" t="str">
        <f t="shared" si="19"/>
        <v/>
      </c>
      <c r="K54" s="110"/>
      <c r="L54" s="28"/>
      <c r="M54" s="28"/>
      <c r="N54" s="28" t="str">
        <f t="shared" si="20"/>
        <v/>
      </c>
      <c r="O54" s="128" t="str">
        <f t="shared" si="21"/>
        <v/>
      </c>
      <c r="P54" s="128" t="str">
        <f t="shared" si="22"/>
        <v/>
      </c>
      <c r="Q54" s="28" t="str">
        <f>IF(AND(ISBLANK(S54),R54=""),"",1+MAX(Q$18:Q53))</f>
        <v/>
      </c>
      <c r="R54" s="150" t="str">
        <f>IF(OR(N54="",N54=0,$J54="",$J54=0,NOT(ISNUMBER($J54)),NOT(ISNUMBER(N54))),IF(AND($G54&lt;&gt;"",AND(OR(ISNUMBER(N54),N54=""),AND(ISNUMBER($J54),$J54&gt;0))),'Feuille de Donnée'!$K$13,""),IF(N54&lt;$J$165*'Feuille de Donnée'!$I$9,"Négligeable",(IF(AND(L54&gt;=$H54*(1-'Feuille de Donnée'!$E$12),L54&lt;=$H54*(1+'Feuille de Donnée'!$F$12)),'Feuille de Donnée'!$F$17,IF(L54&lt;$H54*(1-'Feuille de Donnée'!$E$12),'Feuille de Donnée'!$F$18,'Feuille de Donnée'!$F$16))&amp;""&amp;IF(AND(M54&gt;=$I54*(1-'Feuille de Donnée'!$E$27),M54&lt;=$I54*(1+'Feuille de Donnée'!$F$27)),'Feuille de Donnée'!$F$32,IF(M54&lt;$I54*(1-'Feuille de Donnée'!$E$27),'Feuille de Donnée'!$F$33,'Feuille de Donnée'!$F$31)))))</f>
        <v/>
      </c>
      <c r="S54" s="151"/>
      <c r="T54" s="110"/>
      <c r="U54" s="28"/>
      <c r="V54" s="28"/>
      <c r="W54" s="28" t="str">
        <f t="shared" si="23"/>
        <v/>
      </c>
      <c r="X54" s="128" t="str">
        <f t="shared" si="24"/>
        <v/>
      </c>
      <c r="Y54" s="128" t="str">
        <f t="shared" si="25"/>
        <v/>
      </c>
      <c r="Z54" s="28" t="str">
        <f>IF(AND(ISBLANK(AB54),AA54=""),"",1+MAX(Z$18:Z53))</f>
        <v/>
      </c>
      <c r="AA54" s="150" t="str">
        <f>IF(OR(W54="",W54=0,$J54="",$J54=0,NOT(ISNUMBER($J54)),NOT(ISNUMBER(W54))),IF(AND($G54&lt;&gt;"",AND(OR(ISNUMBER(W54),W54=""),AND(ISNUMBER($J54),$J54&gt;0))),'Feuille de Donnée'!$K$13,""),IF(W54&lt;$J$165*'Feuille de Donnée'!$I$9,"Négligeable",(IF(AND(U54&gt;=$H54*(1-'Feuille de Donnée'!$E$12),U54&lt;=$H54*(1+'Feuille de Donnée'!$F$12)),'Feuille de Donnée'!$F$17,IF(U54&lt;$H54*(1-'Feuille de Donnée'!$E$12),'Feuille de Donnée'!$F$18,'Feuille de Donnée'!$F$16))&amp;""&amp;IF(AND(V54&gt;=$I54*(1-'Feuille de Donnée'!$E$27),V54&lt;=$I54*(1+'Feuille de Donnée'!$F$27)),'Feuille de Donnée'!$F$32,IF(V54&lt;$I54*(1-'Feuille de Donnée'!$E$27),'Feuille de Donnée'!$F$33,'Feuille de Donnée'!$F$31)))))</f>
        <v/>
      </c>
      <c r="AB54" s="151"/>
      <c r="AC54" s="110"/>
      <c r="AD54" s="28"/>
      <c r="AE54" s="28"/>
      <c r="AF54" s="28" t="str">
        <f t="shared" si="26"/>
        <v/>
      </c>
      <c r="AG54" s="128" t="str">
        <f t="shared" si="27"/>
        <v/>
      </c>
      <c r="AH54" s="128" t="str">
        <f t="shared" si="28"/>
        <v/>
      </c>
      <c r="AI54" s="28" t="str">
        <f>IF(AND(ISBLANK(AK54),AJ54=""),"",1+MAX(AI$18:AI53))</f>
        <v/>
      </c>
      <c r="AJ54" s="150" t="str">
        <f>IF(OR(AF54="",AF54=0,$J54="",$J54=0,NOT(ISNUMBER($J54)),NOT(ISNUMBER(AF54))),IF(AND($G54&lt;&gt;"",AND(OR(ISNUMBER(AF54),AF54=""),AND(ISNUMBER($J54),$J54&gt;0))),'Feuille de Donnée'!$K$13,""),IF(AF54&lt;$J$165*'Feuille de Donnée'!$I$9,"Négligeable",(IF(AND(AD54&gt;=$H54*(1-'Feuille de Donnée'!$E$12),AD54&lt;=$H54*(1+'Feuille de Donnée'!$F$12)),'Feuille de Donnée'!$F$17,IF(AD54&lt;$H54*(1-'Feuille de Donnée'!$E$12),'Feuille de Donnée'!$F$18,'Feuille de Donnée'!$F$16))&amp;""&amp;IF(AND(AE54&gt;=$I54*(1-'Feuille de Donnée'!$E$27),AE54&lt;=$I54*(1+'Feuille de Donnée'!$F$27)),'Feuille de Donnée'!$F$32,IF(AE54&lt;$I54*(1-'Feuille de Donnée'!$E$27),'Feuille de Donnée'!$F$33,'Feuille de Donnée'!$F$31)))))</f>
        <v/>
      </c>
      <c r="AK54" s="151"/>
      <c r="AL54" s="110"/>
      <c r="AM54" s="28"/>
      <c r="AN54" s="28"/>
      <c r="AO54" s="28" t="str">
        <f t="shared" si="29"/>
        <v/>
      </c>
      <c r="AP54" s="128" t="str">
        <f t="shared" si="30"/>
        <v/>
      </c>
      <c r="AQ54" s="128" t="str">
        <f t="shared" si="31"/>
        <v/>
      </c>
      <c r="AR54" s="28" t="str">
        <f>IF(AND(ISBLANK(AT54),AS54=""),"",1+MAX(AR$18:AR53))</f>
        <v/>
      </c>
      <c r="AS54" s="150" t="str">
        <f>IF(OR(AO54="",AO54=0,$J54="",$J54=0,NOT(ISNUMBER($J54)),NOT(ISNUMBER(AO54))),IF(AND($G54&lt;&gt;"",AND(OR(ISNUMBER(AO54),AO54=""),AND(ISNUMBER($J54),$J54&gt;0))),'Feuille de Donnée'!$K$13,""),IF(AO54&lt;$J$165*'Feuille de Donnée'!$I$9,"Négligeable",(IF(AND(AM54&gt;=$H54*(1-'Feuille de Donnée'!$E$12),AM54&lt;=$H54*(1+'Feuille de Donnée'!$F$12)),'Feuille de Donnée'!$F$17,IF(AM54&lt;$H54*(1-'Feuille de Donnée'!$E$12),'Feuille de Donnée'!$F$18,'Feuille de Donnée'!$F$16))&amp;""&amp;IF(AND(AN54&gt;=$I54*(1-'Feuille de Donnée'!$E$27),AN54&lt;=$I54*(1+'Feuille de Donnée'!$F$27)),'Feuille de Donnée'!$F$32,IF(AN54&lt;$I54*(1-'Feuille de Donnée'!$E$27),'Feuille de Donnée'!$F$33,'Feuille de Donnée'!$F$31)))))</f>
        <v/>
      </c>
      <c r="AT54" s="151"/>
      <c r="AU54" s="110"/>
      <c r="AV54" s="28"/>
      <c r="AW54" s="28"/>
      <c r="AX54" s="28" t="str">
        <f t="shared" si="32"/>
        <v/>
      </c>
      <c r="AY54" s="128" t="str">
        <f t="shared" si="33"/>
        <v/>
      </c>
      <c r="AZ54" s="128" t="str">
        <f t="shared" si="34"/>
        <v/>
      </c>
      <c r="BA54" s="28" t="str">
        <f>IF(AND(ISBLANK(BC54),BB54=""),"",1+MAX(BA$18:BA53))</f>
        <v/>
      </c>
      <c r="BB54" s="150" t="str">
        <f>IF(OR(AX54="",AX54=0,$J54="",$J54=0,NOT(ISNUMBER($J54)),NOT(ISNUMBER(AX54))),IF(AND($G54&lt;&gt;"",AND(OR(ISNUMBER(AX54),AX54=""),AND(ISNUMBER($J54),$J54&gt;0))),'Feuille de Donnée'!$K$13,""),IF(AX54&lt;$J$165*'Feuille de Donnée'!$I$9,"Négligeable",(IF(AND(AV54&gt;=$H54*(1-'Feuille de Donnée'!$E$12),AV54&lt;=$H54*(1+'Feuille de Donnée'!$F$12)),'Feuille de Donnée'!$F$17,IF(AV54&lt;$H54*(1-'Feuille de Donnée'!$E$12),'Feuille de Donnée'!$F$18,'Feuille de Donnée'!$F$16))&amp;""&amp;IF(AND(AW54&gt;=$I54*(1-'Feuille de Donnée'!$E$27),AW54&lt;=$I54*(1+'Feuille de Donnée'!$F$27)),'Feuille de Donnée'!$F$32,IF(AW54&lt;$I54*(1-'Feuille de Donnée'!$E$27),'Feuille de Donnée'!$F$33,'Feuille de Donnée'!$F$31)))))</f>
        <v/>
      </c>
      <c r="BC54" s="151"/>
      <c r="BD54" s="110"/>
      <c r="BE54" s="28"/>
      <c r="BF54" s="28"/>
      <c r="BG54" s="28" t="str">
        <f t="shared" si="35"/>
        <v/>
      </c>
      <c r="BH54" s="128" t="str">
        <f t="shared" si="36"/>
        <v/>
      </c>
      <c r="BI54" s="128" t="str">
        <f t="shared" si="37"/>
        <v/>
      </c>
      <c r="BJ54" s="28" t="str">
        <f>IF(AND(ISBLANK(BL54),BK54=""),"",1+MAX(BJ$18:BJ53))</f>
        <v/>
      </c>
      <c r="BK54" s="150" t="str">
        <f>IF(OR(BG54="",BG54=0,$J54="",$J54=0,NOT(ISNUMBER($J54)),NOT(ISNUMBER(BG54))),IF(AND($G54&lt;&gt;"",AND(OR(ISNUMBER(BG54),BG54=""),AND(ISNUMBER($J54),$J54&gt;0))),'Feuille de Donnée'!$K$13,""),IF(BG54&lt;$J$165*'Feuille de Donnée'!$I$9,"Négligeable",(IF(AND(BE54&gt;=$H54*(1-'Feuille de Donnée'!$E$12),BE54&lt;=$H54*(1+'Feuille de Donnée'!$F$12)),'Feuille de Donnée'!$F$17,IF(BE54&lt;$H54*(1-'Feuille de Donnée'!$E$12),'Feuille de Donnée'!$F$18,'Feuille de Donnée'!$F$16))&amp;""&amp;IF(AND(BF54&gt;=$I54*(1-'Feuille de Donnée'!$E$27),BF54&lt;=$I54*(1+'Feuille de Donnée'!$F$27)),'Feuille de Donnée'!$F$32,IF(BF54&lt;$I54*(1-'Feuille de Donnée'!$E$27),'Feuille de Donnée'!$F$33,'Feuille de Donnée'!$F$31)))))</f>
        <v/>
      </c>
      <c r="BL54" s="151"/>
      <c r="BM54" s="153"/>
    </row>
    <row r="55" spans="1:65" s="7" customFormat="1" x14ac:dyDescent="0.3">
      <c r="A55" s="24"/>
      <c r="B55" s="25"/>
      <c r="C55" s="25"/>
      <c r="D55" s="25"/>
      <c r="E55" s="25"/>
      <c r="F55" s="25"/>
      <c r="G55" s="23"/>
      <c r="H55" s="26"/>
      <c r="I55" s="27"/>
      <c r="J55" s="109" t="str">
        <f t="shared" si="19"/>
        <v/>
      </c>
      <c r="K55" s="110"/>
      <c r="L55" s="28"/>
      <c r="M55" s="28"/>
      <c r="N55" s="28" t="str">
        <f t="shared" si="20"/>
        <v/>
      </c>
      <c r="O55" s="128" t="str">
        <f t="shared" si="21"/>
        <v/>
      </c>
      <c r="P55" s="128" t="str">
        <f t="shared" si="22"/>
        <v/>
      </c>
      <c r="Q55" s="28" t="str">
        <f>IF(AND(ISBLANK(S55),R55=""),"",1+MAX(Q$18:Q54))</f>
        <v/>
      </c>
      <c r="R55" s="150" t="str">
        <f>IF(OR(N55="",N55=0,$J55="",$J55=0,NOT(ISNUMBER($J55)),NOT(ISNUMBER(N55))),IF(AND($G55&lt;&gt;"",AND(OR(ISNUMBER(N55),N55=""),AND(ISNUMBER($J55),$J55&gt;0))),'Feuille de Donnée'!$K$13,""),IF(N55&lt;$J$165*'Feuille de Donnée'!$I$9,"Négligeable",(IF(AND(L55&gt;=$H55*(1-'Feuille de Donnée'!$E$12),L55&lt;=$H55*(1+'Feuille de Donnée'!$F$12)),'Feuille de Donnée'!$F$17,IF(L55&lt;$H55*(1-'Feuille de Donnée'!$E$12),'Feuille de Donnée'!$F$18,'Feuille de Donnée'!$F$16))&amp;""&amp;IF(AND(M55&gt;=$I55*(1-'Feuille de Donnée'!$E$27),M55&lt;=$I55*(1+'Feuille de Donnée'!$F$27)),'Feuille de Donnée'!$F$32,IF(M55&lt;$I55*(1-'Feuille de Donnée'!$E$27),'Feuille de Donnée'!$F$33,'Feuille de Donnée'!$F$31)))))</f>
        <v/>
      </c>
      <c r="S55" s="151"/>
      <c r="T55" s="110"/>
      <c r="U55" s="28"/>
      <c r="V55" s="28"/>
      <c r="W55" s="28" t="str">
        <f t="shared" si="23"/>
        <v/>
      </c>
      <c r="X55" s="128" t="str">
        <f t="shared" si="24"/>
        <v/>
      </c>
      <c r="Y55" s="128" t="str">
        <f t="shared" si="25"/>
        <v/>
      </c>
      <c r="Z55" s="28" t="str">
        <f>IF(AND(ISBLANK(AB55),AA55=""),"",1+MAX(Z$18:Z54))</f>
        <v/>
      </c>
      <c r="AA55" s="150" t="str">
        <f>IF(OR(W55="",W55=0,$J55="",$J55=0,NOT(ISNUMBER($J55)),NOT(ISNUMBER(W55))),IF(AND($G55&lt;&gt;"",AND(OR(ISNUMBER(W55),W55=""),AND(ISNUMBER($J55),$J55&gt;0))),'Feuille de Donnée'!$K$13,""),IF(W55&lt;$J$165*'Feuille de Donnée'!$I$9,"Négligeable",(IF(AND(U55&gt;=$H55*(1-'Feuille de Donnée'!$E$12),U55&lt;=$H55*(1+'Feuille de Donnée'!$F$12)),'Feuille de Donnée'!$F$17,IF(U55&lt;$H55*(1-'Feuille de Donnée'!$E$12),'Feuille de Donnée'!$F$18,'Feuille de Donnée'!$F$16))&amp;""&amp;IF(AND(V55&gt;=$I55*(1-'Feuille de Donnée'!$E$27),V55&lt;=$I55*(1+'Feuille de Donnée'!$F$27)),'Feuille de Donnée'!$F$32,IF(V55&lt;$I55*(1-'Feuille de Donnée'!$E$27),'Feuille de Donnée'!$F$33,'Feuille de Donnée'!$F$31)))))</f>
        <v/>
      </c>
      <c r="AB55" s="151"/>
      <c r="AC55" s="110"/>
      <c r="AD55" s="28"/>
      <c r="AE55" s="28"/>
      <c r="AF55" s="28" t="str">
        <f t="shared" si="26"/>
        <v/>
      </c>
      <c r="AG55" s="128" t="str">
        <f t="shared" si="27"/>
        <v/>
      </c>
      <c r="AH55" s="128" t="str">
        <f t="shared" si="28"/>
        <v/>
      </c>
      <c r="AI55" s="28" t="str">
        <f>IF(AND(ISBLANK(AK55),AJ55=""),"",1+MAX(AI$18:AI54))</f>
        <v/>
      </c>
      <c r="AJ55" s="150" t="str">
        <f>IF(OR(AF55="",AF55=0,$J55="",$J55=0,NOT(ISNUMBER($J55)),NOT(ISNUMBER(AF55))),IF(AND($G55&lt;&gt;"",AND(OR(ISNUMBER(AF55),AF55=""),AND(ISNUMBER($J55),$J55&gt;0))),'Feuille de Donnée'!$K$13,""),IF(AF55&lt;$J$165*'Feuille de Donnée'!$I$9,"Négligeable",(IF(AND(AD55&gt;=$H55*(1-'Feuille de Donnée'!$E$12),AD55&lt;=$H55*(1+'Feuille de Donnée'!$F$12)),'Feuille de Donnée'!$F$17,IF(AD55&lt;$H55*(1-'Feuille de Donnée'!$E$12),'Feuille de Donnée'!$F$18,'Feuille de Donnée'!$F$16))&amp;""&amp;IF(AND(AE55&gt;=$I55*(1-'Feuille de Donnée'!$E$27),AE55&lt;=$I55*(1+'Feuille de Donnée'!$F$27)),'Feuille de Donnée'!$F$32,IF(AE55&lt;$I55*(1-'Feuille de Donnée'!$E$27),'Feuille de Donnée'!$F$33,'Feuille de Donnée'!$F$31)))))</f>
        <v/>
      </c>
      <c r="AK55" s="151"/>
      <c r="AL55" s="110"/>
      <c r="AM55" s="28"/>
      <c r="AN55" s="28"/>
      <c r="AO55" s="28" t="str">
        <f t="shared" si="29"/>
        <v/>
      </c>
      <c r="AP55" s="128" t="str">
        <f t="shared" si="30"/>
        <v/>
      </c>
      <c r="AQ55" s="128" t="str">
        <f t="shared" si="31"/>
        <v/>
      </c>
      <c r="AR55" s="28" t="str">
        <f>IF(AND(ISBLANK(AT55),AS55=""),"",1+MAX(AR$18:AR54))</f>
        <v/>
      </c>
      <c r="AS55" s="150" t="str">
        <f>IF(OR(AO55="",AO55=0,$J55="",$J55=0,NOT(ISNUMBER($J55)),NOT(ISNUMBER(AO55))),IF(AND($G55&lt;&gt;"",AND(OR(ISNUMBER(AO55),AO55=""),AND(ISNUMBER($J55),$J55&gt;0))),'Feuille de Donnée'!$K$13,""),IF(AO55&lt;$J$165*'Feuille de Donnée'!$I$9,"Négligeable",(IF(AND(AM55&gt;=$H55*(1-'Feuille de Donnée'!$E$12),AM55&lt;=$H55*(1+'Feuille de Donnée'!$F$12)),'Feuille de Donnée'!$F$17,IF(AM55&lt;$H55*(1-'Feuille de Donnée'!$E$12),'Feuille de Donnée'!$F$18,'Feuille de Donnée'!$F$16))&amp;""&amp;IF(AND(AN55&gt;=$I55*(1-'Feuille de Donnée'!$E$27),AN55&lt;=$I55*(1+'Feuille de Donnée'!$F$27)),'Feuille de Donnée'!$F$32,IF(AN55&lt;$I55*(1-'Feuille de Donnée'!$E$27),'Feuille de Donnée'!$F$33,'Feuille de Donnée'!$F$31)))))</f>
        <v/>
      </c>
      <c r="AT55" s="151"/>
      <c r="AU55" s="110"/>
      <c r="AV55" s="28"/>
      <c r="AW55" s="28"/>
      <c r="AX55" s="28" t="str">
        <f t="shared" si="32"/>
        <v/>
      </c>
      <c r="AY55" s="128" t="str">
        <f t="shared" si="33"/>
        <v/>
      </c>
      <c r="AZ55" s="128" t="str">
        <f t="shared" si="34"/>
        <v/>
      </c>
      <c r="BA55" s="28" t="str">
        <f>IF(AND(ISBLANK(BC55),BB55=""),"",1+MAX(BA$18:BA54))</f>
        <v/>
      </c>
      <c r="BB55" s="150" t="str">
        <f>IF(OR(AX55="",AX55=0,$J55="",$J55=0,NOT(ISNUMBER($J55)),NOT(ISNUMBER(AX55))),IF(AND($G55&lt;&gt;"",AND(OR(ISNUMBER(AX55),AX55=""),AND(ISNUMBER($J55),$J55&gt;0))),'Feuille de Donnée'!$K$13,""),IF(AX55&lt;$J$165*'Feuille de Donnée'!$I$9,"Négligeable",(IF(AND(AV55&gt;=$H55*(1-'Feuille de Donnée'!$E$12),AV55&lt;=$H55*(1+'Feuille de Donnée'!$F$12)),'Feuille de Donnée'!$F$17,IF(AV55&lt;$H55*(1-'Feuille de Donnée'!$E$12),'Feuille de Donnée'!$F$18,'Feuille de Donnée'!$F$16))&amp;""&amp;IF(AND(AW55&gt;=$I55*(1-'Feuille de Donnée'!$E$27),AW55&lt;=$I55*(1+'Feuille de Donnée'!$F$27)),'Feuille de Donnée'!$F$32,IF(AW55&lt;$I55*(1-'Feuille de Donnée'!$E$27),'Feuille de Donnée'!$F$33,'Feuille de Donnée'!$F$31)))))</f>
        <v/>
      </c>
      <c r="BC55" s="151"/>
      <c r="BD55" s="110"/>
      <c r="BE55" s="28"/>
      <c r="BF55" s="28"/>
      <c r="BG55" s="28" t="str">
        <f t="shared" si="35"/>
        <v/>
      </c>
      <c r="BH55" s="128" t="str">
        <f t="shared" si="36"/>
        <v/>
      </c>
      <c r="BI55" s="128" t="str">
        <f t="shared" si="37"/>
        <v/>
      </c>
      <c r="BJ55" s="28" t="str">
        <f>IF(AND(ISBLANK(BL55),BK55=""),"",1+MAX(BJ$18:BJ54))</f>
        <v/>
      </c>
      <c r="BK55" s="150" t="str">
        <f>IF(OR(BG55="",BG55=0,$J55="",$J55=0,NOT(ISNUMBER($J55)),NOT(ISNUMBER(BG55))),IF(AND($G55&lt;&gt;"",AND(OR(ISNUMBER(BG55),BG55=""),AND(ISNUMBER($J55),$J55&gt;0))),'Feuille de Donnée'!$K$13,""),IF(BG55&lt;$J$165*'Feuille de Donnée'!$I$9,"Négligeable",(IF(AND(BE55&gt;=$H55*(1-'Feuille de Donnée'!$E$12),BE55&lt;=$H55*(1+'Feuille de Donnée'!$F$12)),'Feuille de Donnée'!$F$17,IF(BE55&lt;$H55*(1-'Feuille de Donnée'!$E$12),'Feuille de Donnée'!$F$18,'Feuille de Donnée'!$F$16))&amp;""&amp;IF(AND(BF55&gt;=$I55*(1-'Feuille de Donnée'!$E$27),BF55&lt;=$I55*(1+'Feuille de Donnée'!$F$27)),'Feuille de Donnée'!$F$32,IF(BF55&lt;$I55*(1-'Feuille de Donnée'!$E$27),'Feuille de Donnée'!$F$33,'Feuille de Donnée'!$F$31)))))</f>
        <v/>
      </c>
      <c r="BL55" s="151"/>
      <c r="BM55" s="153"/>
    </row>
    <row r="56" spans="1:65" s="7" customFormat="1" x14ac:dyDescent="0.3">
      <c r="A56" s="24"/>
      <c r="B56" s="25"/>
      <c r="C56" s="25"/>
      <c r="D56" s="25"/>
      <c r="E56" s="25"/>
      <c r="F56" s="25"/>
      <c r="G56" s="23"/>
      <c r="H56" s="26"/>
      <c r="I56" s="27"/>
      <c r="J56" s="109" t="str">
        <f t="shared" si="19"/>
        <v/>
      </c>
      <c r="K56" s="110"/>
      <c r="L56" s="28"/>
      <c r="M56" s="28"/>
      <c r="N56" s="28" t="str">
        <f t="shared" si="20"/>
        <v/>
      </c>
      <c r="O56" s="128" t="str">
        <f t="shared" si="21"/>
        <v/>
      </c>
      <c r="P56" s="128" t="str">
        <f t="shared" si="22"/>
        <v/>
      </c>
      <c r="Q56" s="28" t="str">
        <f>IF(AND(ISBLANK(S56),R56=""),"",1+MAX(Q$18:Q55))</f>
        <v/>
      </c>
      <c r="R56" s="150" t="str">
        <f>IF(OR(N56="",N56=0,$J56="",$J56=0,NOT(ISNUMBER($J56)),NOT(ISNUMBER(N56))),IF(AND($G56&lt;&gt;"",AND(OR(ISNUMBER(N56),N56=""),AND(ISNUMBER($J56),$J56&gt;0))),'Feuille de Donnée'!$K$13,""),IF(N56&lt;$J$165*'Feuille de Donnée'!$I$9,"Négligeable",(IF(AND(L56&gt;=$H56*(1-'Feuille de Donnée'!$E$12),L56&lt;=$H56*(1+'Feuille de Donnée'!$F$12)),'Feuille de Donnée'!$F$17,IF(L56&lt;$H56*(1-'Feuille de Donnée'!$E$12),'Feuille de Donnée'!$F$18,'Feuille de Donnée'!$F$16))&amp;""&amp;IF(AND(M56&gt;=$I56*(1-'Feuille de Donnée'!$E$27),M56&lt;=$I56*(1+'Feuille de Donnée'!$F$27)),'Feuille de Donnée'!$F$32,IF(M56&lt;$I56*(1-'Feuille de Donnée'!$E$27),'Feuille de Donnée'!$F$33,'Feuille de Donnée'!$F$31)))))</f>
        <v/>
      </c>
      <c r="S56" s="151"/>
      <c r="T56" s="110"/>
      <c r="U56" s="28"/>
      <c r="V56" s="28"/>
      <c r="W56" s="28" t="str">
        <f t="shared" si="23"/>
        <v/>
      </c>
      <c r="X56" s="128" t="str">
        <f t="shared" si="24"/>
        <v/>
      </c>
      <c r="Y56" s="128" t="str">
        <f t="shared" si="25"/>
        <v/>
      </c>
      <c r="Z56" s="28" t="str">
        <f>IF(AND(ISBLANK(AB56),AA56=""),"",1+MAX(Z$18:Z55))</f>
        <v/>
      </c>
      <c r="AA56" s="150" t="str">
        <f>IF(OR(W56="",W56=0,$J56="",$J56=0,NOT(ISNUMBER($J56)),NOT(ISNUMBER(W56))),IF(AND($G56&lt;&gt;"",AND(OR(ISNUMBER(W56),W56=""),AND(ISNUMBER($J56),$J56&gt;0))),'Feuille de Donnée'!$K$13,""),IF(W56&lt;$J$165*'Feuille de Donnée'!$I$9,"Négligeable",(IF(AND(U56&gt;=$H56*(1-'Feuille de Donnée'!$E$12),U56&lt;=$H56*(1+'Feuille de Donnée'!$F$12)),'Feuille de Donnée'!$F$17,IF(U56&lt;$H56*(1-'Feuille de Donnée'!$E$12),'Feuille de Donnée'!$F$18,'Feuille de Donnée'!$F$16))&amp;""&amp;IF(AND(V56&gt;=$I56*(1-'Feuille de Donnée'!$E$27),V56&lt;=$I56*(1+'Feuille de Donnée'!$F$27)),'Feuille de Donnée'!$F$32,IF(V56&lt;$I56*(1-'Feuille de Donnée'!$E$27),'Feuille de Donnée'!$F$33,'Feuille de Donnée'!$F$31)))))</f>
        <v/>
      </c>
      <c r="AB56" s="151"/>
      <c r="AC56" s="110"/>
      <c r="AD56" s="28"/>
      <c r="AE56" s="28"/>
      <c r="AF56" s="28" t="str">
        <f t="shared" si="26"/>
        <v/>
      </c>
      <c r="AG56" s="128" t="str">
        <f t="shared" si="27"/>
        <v/>
      </c>
      <c r="AH56" s="128" t="str">
        <f t="shared" si="28"/>
        <v/>
      </c>
      <c r="AI56" s="28" t="str">
        <f>IF(AND(ISBLANK(AK56),AJ56=""),"",1+MAX(AI$18:AI55))</f>
        <v/>
      </c>
      <c r="AJ56" s="150" t="str">
        <f>IF(OR(AF56="",AF56=0,$J56="",$J56=0,NOT(ISNUMBER($J56)),NOT(ISNUMBER(AF56))),IF(AND($G56&lt;&gt;"",AND(OR(ISNUMBER(AF56),AF56=""),AND(ISNUMBER($J56),$J56&gt;0))),'Feuille de Donnée'!$K$13,""),IF(AF56&lt;$J$165*'Feuille de Donnée'!$I$9,"Négligeable",(IF(AND(AD56&gt;=$H56*(1-'Feuille de Donnée'!$E$12),AD56&lt;=$H56*(1+'Feuille de Donnée'!$F$12)),'Feuille de Donnée'!$F$17,IF(AD56&lt;$H56*(1-'Feuille de Donnée'!$E$12),'Feuille de Donnée'!$F$18,'Feuille de Donnée'!$F$16))&amp;""&amp;IF(AND(AE56&gt;=$I56*(1-'Feuille de Donnée'!$E$27),AE56&lt;=$I56*(1+'Feuille de Donnée'!$F$27)),'Feuille de Donnée'!$F$32,IF(AE56&lt;$I56*(1-'Feuille de Donnée'!$E$27),'Feuille de Donnée'!$F$33,'Feuille de Donnée'!$F$31)))))</f>
        <v/>
      </c>
      <c r="AK56" s="151"/>
      <c r="AL56" s="110"/>
      <c r="AM56" s="28"/>
      <c r="AN56" s="28"/>
      <c r="AO56" s="28" t="str">
        <f t="shared" si="29"/>
        <v/>
      </c>
      <c r="AP56" s="128" t="str">
        <f t="shared" si="30"/>
        <v/>
      </c>
      <c r="AQ56" s="128" t="str">
        <f t="shared" si="31"/>
        <v/>
      </c>
      <c r="AR56" s="28" t="str">
        <f>IF(AND(ISBLANK(AT56),AS56=""),"",1+MAX(AR$18:AR55))</f>
        <v/>
      </c>
      <c r="AS56" s="150" t="str">
        <f>IF(OR(AO56="",AO56=0,$J56="",$J56=0,NOT(ISNUMBER($J56)),NOT(ISNUMBER(AO56))),IF(AND($G56&lt;&gt;"",AND(OR(ISNUMBER(AO56),AO56=""),AND(ISNUMBER($J56),$J56&gt;0))),'Feuille de Donnée'!$K$13,""),IF(AO56&lt;$J$165*'Feuille de Donnée'!$I$9,"Négligeable",(IF(AND(AM56&gt;=$H56*(1-'Feuille de Donnée'!$E$12),AM56&lt;=$H56*(1+'Feuille de Donnée'!$F$12)),'Feuille de Donnée'!$F$17,IF(AM56&lt;$H56*(1-'Feuille de Donnée'!$E$12),'Feuille de Donnée'!$F$18,'Feuille de Donnée'!$F$16))&amp;""&amp;IF(AND(AN56&gt;=$I56*(1-'Feuille de Donnée'!$E$27),AN56&lt;=$I56*(1+'Feuille de Donnée'!$F$27)),'Feuille de Donnée'!$F$32,IF(AN56&lt;$I56*(1-'Feuille de Donnée'!$E$27),'Feuille de Donnée'!$F$33,'Feuille de Donnée'!$F$31)))))</f>
        <v/>
      </c>
      <c r="AT56" s="151"/>
      <c r="AU56" s="110"/>
      <c r="AV56" s="28"/>
      <c r="AW56" s="28"/>
      <c r="AX56" s="28" t="str">
        <f t="shared" si="32"/>
        <v/>
      </c>
      <c r="AY56" s="128" t="str">
        <f t="shared" si="33"/>
        <v/>
      </c>
      <c r="AZ56" s="128" t="str">
        <f t="shared" si="34"/>
        <v/>
      </c>
      <c r="BA56" s="28" t="str">
        <f>IF(AND(ISBLANK(BC56),BB56=""),"",1+MAX(BA$18:BA55))</f>
        <v/>
      </c>
      <c r="BB56" s="150" t="str">
        <f>IF(OR(AX56="",AX56=0,$J56="",$J56=0,NOT(ISNUMBER($J56)),NOT(ISNUMBER(AX56))),IF(AND($G56&lt;&gt;"",AND(OR(ISNUMBER(AX56),AX56=""),AND(ISNUMBER($J56),$J56&gt;0))),'Feuille de Donnée'!$K$13,""),IF(AX56&lt;$J$165*'Feuille de Donnée'!$I$9,"Négligeable",(IF(AND(AV56&gt;=$H56*(1-'Feuille de Donnée'!$E$12),AV56&lt;=$H56*(1+'Feuille de Donnée'!$F$12)),'Feuille de Donnée'!$F$17,IF(AV56&lt;$H56*(1-'Feuille de Donnée'!$E$12),'Feuille de Donnée'!$F$18,'Feuille de Donnée'!$F$16))&amp;""&amp;IF(AND(AW56&gt;=$I56*(1-'Feuille de Donnée'!$E$27),AW56&lt;=$I56*(1+'Feuille de Donnée'!$F$27)),'Feuille de Donnée'!$F$32,IF(AW56&lt;$I56*(1-'Feuille de Donnée'!$E$27),'Feuille de Donnée'!$F$33,'Feuille de Donnée'!$F$31)))))</f>
        <v/>
      </c>
      <c r="BC56" s="151"/>
      <c r="BD56" s="110"/>
      <c r="BE56" s="28"/>
      <c r="BF56" s="28"/>
      <c r="BG56" s="28" t="str">
        <f t="shared" si="35"/>
        <v/>
      </c>
      <c r="BH56" s="128" t="str">
        <f t="shared" si="36"/>
        <v/>
      </c>
      <c r="BI56" s="128" t="str">
        <f t="shared" si="37"/>
        <v/>
      </c>
      <c r="BJ56" s="28" t="str">
        <f>IF(AND(ISBLANK(BL56),BK56=""),"",1+MAX(BJ$18:BJ55))</f>
        <v/>
      </c>
      <c r="BK56" s="150" t="str">
        <f>IF(OR(BG56="",BG56=0,$J56="",$J56=0,NOT(ISNUMBER($J56)),NOT(ISNUMBER(BG56))),IF(AND($G56&lt;&gt;"",AND(OR(ISNUMBER(BG56),BG56=""),AND(ISNUMBER($J56),$J56&gt;0))),'Feuille de Donnée'!$K$13,""),IF(BG56&lt;$J$165*'Feuille de Donnée'!$I$9,"Négligeable",(IF(AND(BE56&gt;=$H56*(1-'Feuille de Donnée'!$E$12),BE56&lt;=$H56*(1+'Feuille de Donnée'!$F$12)),'Feuille de Donnée'!$F$17,IF(BE56&lt;$H56*(1-'Feuille de Donnée'!$E$12),'Feuille de Donnée'!$F$18,'Feuille de Donnée'!$F$16))&amp;""&amp;IF(AND(BF56&gt;=$I56*(1-'Feuille de Donnée'!$E$27),BF56&lt;=$I56*(1+'Feuille de Donnée'!$F$27)),'Feuille de Donnée'!$F$32,IF(BF56&lt;$I56*(1-'Feuille de Donnée'!$E$27),'Feuille de Donnée'!$F$33,'Feuille de Donnée'!$F$31)))))</f>
        <v/>
      </c>
      <c r="BL56" s="151"/>
      <c r="BM56" s="153"/>
    </row>
    <row r="57" spans="1:65" s="7" customFormat="1" x14ac:dyDescent="0.3">
      <c r="A57" s="24"/>
      <c r="B57" s="25"/>
      <c r="C57" s="25"/>
      <c r="D57" s="25"/>
      <c r="E57" s="25"/>
      <c r="F57" s="25"/>
      <c r="G57" s="23"/>
      <c r="H57" s="26"/>
      <c r="I57" s="27"/>
      <c r="J57" s="109" t="str">
        <f t="shared" si="19"/>
        <v/>
      </c>
      <c r="K57" s="110"/>
      <c r="L57" s="28"/>
      <c r="M57" s="28"/>
      <c r="N57" s="28" t="str">
        <f t="shared" si="20"/>
        <v/>
      </c>
      <c r="O57" s="128" t="str">
        <f t="shared" si="21"/>
        <v/>
      </c>
      <c r="P57" s="128" t="str">
        <f t="shared" si="22"/>
        <v/>
      </c>
      <c r="Q57" s="28" t="str">
        <f>IF(AND(ISBLANK(S57),R57=""),"",1+MAX(Q$18:Q56))</f>
        <v/>
      </c>
      <c r="R57" s="150" t="str">
        <f>IF(OR(N57="",N57=0,$J57="",$J57=0,NOT(ISNUMBER($J57)),NOT(ISNUMBER(N57))),IF(AND($G57&lt;&gt;"",AND(OR(ISNUMBER(N57),N57=""),AND(ISNUMBER($J57),$J57&gt;0))),'Feuille de Donnée'!$K$13,""),IF(N57&lt;$J$165*'Feuille de Donnée'!$I$9,"Négligeable",(IF(AND(L57&gt;=$H57*(1-'Feuille de Donnée'!$E$12),L57&lt;=$H57*(1+'Feuille de Donnée'!$F$12)),'Feuille de Donnée'!$F$17,IF(L57&lt;$H57*(1-'Feuille de Donnée'!$E$12),'Feuille de Donnée'!$F$18,'Feuille de Donnée'!$F$16))&amp;""&amp;IF(AND(M57&gt;=$I57*(1-'Feuille de Donnée'!$E$27),M57&lt;=$I57*(1+'Feuille de Donnée'!$F$27)),'Feuille de Donnée'!$F$32,IF(M57&lt;$I57*(1-'Feuille de Donnée'!$E$27),'Feuille de Donnée'!$F$33,'Feuille de Donnée'!$F$31)))))</f>
        <v/>
      </c>
      <c r="S57" s="151"/>
      <c r="T57" s="110"/>
      <c r="U57" s="28"/>
      <c r="V57" s="28"/>
      <c r="W57" s="28" t="str">
        <f t="shared" si="23"/>
        <v/>
      </c>
      <c r="X57" s="128" t="str">
        <f t="shared" si="24"/>
        <v/>
      </c>
      <c r="Y57" s="128" t="str">
        <f t="shared" si="25"/>
        <v/>
      </c>
      <c r="Z57" s="28" t="str">
        <f>IF(AND(ISBLANK(AB57),AA57=""),"",1+MAX(Z$18:Z56))</f>
        <v/>
      </c>
      <c r="AA57" s="150" t="str">
        <f>IF(OR(W57="",W57=0,$J57="",$J57=0,NOT(ISNUMBER($J57)),NOT(ISNUMBER(W57))),IF(AND($G57&lt;&gt;"",AND(OR(ISNUMBER(W57),W57=""),AND(ISNUMBER($J57),$J57&gt;0))),'Feuille de Donnée'!$K$13,""),IF(W57&lt;$J$165*'Feuille de Donnée'!$I$9,"Négligeable",(IF(AND(U57&gt;=$H57*(1-'Feuille de Donnée'!$E$12),U57&lt;=$H57*(1+'Feuille de Donnée'!$F$12)),'Feuille de Donnée'!$F$17,IF(U57&lt;$H57*(1-'Feuille de Donnée'!$E$12),'Feuille de Donnée'!$F$18,'Feuille de Donnée'!$F$16))&amp;""&amp;IF(AND(V57&gt;=$I57*(1-'Feuille de Donnée'!$E$27),V57&lt;=$I57*(1+'Feuille de Donnée'!$F$27)),'Feuille de Donnée'!$F$32,IF(V57&lt;$I57*(1-'Feuille de Donnée'!$E$27),'Feuille de Donnée'!$F$33,'Feuille de Donnée'!$F$31)))))</f>
        <v/>
      </c>
      <c r="AB57" s="151"/>
      <c r="AC57" s="110"/>
      <c r="AD57" s="28"/>
      <c r="AE57" s="28"/>
      <c r="AF57" s="28" t="str">
        <f t="shared" si="26"/>
        <v/>
      </c>
      <c r="AG57" s="128" t="str">
        <f t="shared" si="27"/>
        <v/>
      </c>
      <c r="AH57" s="128" t="str">
        <f t="shared" si="28"/>
        <v/>
      </c>
      <c r="AI57" s="28" t="str">
        <f>IF(AND(ISBLANK(AK57),AJ57=""),"",1+MAX(AI$18:AI56))</f>
        <v/>
      </c>
      <c r="AJ57" s="150" t="str">
        <f>IF(OR(AF57="",AF57=0,$J57="",$J57=0,NOT(ISNUMBER($J57)),NOT(ISNUMBER(AF57))),IF(AND($G57&lt;&gt;"",AND(OR(ISNUMBER(AF57),AF57=""),AND(ISNUMBER($J57),$J57&gt;0))),'Feuille de Donnée'!$K$13,""),IF(AF57&lt;$J$165*'Feuille de Donnée'!$I$9,"Négligeable",(IF(AND(AD57&gt;=$H57*(1-'Feuille de Donnée'!$E$12),AD57&lt;=$H57*(1+'Feuille de Donnée'!$F$12)),'Feuille de Donnée'!$F$17,IF(AD57&lt;$H57*(1-'Feuille de Donnée'!$E$12),'Feuille de Donnée'!$F$18,'Feuille de Donnée'!$F$16))&amp;""&amp;IF(AND(AE57&gt;=$I57*(1-'Feuille de Donnée'!$E$27),AE57&lt;=$I57*(1+'Feuille de Donnée'!$F$27)),'Feuille de Donnée'!$F$32,IF(AE57&lt;$I57*(1-'Feuille de Donnée'!$E$27),'Feuille de Donnée'!$F$33,'Feuille de Donnée'!$F$31)))))</f>
        <v/>
      </c>
      <c r="AK57" s="151"/>
      <c r="AL57" s="110"/>
      <c r="AM57" s="28"/>
      <c r="AN57" s="28"/>
      <c r="AO57" s="28" t="str">
        <f t="shared" si="29"/>
        <v/>
      </c>
      <c r="AP57" s="128" t="str">
        <f t="shared" si="30"/>
        <v/>
      </c>
      <c r="AQ57" s="128" t="str">
        <f t="shared" si="31"/>
        <v/>
      </c>
      <c r="AR57" s="28" t="str">
        <f>IF(AND(ISBLANK(AT57),AS57=""),"",1+MAX(AR$18:AR56))</f>
        <v/>
      </c>
      <c r="AS57" s="150" t="str">
        <f>IF(OR(AO57="",AO57=0,$J57="",$J57=0,NOT(ISNUMBER($J57)),NOT(ISNUMBER(AO57))),IF(AND($G57&lt;&gt;"",AND(OR(ISNUMBER(AO57),AO57=""),AND(ISNUMBER($J57),$J57&gt;0))),'Feuille de Donnée'!$K$13,""),IF(AO57&lt;$J$165*'Feuille de Donnée'!$I$9,"Négligeable",(IF(AND(AM57&gt;=$H57*(1-'Feuille de Donnée'!$E$12),AM57&lt;=$H57*(1+'Feuille de Donnée'!$F$12)),'Feuille de Donnée'!$F$17,IF(AM57&lt;$H57*(1-'Feuille de Donnée'!$E$12),'Feuille de Donnée'!$F$18,'Feuille de Donnée'!$F$16))&amp;""&amp;IF(AND(AN57&gt;=$I57*(1-'Feuille de Donnée'!$E$27),AN57&lt;=$I57*(1+'Feuille de Donnée'!$F$27)),'Feuille de Donnée'!$F$32,IF(AN57&lt;$I57*(1-'Feuille de Donnée'!$E$27),'Feuille de Donnée'!$F$33,'Feuille de Donnée'!$F$31)))))</f>
        <v/>
      </c>
      <c r="AT57" s="151"/>
      <c r="AU57" s="110"/>
      <c r="AV57" s="28"/>
      <c r="AW57" s="28"/>
      <c r="AX57" s="28" t="str">
        <f t="shared" si="32"/>
        <v/>
      </c>
      <c r="AY57" s="128" t="str">
        <f t="shared" si="33"/>
        <v/>
      </c>
      <c r="AZ57" s="128" t="str">
        <f t="shared" si="34"/>
        <v/>
      </c>
      <c r="BA57" s="28" t="str">
        <f>IF(AND(ISBLANK(BC57),BB57=""),"",1+MAX(BA$18:BA56))</f>
        <v/>
      </c>
      <c r="BB57" s="150" t="str">
        <f>IF(OR(AX57="",AX57=0,$J57="",$J57=0,NOT(ISNUMBER($J57)),NOT(ISNUMBER(AX57))),IF(AND($G57&lt;&gt;"",AND(OR(ISNUMBER(AX57),AX57=""),AND(ISNUMBER($J57),$J57&gt;0))),'Feuille de Donnée'!$K$13,""),IF(AX57&lt;$J$165*'Feuille de Donnée'!$I$9,"Négligeable",(IF(AND(AV57&gt;=$H57*(1-'Feuille de Donnée'!$E$12),AV57&lt;=$H57*(1+'Feuille de Donnée'!$F$12)),'Feuille de Donnée'!$F$17,IF(AV57&lt;$H57*(1-'Feuille de Donnée'!$E$12),'Feuille de Donnée'!$F$18,'Feuille de Donnée'!$F$16))&amp;""&amp;IF(AND(AW57&gt;=$I57*(1-'Feuille de Donnée'!$E$27),AW57&lt;=$I57*(1+'Feuille de Donnée'!$F$27)),'Feuille de Donnée'!$F$32,IF(AW57&lt;$I57*(1-'Feuille de Donnée'!$E$27),'Feuille de Donnée'!$F$33,'Feuille de Donnée'!$F$31)))))</f>
        <v/>
      </c>
      <c r="BC57" s="151"/>
      <c r="BD57" s="110"/>
      <c r="BE57" s="28"/>
      <c r="BF57" s="28"/>
      <c r="BG57" s="28" t="str">
        <f t="shared" si="35"/>
        <v/>
      </c>
      <c r="BH57" s="128" t="str">
        <f t="shared" si="36"/>
        <v/>
      </c>
      <c r="BI57" s="128" t="str">
        <f t="shared" si="37"/>
        <v/>
      </c>
      <c r="BJ57" s="28" t="str">
        <f>IF(AND(ISBLANK(BL57),BK57=""),"",1+MAX(BJ$18:BJ56))</f>
        <v/>
      </c>
      <c r="BK57" s="150" t="str">
        <f>IF(OR(BG57="",BG57=0,$J57="",$J57=0,NOT(ISNUMBER($J57)),NOT(ISNUMBER(BG57))),IF(AND($G57&lt;&gt;"",AND(OR(ISNUMBER(BG57),BG57=""),AND(ISNUMBER($J57),$J57&gt;0))),'Feuille de Donnée'!$K$13,""),IF(BG57&lt;$J$165*'Feuille de Donnée'!$I$9,"Négligeable",(IF(AND(BE57&gt;=$H57*(1-'Feuille de Donnée'!$E$12),BE57&lt;=$H57*(1+'Feuille de Donnée'!$F$12)),'Feuille de Donnée'!$F$17,IF(BE57&lt;$H57*(1-'Feuille de Donnée'!$E$12),'Feuille de Donnée'!$F$18,'Feuille de Donnée'!$F$16))&amp;""&amp;IF(AND(BF57&gt;=$I57*(1-'Feuille de Donnée'!$E$27),BF57&lt;=$I57*(1+'Feuille de Donnée'!$F$27)),'Feuille de Donnée'!$F$32,IF(BF57&lt;$I57*(1-'Feuille de Donnée'!$E$27),'Feuille de Donnée'!$F$33,'Feuille de Donnée'!$F$31)))))</f>
        <v/>
      </c>
      <c r="BL57" s="151"/>
      <c r="BM57" s="153"/>
    </row>
    <row r="58" spans="1:65" s="7" customFormat="1" x14ac:dyDescent="0.3">
      <c r="A58" s="24"/>
      <c r="B58" s="25"/>
      <c r="C58" s="25"/>
      <c r="D58" s="25"/>
      <c r="E58" s="25"/>
      <c r="F58" s="25"/>
      <c r="G58" s="23"/>
      <c r="H58" s="26"/>
      <c r="I58" s="27"/>
      <c r="J58" s="109" t="str">
        <f t="shared" si="19"/>
        <v/>
      </c>
      <c r="K58" s="110"/>
      <c r="L58" s="28"/>
      <c r="M58" s="28"/>
      <c r="N58" s="28" t="str">
        <f t="shared" si="20"/>
        <v/>
      </c>
      <c r="O58" s="128" t="str">
        <f t="shared" si="21"/>
        <v/>
      </c>
      <c r="P58" s="128" t="str">
        <f t="shared" si="22"/>
        <v/>
      </c>
      <c r="Q58" s="28" t="str">
        <f>IF(AND(ISBLANK(S58),R58=""),"",1+MAX(Q$18:Q57))</f>
        <v/>
      </c>
      <c r="R58" s="150" t="str">
        <f>IF(OR(N58="",N58=0,$J58="",$J58=0,NOT(ISNUMBER($J58)),NOT(ISNUMBER(N58))),IF(AND($G58&lt;&gt;"",AND(OR(ISNUMBER(N58),N58=""),AND(ISNUMBER($J58),$J58&gt;0))),'Feuille de Donnée'!$K$13,""),IF(N58&lt;$J$165*'Feuille de Donnée'!$I$9,"Négligeable",(IF(AND(L58&gt;=$H58*(1-'Feuille de Donnée'!$E$12),L58&lt;=$H58*(1+'Feuille de Donnée'!$F$12)),'Feuille de Donnée'!$F$17,IF(L58&lt;$H58*(1-'Feuille de Donnée'!$E$12),'Feuille de Donnée'!$F$18,'Feuille de Donnée'!$F$16))&amp;""&amp;IF(AND(M58&gt;=$I58*(1-'Feuille de Donnée'!$E$27),M58&lt;=$I58*(1+'Feuille de Donnée'!$F$27)),'Feuille de Donnée'!$F$32,IF(M58&lt;$I58*(1-'Feuille de Donnée'!$E$27),'Feuille de Donnée'!$F$33,'Feuille de Donnée'!$F$31)))))</f>
        <v/>
      </c>
      <c r="S58" s="151"/>
      <c r="T58" s="110"/>
      <c r="U58" s="28"/>
      <c r="V58" s="28"/>
      <c r="W58" s="28" t="str">
        <f t="shared" si="23"/>
        <v/>
      </c>
      <c r="X58" s="128" t="str">
        <f t="shared" si="24"/>
        <v/>
      </c>
      <c r="Y58" s="128" t="str">
        <f t="shared" si="25"/>
        <v/>
      </c>
      <c r="Z58" s="28" t="str">
        <f>IF(AND(ISBLANK(AB58),AA58=""),"",1+MAX(Z$18:Z57))</f>
        <v/>
      </c>
      <c r="AA58" s="150" t="str">
        <f>IF(OR(W58="",W58=0,$J58="",$J58=0,NOT(ISNUMBER($J58)),NOT(ISNUMBER(W58))),IF(AND($G58&lt;&gt;"",AND(OR(ISNUMBER(W58),W58=""),AND(ISNUMBER($J58),$J58&gt;0))),'Feuille de Donnée'!$K$13,""),IF(W58&lt;$J$165*'Feuille de Donnée'!$I$9,"Négligeable",(IF(AND(U58&gt;=$H58*(1-'Feuille de Donnée'!$E$12),U58&lt;=$H58*(1+'Feuille de Donnée'!$F$12)),'Feuille de Donnée'!$F$17,IF(U58&lt;$H58*(1-'Feuille de Donnée'!$E$12),'Feuille de Donnée'!$F$18,'Feuille de Donnée'!$F$16))&amp;""&amp;IF(AND(V58&gt;=$I58*(1-'Feuille de Donnée'!$E$27),V58&lt;=$I58*(1+'Feuille de Donnée'!$F$27)),'Feuille de Donnée'!$F$32,IF(V58&lt;$I58*(1-'Feuille de Donnée'!$E$27),'Feuille de Donnée'!$F$33,'Feuille de Donnée'!$F$31)))))</f>
        <v/>
      </c>
      <c r="AB58" s="151"/>
      <c r="AC58" s="110"/>
      <c r="AD58" s="28"/>
      <c r="AE58" s="28"/>
      <c r="AF58" s="28" t="str">
        <f t="shared" si="26"/>
        <v/>
      </c>
      <c r="AG58" s="128" t="str">
        <f t="shared" si="27"/>
        <v/>
      </c>
      <c r="AH58" s="128" t="str">
        <f t="shared" si="28"/>
        <v/>
      </c>
      <c r="AI58" s="28" t="str">
        <f>IF(AND(ISBLANK(AK58),AJ58=""),"",1+MAX(AI$18:AI57))</f>
        <v/>
      </c>
      <c r="AJ58" s="150" t="str">
        <f>IF(OR(AF58="",AF58=0,$J58="",$J58=0,NOT(ISNUMBER($J58)),NOT(ISNUMBER(AF58))),IF(AND($G58&lt;&gt;"",AND(OR(ISNUMBER(AF58),AF58=""),AND(ISNUMBER($J58),$J58&gt;0))),'Feuille de Donnée'!$K$13,""),IF(AF58&lt;$J$165*'Feuille de Donnée'!$I$9,"Négligeable",(IF(AND(AD58&gt;=$H58*(1-'Feuille de Donnée'!$E$12),AD58&lt;=$H58*(1+'Feuille de Donnée'!$F$12)),'Feuille de Donnée'!$F$17,IF(AD58&lt;$H58*(1-'Feuille de Donnée'!$E$12),'Feuille de Donnée'!$F$18,'Feuille de Donnée'!$F$16))&amp;""&amp;IF(AND(AE58&gt;=$I58*(1-'Feuille de Donnée'!$E$27),AE58&lt;=$I58*(1+'Feuille de Donnée'!$F$27)),'Feuille de Donnée'!$F$32,IF(AE58&lt;$I58*(1-'Feuille de Donnée'!$E$27),'Feuille de Donnée'!$F$33,'Feuille de Donnée'!$F$31)))))</f>
        <v/>
      </c>
      <c r="AK58" s="151"/>
      <c r="AL58" s="110"/>
      <c r="AM58" s="28"/>
      <c r="AN58" s="28"/>
      <c r="AO58" s="28" t="str">
        <f t="shared" si="29"/>
        <v/>
      </c>
      <c r="AP58" s="128" t="str">
        <f t="shared" si="30"/>
        <v/>
      </c>
      <c r="AQ58" s="128" t="str">
        <f t="shared" si="31"/>
        <v/>
      </c>
      <c r="AR58" s="28" t="str">
        <f>IF(AND(ISBLANK(AT58),AS58=""),"",1+MAX(AR$18:AR57))</f>
        <v/>
      </c>
      <c r="AS58" s="150" t="str">
        <f>IF(OR(AO58="",AO58=0,$J58="",$J58=0,NOT(ISNUMBER($J58)),NOT(ISNUMBER(AO58))),IF(AND($G58&lt;&gt;"",AND(OR(ISNUMBER(AO58),AO58=""),AND(ISNUMBER($J58),$J58&gt;0))),'Feuille de Donnée'!$K$13,""),IF(AO58&lt;$J$165*'Feuille de Donnée'!$I$9,"Négligeable",(IF(AND(AM58&gt;=$H58*(1-'Feuille de Donnée'!$E$12),AM58&lt;=$H58*(1+'Feuille de Donnée'!$F$12)),'Feuille de Donnée'!$F$17,IF(AM58&lt;$H58*(1-'Feuille de Donnée'!$E$12),'Feuille de Donnée'!$F$18,'Feuille de Donnée'!$F$16))&amp;""&amp;IF(AND(AN58&gt;=$I58*(1-'Feuille de Donnée'!$E$27),AN58&lt;=$I58*(1+'Feuille de Donnée'!$F$27)),'Feuille de Donnée'!$F$32,IF(AN58&lt;$I58*(1-'Feuille de Donnée'!$E$27),'Feuille de Donnée'!$F$33,'Feuille de Donnée'!$F$31)))))</f>
        <v/>
      </c>
      <c r="AT58" s="151"/>
      <c r="AU58" s="110"/>
      <c r="AV58" s="28"/>
      <c r="AW58" s="28"/>
      <c r="AX58" s="28" t="str">
        <f t="shared" si="32"/>
        <v/>
      </c>
      <c r="AY58" s="128" t="str">
        <f t="shared" si="33"/>
        <v/>
      </c>
      <c r="AZ58" s="128" t="str">
        <f t="shared" si="34"/>
        <v/>
      </c>
      <c r="BA58" s="28" t="str">
        <f>IF(AND(ISBLANK(BC58),BB58=""),"",1+MAX(BA$18:BA57))</f>
        <v/>
      </c>
      <c r="BB58" s="150" t="str">
        <f>IF(OR(AX58="",AX58=0,$J58="",$J58=0,NOT(ISNUMBER($J58)),NOT(ISNUMBER(AX58))),IF(AND($G58&lt;&gt;"",AND(OR(ISNUMBER(AX58),AX58=""),AND(ISNUMBER($J58),$J58&gt;0))),'Feuille de Donnée'!$K$13,""),IF(AX58&lt;$J$165*'Feuille de Donnée'!$I$9,"Négligeable",(IF(AND(AV58&gt;=$H58*(1-'Feuille de Donnée'!$E$12),AV58&lt;=$H58*(1+'Feuille de Donnée'!$F$12)),'Feuille de Donnée'!$F$17,IF(AV58&lt;$H58*(1-'Feuille de Donnée'!$E$12),'Feuille de Donnée'!$F$18,'Feuille de Donnée'!$F$16))&amp;""&amp;IF(AND(AW58&gt;=$I58*(1-'Feuille de Donnée'!$E$27),AW58&lt;=$I58*(1+'Feuille de Donnée'!$F$27)),'Feuille de Donnée'!$F$32,IF(AW58&lt;$I58*(1-'Feuille de Donnée'!$E$27),'Feuille de Donnée'!$F$33,'Feuille de Donnée'!$F$31)))))</f>
        <v/>
      </c>
      <c r="BC58" s="151"/>
      <c r="BD58" s="110"/>
      <c r="BE58" s="28"/>
      <c r="BF58" s="28"/>
      <c r="BG58" s="28" t="str">
        <f t="shared" si="35"/>
        <v/>
      </c>
      <c r="BH58" s="128" t="str">
        <f t="shared" si="36"/>
        <v/>
      </c>
      <c r="BI58" s="128" t="str">
        <f t="shared" si="37"/>
        <v/>
      </c>
      <c r="BJ58" s="28" t="str">
        <f>IF(AND(ISBLANK(BL58),BK58=""),"",1+MAX(BJ$18:BJ57))</f>
        <v/>
      </c>
      <c r="BK58" s="150" t="str">
        <f>IF(OR(BG58="",BG58=0,$J58="",$J58=0,NOT(ISNUMBER($J58)),NOT(ISNUMBER(BG58))),IF(AND($G58&lt;&gt;"",AND(OR(ISNUMBER(BG58),BG58=""),AND(ISNUMBER($J58),$J58&gt;0))),'Feuille de Donnée'!$K$13,""),IF(BG58&lt;$J$165*'Feuille de Donnée'!$I$9,"Négligeable",(IF(AND(BE58&gt;=$H58*(1-'Feuille de Donnée'!$E$12),BE58&lt;=$H58*(1+'Feuille de Donnée'!$F$12)),'Feuille de Donnée'!$F$17,IF(BE58&lt;$H58*(1-'Feuille de Donnée'!$E$12),'Feuille de Donnée'!$F$18,'Feuille de Donnée'!$F$16))&amp;""&amp;IF(AND(BF58&gt;=$I58*(1-'Feuille de Donnée'!$E$27),BF58&lt;=$I58*(1+'Feuille de Donnée'!$F$27)),'Feuille de Donnée'!$F$32,IF(BF58&lt;$I58*(1-'Feuille de Donnée'!$E$27),'Feuille de Donnée'!$F$33,'Feuille de Donnée'!$F$31)))))</f>
        <v/>
      </c>
      <c r="BL58" s="151"/>
      <c r="BM58" s="153"/>
    </row>
    <row r="59" spans="1:65" s="7" customFormat="1" x14ac:dyDescent="0.3">
      <c r="A59" s="24"/>
      <c r="B59" s="25"/>
      <c r="C59" s="25"/>
      <c r="D59" s="25"/>
      <c r="E59" s="25"/>
      <c r="F59" s="25"/>
      <c r="G59" s="23"/>
      <c r="H59" s="26"/>
      <c r="I59" s="27"/>
      <c r="J59" s="109" t="str">
        <f t="shared" si="19"/>
        <v/>
      </c>
      <c r="K59" s="110"/>
      <c r="L59" s="28"/>
      <c r="M59" s="28"/>
      <c r="N59" s="28" t="str">
        <f t="shared" si="20"/>
        <v/>
      </c>
      <c r="O59" s="128" t="str">
        <f t="shared" si="21"/>
        <v/>
      </c>
      <c r="P59" s="128" t="str">
        <f t="shared" si="22"/>
        <v/>
      </c>
      <c r="Q59" s="28" t="str">
        <f>IF(AND(ISBLANK(S59),R59=""),"",1+MAX(Q$18:Q58))</f>
        <v/>
      </c>
      <c r="R59" s="150" t="str">
        <f>IF(OR(N59="",N59=0,$J59="",$J59=0,NOT(ISNUMBER($J59)),NOT(ISNUMBER(N59))),IF(AND($G59&lt;&gt;"",AND(OR(ISNUMBER(N59),N59=""),AND(ISNUMBER($J59),$J59&gt;0))),'Feuille de Donnée'!$K$13,""),IF(N59&lt;$J$165*'Feuille de Donnée'!$I$9,"Négligeable",(IF(AND(L59&gt;=$H59*(1-'Feuille de Donnée'!$E$12),L59&lt;=$H59*(1+'Feuille de Donnée'!$F$12)),'Feuille de Donnée'!$F$17,IF(L59&lt;$H59*(1-'Feuille de Donnée'!$E$12),'Feuille de Donnée'!$F$18,'Feuille de Donnée'!$F$16))&amp;""&amp;IF(AND(M59&gt;=$I59*(1-'Feuille de Donnée'!$E$27),M59&lt;=$I59*(1+'Feuille de Donnée'!$F$27)),'Feuille de Donnée'!$F$32,IF(M59&lt;$I59*(1-'Feuille de Donnée'!$E$27),'Feuille de Donnée'!$F$33,'Feuille de Donnée'!$F$31)))))</f>
        <v/>
      </c>
      <c r="S59" s="151"/>
      <c r="T59" s="110"/>
      <c r="U59" s="28"/>
      <c r="V59" s="28"/>
      <c r="W59" s="28" t="str">
        <f t="shared" si="23"/>
        <v/>
      </c>
      <c r="X59" s="128" t="str">
        <f t="shared" si="24"/>
        <v/>
      </c>
      <c r="Y59" s="128" t="str">
        <f t="shared" si="25"/>
        <v/>
      </c>
      <c r="Z59" s="28" t="str">
        <f>IF(AND(ISBLANK(AB59),AA59=""),"",1+MAX(Z$18:Z58))</f>
        <v/>
      </c>
      <c r="AA59" s="150" t="str">
        <f>IF(OR(W59="",W59=0,$J59="",$J59=0,NOT(ISNUMBER($J59)),NOT(ISNUMBER(W59))),IF(AND($G59&lt;&gt;"",AND(OR(ISNUMBER(W59),W59=""),AND(ISNUMBER($J59),$J59&gt;0))),'Feuille de Donnée'!$K$13,""),IF(W59&lt;$J$165*'Feuille de Donnée'!$I$9,"Négligeable",(IF(AND(U59&gt;=$H59*(1-'Feuille de Donnée'!$E$12),U59&lt;=$H59*(1+'Feuille de Donnée'!$F$12)),'Feuille de Donnée'!$F$17,IF(U59&lt;$H59*(1-'Feuille de Donnée'!$E$12),'Feuille de Donnée'!$F$18,'Feuille de Donnée'!$F$16))&amp;""&amp;IF(AND(V59&gt;=$I59*(1-'Feuille de Donnée'!$E$27),V59&lt;=$I59*(1+'Feuille de Donnée'!$F$27)),'Feuille de Donnée'!$F$32,IF(V59&lt;$I59*(1-'Feuille de Donnée'!$E$27),'Feuille de Donnée'!$F$33,'Feuille de Donnée'!$F$31)))))</f>
        <v/>
      </c>
      <c r="AB59" s="151"/>
      <c r="AC59" s="110"/>
      <c r="AD59" s="28"/>
      <c r="AE59" s="28"/>
      <c r="AF59" s="28" t="str">
        <f t="shared" si="26"/>
        <v/>
      </c>
      <c r="AG59" s="128" t="str">
        <f t="shared" si="27"/>
        <v/>
      </c>
      <c r="AH59" s="128" t="str">
        <f t="shared" si="28"/>
        <v/>
      </c>
      <c r="AI59" s="28" t="str">
        <f>IF(AND(ISBLANK(AK59),AJ59=""),"",1+MAX(AI$18:AI58))</f>
        <v/>
      </c>
      <c r="AJ59" s="150" t="str">
        <f>IF(OR(AF59="",AF59=0,$J59="",$J59=0,NOT(ISNUMBER($J59)),NOT(ISNUMBER(AF59))),IF(AND($G59&lt;&gt;"",AND(OR(ISNUMBER(AF59),AF59=""),AND(ISNUMBER($J59),$J59&gt;0))),'Feuille de Donnée'!$K$13,""),IF(AF59&lt;$J$165*'Feuille de Donnée'!$I$9,"Négligeable",(IF(AND(AD59&gt;=$H59*(1-'Feuille de Donnée'!$E$12),AD59&lt;=$H59*(1+'Feuille de Donnée'!$F$12)),'Feuille de Donnée'!$F$17,IF(AD59&lt;$H59*(1-'Feuille de Donnée'!$E$12),'Feuille de Donnée'!$F$18,'Feuille de Donnée'!$F$16))&amp;""&amp;IF(AND(AE59&gt;=$I59*(1-'Feuille de Donnée'!$E$27),AE59&lt;=$I59*(1+'Feuille de Donnée'!$F$27)),'Feuille de Donnée'!$F$32,IF(AE59&lt;$I59*(1-'Feuille de Donnée'!$E$27),'Feuille de Donnée'!$F$33,'Feuille de Donnée'!$F$31)))))</f>
        <v/>
      </c>
      <c r="AK59" s="151"/>
      <c r="AL59" s="110"/>
      <c r="AM59" s="28"/>
      <c r="AN59" s="28"/>
      <c r="AO59" s="28" t="str">
        <f t="shared" si="29"/>
        <v/>
      </c>
      <c r="AP59" s="128" t="str">
        <f t="shared" si="30"/>
        <v/>
      </c>
      <c r="AQ59" s="128" t="str">
        <f t="shared" si="31"/>
        <v/>
      </c>
      <c r="AR59" s="28" t="str">
        <f>IF(AND(ISBLANK(AT59),AS59=""),"",1+MAX(AR$18:AR58))</f>
        <v/>
      </c>
      <c r="AS59" s="150" t="str">
        <f>IF(OR(AO59="",AO59=0,$J59="",$J59=0,NOT(ISNUMBER($J59)),NOT(ISNUMBER(AO59))),IF(AND($G59&lt;&gt;"",AND(OR(ISNUMBER(AO59),AO59=""),AND(ISNUMBER($J59),$J59&gt;0))),'Feuille de Donnée'!$K$13,""),IF(AO59&lt;$J$165*'Feuille de Donnée'!$I$9,"Négligeable",(IF(AND(AM59&gt;=$H59*(1-'Feuille de Donnée'!$E$12),AM59&lt;=$H59*(1+'Feuille de Donnée'!$F$12)),'Feuille de Donnée'!$F$17,IF(AM59&lt;$H59*(1-'Feuille de Donnée'!$E$12),'Feuille de Donnée'!$F$18,'Feuille de Donnée'!$F$16))&amp;""&amp;IF(AND(AN59&gt;=$I59*(1-'Feuille de Donnée'!$E$27),AN59&lt;=$I59*(1+'Feuille de Donnée'!$F$27)),'Feuille de Donnée'!$F$32,IF(AN59&lt;$I59*(1-'Feuille de Donnée'!$E$27),'Feuille de Donnée'!$F$33,'Feuille de Donnée'!$F$31)))))</f>
        <v/>
      </c>
      <c r="AT59" s="151"/>
      <c r="AU59" s="110"/>
      <c r="AV59" s="28"/>
      <c r="AW59" s="28"/>
      <c r="AX59" s="28" t="str">
        <f t="shared" si="32"/>
        <v/>
      </c>
      <c r="AY59" s="128" t="str">
        <f t="shared" si="33"/>
        <v/>
      </c>
      <c r="AZ59" s="128" t="str">
        <f t="shared" si="34"/>
        <v/>
      </c>
      <c r="BA59" s="28" t="str">
        <f>IF(AND(ISBLANK(BC59),BB59=""),"",1+MAX(BA$18:BA58))</f>
        <v/>
      </c>
      <c r="BB59" s="150" t="str">
        <f>IF(OR(AX59="",AX59=0,$J59="",$J59=0,NOT(ISNUMBER($J59)),NOT(ISNUMBER(AX59))),IF(AND($G59&lt;&gt;"",AND(OR(ISNUMBER(AX59),AX59=""),AND(ISNUMBER($J59),$J59&gt;0))),'Feuille de Donnée'!$K$13,""),IF(AX59&lt;$J$165*'Feuille de Donnée'!$I$9,"Négligeable",(IF(AND(AV59&gt;=$H59*(1-'Feuille de Donnée'!$E$12),AV59&lt;=$H59*(1+'Feuille de Donnée'!$F$12)),'Feuille de Donnée'!$F$17,IF(AV59&lt;$H59*(1-'Feuille de Donnée'!$E$12),'Feuille de Donnée'!$F$18,'Feuille de Donnée'!$F$16))&amp;""&amp;IF(AND(AW59&gt;=$I59*(1-'Feuille de Donnée'!$E$27),AW59&lt;=$I59*(1+'Feuille de Donnée'!$F$27)),'Feuille de Donnée'!$F$32,IF(AW59&lt;$I59*(1-'Feuille de Donnée'!$E$27),'Feuille de Donnée'!$F$33,'Feuille de Donnée'!$F$31)))))</f>
        <v/>
      </c>
      <c r="BC59" s="151"/>
      <c r="BD59" s="110"/>
      <c r="BE59" s="28"/>
      <c r="BF59" s="28"/>
      <c r="BG59" s="28" t="str">
        <f t="shared" si="35"/>
        <v/>
      </c>
      <c r="BH59" s="128" t="str">
        <f t="shared" si="36"/>
        <v/>
      </c>
      <c r="BI59" s="128" t="str">
        <f t="shared" si="37"/>
        <v/>
      </c>
      <c r="BJ59" s="28" t="str">
        <f>IF(AND(ISBLANK(BL59),BK59=""),"",1+MAX(BJ$18:BJ58))</f>
        <v/>
      </c>
      <c r="BK59" s="150" t="str">
        <f>IF(OR(BG59="",BG59=0,$J59="",$J59=0,NOT(ISNUMBER($J59)),NOT(ISNUMBER(BG59))),IF(AND($G59&lt;&gt;"",AND(OR(ISNUMBER(BG59),BG59=""),AND(ISNUMBER($J59),$J59&gt;0))),'Feuille de Donnée'!$K$13,""),IF(BG59&lt;$J$165*'Feuille de Donnée'!$I$9,"Négligeable",(IF(AND(BE59&gt;=$H59*(1-'Feuille de Donnée'!$E$12),BE59&lt;=$H59*(1+'Feuille de Donnée'!$F$12)),'Feuille de Donnée'!$F$17,IF(BE59&lt;$H59*(1-'Feuille de Donnée'!$E$12),'Feuille de Donnée'!$F$18,'Feuille de Donnée'!$F$16))&amp;""&amp;IF(AND(BF59&gt;=$I59*(1-'Feuille de Donnée'!$E$27),BF59&lt;=$I59*(1+'Feuille de Donnée'!$F$27)),'Feuille de Donnée'!$F$32,IF(BF59&lt;$I59*(1-'Feuille de Donnée'!$E$27),'Feuille de Donnée'!$F$33,'Feuille de Donnée'!$F$31)))))</f>
        <v/>
      </c>
      <c r="BL59" s="151"/>
      <c r="BM59" s="153"/>
    </row>
    <row r="60" spans="1:65" s="7" customFormat="1" x14ac:dyDescent="0.3">
      <c r="A60" s="24"/>
      <c r="B60" s="25"/>
      <c r="C60" s="25"/>
      <c r="D60" s="25"/>
      <c r="E60" s="25"/>
      <c r="F60" s="25"/>
      <c r="G60" s="23"/>
      <c r="H60" s="26"/>
      <c r="I60" s="27"/>
      <c r="J60" s="109" t="str">
        <f t="shared" si="19"/>
        <v/>
      </c>
      <c r="K60" s="110"/>
      <c r="L60" s="28"/>
      <c r="M60" s="28"/>
      <c r="N60" s="28" t="str">
        <f t="shared" si="20"/>
        <v/>
      </c>
      <c r="O60" s="128" t="str">
        <f t="shared" si="21"/>
        <v/>
      </c>
      <c r="P60" s="128" t="str">
        <f t="shared" si="22"/>
        <v/>
      </c>
      <c r="Q60" s="28" t="str">
        <f>IF(AND(ISBLANK(S60),R60=""),"",1+MAX(Q$18:Q59))</f>
        <v/>
      </c>
      <c r="R60" s="150" t="str">
        <f>IF(OR(N60="",N60=0,$J60="",$J60=0,NOT(ISNUMBER($J60)),NOT(ISNUMBER(N60))),IF(AND($G60&lt;&gt;"",AND(OR(ISNUMBER(N60),N60=""),AND(ISNUMBER($J60),$J60&gt;0))),'Feuille de Donnée'!$K$13,""),IF(N60&lt;$J$165*'Feuille de Donnée'!$I$9,"Négligeable",(IF(AND(L60&gt;=$H60*(1-'Feuille de Donnée'!$E$12),L60&lt;=$H60*(1+'Feuille de Donnée'!$F$12)),'Feuille de Donnée'!$F$17,IF(L60&lt;$H60*(1-'Feuille de Donnée'!$E$12),'Feuille de Donnée'!$F$18,'Feuille de Donnée'!$F$16))&amp;""&amp;IF(AND(M60&gt;=$I60*(1-'Feuille de Donnée'!$E$27),M60&lt;=$I60*(1+'Feuille de Donnée'!$F$27)),'Feuille de Donnée'!$F$32,IF(M60&lt;$I60*(1-'Feuille de Donnée'!$E$27),'Feuille de Donnée'!$F$33,'Feuille de Donnée'!$F$31)))))</f>
        <v/>
      </c>
      <c r="S60" s="151"/>
      <c r="T60" s="110"/>
      <c r="U60" s="28"/>
      <c r="V60" s="28"/>
      <c r="W60" s="28" t="str">
        <f t="shared" si="23"/>
        <v/>
      </c>
      <c r="X60" s="128" t="str">
        <f t="shared" si="24"/>
        <v/>
      </c>
      <c r="Y60" s="128" t="str">
        <f t="shared" si="25"/>
        <v/>
      </c>
      <c r="Z60" s="28" t="str">
        <f>IF(AND(ISBLANK(AB60),AA60=""),"",1+MAX(Z$18:Z59))</f>
        <v/>
      </c>
      <c r="AA60" s="150" t="str">
        <f>IF(OR(W60="",W60=0,$J60="",$J60=0,NOT(ISNUMBER($J60)),NOT(ISNUMBER(W60))),IF(AND($G60&lt;&gt;"",AND(OR(ISNUMBER(W60),W60=""),AND(ISNUMBER($J60),$J60&gt;0))),'Feuille de Donnée'!$K$13,""),IF(W60&lt;$J$165*'Feuille de Donnée'!$I$9,"Négligeable",(IF(AND(U60&gt;=$H60*(1-'Feuille de Donnée'!$E$12),U60&lt;=$H60*(1+'Feuille de Donnée'!$F$12)),'Feuille de Donnée'!$F$17,IF(U60&lt;$H60*(1-'Feuille de Donnée'!$E$12),'Feuille de Donnée'!$F$18,'Feuille de Donnée'!$F$16))&amp;""&amp;IF(AND(V60&gt;=$I60*(1-'Feuille de Donnée'!$E$27),V60&lt;=$I60*(1+'Feuille de Donnée'!$F$27)),'Feuille de Donnée'!$F$32,IF(V60&lt;$I60*(1-'Feuille de Donnée'!$E$27),'Feuille de Donnée'!$F$33,'Feuille de Donnée'!$F$31)))))</f>
        <v/>
      </c>
      <c r="AB60" s="151"/>
      <c r="AC60" s="110"/>
      <c r="AD60" s="28"/>
      <c r="AE60" s="28"/>
      <c r="AF60" s="28" t="str">
        <f t="shared" si="26"/>
        <v/>
      </c>
      <c r="AG60" s="128" t="str">
        <f t="shared" si="27"/>
        <v/>
      </c>
      <c r="AH60" s="128" t="str">
        <f t="shared" si="28"/>
        <v/>
      </c>
      <c r="AI60" s="28" t="str">
        <f>IF(AND(ISBLANK(AK60),AJ60=""),"",1+MAX(AI$18:AI59))</f>
        <v/>
      </c>
      <c r="AJ60" s="150" t="str">
        <f>IF(OR(AF60="",AF60=0,$J60="",$J60=0,NOT(ISNUMBER($J60)),NOT(ISNUMBER(AF60))),IF(AND($G60&lt;&gt;"",AND(OR(ISNUMBER(AF60),AF60=""),AND(ISNUMBER($J60),$J60&gt;0))),'Feuille de Donnée'!$K$13,""),IF(AF60&lt;$J$165*'Feuille de Donnée'!$I$9,"Négligeable",(IF(AND(AD60&gt;=$H60*(1-'Feuille de Donnée'!$E$12),AD60&lt;=$H60*(1+'Feuille de Donnée'!$F$12)),'Feuille de Donnée'!$F$17,IF(AD60&lt;$H60*(1-'Feuille de Donnée'!$E$12),'Feuille de Donnée'!$F$18,'Feuille de Donnée'!$F$16))&amp;""&amp;IF(AND(AE60&gt;=$I60*(1-'Feuille de Donnée'!$E$27),AE60&lt;=$I60*(1+'Feuille de Donnée'!$F$27)),'Feuille de Donnée'!$F$32,IF(AE60&lt;$I60*(1-'Feuille de Donnée'!$E$27),'Feuille de Donnée'!$F$33,'Feuille de Donnée'!$F$31)))))</f>
        <v/>
      </c>
      <c r="AK60" s="151"/>
      <c r="AL60" s="110"/>
      <c r="AM60" s="28"/>
      <c r="AN60" s="28"/>
      <c r="AO60" s="28" t="str">
        <f t="shared" si="29"/>
        <v/>
      </c>
      <c r="AP60" s="128" t="str">
        <f t="shared" si="30"/>
        <v/>
      </c>
      <c r="AQ60" s="128" t="str">
        <f t="shared" si="31"/>
        <v/>
      </c>
      <c r="AR60" s="28" t="str">
        <f>IF(AND(ISBLANK(AT60),AS60=""),"",1+MAX(AR$18:AR59))</f>
        <v/>
      </c>
      <c r="AS60" s="150" t="str">
        <f>IF(OR(AO60="",AO60=0,$J60="",$J60=0,NOT(ISNUMBER($J60)),NOT(ISNUMBER(AO60))),IF(AND($G60&lt;&gt;"",AND(OR(ISNUMBER(AO60),AO60=""),AND(ISNUMBER($J60),$J60&gt;0))),'Feuille de Donnée'!$K$13,""),IF(AO60&lt;$J$165*'Feuille de Donnée'!$I$9,"Négligeable",(IF(AND(AM60&gt;=$H60*(1-'Feuille de Donnée'!$E$12),AM60&lt;=$H60*(1+'Feuille de Donnée'!$F$12)),'Feuille de Donnée'!$F$17,IF(AM60&lt;$H60*(1-'Feuille de Donnée'!$E$12),'Feuille de Donnée'!$F$18,'Feuille de Donnée'!$F$16))&amp;""&amp;IF(AND(AN60&gt;=$I60*(1-'Feuille de Donnée'!$E$27),AN60&lt;=$I60*(1+'Feuille de Donnée'!$F$27)),'Feuille de Donnée'!$F$32,IF(AN60&lt;$I60*(1-'Feuille de Donnée'!$E$27),'Feuille de Donnée'!$F$33,'Feuille de Donnée'!$F$31)))))</f>
        <v/>
      </c>
      <c r="AT60" s="151"/>
      <c r="AU60" s="110"/>
      <c r="AV60" s="28"/>
      <c r="AW60" s="28"/>
      <c r="AX60" s="28" t="str">
        <f t="shared" si="32"/>
        <v/>
      </c>
      <c r="AY60" s="128" t="str">
        <f t="shared" si="33"/>
        <v/>
      </c>
      <c r="AZ60" s="128" t="str">
        <f t="shared" si="34"/>
        <v/>
      </c>
      <c r="BA60" s="28" t="str">
        <f>IF(AND(ISBLANK(BC60),BB60=""),"",1+MAX(BA$18:BA59))</f>
        <v/>
      </c>
      <c r="BB60" s="150" t="str">
        <f>IF(OR(AX60="",AX60=0,$J60="",$J60=0,NOT(ISNUMBER($J60)),NOT(ISNUMBER(AX60))),IF(AND($G60&lt;&gt;"",AND(OR(ISNUMBER(AX60),AX60=""),AND(ISNUMBER($J60),$J60&gt;0))),'Feuille de Donnée'!$K$13,""),IF(AX60&lt;$J$165*'Feuille de Donnée'!$I$9,"Négligeable",(IF(AND(AV60&gt;=$H60*(1-'Feuille de Donnée'!$E$12),AV60&lt;=$H60*(1+'Feuille de Donnée'!$F$12)),'Feuille de Donnée'!$F$17,IF(AV60&lt;$H60*(1-'Feuille de Donnée'!$E$12),'Feuille de Donnée'!$F$18,'Feuille de Donnée'!$F$16))&amp;""&amp;IF(AND(AW60&gt;=$I60*(1-'Feuille de Donnée'!$E$27),AW60&lt;=$I60*(1+'Feuille de Donnée'!$F$27)),'Feuille de Donnée'!$F$32,IF(AW60&lt;$I60*(1-'Feuille de Donnée'!$E$27),'Feuille de Donnée'!$F$33,'Feuille de Donnée'!$F$31)))))</f>
        <v/>
      </c>
      <c r="BC60" s="151"/>
      <c r="BD60" s="110"/>
      <c r="BE60" s="28"/>
      <c r="BF60" s="28"/>
      <c r="BG60" s="28" t="str">
        <f t="shared" si="35"/>
        <v/>
      </c>
      <c r="BH60" s="128" t="str">
        <f t="shared" si="36"/>
        <v/>
      </c>
      <c r="BI60" s="128" t="str">
        <f t="shared" si="37"/>
        <v/>
      </c>
      <c r="BJ60" s="28" t="str">
        <f>IF(AND(ISBLANK(BL60),BK60=""),"",1+MAX(BJ$18:BJ59))</f>
        <v/>
      </c>
      <c r="BK60" s="150" t="str">
        <f>IF(OR(BG60="",BG60=0,$J60="",$J60=0,NOT(ISNUMBER($J60)),NOT(ISNUMBER(BG60))),IF(AND($G60&lt;&gt;"",AND(OR(ISNUMBER(BG60),BG60=""),AND(ISNUMBER($J60),$J60&gt;0))),'Feuille de Donnée'!$K$13,""),IF(BG60&lt;$J$165*'Feuille de Donnée'!$I$9,"Négligeable",(IF(AND(BE60&gt;=$H60*(1-'Feuille de Donnée'!$E$12),BE60&lt;=$H60*(1+'Feuille de Donnée'!$F$12)),'Feuille de Donnée'!$F$17,IF(BE60&lt;$H60*(1-'Feuille de Donnée'!$E$12),'Feuille de Donnée'!$F$18,'Feuille de Donnée'!$F$16))&amp;""&amp;IF(AND(BF60&gt;=$I60*(1-'Feuille de Donnée'!$E$27),BF60&lt;=$I60*(1+'Feuille de Donnée'!$F$27)),'Feuille de Donnée'!$F$32,IF(BF60&lt;$I60*(1-'Feuille de Donnée'!$E$27),'Feuille de Donnée'!$F$33,'Feuille de Donnée'!$F$31)))))</f>
        <v/>
      </c>
      <c r="BL60" s="151"/>
      <c r="BM60" s="153"/>
    </row>
    <row r="61" spans="1:65" s="7" customFormat="1" x14ac:dyDescent="0.3">
      <c r="A61" s="24"/>
      <c r="B61" s="25"/>
      <c r="C61" s="25"/>
      <c r="D61" s="25"/>
      <c r="E61" s="25"/>
      <c r="F61" s="25"/>
      <c r="G61" s="23"/>
      <c r="H61" s="26"/>
      <c r="I61" s="27"/>
      <c r="J61" s="109" t="str">
        <f t="shared" si="19"/>
        <v/>
      </c>
      <c r="K61" s="110"/>
      <c r="L61" s="28"/>
      <c r="M61" s="28"/>
      <c r="N61" s="28" t="str">
        <f t="shared" si="20"/>
        <v/>
      </c>
      <c r="O61" s="128" t="str">
        <f t="shared" si="21"/>
        <v/>
      </c>
      <c r="P61" s="128" t="str">
        <f t="shared" si="22"/>
        <v/>
      </c>
      <c r="Q61" s="28" t="str">
        <f>IF(AND(ISBLANK(S61),R61=""),"",1+MAX(Q$18:Q60))</f>
        <v/>
      </c>
      <c r="R61" s="150" t="str">
        <f>IF(OR(N61="",N61=0,$J61="",$J61=0,NOT(ISNUMBER($J61)),NOT(ISNUMBER(N61))),IF(AND($G61&lt;&gt;"",AND(OR(ISNUMBER(N61),N61=""),AND(ISNUMBER($J61),$J61&gt;0))),'Feuille de Donnée'!$K$13,""),IF(N61&lt;$J$165*'Feuille de Donnée'!$I$9,"Négligeable",(IF(AND(L61&gt;=$H61*(1-'Feuille de Donnée'!$E$12),L61&lt;=$H61*(1+'Feuille de Donnée'!$F$12)),'Feuille de Donnée'!$F$17,IF(L61&lt;$H61*(1-'Feuille de Donnée'!$E$12),'Feuille de Donnée'!$F$18,'Feuille de Donnée'!$F$16))&amp;""&amp;IF(AND(M61&gt;=$I61*(1-'Feuille de Donnée'!$E$27),M61&lt;=$I61*(1+'Feuille de Donnée'!$F$27)),'Feuille de Donnée'!$F$32,IF(M61&lt;$I61*(1-'Feuille de Donnée'!$E$27),'Feuille de Donnée'!$F$33,'Feuille de Donnée'!$F$31)))))</f>
        <v/>
      </c>
      <c r="S61" s="151"/>
      <c r="T61" s="110"/>
      <c r="U61" s="28"/>
      <c r="V61" s="28"/>
      <c r="W61" s="28" t="str">
        <f t="shared" si="23"/>
        <v/>
      </c>
      <c r="X61" s="128" t="str">
        <f t="shared" si="24"/>
        <v/>
      </c>
      <c r="Y61" s="128" t="str">
        <f t="shared" si="25"/>
        <v/>
      </c>
      <c r="Z61" s="28" t="str">
        <f>IF(AND(ISBLANK(AB61),AA61=""),"",1+MAX(Z$18:Z60))</f>
        <v/>
      </c>
      <c r="AA61" s="150" t="str">
        <f>IF(OR(W61="",W61=0,$J61="",$J61=0,NOT(ISNUMBER($J61)),NOT(ISNUMBER(W61))),IF(AND($G61&lt;&gt;"",AND(OR(ISNUMBER(W61),W61=""),AND(ISNUMBER($J61),$J61&gt;0))),'Feuille de Donnée'!$K$13,""),IF(W61&lt;$J$165*'Feuille de Donnée'!$I$9,"Négligeable",(IF(AND(U61&gt;=$H61*(1-'Feuille de Donnée'!$E$12),U61&lt;=$H61*(1+'Feuille de Donnée'!$F$12)),'Feuille de Donnée'!$F$17,IF(U61&lt;$H61*(1-'Feuille de Donnée'!$E$12),'Feuille de Donnée'!$F$18,'Feuille de Donnée'!$F$16))&amp;""&amp;IF(AND(V61&gt;=$I61*(1-'Feuille de Donnée'!$E$27),V61&lt;=$I61*(1+'Feuille de Donnée'!$F$27)),'Feuille de Donnée'!$F$32,IF(V61&lt;$I61*(1-'Feuille de Donnée'!$E$27),'Feuille de Donnée'!$F$33,'Feuille de Donnée'!$F$31)))))</f>
        <v/>
      </c>
      <c r="AB61" s="151"/>
      <c r="AC61" s="110"/>
      <c r="AD61" s="28"/>
      <c r="AE61" s="28"/>
      <c r="AF61" s="28" t="str">
        <f t="shared" si="26"/>
        <v/>
      </c>
      <c r="AG61" s="128" t="str">
        <f t="shared" si="27"/>
        <v/>
      </c>
      <c r="AH61" s="128" t="str">
        <f t="shared" si="28"/>
        <v/>
      </c>
      <c r="AI61" s="28" t="str">
        <f>IF(AND(ISBLANK(AK61),AJ61=""),"",1+MAX(AI$18:AI60))</f>
        <v/>
      </c>
      <c r="AJ61" s="150" t="str">
        <f>IF(OR(AF61="",AF61=0,$J61="",$J61=0,NOT(ISNUMBER($J61)),NOT(ISNUMBER(AF61))),IF(AND($G61&lt;&gt;"",AND(OR(ISNUMBER(AF61),AF61=""),AND(ISNUMBER($J61),$J61&gt;0))),'Feuille de Donnée'!$K$13,""),IF(AF61&lt;$J$165*'Feuille de Donnée'!$I$9,"Négligeable",(IF(AND(AD61&gt;=$H61*(1-'Feuille de Donnée'!$E$12),AD61&lt;=$H61*(1+'Feuille de Donnée'!$F$12)),'Feuille de Donnée'!$F$17,IF(AD61&lt;$H61*(1-'Feuille de Donnée'!$E$12),'Feuille de Donnée'!$F$18,'Feuille de Donnée'!$F$16))&amp;""&amp;IF(AND(AE61&gt;=$I61*(1-'Feuille de Donnée'!$E$27),AE61&lt;=$I61*(1+'Feuille de Donnée'!$F$27)),'Feuille de Donnée'!$F$32,IF(AE61&lt;$I61*(1-'Feuille de Donnée'!$E$27),'Feuille de Donnée'!$F$33,'Feuille de Donnée'!$F$31)))))</f>
        <v/>
      </c>
      <c r="AK61" s="151"/>
      <c r="AL61" s="110"/>
      <c r="AM61" s="28"/>
      <c r="AN61" s="28"/>
      <c r="AO61" s="28" t="str">
        <f t="shared" si="29"/>
        <v/>
      </c>
      <c r="AP61" s="128" t="str">
        <f t="shared" si="30"/>
        <v/>
      </c>
      <c r="AQ61" s="128" t="str">
        <f t="shared" si="31"/>
        <v/>
      </c>
      <c r="AR61" s="28" t="str">
        <f>IF(AND(ISBLANK(AT61),AS61=""),"",1+MAX(AR$18:AR60))</f>
        <v/>
      </c>
      <c r="AS61" s="150" t="str">
        <f>IF(OR(AO61="",AO61=0,$J61="",$J61=0,NOT(ISNUMBER($J61)),NOT(ISNUMBER(AO61))),IF(AND($G61&lt;&gt;"",AND(OR(ISNUMBER(AO61),AO61=""),AND(ISNUMBER($J61),$J61&gt;0))),'Feuille de Donnée'!$K$13,""),IF(AO61&lt;$J$165*'Feuille de Donnée'!$I$9,"Négligeable",(IF(AND(AM61&gt;=$H61*(1-'Feuille de Donnée'!$E$12),AM61&lt;=$H61*(1+'Feuille de Donnée'!$F$12)),'Feuille de Donnée'!$F$17,IF(AM61&lt;$H61*(1-'Feuille de Donnée'!$E$12),'Feuille de Donnée'!$F$18,'Feuille de Donnée'!$F$16))&amp;""&amp;IF(AND(AN61&gt;=$I61*(1-'Feuille de Donnée'!$E$27),AN61&lt;=$I61*(1+'Feuille de Donnée'!$F$27)),'Feuille de Donnée'!$F$32,IF(AN61&lt;$I61*(1-'Feuille de Donnée'!$E$27),'Feuille de Donnée'!$F$33,'Feuille de Donnée'!$F$31)))))</f>
        <v/>
      </c>
      <c r="AT61" s="151"/>
      <c r="AU61" s="110"/>
      <c r="AV61" s="28"/>
      <c r="AW61" s="28"/>
      <c r="AX61" s="28" t="str">
        <f t="shared" si="32"/>
        <v/>
      </c>
      <c r="AY61" s="128" t="str">
        <f t="shared" si="33"/>
        <v/>
      </c>
      <c r="AZ61" s="128" t="str">
        <f t="shared" si="34"/>
        <v/>
      </c>
      <c r="BA61" s="28" t="str">
        <f>IF(AND(ISBLANK(BC61),BB61=""),"",1+MAX(BA$18:BA60))</f>
        <v/>
      </c>
      <c r="BB61" s="150" t="str">
        <f>IF(OR(AX61="",AX61=0,$J61="",$J61=0,NOT(ISNUMBER($J61)),NOT(ISNUMBER(AX61))),IF(AND($G61&lt;&gt;"",AND(OR(ISNUMBER(AX61),AX61=""),AND(ISNUMBER($J61),$J61&gt;0))),'Feuille de Donnée'!$K$13,""),IF(AX61&lt;$J$165*'Feuille de Donnée'!$I$9,"Négligeable",(IF(AND(AV61&gt;=$H61*(1-'Feuille de Donnée'!$E$12),AV61&lt;=$H61*(1+'Feuille de Donnée'!$F$12)),'Feuille de Donnée'!$F$17,IF(AV61&lt;$H61*(1-'Feuille de Donnée'!$E$12),'Feuille de Donnée'!$F$18,'Feuille de Donnée'!$F$16))&amp;""&amp;IF(AND(AW61&gt;=$I61*(1-'Feuille de Donnée'!$E$27),AW61&lt;=$I61*(1+'Feuille de Donnée'!$F$27)),'Feuille de Donnée'!$F$32,IF(AW61&lt;$I61*(1-'Feuille de Donnée'!$E$27),'Feuille de Donnée'!$F$33,'Feuille de Donnée'!$F$31)))))</f>
        <v/>
      </c>
      <c r="BC61" s="151"/>
      <c r="BD61" s="110"/>
      <c r="BE61" s="28"/>
      <c r="BF61" s="28"/>
      <c r="BG61" s="28" t="str">
        <f t="shared" si="35"/>
        <v/>
      </c>
      <c r="BH61" s="128" t="str">
        <f t="shared" si="36"/>
        <v/>
      </c>
      <c r="BI61" s="128" t="str">
        <f t="shared" si="37"/>
        <v/>
      </c>
      <c r="BJ61" s="28" t="str">
        <f>IF(AND(ISBLANK(BL61),BK61=""),"",1+MAX(BJ$18:BJ60))</f>
        <v/>
      </c>
      <c r="BK61" s="150" t="str">
        <f>IF(OR(BG61="",BG61=0,$J61="",$J61=0,NOT(ISNUMBER($J61)),NOT(ISNUMBER(BG61))),IF(AND($G61&lt;&gt;"",AND(OR(ISNUMBER(BG61),BG61=""),AND(ISNUMBER($J61),$J61&gt;0))),'Feuille de Donnée'!$K$13,""),IF(BG61&lt;$J$165*'Feuille de Donnée'!$I$9,"Négligeable",(IF(AND(BE61&gt;=$H61*(1-'Feuille de Donnée'!$E$12),BE61&lt;=$H61*(1+'Feuille de Donnée'!$F$12)),'Feuille de Donnée'!$F$17,IF(BE61&lt;$H61*(1-'Feuille de Donnée'!$E$12),'Feuille de Donnée'!$F$18,'Feuille de Donnée'!$F$16))&amp;""&amp;IF(AND(BF61&gt;=$I61*(1-'Feuille de Donnée'!$E$27),BF61&lt;=$I61*(1+'Feuille de Donnée'!$F$27)),'Feuille de Donnée'!$F$32,IF(BF61&lt;$I61*(1-'Feuille de Donnée'!$E$27),'Feuille de Donnée'!$F$33,'Feuille de Donnée'!$F$31)))))</f>
        <v/>
      </c>
      <c r="BL61" s="151"/>
      <c r="BM61" s="153"/>
    </row>
    <row r="62" spans="1:65" s="7" customFormat="1" x14ac:dyDescent="0.3">
      <c r="A62" s="24"/>
      <c r="B62" s="25"/>
      <c r="C62" s="25"/>
      <c r="D62" s="25"/>
      <c r="E62" s="25"/>
      <c r="F62" s="25"/>
      <c r="G62" s="23"/>
      <c r="H62" s="26"/>
      <c r="I62" s="27"/>
      <c r="J62" s="109" t="str">
        <f t="shared" si="19"/>
        <v/>
      </c>
      <c r="K62" s="110"/>
      <c r="L62" s="28"/>
      <c r="M62" s="28"/>
      <c r="N62" s="28" t="str">
        <f t="shared" si="20"/>
        <v/>
      </c>
      <c r="O62" s="128" t="str">
        <f t="shared" si="21"/>
        <v/>
      </c>
      <c r="P62" s="128" t="str">
        <f t="shared" si="22"/>
        <v/>
      </c>
      <c r="Q62" s="28" t="str">
        <f>IF(AND(ISBLANK(S62),R62=""),"",1+MAX(Q$18:Q61))</f>
        <v/>
      </c>
      <c r="R62" s="150" t="str">
        <f>IF(OR(N62="",N62=0,$J62="",$J62=0,NOT(ISNUMBER($J62)),NOT(ISNUMBER(N62))),IF(AND($G62&lt;&gt;"",AND(OR(ISNUMBER(N62),N62=""),AND(ISNUMBER($J62),$J62&gt;0))),'Feuille de Donnée'!$K$13,""),IF(N62&lt;$J$165*'Feuille de Donnée'!$I$9,"Négligeable",(IF(AND(L62&gt;=$H62*(1-'Feuille de Donnée'!$E$12),L62&lt;=$H62*(1+'Feuille de Donnée'!$F$12)),'Feuille de Donnée'!$F$17,IF(L62&lt;$H62*(1-'Feuille de Donnée'!$E$12),'Feuille de Donnée'!$F$18,'Feuille de Donnée'!$F$16))&amp;""&amp;IF(AND(M62&gt;=$I62*(1-'Feuille de Donnée'!$E$27),M62&lt;=$I62*(1+'Feuille de Donnée'!$F$27)),'Feuille de Donnée'!$F$32,IF(M62&lt;$I62*(1-'Feuille de Donnée'!$E$27),'Feuille de Donnée'!$F$33,'Feuille de Donnée'!$F$31)))))</f>
        <v/>
      </c>
      <c r="S62" s="151"/>
      <c r="T62" s="110"/>
      <c r="U62" s="28"/>
      <c r="V62" s="28"/>
      <c r="W62" s="28" t="str">
        <f t="shared" si="23"/>
        <v/>
      </c>
      <c r="X62" s="128" t="str">
        <f t="shared" si="24"/>
        <v/>
      </c>
      <c r="Y62" s="128" t="str">
        <f t="shared" si="25"/>
        <v/>
      </c>
      <c r="Z62" s="28" t="str">
        <f>IF(AND(ISBLANK(AB62),AA62=""),"",1+MAX(Z$18:Z61))</f>
        <v/>
      </c>
      <c r="AA62" s="150" t="str">
        <f>IF(OR(W62="",W62=0,$J62="",$J62=0,NOT(ISNUMBER($J62)),NOT(ISNUMBER(W62))),IF(AND($G62&lt;&gt;"",AND(OR(ISNUMBER(W62),W62=""),AND(ISNUMBER($J62),$J62&gt;0))),'Feuille de Donnée'!$K$13,""),IF(W62&lt;$J$165*'Feuille de Donnée'!$I$9,"Négligeable",(IF(AND(U62&gt;=$H62*(1-'Feuille de Donnée'!$E$12),U62&lt;=$H62*(1+'Feuille de Donnée'!$F$12)),'Feuille de Donnée'!$F$17,IF(U62&lt;$H62*(1-'Feuille de Donnée'!$E$12),'Feuille de Donnée'!$F$18,'Feuille de Donnée'!$F$16))&amp;""&amp;IF(AND(V62&gt;=$I62*(1-'Feuille de Donnée'!$E$27),V62&lt;=$I62*(1+'Feuille de Donnée'!$F$27)),'Feuille de Donnée'!$F$32,IF(V62&lt;$I62*(1-'Feuille de Donnée'!$E$27),'Feuille de Donnée'!$F$33,'Feuille de Donnée'!$F$31)))))</f>
        <v/>
      </c>
      <c r="AB62" s="151"/>
      <c r="AC62" s="110"/>
      <c r="AD62" s="28"/>
      <c r="AE62" s="28"/>
      <c r="AF62" s="28" t="str">
        <f t="shared" si="26"/>
        <v/>
      </c>
      <c r="AG62" s="128" t="str">
        <f t="shared" si="27"/>
        <v/>
      </c>
      <c r="AH62" s="128" t="str">
        <f t="shared" si="28"/>
        <v/>
      </c>
      <c r="AI62" s="28" t="str">
        <f>IF(AND(ISBLANK(AK62),AJ62=""),"",1+MAX(AI$18:AI61))</f>
        <v/>
      </c>
      <c r="AJ62" s="150" t="str">
        <f>IF(OR(AF62="",AF62=0,$J62="",$J62=0,NOT(ISNUMBER($J62)),NOT(ISNUMBER(AF62))),IF(AND($G62&lt;&gt;"",AND(OR(ISNUMBER(AF62),AF62=""),AND(ISNUMBER($J62),$J62&gt;0))),'Feuille de Donnée'!$K$13,""),IF(AF62&lt;$J$165*'Feuille de Donnée'!$I$9,"Négligeable",(IF(AND(AD62&gt;=$H62*(1-'Feuille de Donnée'!$E$12),AD62&lt;=$H62*(1+'Feuille de Donnée'!$F$12)),'Feuille de Donnée'!$F$17,IF(AD62&lt;$H62*(1-'Feuille de Donnée'!$E$12),'Feuille de Donnée'!$F$18,'Feuille de Donnée'!$F$16))&amp;""&amp;IF(AND(AE62&gt;=$I62*(1-'Feuille de Donnée'!$E$27),AE62&lt;=$I62*(1+'Feuille de Donnée'!$F$27)),'Feuille de Donnée'!$F$32,IF(AE62&lt;$I62*(1-'Feuille de Donnée'!$E$27),'Feuille de Donnée'!$F$33,'Feuille de Donnée'!$F$31)))))</f>
        <v/>
      </c>
      <c r="AK62" s="151"/>
      <c r="AL62" s="110"/>
      <c r="AM62" s="28"/>
      <c r="AN62" s="28"/>
      <c r="AO62" s="28" t="str">
        <f t="shared" si="29"/>
        <v/>
      </c>
      <c r="AP62" s="128" t="str">
        <f t="shared" si="30"/>
        <v/>
      </c>
      <c r="AQ62" s="128" t="str">
        <f t="shared" si="31"/>
        <v/>
      </c>
      <c r="AR62" s="28" t="str">
        <f>IF(AND(ISBLANK(AT62),AS62=""),"",1+MAX(AR$18:AR61))</f>
        <v/>
      </c>
      <c r="AS62" s="150" t="str">
        <f>IF(OR(AO62="",AO62=0,$J62="",$J62=0,NOT(ISNUMBER($J62)),NOT(ISNUMBER(AO62))),IF(AND($G62&lt;&gt;"",AND(OR(ISNUMBER(AO62),AO62=""),AND(ISNUMBER($J62),$J62&gt;0))),'Feuille de Donnée'!$K$13,""),IF(AO62&lt;$J$165*'Feuille de Donnée'!$I$9,"Négligeable",(IF(AND(AM62&gt;=$H62*(1-'Feuille de Donnée'!$E$12),AM62&lt;=$H62*(1+'Feuille de Donnée'!$F$12)),'Feuille de Donnée'!$F$17,IF(AM62&lt;$H62*(1-'Feuille de Donnée'!$E$12),'Feuille de Donnée'!$F$18,'Feuille de Donnée'!$F$16))&amp;""&amp;IF(AND(AN62&gt;=$I62*(1-'Feuille de Donnée'!$E$27),AN62&lt;=$I62*(1+'Feuille de Donnée'!$F$27)),'Feuille de Donnée'!$F$32,IF(AN62&lt;$I62*(1-'Feuille de Donnée'!$E$27),'Feuille de Donnée'!$F$33,'Feuille de Donnée'!$F$31)))))</f>
        <v/>
      </c>
      <c r="AT62" s="151"/>
      <c r="AU62" s="110"/>
      <c r="AV62" s="28"/>
      <c r="AW62" s="28"/>
      <c r="AX62" s="28" t="str">
        <f t="shared" si="32"/>
        <v/>
      </c>
      <c r="AY62" s="128" t="str">
        <f t="shared" si="33"/>
        <v/>
      </c>
      <c r="AZ62" s="128" t="str">
        <f t="shared" si="34"/>
        <v/>
      </c>
      <c r="BA62" s="28" t="str">
        <f>IF(AND(ISBLANK(BC62),BB62=""),"",1+MAX(BA$18:BA61))</f>
        <v/>
      </c>
      <c r="BB62" s="150" t="str">
        <f>IF(OR(AX62="",AX62=0,$J62="",$J62=0,NOT(ISNUMBER($J62)),NOT(ISNUMBER(AX62))),IF(AND($G62&lt;&gt;"",AND(OR(ISNUMBER(AX62),AX62=""),AND(ISNUMBER($J62),$J62&gt;0))),'Feuille de Donnée'!$K$13,""),IF(AX62&lt;$J$165*'Feuille de Donnée'!$I$9,"Négligeable",(IF(AND(AV62&gt;=$H62*(1-'Feuille de Donnée'!$E$12),AV62&lt;=$H62*(1+'Feuille de Donnée'!$F$12)),'Feuille de Donnée'!$F$17,IF(AV62&lt;$H62*(1-'Feuille de Donnée'!$E$12),'Feuille de Donnée'!$F$18,'Feuille de Donnée'!$F$16))&amp;""&amp;IF(AND(AW62&gt;=$I62*(1-'Feuille de Donnée'!$E$27),AW62&lt;=$I62*(1+'Feuille de Donnée'!$F$27)),'Feuille de Donnée'!$F$32,IF(AW62&lt;$I62*(1-'Feuille de Donnée'!$E$27),'Feuille de Donnée'!$F$33,'Feuille de Donnée'!$F$31)))))</f>
        <v/>
      </c>
      <c r="BC62" s="151"/>
      <c r="BD62" s="110"/>
      <c r="BE62" s="28"/>
      <c r="BF62" s="28"/>
      <c r="BG62" s="28" t="str">
        <f t="shared" si="35"/>
        <v/>
      </c>
      <c r="BH62" s="128" t="str">
        <f t="shared" si="36"/>
        <v/>
      </c>
      <c r="BI62" s="128" t="str">
        <f t="shared" si="37"/>
        <v/>
      </c>
      <c r="BJ62" s="28" t="str">
        <f>IF(AND(ISBLANK(BL62),BK62=""),"",1+MAX(BJ$18:BJ61))</f>
        <v/>
      </c>
      <c r="BK62" s="150" t="str">
        <f>IF(OR(BG62="",BG62=0,$J62="",$J62=0,NOT(ISNUMBER($J62)),NOT(ISNUMBER(BG62))),IF(AND($G62&lt;&gt;"",AND(OR(ISNUMBER(BG62),BG62=""),AND(ISNUMBER($J62),$J62&gt;0))),'Feuille de Donnée'!$K$13,""),IF(BG62&lt;$J$165*'Feuille de Donnée'!$I$9,"Négligeable",(IF(AND(BE62&gt;=$H62*(1-'Feuille de Donnée'!$E$12),BE62&lt;=$H62*(1+'Feuille de Donnée'!$F$12)),'Feuille de Donnée'!$F$17,IF(BE62&lt;$H62*(1-'Feuille de Donnée'!$E$12),'Feuille de Donnée'!$F$18,'Feuille de Donnée'!$F$16))&amp;""&amp;IF(AND(BF62&gt;=$I62*(1-'Feuille de Donnée'!$E$27),BF62&lt;=$I62*(1+'Feuille de Donnée'!$F$27)),'Feuille de Donnée'!$F$32,IF(BF62&lt;$I62*(1-'Feuille de Donnée'!$E$27),'Feuille de Donnée'!$F$33,'Feuille de Donnée'!$F$31)))))</f>
        <v/>
      </c>
      <c r="BL62" s="151"/>
      <c r="BM62" s="153"/>
    </row>
    <row r="63" spans="1:65" s="7" customFormat="1" x14ac:dyDescent="0.3">
      <c r="A63" s="24"/>
      <c r="B63" s="25"/>
      <c r="C63" s="25"/>
      <c r="D63" s="25"/>
      <c r="E63" s="25"/>
      <c r="F63" s="25"/>
      <c r="G63" s="23"/>
      <c r="H63" s="26"/>
      <c r="I63" s="27"/>
      <c r="J63" s="109" t="str">
        <f t="shared" si="19"/>
        <v/>
      </c>
      <c r="K63" s="110"/>
      <c r="L63" s="28"/>
      <c r="M63" s="28"/>
      <c r="N63" s="28" t="str">
        <f t="shared" si="20"/>
        <v/>
      </c>
      <c r="O63" s="128" t="str">
        <f t="shared" si="21"/>
        <v/>
      </c>
      <c r="P63" s="128" t="str">
        <f t="shared" si="22"/>
        <v/>
      </c>
      <c r="Q63" s="28" t="str">
        <f>IF(AND(ISBLANK(S63),R63=""),"",1+MAX(Q$18:Q62))</f>
        <v/>
      </c>
      <c r="R63" s="150" t="str">
        <f>IF(OR(N63="",N63=0,$J63="",$J63=0,NOT(ISNUMBER($J63)),NOT(ISNUMBER(N63))),IF(AND($G63&lt;&gt;"",AND(OR(ISNUMBER(N63),N63=""),AND(ISNUMBER($J63),$J63&gt;0))),'Feuille de Donnée'!$K$13,""),IF(N63&lt;$J$165*'Feuille de Donnée'!$I$9,"Négligeable",(IF(AND(L63&gt;=$H63*(1-'Feuille de Donnée'!$E$12),L63&lt;=$H63*(1+'Feuille de Donnée'!$F$12)),'Feuille de Donnée'!$F$17,IF(L63&lt;$H63*(1-'Feuille de Donnée'!$E$12),'Feuille de Donnée'!$F$18,'Feuille de Donnée'!$F$16))&amp;""&amp;IF(AND(M63&gt;=$I63*(1-'Feuille de Donnée'!$E$27),M63&lt;=$I63*(1+'Feuille de Donnée'!$F$27)),'Feuille de Donnée'!$F$32,IF(M63&lt;$I63*(1-'Feuille de Donnée'!$E$27),'Feuille de Donnée'!$F$33,'Feuille de Donnée'!$F$31)))))</f>
        <v/>
      </c>
      <c r="S63" s="151"/>
      <c r="T63" s="110"/>
      <c r="U63" s="28"/>
      <c r="V63" s="28"/>
      <c r="W63" s="28" t="str">
        <f t="shared" si="23"/>
        <v/>
      </c>
      <c r="X63" s="128" t="str">
        <f t="shared" si="24"/>
        <v/>
      </c>
      <c r="Y63" s="128" t="str">
        <f t="shared" si="25"/>
        <v/>
      </c>
      <c r="Z63" s="28" t="str">
        <f>IF(AND(ISBLANK(AB63),AA63=""),"",1+MAX(Z$18:Z62))</f>
        <v/>
      </c>
      <c r="AA63" s="150" t="str">
        <f>IF(OR(W63="",W63=0,$J63="",$J63=0,NOT(ISNUMBER($J63)),NOT(ISNUMBER(W63))),IF(AND($G63&lt;&gt;"",AND(OR(ISNUMBER(W63),W63=""),AND(ISNUMBER($J63),$J63&gt;0))),'Feuille de Donnée'!$K$13,""),IF(W63&lt;$J$165*'Feuille de Donnée'!$I$9,"Négligeable",(IF(AND(U63&gt;=$H63*(1-'Feuille de Donnée'!$E$12),U63&lt;=$H63*(1+'Feuille de Donnée'!$F$12)),'Feuille de Donnée'!$F$17,IF(U63&lt;$H63*(1-'Feuille de Donnée'!$E$12),'Feuille de Donnée'!$F$18,'Feuille de Donnée'!$F$16))&amp;""&amp;IF(AND(V63&gt;=$I63*(1-'Feuille de Donnée'!$E$27),V63&lt;=$I63*(1+'Feuille de Donnée'!$F$27)),'Feuille de Donnée'!$F$32,IF(V63&lt;$I63*(1-'Feuille de Donnée'!$E$27),'Feuille de Donnée'!$F$33,'Feuille de Donnée'!$F$31)))))</f>
        <v/>
      </c>
      <c r="AB63" s="151"/>
      <c r="AC63" s="110"/>
      <c r="AD63" s="28"/>
      <c r="AE63" s="28"/>
      <c r="AF63" s="28" t="str">
        <f t="shared" si="26"/>
        <v/>
      </c>
      <c r="AG63" s="128" t="str">
        <f t="shared" si="27"/>
        <v/>
      </c>
      <c r="AH63" s="128" t="str">
        <f t="shared" si="28"/>
        <v/>
      </c>
      <c r="AI63" s="28" t="str">
        <f>IF(AND(ISBLANK(AK63),AJ63=""),"",1+MAX(AI$18:AI62))</f>
        <v/>
      </c>
      <c r="AJ63" s="150" t="str">
        <f>IF(OR(AF63="",AF63=0,$J63="",$J63=0,NOT(ISNUMBER($J63)),NOT(ISNUMBER(AF63))),IF(AND($G63&lt;&gt;"",AND(OR(ISNUMBER(AF63),AF63=""),AND(ISNUMBER($J63),$J63&gt;0))),'Feuille de Donnée'!$K$13,""),IF(AF63&lt;$J$165*'Feuille de Donnée'!$I$9,"Négligeable",(IF(AND(AD63&gt;=$H63*(1-'Feuille de Donnée'!$E$12),AD63&lt;=$H63*(1+'Feuille de Donnée'!$F$12)),'Feuille de Donnée'!$F$17,IF(AD63&lt;$H63*(1-'Feuille de Donnée'!$E$12),'Feuille de Donnée'!$F$18,'Feuille de Donnée'!$F$16))&amp;""&amp;IF(AND(AE63&gt;=$I63*(1-'Feuille de Donnée'!$E$27),AE63&lt;=$I63*(1+'Feuille de Donnée'!$F$27)),'Feuille de Donnée'!$F$32,IF(AE63&lt;$I63*(1-'Feuille de Donnée'!$E$27),'Feuille de Donnée'!$F$33,'Feuille de Donnée'!$F$31)))))</f>
        <v/>
      </c>
      <c r="AK63" s="151"/>
      <c r="AL63" s="110"/>
      <c r="AM63" s="28"/>
      <c r="AN63" s="28"/>
      <c r="AO63" s="28" t="str">
        <f t="shared" si="29"/>
        <v/>
      </c>
      <c r="AP63" s="128" t="str">
        <f t="shared" si="30"/>
        <v/>
      </c>
      <c r="AQ63" s="128" t="str">
        <f t="shared" si="31"/>
        <v/>
      </c>
      <c r="AR63" s="28" t="str">
        <f>IF(AND(ISBLANK(AT63),AS63=""),"",1+MAX(AR$18:AR62))</f>
        <v/>
      </c>
      <c r="AS63" s="150" t="str">
        <f>IF(OR(AO63="",AO63=0,$J63="",$J63=0,NOT(ISNUMBER($J63)),NOT(ISNUMBER(AO63))),IF(AND($G63&lt;&gt;"",AND(OR(ISNUMBER(AO63),AO63=""),AND(ISNUMBER($J63),$J63&gt;0))),'Feuille de Donnée'!$K$13,""),IF(AO63&lt;$J$165*'Feuille de Donnée'!$I$9,"Négligeable",(IF(AND(AM63&gt;=$H63*(1-'Feuille de Donnée'!$E$12),AM63&lt;=$H63*(1+'Feuille de Donnée'!$F$12)),'Feuille de Donnée'!$F$17,IF(AM63&lt;$H63*(1-'Feuille de Donnée'!$E$12),'Feuille de Donnée'!$F$18,'Feuille de Donnée'!$F$16))&amp;""&amp;IF(AND(AN63&gt;=$I63*(1-'Feuille de Donnée'!$E$27),AN63&lt;=$I63*(1+'Feuille de Donnée'!$F$27)),'Feuille de Donnée'!$F$32,IF(AN63&lt;$I63*(1-'Feuille de Donnée'!$E$27),'Feuille de Donnée'!$F$33,'Feuille de Donnée'!$F$31)))))</f>
        <v/>
      </c>
      <c r="AT63" s="151"/>
      <c r="AU63" s="110"/>
      <c r="AV63" s="28"/>
      <c r="AW63" s="28"/>
      <c r="AX63" s="28" t="str">
        <f t="shared" si="32"/>
        <v/>
      </c>
      <c r="AY63" s="128" t="str">
        <f t="shared" si="33"/>
        <v/>
      </c>
      <c r="AZ63" s="128" t="str">
        <f t="shared" si="34"/>
        <v/>
      </c>
      <c r="BA63" s="28" t="str">
        <f>IF(AND(ISBLANK(BC63),BB63=""),"",1+MAX(BA$18:BA62))</f>
        <v/>
      </c>
      <c r="BB63" s="150" t="str">
        <f>IF(OR(AX63="",AX63=0,$J63="",$J63=0,NOT(ISNUMBER($J63)),NOT(ISNUMBER(AX63))),IF(AND($G63&lt;&gt;"",AND(OR(ISNUMBER(AX63),AX63=""),AND(ISNUMBER($J63),$J63&gt;0))),'Feuille de Donnée'!$K$13,""),IF(AX63&lt;$J$165*'Feuille de Donnée'!$I$9,"Négligeable",(IF(AND(AV63&gt;=$H63*(1-'Feuille de Donnée'!$E$12),AV63&lt;=$H63*(1+'Feuille de Donnée'!$F$12)),'Feuille de Donnée'!$F$17,IF(AV63&lt;$H63*(1-'Feuille de Donnée'!$E$12),'Feuille de Donnée'!$F$18,'Feuille de Donnée'!$F$16))&amp;""&amp;IF(AND(AW63&gt;=$I63*(1-'Feuille de Donnée'!$E$27),AW63&lt;=$I63*(1+'Feuille de Donnée'!$F$27)),'Feuille de Donnée'!$F$32,IF(AW63&lt;$I63*(1-'Feuille de Donnée'!$E$27),'Feuille de Donnée'!$F$33,'Feuille de Donnée'!$F$31)))))</f>
        <v/>
      </c>
      <c r="BC63" s="151"/>
      <c r="BD63" s="110"/>
      <c r="BE63" s="28"/>
      <c r="BF63" s="28"/>
      <c r="BG63" s="28" t="str">
        <f t="shared" si="35"/>
        <v/>
      </c>
      <c r="BH63" s="128" t="str">
        <f t="shared" si="36"/>
        <v/>
      </c>
      <c r="BI63" s="128" t="str">
        <f t="shared" si="37"/>
        <v/>
      </c>
      <c r="BJ63" s="28" t="str">
        <f>IF(AND(ISBLANK(BL63),BK63=""),"",1+MAX(BJ$18:BJ62))</f>
        <v/>
      </c>
      <c r="BK63" s="150" t="str">
        <f>IF(OR(BG63="",BG63=0,$J63="",$J63=0,NOT(ISNUMBER($J63)),NOT(ISNUMBER(BG63))),IF(AND($G63&lt;&gt;"",AND(OR(ISNUMBER(BG63),BG63=""),AND(ISNUMBER($J63),$J63&gt;0))),'Feuille de Donnée'!$K$13,""),IF(BG63&lt;$J$165*'Feuille de Donnée'!$I$9,"Négligeable",(IF(AND(BE63&gt;=$H63*(1-'Feuille de Donnée'!$E$12),BE63&lt;=$H63*(1+'Feuille de Donnée'!$F$12)),'Feuille de Donnée'!$F$17,IF(BE63&lt;$H63*(1-'Feuille de Donnée'!$E$12),'Feuille de Donnée'!$F$18,'Feuille de Donnée'!$F$16))&amp;""&amp;IF(AND(BF63&gt;=$I63*(1-'Feuille de Donnée'!$E$27),BF63&lt;=$I63*(1+'Feuille de Donnée'!$F$27)),'Feuille de Donnée'!$F$32,IF(BF63&lt;$I63*(1-'Feuille de Donnée'!$E$27),'Feuille de Donnée'!$F$33,'Feuille de Donnée'!$F$31)))))</f>
        <v/>
      </c>
      <c r="BL63" s="151"/>
      <c r="BM63" s="153"/>
    </row>
    <row r="64" spans="1:65" s="7" customFormat="1" x14ac:dyDescent="0.3">
      <c r="A64" s="24"/>
      <c r="B64" s="25"/>
      <c r="C64" s="25"/>
      <c r="D64" s="25"/>
      <c r="E64" s="25"/>
      <c r="F64" s="25"/>
      <c r="G64" s="23"/>
      <c r="H64" s="26"/>
      <c r="I64" s="27"/>
      <c r="J64" s="109" t="str">
        <f t="shared" si="19"/>
        <v/>
      </c>
      <c r="K64" s="110"/>
      <c r="L64" s="28"/>
      <c r="M64" s="28"/>
      <c r="N64" s="28" t="str">
        <f t="shared" si="20"/>
        <v/>
      </c>
      <c r="O64" s="128" t="str">
        <f t="shared" si="21"/>
        <v/>
      </c>
      <c r="P64" s="128" t="str">
        <f t="shared" si="22"/>
        <v/>
      </c>
      <c r="Q64" s="28" t="str">
        <f>IF(AND(ISBLANK(S64),R64=""),"",1+MAX(Q$18:Q63))</f>
        <v/>
      </c>
      <c r="R64" s="150" t="str">
        <f>IF(OR(N64="",N64=0,$J64="",$J64=0,NOT(ISNUMBER($J64)),NOT(ISNUMBER(N64))),IF(AND($G64&lt;&gt;"",AND(OR(ISNUMBER(N64),N64=""),AND(ISNUMBER($J64),$J64&gt;0))),'Feuille de Donnée'!$K$13,""),IF(N64&lt;$J$165*'Feuille de Donnée'!$I$9,"Négligeable",(IF(AND(L64&gt;=$H64*(1-'Feuille de Donnée'!$E$12),L64&lt;=$H64*(1+'Feuille de Donnée'!$F$12)),'Feuille de Donnée'!$F$17,IF(L64&lt;$H64*(1-'Feuille de Donnée'!$E$12),'Feuille de Donnée'!$F$18,'Feuille de Donnée'!$F$16))&amp;""&amp;IF(AND(M64&gt;=$I64*(1-'Feuille de Donnée'!$E$27),M64&lt;=$I64*(1+'Feuille de Donnée'!$F$27)),'Feuille de Donnée'!$F$32,IF(M64&lt;$I64*(1-'Feuille de Donnée'!$E$27),'Feuille de Donnée'!$F$33,'Feuille de Donnée'!$F$31)))))</f>
        <v/>
      </c>
      <c r="S64" s="151"/>
      <c r="T64" s="110"/>
      <c r="U64" s="28"/>
      <c r="V64" s="28"/>
      <c r="W64" s="28" t="str">
        <f t="shared" si="23"/>
        <v/>
      </c>
      <c r="X64" s="128" t="str">
        <f t="shared" si="24"/>
        <v/>
      </c>
      <c r="Y64" s="128" t="str">
        <f t="shared" si="25"/>
        <v/>
      </c>
      <c r="Z64" s="28" t="str">
        <f>IF(AND(ISBLANK(AB64),AA64=""),"",1+MAX(Z$18:Z63))</f>
        <v/>
      </c>
      <c r="AA64" s="150" t="str">
        <f>IF(OR(W64="",W64=0,$J64="",$J64=0,NOT(ISNUMBER($J64)),NOT(ISNUMBER(W64))),IF(AND($G64&lt;&gt;"",AND(OR(ISNUMBER(W64),W64=""),AND(ISNUMBER($J64),$J64&gt;0))),'Feuille de Donnée'!$K$13,""),IF(W64&lt;$J$165*'Feuille de Donnée'!$I$9,"Négligeable",(IF(AND(U64&gt;=$H64*(1-'Feuille de Donnée'!$E$12),U64&lt;=$H64*(1+'Feuille de Donnée'!$F$12)),'Feuille de Donnée'!$F$17,IF(U64&lt;$H64*(1-'Feuille de Donnée'!$E$12),'Feuille de Donnée'!$F$18,'Feuille de Donnée'!$F$16))&amp;""&amp;IF(AND(V64&gt;=$I64*(1-'Feuille de Donnée'!$E$27),V64&lt;=$I64*(1+'Feuille de Donnée'!$F$27)),'Feuille de Donnée'!$F$32,IF(V64&lt;$I64*(1-'Feuille de Donnée'!$E$27),'Feuille de Donnée'!$F$33,'Feuille de Donnée'!$F$31)))))</f>
        <v/>
      </c>
      <c r="AB64" s="151"/>
      <c r="AC64" s="110"/>
      <c r="AD64" s="28"/>
      <c r="AE64" s="28"/>
      <c r="AF64" s="28" t="str">
        <f t="shared" si="26"/>
        <v/>
      </c>
      <c r="AG64" s="128" t="str">
        <f t="shared" si="27"/>
        <v/>
      </c>
      <c r="AH64" s="128" t="str">
        <f t="shared" si="28"/>
        <v/>
      </c>
      <c r="AI64" s="28" t="str">
        <f>IF(AND(ISBLANK(AK64),AJ64=""),"",1+MAX(AI$18:AI63))</f>
        <v/>
      </c>
      <c r="AJ64" s="150" t="str">
        <f>IF(OR(AF64="",AF64=0,$J64="",$J64=0,NOT(ISNUMBER($J64)),NOT(ISNUMBER(AF64))),IF(AND($G64&lt;&gt;"",AND(OR(ISNUMBER(AF64),AF64=""),AND(ISNUMBER($J64),$J64&gt;0))),'Feuille de Donnée'!$K$13,""),IF(AF64&lt;$J$165*'Feuille de Donnée'!$I$9,"Négligeable",(IF(AND(AD64&gt;=$H64*(1-'Feuille de Donnée'!$E$12),AD64&lt;=$H64*(1+'Feuille de Donnée'!$F$12)),'Feuille de Donnée'!$F$17,IF(AD64&lt;$H64*(1-'Feuille de Donnée'!$E$12),'Feuille de Donnée'!$F$18,'Feuille de Donnée'!$F$16))&amp;""&amp;IF(AND(AE64&gt;=$I64*(1-'Feuille de Donnée'!$E$27),AE64&lt;=$I64*(1+'Feuille de Donnée'!$F$27)),'Feuille de Donnée'!$F$32,IF(AE64&lt;$I64*(1-'Feuille de Donnée'!$E$27),'Feuille de Donnée'!$F$33,'Feuille de Donnée'!$F$31)))))</f>
        <v/>
      </c>
      <c r="AK64" s="151"/>
      <c r="AL64" s="110"/>
      <c r="AM64" s="28"/>
      <c r="AN64" s="28"/>
      <c r="AO64" s="28" t="str">
        <f t="shared" si="29"/>
        <v/>
      </c>
      <c r="AP64" s="128" t="str">
        <f t="shared" si="30"/>
        <v/>
      </c>
      <c r="AQ64" s="128" t="str">
        <f t="shared" si="31"/>
        <v/>
      </c>
      <c r="AR64" s="28" t="str">
        <f>IF(AND(ISBLANK(AT64),AS64=""),"",1+MAX(AR$18:AR63))</f>
        <v/>
      </c>
      <c r="AS64" s="150" t="str">
        <f>IF(OR(AO64="",AO64=0,$J64="",$J64=0,NOT(ISNUMBER($J64)),NOT(ISNUMBER(AO64))),IF(AND($G64&lt;&gt;"",AND(OR(ISNUMBER(AO64),AO64=""),AND(ISNUMBER($J64),$J64&gt;0))),'Feuille de Donnée'!$K$13,""),IF(AO64&lt;$J$165*'Feuille de Donnée'!$I$9,"Négligeable",(IF(AND(AM64&gt;=$H64*(1-'Feuille de Donnée'!$E$12),AM64&lt;=$H64*(1+'Feuille de Donnée'!$F$12)),'Feuille de Donnée'!$F$17,IF(AM64&lt;$H64*(1-'Feuille de Donnée'!$E$12),'Feuille de Donnée'!$F$18,'Feuille de Donnée'!$F$16))&amp;""&amp;IF(AND(AN64&gt;=$I64*(1-'Feuille de Donnée'!$E$27),AN64&lt;=$I64*(1+'Feuille de Donnée'!$F$27)),'Feuille de Donnée'!$F$32,IF(AN64&lt;$I64*(1-'Feuille de Donnée'!$E$27),'Feuille de Donnée'!$F$33,'Feuille de Donnée'!$F$31)))))</f>
        <v/>
      </c>
      <c r="AT64" s="151"/>
      <c r="AU64" s="110"/>
      <c r="AV64" s="28"/>
      <c r="AW64" s="28"/>
      <c r="AX64" s="28" t="str">
        <f t="shared" si="32"/>
        <v/>
      </c>
      <c r="AY64" s="128" t="str">
        <f t="shared" si="33"/>
        <v/>
      </c>
      <c r="AZ64" s="128" t="str">
        <f t="shared" si="34"/>
        <v/>
      </c>
      <c r="BA64" s="28" t="str">
        <f>IF(AND(ISBLANK(BC64),BB64=""),"",1+MAX(BA$18:BA63))</f>
        <v/>
      </c>
      <c r="BB64" s="150" t="str">
        <f>IF(OR(AX64="",AX64=0,$J64="",$J64=0,NOT(ISNUMBER($J64)),NOT(ISNUMBER(AX64))),IF(AND($G64&lt;&gt;"",AND(OR(ISNUMBER(AX64),AX64=""),AND(ISNUMBER($J64),$J64&gt;0))),'Feuille de Donnée'!$K$13,""),IF(AX64&lt;$J$165*'Feuille de Donnée'!$I$9,"Négligeable",(IF(AND(AV64&gt;=$H64*(1-'Feuille de Donnée'!$E$12),AV64&lt;=$H64*(1+'Feuille de Donnée'!$F$12)),'Feuille de Donnée'!$F$17,IF(AV64&lt;$H64*(1-'Feuille de Donnée'!$E$12),'Feuille de Donnée'!$F$18,'Feuille de Donnée'!$F$16))&amp;""&amp;IF(AND(AW64&gt;=$I64*(1-'Feuille de Donnée'!$E$27),AW64&lt;=$I64*(1+'Feuille de Donnée'!$F$27)),'Feuille de Donnée'!$F$32,IF(AW64&lt;$I64*(1-'Feuille de Donnée'!$E$27),'Feuille de Donnée'!$F$33,'Feuille de Donnée'!$F$31)))))</f>
        <v/>
      </c>
      <c r="BC64" s="151"/>
      <c r="BD64" s="110"/>
      <c r="BE64" s="28"/>
      <c r="BF64" s="28"/>
      <c r="BG64" s="28" t="str">
        <f t="shared" si="35"/>
        <v/>
      </c>
      <c r="BH64" s="128" t="str">
        <f t="shared" si="36"/>
        <v/>
      </c>
      <c r="BI64" s="128" t="str">
        <f t="shared" si="37"/>
        <v/>
      </c>
      <c r="BJ64" s="28" t="str">
        <f>IF(AND(ISBLANK(BL64),BK64=""),"",1+MAX(BJ$18:BJ63))</f>
        <v/>
      </c>
      <c r="BK64" s="150" t="str">
        <f>IF(OR(BG64="",BG64=0,$J64="",$J64=0,NOT(ISNUMBER($J64)),NOT(ISNUMBER(BG64))),IF(AND($G64&lt;&gt;"",AND(OR(ISNUMBER(BG64),BG64=""),AND(ISNUMBER($J64),$J64&gt;0))),'Feuille de Donnée'!$K$13,""),IF(BG64&lt;$J$165*'Feuille de Donnée'!$I$9,"Négligeable",(IF(AND(BE64&gt;=$H64*(1-'Feuille de Donnée'!$E$12),BE64&lt;=$H64*(1+'Feuille de Donnée'!$F$12)),'Feuille de Donnée'!$F$17,IF(BE64&lt;$H64*(1-'Feuille de Donnée'!$E$12),'Feuille de Donnée'!$F$18,'Feuille de Donnée'!$F$16))&amp;""&amp;IF(AND(BF64&gt;=$I64*(1-'Feuille de Donnée'!$E$27),BF64&lt;=$I64*(1+'Feuille de Donnée'!$F$27)),'Feuille de Donnée'!$F$32,IF(BF64&lt;$I64*(1-'Feuille de Donnée'!$E$27),'Feuille de Donnée'!$F$33,'Feuille de Donnée'!$F$31)))))</f>
        <v/>
      </c>
      <c r="BL64" s="151"/>
      <c r="BM64" s="153"/>
    </row>
    <row r="65" spans="1:65" s="7" customFormat="1" x14ac:dyDescent="0.3">
      <c r="A65" s="24"/>
      <c r="B65" s="25"/>
      <c r="C65" s="25"/>
      <c r="D65" s="25"/>
      <c r="E65" s="25"/>
      <c r="F65" s="25"/>
      <c r="G65" s="23"/>
      <c r="H65" s="26"/>
      <c r="I65" s="27"/>
      <c r="J65" s="109" t="str">
        <f t="shared" si="19"/>
        <v/>
      </c>
      <c r="K65" s="110"/>
      <c r="L65" s="28"/>
      <c r="M65" s="28"/>
      <c r="N65" s="28" t="str">
        <f t="shared" si="20"/>
        <v/>
      </c>
      <c r="O65" s="128" t="str">
        <f t="shared" si="21"/>
        <v/>
      </c>
      <c r="P65" s="128" t="str">
        <f t="shared" si="22"/>
        <v/>
      </c>
      <c r="Q65" s="28" t="str">
        <f>IF(AND(ISBLANK(S65),R65=""),"",1+MAX(Q$18:Q64))</f>
        <v/>
      </c>
      <c r="R65" s="150" t="str">
        <f>IF(OR(N65="",N65=0,$J65="",$J65=0,NOT(ISNUMBER($J65)),NOT(ISNUMBER(N65))),IF(AND($G65&lt;&gt;"",AND(OR(ISNUMBER(N65),N65=""),AND(ISNUMBER($J65),$J65&gt;0))),'Feuille de Donnée'!$K$13,""),IF(N65&lt;$J$165*'Feuille de Donnée'!$I$9,"Négligeable",(IF(AND(L65&gt;=$H65*(1-'Feuille de Donnée'!$E$12),L65&lt;=$H65*(1+'Feuille de Donnée'!$F$12)),'Feuille de Donnée'!$F$17,IF(L65&lt;$H65*(1-'Feuille de Donnée'!$E$12),'Feuille de Donnée'!$F$18,'Feuille de Donnée'!$F$16))&amp;""&amp;IF(AND(M65&gt;=$I65*(1-'Feuille de Donnée'!$E$27),M65&lt;=$I65*(1+'Feuille de Donnée'!$F$27)),'Feuille de Donnée'!$F$32,IF(M65&lt;$I65*(1-'Feuille de Donnée'!$E$27),'Feuille de Donnée'!$F$33,'Feuille de Donnée'!$F$31)))))</f>
        <v/>
      </c>
      <c r="S65" s="151"/>
      <c r="T65" s="110"/>
      <c r="U65" s="28"/>
      <c r="V65" s="28"/>
      <c r="W65" s="28" t="str">
        <f t="shared" si="23"/>
        <v/>
      </c>
      <c r="X65" s="128" t="str">
        <f t="shared" si="24"/>
        <v/>
      </c>
      <c r="Y65" s="128" t="str">
        <f t="shared" si="25"/>
        <v/>
      </c>
      <c r="Z65" s="28" t="str">
        <f>IF(AND(ISBLANK(AB65),AA65=""),"",1+MAX(Z$18:Z64))</f>
        <v/>
      </c>
      <c r="AA65" s="150" t="str">
        <f>IF(OR(W65="",W65=0,$J65="",$J65=0,NOT(ISNUMBER($J65)),NOT(ISNUMBER(W65))),IF(AND($G65&lt;&gt;"",AND(OR(ISNUMBER(W65),W65=""),AND(ISNUMBER($J65),$J65&gt;0))),'Feuille de Donnée'!$K$13,""),IF(W65&lt;$J$165*'Feuille de Donnée'!$I$9,"Négligeable",(IF(AND(U65&gt;=$H65*(1-'Feuille de Donnée'!$E$12),U65&lt;=$H65*(1+'Feuille de Donnée'!$F$12)),'Feuille de Donnée'!$F$17,IF(U65&lt;$H65*(1-'Feuille de Donnée'!$E$12),'Feuille de Donnée'!$F$18,'Feuille de Donnée'!$F$16))&amp;""&amp;IF(AND(V65&gt;=$I65*(1-'Feuille de Donnée'!$E$27),V65&lt;=$I65*(1+'Feuille de Donnée'!$F$27)),'Feuille de Donnée'!$F$32,IF(V65&lt;$I65*(1-'Feuille de Donnée'!$E$27),'Feuille de Donnée'!$F$33,'Feuille de Donnée'!$F$31)))))</f>
        <v/>
      </c>
      <c r="AB65" s="151"/>
      <c r="AC65" s="110"/>
      <c r="AD65" s="28"/>
      <c r="AE65" s="28"/>
      <c r="AF65" s="28" t="str">
        <f t="shared" si="26"/>
        <v/>
      </c>
      <c r="AG65" s="128" t="str">
        <f t="shared" si="27"/>
        <v/>
      </c>
      <c r="AH65" s="128" t="str">
        <f t="shared" si="28"/>
        <v/>
      </c>
      <c r="AI65" s="28" t="str">
        <f>IF(AND(ISBLANK(AK65),AJ65=""),"",1+MAX(AI$18:AI64))</f>
        <v/>
      </c>
      <c r="AJ65" s="150" t="str">
        <f>IF(OR(AF65="",AF65=0,$J65="",$J65=0,NOT(ISNUMBER($J65)),NOT(ISNUMBER(AF65))),IF(AND($G65&lt;&gt;"",AND(OR(ISNUMBER(AF65),AF65=""),AND(ISNUMBER($J65),$J65&gt;0))),'Feuille de Donnée'!$K$13,""),IF(AF65&lt;$J$165*'Feuille de Donnée'!$I$9,"Négligeable",(IF(AND(AD65&gt;=$H65*(1-'Feuille de Donnée'!$E$12),AD65&lt;=$H65*(1+'Feuille de Donnée'!$F$12)),'Feuille de Donnée'!$F$17,IF(AD65&lt;$H65*(1-'Feuille de Donnée'!$E$12),'Feuille de Donnée'!$F$18,'Feuille de Donnée'!$F$16))&amp;""&amp;IF(AND(AE65&gt;=$I65*(1-'Feuille de Donnée'!$E$27),AE65&lt;=$I65*(1+'Feuille de Donnée'!$F$27)),'Feuille de Donnée'!$F$32,IF(AE65&lt;$I65*(1-'Feuille de Donnée'!$E$27),'Feuille de Donnée'!$F$33,'Feuille de Donnée'!$F$31)))))</f>
        <v/>
      </c>
      <c r="AK65" s="151"/>
      <c r="AL65" s="110"/>
      <c r="AM65" s="28"/>
      <c r="AN65" s="28"/>
      <c r="AO65" s="28" t="str">
        <f t="shared" si="29"/>
        <v/>
      </c>
      <c r="AP65" s="128" t="str">
        <f t="shared" si="30"/>
        <v/>
      </c>
      <c r="AQ65" s="128" t="str">
        <f t="shared" si="31"/>
        <v/>
      </c>
      <c r="AR65" s="28" t="str">
        <f>IF(AND(ISBLANK(AT65),AS65=""),"",1+MAX(AR$18:AR64))</f>
        <v/>
      </c>
      <c r="AS65" s="150" t="str">
        <f>IF(OR(AO65="",AO65=0,$J65="",$J65=0,NOT(ISNUMBER($J65)),NOT(ISNUMBER(AO65))),IF(AND($G65&lt;&gt;"",AND(OR(ISNUMBER(AO65),AO65=""),AND(ISNUMBER($J65),$J65&gt;0))),'Feuille de Donnée'!$K$13,""),IF(AO65&lt;$J$165*'Feuille de Donnée'!$I$9,"Négligeable",(IF(AND(AM65&gt;=$H65*(1-'Feuille de Donnée'!$E$12),AM65&lt;=$H65*(1+'Feuille de Donnée'!$F$12)),'Feuille de Donnée'!$F$17,IF(AM65&lt;$H65*(1-'Feuille de Donnée'!$E$12),'Feuille de Donnée'!$F$18,'Feuille de Donnée'!$F$16))&amp;""&amp;IF(AND(AN65&gt;=$I65*(1-'Feuille de Donnée'!$E$27),AN65&lt;=$I65*(1+'Feuille de Donnée'!$F$27)),'Feuille de Donnée'!$F$32,IF(AN65&lt;$I65*(1-'Feuille de Donnée'!$E$27),'Feuille de Donnée'!$F$33,'Feuille de Donnée'!$F$31)))))</f>
        <v/>
      </c>
      <c r="AT65" s="151"/>
      <c r="AU65" s="110"/>
      <c r="AV65" s="28"/>
      <c r="AW65" s="28"/>
      <c r="AX65" s="28" t="str">
        <f t="shared" si="32"/>
        <v/>
      </c>
      <c r="AY65" s="128" t="str">
        <f t="shared" si="33"/>
        <v/>
      </c>
      <c r="AZ65" s="128" t="str">
        <f t="shared" si="34"/>
        <v/>
      </c>
      <c r="BA65" s="28" t="str">
        <f>IF(AND(ISBLANK(BC65),BB65=""),"",1+MAX(BA$18:BA64))</f>
        <v/>
      </c>
      <c r="BB65" s="150" t="str">
        <f>IF(OR(AX65="",AX65=0,$J65="",$J65=0,NOT(ISNUMBER($J65)),NOT(ISNUMBER(AX65))),IF(AND($G65&lt;&gt;"",AND(OR(ISNUMBER(AX65),AX65=""),AND(ISNUMBER($J65),$J65&gt;0))),'Feuille de Donnée'!$K$13,""),IF(AX65&lt;$J$165*'Feuille de Donnée'!$I$9,"Négligeable",(IF(AND(AV65&gt;=$H65*(1-'Feuille de Donnée'!$E$12),AV65&lt;=$H65*(1+'Feuille de Donnée'!$F$12)),'Feuille de Donnée'!$F$17,IF(AV65&lt;$H65*(1-'Feuille de Donnée'!$E$12),'Feuille de Donnée'!$F$18,'Feuille de Donnée'!$F$16))&amp;""&amp;IF(AND(AW65&gt;=$I65*(1-'Feuille de Donnée'!$E$27),AW65&lt;=$I65*(1+'Feuille de Donnée'!$F$27)),'Feuille de Donnée'!$F$32,IF(AW65&lt;$I65*(1-'Feuille de Donnée'!$E$27),'Feuille de Donnée'!$F$33,'Feuille de Donnée'!$F$31)))))</f>
        <v/>
      </c>
      <c r="BC65" s="151"/>
      <c r="BD65" s="110"/>
      <c r="BE65" s="28"/>
      <c r="BF65" s="28"/>
      <c r="BG65" s="28" t="str">
        <f t="shared" si="35"/>
        <v/>
      </c>
      <c r="BH65" s="128" t="str">
        <f t="shared" si="36"/>
        <v/>
      </c>
      <c r="BI65" s="128" t="str">
        <f t="shared" si="37"/>
        <v/>
      </c>
      <c r="BJ65" s="28" t="str">
        <f>IF(AND(ISBLANK(BL65),BK65=""),"",1+MAX(BJ$18:BJ64))</f>
        <v/>
      </c>
      <c r="BK65" s="150" t="str">
        <f>IF(OR(BG65="",BG65=0,$J65="",$J65=0,NOT(ISNUMBER($J65)),NOT(ISNUMBER(BG65))),IF(AND($G65&lt;&gt;"",AND(OR(ISNUMBER(BG65),BG65=""),AND(ISNUMBER($J65),$J65&gt;0))),'Feuille de Donnée'!$K$13,""),IF(BG65&lt;$J$165*'Feuille de Donnée'!$I$9,"Négligeable",(IF(AND(BE65&gt;=$H65*(1-'Feuille de Donnée'!$E$12),BE65&lt;=$H65*(1+'Feuille de Donnée'!$F$12)),'Feuille de Donnée'!$F$17,IF(BE65&lt;$H65*(1-'Feuille de Donnée'!$E$12),'Feuille de Donnée'!$F$18,'Feuille de Donnée'!$F$16))&amp;""&amp;IF(AND(BF65&gt;=$I65*(1-'Feuille de Donnée'!$E$27),BF65&lt;=$I65*(1+'Feuille de Donnée'!$F$27)),'Feuille de Donnée'!$F$32,IF(BF65&lt;$I65*(1-'Feuille de Donnée'!$E$27),'Feuille de Donnée'!$F$33,'Feuille de Donnée'!$F$31)))))</f>
        <v/>
      </c>
      <c r="BL65" s="151"/>
      <c r="BM65" s="153"/>
    </row>
    <row r="66" spans="1:65" s="7" customFormat="1" x14ac:dyDescent="0.3">
      <c r="A66" s="24"/>
      <c r="B66" s="25"/>
      <c r="C66" s="25"/>
      <c r="D66" s="25"/>
      <c r="E66" s="25"/>
      <c r="F66" s="25"/>
      <c r="G66" s="23"/>
      <c r="H66" s="26"/>
      <c r="I66" s="27"/>
      <c r="J66" s="109" t="str">
        <f t="shared" si="19"/>
        <v/>
      </c>
      <c r="K66" s="110"/>
      <c r="L66" s="28"/>
      <c r="M66" s="28"/>
      <c r="N66" s="28" t="str">
        <f t="shared" si="20"/>
        <v/>
      </c>
      <c r="O66" s="128" t="str">
        <f t="shared" si="21"/>
        <v/>
      </c>
      <c r="P66" s="128" t="str">
        <f t="shared" si="22"/>
        <v/>
      </c>
      <c r="Q66" s="28" t="str">
        <f>IF(AND(ISBLANK(S66),R66=""),"",1+MAX(Q$18:Q65))</f>
        <v/>
      </c>
      <c r="R66" s="150" t="str">
        <f>IF(OR(N66="",N66=0,$J66="",$J66=0,NOT(ISNUMBER($J66)),NOT(ISNUMBER(N66))),IF(AND($G66&lt;&gt;"",AND(OR(ISNUMBER(N66),N66=""),AND(ISNUMBER($J66),$J66&gt;0))),'Feuille de Donnée'!$K$13,""),IF(N66&lt;$J$165*'Feuille de Donnée'!$I$9,"Négligeable",(IF(AND(L66&gt;=$H66*(1-'Feuille de Donnée'!$E$12),L66&lt;=$H66*(1+'Feuille de Donnée'!$F$12)),'Feuille de Donnée'!$F$17,IF(L66&lt;$H66*(1-'Feuille de Donnée'!$E$12),'Feuille de Donnée'!$F$18,'Feuille de Donnée'!$F$16))&amp;""&amp;IF(AND(M66&gt;=$I66*(1-'Feuille de Donnée'!$E$27),M66&lt;=$I66*(1+'Feuille de Donnée'!$F$27)),'Feuille de Donnée'!$F$32,IF(M66&lt;$I66*(1-'Feuille de Donnée'!$E$27),'Feuille de Donnée'!$F$33,'Feuille de Donnée'!$F$31)))))</f>
        <v/>
      </c>
      <c r="S66" s="151"/>
      <c r="T66" s="110"/>
      <c r="U66" s="28"/>
      <c r="V66" s="28"/>
      <c r="W66" s="28" t="str">
        <f t="shared" si="23"/>
        <v/>
      </c>
      <c r="X66" s="128" t="str">
        <f t="shared" si="24"/>
        <v/>
      </c>
      <c r="Y66" s="128" t="str">
        <f t="shared" si="25"/>
        <v/>
      </c>
      <c r="Z66" s="28" t="str">
        <f>IF(AND(ISBLANK(AB66),AA66=""),"",1+MAX(Z$18:Z65))</f>
        <v/>
      </c>
      <c r="AA66" s="150" t="str">
        <f>IF(OR(W66="",W66=0,$J66="",$J66=0,NOT(ISNUMBER($J66)),NOT(ISNUMBER(W66))),IF(AND($G66&lt;&gt;"",AND(OR(ISNUMBER(W66),W66=""),AND(ISNUMBER($J66),$J66&gt;0))),'Feuille de Donnée'!$K$13,""),IF(W66&lt;$J$165*'Feuille de Donnée'!$I$9,"Négligeable",(IF(AND(U66&gt;=$H66*(1-'Feuille de Donnée'!$E$12),U66&lt;=$H66*(1+'Feuille de Donnée'!$F$12)),'Feuille de Donnée'!$F$17,IF(U66&lt;$H66*(1-'Feuille de Donnée'!$E$12),'Feuille de Donnée'!$F$18,'Feuille de Donnée'!$F$16))&amp;""&amp;IF(AND(V66&gt;=$I66*(1-'Feuille de Donnée'!$E$27),V66&lt;=$I66*(1+'Feuille de Donnée'!$F$27)),'Feuille de Donnée'!$F$32,IF(V66&lt;$I66*(1-'Feuille de Donnée'!$E$27),'Feuille de Donnée'!$F$33,'Feuille de Donnée'!$F$31)))))</f>
        <v/>
      </c>
      <c r="AB66" s="151"/>
      <c r="AC66" s="110"/>
      <c r="AD66" s="28"/>
      <c r="AE66" s="28"/>
      <c r="AF66" s="28" t="str">
        <f t="shared" si="26"/>
        <v/>
      </c>
      <c r="AG66" s="128" t="str">
        <f t="shared" si="27"/>
        <v/>
      </c>
      <c r="AH66" s="128" t="str">
        <f t="shared" si="28"/>
        <v/>
      </c>
      <c r="AI66" s="28" t="str">
        <f>IF(AND(ISBLANK(AK66),AJ66=""),"",1+MAX(AI$18:AI65))</f>
        <v/>
      </c>
      <c r="AJ66" s="150" t="str">
        <f>IF(OR(AF66="",AF66=0,$J66="",$J66=0,NOT(ISNUMBER($J66)),NOT(ISNUMBER(AF66))),IF(AND($G66&lt;&gt;"",AND(OR(ISNUMBER(AF66),AF66=""),AND(ISNUMBER($J66),$J66&gt;0))),'Feuille de Donnée'!$K$13,""),IF(AF66&lt;$J$165*'Feuille de Donnée'!$I$9,"Négligeable",(IF(AND(AD66&gt;=$H66*(1-'Feuille de Donnée'!$E$12),AD66&lt;=$H66*(1+'Feuille de Donnée'!$F$12)),'Feuille de Donnée'!$F$17,IF(AD66&lt;$H66*(1-'Feuille de Donnée'!$E$12),'Feuille de Donnée'!$F$18,'Feuille de Donnée'!$F$16))&amp;""&amp;IF(AND(AE66&gt;=$I66*(1-'Feuille de Donnée'!$E$27),AE66&lt;=$I66*(1+'Feuille de Donnée'!$F$27)),'Feuille de Donnée'!$F$32,IF(AE66&lt;$I66*(1-'Feuille de Donnée'!$E$27),'Feuille de Donnée'!$F$33,'Feuille de Donnée'!$F$31)))))</f>
        <v/>
      </c>
      <c r="AK66" s="151"/>
      <c r="AL66" s="110"/>
      <c r="AM66" s="28"/>
      <c r="AN66" s="28"/>
      <c r="AO66" s="28" t="str">
        <f t="shared" si="29"/>
        <v/>
      </c>
      <c r="AP66" s="128" t="str">
        <f t="shared" si="30"/>
        <v/>
      </c>
      <c r="AQ66" s="128" t="str">
        <f t="shared" si="31"/>
        <v/>
      </c>
      <c r="AR66" s="28" t="str">
        <f>IF(AND(ISBLANK(AT66),AS66=""),"",1+MAX(AR$18:AR65))</f>
        <v/>
      </c>
      <c r="AS66" s="150" t="str">
        <f>IF(OR(AO66="",AO66=0,$J66="",$J66=0,NOT(ISNUMBER($J66)),NOT(ISNUMBER(AO66))),IF(AND($G66&lt;&gt;"",AND(OR(ISNUMBER(AO66),AO66=""),AND(ISNUMBER($J66),$J66&gt;0))),'Feuille de Donnée'!$K$13,""),IF(AO66&lt;$J$165*'Feuille de Donnée'!$I$9,"Négligeable",(IF(AND(AM66&gt;=$H66*(1-'Feuille de Donnée'!$E$12),AM66&lt;=$H66*(1+'Feuille de Donnée'!$F$12)),'Feuille de Donnée'!$F$17,IF(AM66&lt;$H66*(1-'Feuille de Donnée'!$E$12),'Feuille de Donnée'!$F$18,'Feuille de Donnée'!$F$16))&amp;""&amp;IF(AND(AN66&gt;=$I66*(1-'Feuille de Donnée'!$E$27),AN66&lt;=$I66*(1+'Feuille de Donnée'!$F$27)),'Feuille de Donnée'!$F$32,IF(AN66&lt;$I66*(1-'Feuille de Donnée'!$E$27),'Feuille de Donnée'!$F$33,'Feuille de Donnée'!$F$31)))))</f>
        <v/>
      </c>
      <c r="AT66" s="151"/>
      <c r="AU66" s="110"/>
      <c r="AV66" s="28"/>
      <c r="AW66" s="28"/>
      <c r="AX66" s="28" t="str">
        <f t="shared" si="32"/>
        <v/>
      </c>
      <c r="AY66" s="128" t="str">
        <f t="shared" si="33"/>
        <v/>
      </c>
      <c r="AZ66" s="128" t="str">
        <f t="shared" si="34"/>
        <v/>
      </c>
      <c r="BA66" s="28" t="str">
        <f>IF(AND(ISBLANK(BC66),BB66=""),"",1+MAX(BA$18:BA65))</f>
        <v/>
      </c>
      <c r="BB66" s="150" t="str">
        <f>IF(OR(AX66="",AX66=0,$J66="",$J66=0,NOT(ISNUMBER($J66)),NOT(ISNUMBER(AX66))),IF(AND($G66&lt;&gt;"",AND(OR(ISNUMBER(AX66),AX66=""),AND(ISNUMBER($J66),$J66&gt;0))),'Feuille de Donnée'!$K$13,""),IF(AX66&lt;$J$165*'Feuille de Donnée'!$I$9,"Négligeable",(IF(AND(AV66&gt;=$H66*(1-'Feuille de Donnée'!$E$12),AV66&lt;=$H66*(1+'Feuille de Donnée'!$F$12)),'Feuille de Donnée'!$F$17,IF(AV66&lt;$H66*(1-'Feuille de Donnée'!$E$12),'Feuille de Donnée'!$F$18,'Feuille de Donnée'!$F$16))&amp;""&amp;IF(AND(AW66&gt;=$I66*(1-'Feuille de Donnée'!$E$27),AW66&lt;=$I66*(1+'Feuille de Donnée'!$F$27)),'Feuille de Donnée'!$F$32,IF(AW66&lt;$I66*(1-'Feuille de Donnée'!$E$27),'Feuille de Donnée'!$F$33,'Feuille de Donnée'!$F$31)))))</f>
        <v/>
      </c>
      <c r="BC66" s="151"/>
      <c r="BD66" s="110"/>
      <c r="BE66" s="28"/>
      <c r="BF66" s="28"/>
      <c r="BG66" s="28" t="str">
        <f t="shared" si="35"/>
        <v/>
      </c>
      <c r="BH66" s="128" t="str">
        <f t="shared" si="36"/>
        <v/>
      </c>
      <c r="BI66" s="128" t="str">
        <f t="shared" si="37"/>
        <v/>
      </c>
      <c r="BJ66" s="28" t="str">
        <f>IF(AND(ISBLANK(BL66),BK66=""),"",1+MAX(BJ$18:BJ65))</f>
        <v/>
      </c>
      <c r="BK66" s="150" t="str">
        <f>IF(OR(BG66="",BG66=0,$J66="",$J66=0,NOT(ISNUMBER($J66)),NOT(ISNUMBER(BG66))),IF(AND($G66&lt;&gt;"",AND(OR(ISNUMBER(BG66),BG66=""),AND(ISNUMBER($J66),$J66&gt;0))),'Feuille de Donnée'!$K$13,""),IF(BG66&lt;$J$165*'Feuille de Donnée'!$I$9,"Négligeable",(IF(AND(BE66&gt;=$H66*(1-'Feuille de Donnée'!$E$12),BE66&lt;=$H66*(1+'Feuille de Donnée'!$F$12)),'Feuille de Donnée'!$F$17,IF(BE66&lt;$H66*(1-'Feuille de Donnée'!$E$12),'Feuille de Donnée'!$F$18,'Feuille de Donnée'!$F$16))&amp;""&amp;IF(AND(BF66&gt;=$I66*(1-'Feuille de Donnée'!$E$27),BF66&lt;=$I66*(1+'Feuille de Donnée'!$F$27)),'Feuille de Donnée'!$F$32,IF(BF66&lt;$I66*(1-'Feuille de Donnée'!$E$27),'Feuille de Donnée'!$F$33,'Feuille de Donnée'!$F$31)))))</f>
        <v/>
      </c>
      <c r="BL66" s="151"/>
      <c r="BM66" s="153"/>
    </row>
    <row r="67" spans="1:65" s="7" customFormat="1" x14ac:dyDescent="0.3">
      <c r="A67" s="24"/>
      <c r="B67" s="25"/>
      <c r="C67" s="25"/>
      <c r="D67" s="25"/>
      <c r="E67" s="25"/>
      <c r="F67" s="25"/>
      <c r="G67" s="23"/>
      <c r="H67" s="26"/>
      <c r="I67" s="27"/>
      <c r="J67" s="109" t="str">
        <f t="shared" si="19"/>
        <v/>
      </c>
      <c r="K67" s="110"/>
      <c r="L67" s="28"/>
      <c r="M67" s="28"/>
      <c r="N67" s="28" t="str">
        <f t="shared" si="20"/>
        <v/>
      </c>
      <c r="O67" s="128" t="str">
        <f t="shared" si="21"/>
        <v/>
      </c>
      <c r="P67" s="128" t="str">
        <f t="shared" si="22"/>
        <v/>
      </c>
      <c r="Q67" s="28" t="str">
        <f>IF(AND(ISBLANK(S67),R67=""),"",1+MAX(Q$18:Q66))</f>
        <v/>
      </c>
      <c r="R67" s="150" t="str">
        <f>IF(OR(N67="",N67=0,$J67="",$J67=0,NOT(ISNUMBER($J67)),NOT(ISNUMBER(N67))),IF(AND($G67&lt;&gt;"",AND(OR(ISNUMBER(N67),N67=""),AND(ISNUMBER($J67),$J67&gt;0))),'Feuille de Donnée'!$K$13,""),IF(N67&lt;$J$165*'Feuille de Donnée'!$I$9,"Négligeable",(IF(AND(L67&gt;=$H67*(1-'Feuille de Donnée'!$E$12),L67&lt;=$H67*(1+'Feuille de Donnée'!$F$12)),'Feuille de Donnée'!$F$17,IF(L67&lt;$H67*(1-'Feuille de Donnée'!$E$12),'Feuille de Donnée'!$F$18,'Feuille de Donnée'!$F$16))&amp;""&amp;IF(AND(M67&gt;=$I67*(1-'Feuille de Donnée'!$E$27),M67&lt;=$I67*(1+'Feuille de Donnée'!$F$27)),'Feuille de Donnée'!$F$32,IF(M67&lt;$I67*(1-'Feuille de Donnée'!$E$27),'Feuille de Donnée'!$F$33,'Feuille de Donnée'!$F$31)))))</f>
        <v/>
      </c>
      <c r="S67" s="151"/>
      <c r="T67" s="110"/>
      <c r="U67" s="28"/>
      <c r="V67" s="28"/>
      <c r="W67" s="28" t="str">
        <f t="shared" si="23"/>
        <v/>
      </c>
      <c r="X67" s="128" t="str">
        <f t="shared" si="24"/>
        <v/>
      </c>
      <c r="Y67" s="128" t="str">
        <f t="shared" si="25"/>
        <v/>
      </c>
      <c r="Z67" s="28" t="str">
        <f>IF(AND(ISBLANK(AB67),AA67=""),"",1+MAX(Z$18:Z66))</f>
        <v/>
      </c>
      <c r="AA67" s="150" t="str">
        <f>IF(OR(W67="",W67=0,$J67="",$J67=0,NOT(ISNUMBER($J67)),NOT(ISNUMBER(W67))),IF(AND($G67&lt;&gt;"",AND(OR(ISNUMBER(W67),W67=""),AND(ISNUMBER($J67),$J67&gt;0))),'Feuille de Donnée'!$K$13,""),IF(W67&lt;$J$165*'Feuille de Donnée'!$I$9,"Négligeable",(IF(AND(U67&gt;=$H67*(1-'Feuille de Donnée'!$E$12),U67&lt;=$H67*(1+'Feuille de Donnée'!$F$12)),'Feuille de Donnée'!$F$17,IF(U67&lt;$H67*(1-'Feuille de Donnée'!$E$12),'Feuille de Donnée'!$F$18,'Feuille de Donnée'!$F$16))&amp;""&amp;IF(AND(V67&gt;=$I67*(1-'Feuille de Donnée'!$E$27),V67&lt;=$I67*(1+'Feuille de Donnée'!$F$27)),'Feuille de Donnée'!$F$32,IF(V67&lt;$I67*(1-'Feuille de Donnée'!$E$27),'Feuille de Donnée'!$F$33,'Feuille de Donnée'!$F$31)))))</f>
        <v/>
      </c>
      <c r="AB67" s="151"/>
      <c r="AC67" s="110"/>
      <c r="AD67" s="28"/>
      <c r="AE67" s="28"/>
      <c r="AF67" s="28" t="str">
        <f t="shared" si="26"/>
        <v/>
      </c>
      <c r="AG67" s="128" t="str">
        <f t="shared" si="27"/>
        <v/>
      </c>
      <c r="AH67" s="128" t="str">
        <f t="shared" si="28"/>
        <v/>
      </c>
      <c r="AI67" s="28" t="str">
        <f>IF(AND(ISBLANK(AK67),AJ67=""),"",1+MAX(AI$18:AI66))</f>
        <v/>
      </c>
      <c r="AJ67" s="150" t="str">
        <f>IF(OR(AF67="",AF67=0,$J67="",$J67=0,NOT(ISNUMBER($J67)),NOT(ISNUMBER(AF67))),IF(AND($G67&lt;&gt;"",AND(OR(ISNUMBER(AF67),AF67=""),AND(ISNUMBER($J67),$J67&gt;0))),'Feuille de Donnée'!$K$13,""),IF(AF67&lt;$J$165*'Feuille de Donnée'!$I$9,"Négligeable",(IF(AND(AD67&gt;=$H67*(1-'Feuille de Donnée'!$E$12),AD67&lt;=$H67*(1+'Feuille de Donnée'!$F$12)),'Feuille de Donnée'!$F$17,IF(AD67&lt;$H67*(1-'Feuille de Donnée'!$E$12),'Feuille de Donnée'!$F$18,'Feuille de Donnée'!$F$16))&amp;""&amp;IF(AND(AE67&gt;=$I67*(1-'Feuille de Donnée'!$E$27),AE67&lt;=$I67*(1+'Feuille de Donnée'!$F$27)),'Feuille de Donnée'!$F$32,IF(AE67&lt;$I67*(1-'Feuille de Donnée'!$E$27),'Feuille de Donnée'!$F$33,'Feuille de Donnée'!$F$31)))))</f>
        <v/>
      </c>
      <c r="AK67" s="151"/>
      <c r="AL67" s="110"/>
      <c r="AM67" s="28"/>
      <c r="AN67" s="28"/>
      <c r="AO67" s="28" t="str">
        <f t="shared" si="29"/>
        <v/>
      </c>
      <c r="AP67" s="128" t="str">
        <f t="shared" si="30"/>
        <v/>
      </c>
      <c r="AQ67" s="128" t="str">
        <f t="shared" si="31"/>
        <v/>
      </c>
      <c r="AR67" s="28" t="str">
        <f>IF(AND(ISBLANK(AT67),AS67=""),"",1+MAX(AR$18:AR66))</f>
        <v/>
      </c>
      <c r="AS67" s="150" t="str">
        <f>IF(OR(AO67="",AO67=0,$J67="",$J67=0,NOT(ISNUMBER($J67)),NOT(ISNUMBER(AO67))),IF(AND($G67&lt;&gt;"",AND(OR(ISNUMBER(AO67),AO67=""),AND(ISNUMBER($J67),$J67&gt;0))),'Feuille de Donnée'!$K$13,""),IF(AO67&lt;$J$165*'Feuille de Donnée'!$I$9,"Négligeable",(IF(AND(AM67&gt;=$H67*(1-'Feuille de Donnée'!$E$12),AM67&lt;=$H67*(1+'Feuille de Donnée'!$F$12)),'Feuille de Donnée'!$F$17,IF(AM67&lt;$H67*(1-'Feuille de Donnée'!$E$12),'Feuille de Donnée'!$F$18,'Feuille de Donnée'!$F$16))&amp;""&amp;IF(AND(AN67&gt;=$I67*(1-'Feuille de Donnée'!$E$27),AN67&lt;=$I67*(1+'Feuille de Donnée'!$F$27)),'Feuille de Donnée'!$F$32,IF(AN67&lt;$I67*(1-'Feuille de Donnée'!$E$27),'Feuille de Donnée'!$F$33,'Feuille de Donnée'!$F$31)))))</f>
        <v/>
      </c>
      <c r="AT67" s="151"/>
      <c r="AU67" s="110"/>
      <c r="AV67" s="28"/>
      <c r="AW67" s="28"/>
      <c r="AX67" s="28" t="str">
        <f t="shared" si="32"/>
        <v/>
      </c>
      <c r="AY67" s="128" t="str">
        <f t="shared" si="33"/>
        <v/>
      </c>
      <c r="AZ67" s="128" t="str">
        <f t="shared" si="34"/>
        <v/>
      </c>
      <c r="BA67" s="28" t="str">
        <f>IF(AND(ISBLANK(BC67),BB67=""),"",1+MAX(BA$18:BA66))</f>
        <v/>
      </c>
      <c r="BB67" s="150" t="str">
        <f>IF(OR(AX67="",AX67=0,$J67="",$J67=0,NOT(ISNUMBER($J67)),NOT(ISNUMBER(AX67))),IF(AND($G67&lt;&gt;"",AND(OR(ISNUMBER(AX67),AX67=""),AND(ISNUMBER($J67),$J67&gt;0))),'Feuille de Donnée'!$K$13,""),IF(AX67&lt;$J$165*'Feuille de Donnée'!$I$9,"Négligeable",(IF(AND(AV67&gt;=$H67*(1-'Feuille de Donnée'!$E$12),AV67&lt;=$H67*(1+'Feuille de Donnée'!$F$12)),'Feuille de Donnée'!$F$17,IF(AV67&lt;$H67*(1-'Feuille de Donnée'!$E$12),'Feuille de Donnée'!$F$18,'Feuille de Donnée'!$F$16))&amp;""&amp;IF(AND(AW67&gt;=$I67*(1-'Feuille de Donnée'!$E$27),AW67&lt;=$I67*(1+'Feuille de Donnée'!$F$27)),'Feuille de Donnée'!$F$32,IF(AW67&lt;$I67*(1-'Feuille de Donnée'!$E$27),'Feuille de Donnée'!$F$33,'Feuille de Donnée'!$F$31)))))</f>
        <v/>
      </c>
      <c r="BC67" s="151"/>
      <c r="BD67" s="110"/>
      <c r="BE67" s="28"/>
      <c r="BF67" s="28"/>
      <c r="BG67" s="28" t="str">
        <f t="shared" si="35"/>
        <v/>
      </c>
      <c r="BH67" s="128" t="str">
        <f t="shared" si="36"/>
        <v/>
      </c>
      <c r="BI67" s="128" t="str">
        <f t="shared" si="37"/>
        <v/>
      </c>
      <c r="BJ67" s="28" t="str">
        <f>IF(AND(ISBLANK(BL67),BK67=""),"",1+MAX(BJ$18:BJ66))</f>
        <v/>
      </c>
      <c r="BK67" s="150" t="str">
        <f>IF(OR(BG67="",BG67=0,$J67="",$J67=0,NOT(ISNUMBER($J67)),NOT(ISNUMBER(BG67))),IF(AND($G67&lt;&gt;"",AND(OR(ISNUMBER(BG67),BG67=""),AND(ISNUMBER($J67),$J67&gt;0))),'Feuille de Donnée'!$K$13,""),IF(BG67&lt;$J$165*'Feuille de Donnée'!$I$9,"Négligeable",(IF(AND(BE67&gt;=$H67*(1-'Feuille de Donnée'!$E$12),BE67&lt;=$H67*(1+'Feuille de Donnée'!$F$12)),'Feuille de Donnée'!$F$17,IF(BE67&lt;$H67*(1-'Feuille de Donnée'!$E$12),'Feuille de Donnée'!$F$18,'Feuille de Donnée'!$F$16))&amp;""&amp;IF(AND(BF67&gt;=$I67*(1-'Feuille de Donnée'!$E$27),BF67&lt;=$I67*(1+'Feuille de Donnée'!$F$27)),'Feuille de Donnée'!$F$32,IF(BF67&lt;$I67*(1-'Feuille de Donnée'!$E$27),'Feuille de Donnée'!$F$33,'Feuille de Donnée'!$F$31)))))</f>
        <v/>
      </c>
      <c r="BL67" s="151"/>
      <c r="BM67" s="153"/>
    </row>
    <row r="68" spans="1:65" s="7" customFormat="1" x14ac:dyDescent="0.3">
      <c r="A68" s="24"/>
      <c r="B68" s="25"/>
      <c r="C68" s="25"/>
      <c r="D68" s="25"/>
      <c r="E68" s="25"/>
      <c r="F68" s="25"/>
      <c r="G68" s="23"/>
      <c r="H68" s="26"/>
      <c r="I68" s="27"/>
      <c r="J68" s="109" t="str">
        <f t="shared" si="19"/>
        <v/>
      </c>
      <c r="K68" s="110"/>
      <c r="L68" s="28"/>
      <c r="M68" s="28"/>
      <c r="N68" s="28" t="str">
        <f t="shared" si="20"/>
        <v/>
      </c>
      <c r="O68" s="128" t="str">
        <f t="shared" si="21"/>
        <v/>
      </c>
      <c r="P68" s="128" t="str">
        <f t="shared" si="22"/>
        <v/>
      </c>
      <c r="Q68" s="28" t="str">
        <f>IF(AND(ISBLANK(S68),R68=""),"",1+MAX(Q$18:Q67))</f>
        <v/>
      </c>
      <c r="R68" s="150" t="str">
        <f>IF(OR(N68="",N68=0,$J68="",$J68=0,NOT(ISNUMBER($J68)),NOT(ISNUMBER(N68))),IF(AND($G68&lt;&gt;"",AND(OR(ISNUMBER(N68),N68=""),AND(ISNUMBER($J68),$J68&gt;0))),'Feuille de Donnée'!$K$13,""),IF(N68&lt;$J$165*'Feuille de Donnée'!$I$9,"Négligeable",(IF(AND(L68&gt;=$H68*(1-'Feuille de Donnée'!$E$12),L68&lt;=$H68*(1+'Feuille de Donnée'!$F$12)),'Feuille de Donnée'!$F$17,IF(L68&lt;$H68*(1-'Feuille de Donnée'!$E$12),'Feuille de Donnée'!$F$18,'Feuille de Donnée'!$F$16))&amp;""&amp;IF(AND(M68&gt;=$I68*(1-'Feuille de Donnée'!$E$27),M68&lt;=$I68*(1+'Feuille de Donnée'!$F$27)),'Feuille de Donnée'!$F$32,IF(M68&lt;$I68*(1-'Feuille de Donnée'!$E$27),'Feuille de Donnée'!$F$33,'Feuille de Donnée'!$F$31)))))</f>
        <v/>
      </c>
      <c r="S68" s="151"/>
      <c r="T68" s="110"/>
      <c r="U68" s="28"/>
      <c r="V68" s="28"/>
      <c r="W68" s="28" t="str">
        <f t="shared" si="23"/>
        <v/>
      </c>
      <c r="X68" s="128" t="str">
        <f t="shared" si="24"/>
        <v/>
      </c>
      <c r="Y68" s="128" t="str">
        <f t="shared" si="25"/>
        <v/>
      </c>
      <c r="Z68" s="28" t="str">
        <f>IF(AND(ISBLANK(AB68),AA68=""),"",1+MAX(Z$18:Z67))</f>
        <v/>
      </c>
      <c r="AA68" s="150" t="str">
        <f>IF(OR(W68="",W68=0,$J68="",$J68=0,NOT(ISNUMBER($J68)),NOT(ISNUMBER(W68))),IF(AND($G68&lt;&gt;"",AND(OR(ISNUMBER(W68),W68=""),AND(ISNUMBER($J68),$J68&gt;0))),'Feuille de Donnée'!$K$13,""),IF(W68&lt;$J$165*'Feuille de Donnée'!$I$9,"Négligeable",(IF(AND(U68&gt;=$H68*(1-'Feuille de Donnée'!$E$12),U68&lt;=$H68*(1+'Feuille de Donnée'!$F$12)),'Feuille de Donnée'!$F$17,IF(U68&lt;$H68*(1-'Feuille de Donnée'!$E$12),'Feuille de Donnée'!$F$18,'Feuille de Donnée'!$F$16))&amp;""&amp;IF(AND(V68&gt;=$I68*(1-'Feuille de Donnée'!$E$27),V68&lt;=$I68*(1+'Feuille de Donnée'!$F$27)),'Feuille de Donnée'!$F$32,IF(V68&lt;$I68*(1-'Feuille de Donnée'!$E$27),'Feuille de Donnée'!$F$33,'Feuille de Donnée'!$F$31)))))</f>
        <v/>
      </c>
      <c r="AB68" s="151"/>
      <c r="AC68" s="110"/>
      <c r="AD68" s="28"/>
      <c r="AE68" s="28"/>
      <c r="AF68" s="28" t="str">
        <f t="shared" si="26"/>
        <v/>
      </c>
      <c r="AG68" s="128" t="str">
        <f t="shared" si="27"/>
        <v/>
      </c>
      <c r="AH68" s="128" t="str">
        <f t="shared" si="28"/>
        <v/>
      </c>
      <c r="AI68" s="28" t="str">
        <f>IF(AND(ISBLANK(AK68),AJ68=""),"",1+MAX(AI$18:AI67))</f>
        <v/>
      </c>
      <c r="AJ68" s="150" t="str">
        <f>IF(OR(AF68="",AF68=0,$J68="",$J68=0,NOT(ISNUMBER($J68)),NOT(ISNUMBER(AF68))),IF(AND($G68&lt;&gt;"",AND(OR(ISNUMBER(AF68),AF68=""),AND(ISNUMBER($J68),$J68&gt;0))),'Feuille de Donnée'!$K$13,""),IF(AF68&lt;$J$165*'Feuille de Donnée'!$I$9,"Négligeable",(IF(AND(AD68&gt;=$H68*(1-'Feuille de Donnée'!$E$12),AD68&lt;=$H68*(1+'Feuille de Donnée'!$F$12)),'Feuille de Donnée'!$F$17,IF(AD68&lt;$H68*(1-'Feuille de Donnée'!$E$12),'Feuille de Donnée'!$F$18,'Feuille de Donnée'!$F$16))&amp;""&amp;IF(AND(AE68&gt;=$I68*(1-'Feuille de Donnée'!$E$27),AE68&lt;=$I68*(1+'Feuille de Donnée'!$F$27)),'Feuille de Donnée'!$F$32,IF(AE68&lt;$I68*(1-'Feuille de Donnée'!$E$27),'Feuille de Donnée'!$F$33,'Feuille de Donnée'!$F$31)))))</f>
        <v/>
      </c>
      <c r="AK68" s="151"/>
      <c r="AL68" s="110"/>
      <c r="AM68" s="28"/>
      <c r="AN68" s="28"/>
      <c r="AO68" s="28" t="str">
        <f t="shared" si="29"/>
        <v/>
      </c>
      <c r="AP68" s="128" t="str">
        <f t="shared" si="30"/>
        <v/>
      </c>
      <c r="AQ68" s="128" t="str">
        <f t="shared" si="31"/>
        <v/>
      </c>
      <c r="AR68" s="28" t="str">
        <f>IF(AND(ISBLANK(AT68),AS68=""),"",1+MAX(AR$18:AR67))</f>
        <v/>
      </c>
      <c r="AS68" s="150" t="str">
        <f>IF(OR(AO68="",AO68=0,$J68="",$J68=0,NOT(ISNUMBER($J68)),NOT(ISNUMBER(AO68))),IF(AND($G68&lt;&gt;"",AND(OR(ISNUMBER(AO68),AO68=""),AND(ISNUMBER($J68),$J68&gt;0))),'Feuille de Donnée'!$K$13,""),IF(AO68&lt;$J$165*'Feuille de Donnée'!$I$9,"Négligeable",(IF(AND(AM68&gt;=$H68*(1-'Feuille de Donnée'!$E$12),AM68&lt;=$H68*(1+'Feuille de Donnée'!$F$12)),'Feuille de Donnée'!$F$17,IF(AM68&lt;$H68*(1-'Feuille de Donnée'!$E$12),'Feuille de Donnée'!$F$18,'Feuille de Donnée'!$F$16))&amp;""&amp;IF(AND(AN68&gt;=$I68*(1-'Feuille de Donnée'!$E$27),AN68&lt;=$I68*(1+'Feuille de Donnée'!$F$27)),'Feuille de Donnée'!$F$32,IF(AN68&lt;$I68*(1-'Feuille de Donnée'!$E$27),'Feuille de Donnée'!$F$33,'Feuille de Donnée'!$F$31)))))</f>
        <v/>
      </c>
      <c r="AT68" s="151"/>
      <c r="AU68" s="110"/>
      <c r="AV68" s="28"/>
      <c r="AW68" s="28"/>
      <c r="AX68" s="28" t="str">
        <f t="shared" si="32"/>
        <v/>
      </c>
      <c r="AY68" s="128" t="str">
        <f t="shared" si="33"/>
        <v/>
      </c>
      <c r="AZ68" s="128" t="str">
        <f t="shared" si="34"/>
        <v/>
      </c>
      <c r="BA68" s="28" t="str">
        <f>IF(AND(ISBLANK(BC68),BB68=""),"",1+MAX(BA$18:BA67))</f>
        <v/>
      </c>
      <c r="BB68" s="150" t="str">
        <f>IF(OR(AX68="",AX68=0,$J68="",$J68=0,NOT(ISNUMBER($J68)),NOT(ISNUMBER(AX68))),IF(AND($G68&lt;&gt;"",AND(OR(ISNUMBER(AX68),AX68=""),AND(ISNUMBER($J68),$J68&gt;0))),'Feuille de Donnée'!$K$13,""),IF(AX68&lt;$J$165*'Feuille de Donnée'!$I$9,"Négligeable",(IF(AND(AV68&gt;=$H68*(1-'Feuille de Donnée'!$E$12),AV68&lt;=$H68*(1+'Feuille de Donnée'!$F$12)),'Feuille de Donnée'!$F$17,IF(AV68&lt;$H68*(1-'Feuille de Donnée'!$E$12),'Feuille de Donnée'!$F$18,'Feuille de Donnée'!$F$16))&amp;""&amp;IF(AND(AW68&gt;=$I68*(1-'Feuille de Donnée'!$E$27),AW68&lt;=$I68*(1+'Feuille de Donnée'!$F$27)),'Feuille de Donnée'!$F$32,IF(AW68&lt;$I68*(1-'Feuille de Donnée'!$E$27),'Feuille de Donnée'!$F$33,'Feuille de Donnée'!$F$31)))))</f>
        <v/>
      </c>
      <c r="BC68" s="151"/>
      <c r="BD68" s="110"/>
      <c r="BE68" s="28"/>
      <c r="BF68" s="28"/>
      <c r="BG68" s="28" t="str">
        <f t="shared" si="35"/>
        <v/>
      </c>
      <c r="BH68" s="128" t="str">
        <f t="shared" si="36"/>
        <v/>
      </c>
      <c r="BI68" s="128" t="str">
        <f t="shared" si="37"/>
        <v/>
      </c>
      <c r="BJ68" s="28" t="str">
        <f>IF(AND(ISBLANK(BL68),BK68=""),"",1+MAX(BJ$18:BJ67))</f>
        <v/>
      </c>
      <c r="BK68" s="150" t="str">
        <f>IF(OR(BG68="",BG68=0,$J68="",$J68=0,NOT(ISNUMBER($J68)),NOT(ISNUMBER(BG68))),IF(AND($G68&lt;&gt;"",AND(OR(ISNUMBER(BG68),BG68=""),AND(ISNUMBER($J68),$J68&gt;0))),'Feuille de Donnée'!$K$13,""),IF(BG68&lt;$J$165*'Feuille de Donnée'!$I$9,"Négligeable",(IF(AND(BE68&gt;=$H68*(1-'Feuille de Donnée'!$E$12),BE68&lt;=$H68*(1+'Feuille de Donnée'!$F$12)),'Feuille de Donnée'!$F$17,IF(BE68&lt;$H68*(1-'Feuille de Donnée'!$E$12),'Feuille de Donnée'!$F$18,'Feuille de Donnée'!$F$16))&amp;""&amp;IF(AND(BF68&gt;=$I68*(1-'Feuille de Donnée'!$E$27),BF68&lt;=$I68*(1+'Feuille de Donnée'!$F$27)),'Feuille de Donnée'!$F$32,IF(BF68&lt;$I68*(1-'Feuille de Donnée'!$E$27),'Feuille de Donnée'!$F$33,'Feuille de Donnée'!$F$31)))))</f>
        <v/>
      </c>
      <c r="BL68" s="151"/>
      <c r="BM68" s="153"/>
    </row>
    <row r="69" spans="1:65" s="7" customFormat="1" x14ac:dyDescent="0.3">
      <c r="A69" s="24"/>
      <c r="B69" s="25"/>
      <c r="C69" s="25"/>
      <c r="D69" s="25"/>
      <c r="E69" s="25"/>
      <c r="F69" s="25"/>
      <c r="G69" s="23"/>
      <c r="H69" s="26"/>
      <c r="I69" s="27"/>
      <c r="J69" s="109" t="str">
        <f t="shared" si="19"/>
        <v/>
      </c>
      <c r="K69" s="110"/>
      <c r="L69" s="28"/>
      <c r="M69" s="28"/>
      <c r="N69" s="28" t="str">
        <f t="shared" si="20"/>
        <v/>
      </c>
      <c r="O69" s="128" t="str">
        <f t="shared" si="21"/>
        <v/>
      </c>
      <c r="P69" s="128" t="str">
        <f t="shared" si="22"/>
        <v/>
      </c>
      <c r="Q69" s="28" t="str">
        <f>IF(AND(ISBLANK(S69),R69=""),"",1+MAX(Q$18:Q68))</f>
        <v/>
      </c>
      <c r="R69" s="150" t="str">
        <f>IF(OR(N69="",N69=0,$J69="",$J69=0,NOT(ISNUMBER($J69)),NOT(ISNUMBER(N69))),IF(AND($G69&lt;&gt;"",AND(OR(ISNUMBER(N69),N69=""),AND(ISNUMBER($J69),$J69&gt;0))),'Feuille de Donnée'!$K$13,""),IF(N69&lt;$J$165*'Feuille de Donnée'!$I$9,"Négligeable",(IF(AND(L69&gt;=$H69*(1-'Feuille de Donnée'!$E$12),L69&lt;=$H69*(1+'Feuille de Donnée'!$F$12)),'Feuille de Donnée'!$F$17,IF(L69&lt;$H69*(1-'Feuille de Donnée'!$E$12),'Feuille de Donnée'!$F$18,'Feuille de Donnée'!$F$16))&amp;""&amp;IF(AND(M69&gt;=$I69*(1-'Feuille de Donnée'!$E$27),M69&lt;=$I69*(1+'Feuille de Donnée'!$F$27)),'Feuille de Donnée'!$F$32,IF(M69&lt;$I69*(1-'Feuille de Donnée'!$E$27),'Feuille de Donnée'!$F$33,'Feuille de Donnée'!$F$31)))))</f>
        <v/>
      </c>
      <c r="S69" s="151"/>
      <c r="T69" s="110"/>
      <c r="U69" s="28"/>
      <c r="V69" s="28"/>
      <c r="W69" s="28" t="str">
        <f t="shared" si="23"/>
        <v/>
      </c>
      <c r="X69" s="128" t="str">
        <f t="shared" si="24"/>
        <v/>
      </c>
      <c r="Y69" s="128" t="str">
        <f t="shared" si="25"/>
        <v/>
      </c>
      <c r="Z69" s="28" t="str">
        <f>IF(AND(ISBLANK(AB69),AA69=""),"",1+MAX(Z$18:Z68))</f>
        <v/>
      </c>
      <c r="AA69" s="150" t="str">
        <f>IF(OR(W69="",W69=0,$J69="",$J69=0,NOT(ISNUMBER($J69)),NOT(ISNUMBER(W69))),IF(AND($G69&lt;&gt;"",AND(OR(ISNUMBER(W69),W69=""),AND(ISNUMBER($J69),$J69&gt;0))),'Feuille de Donnée'!$K$13,""),IF(W69&lt;$J$165*'Feuille de Donnée'!$I$9,"Négligeable",(IF(AND(U69&gt;=$H69*(1-'Feuille de Donnée'!$E$12),U69&lt;=$H69*(1+'Feuille de Donnée'!$F$12)),'Feuille de Donnée'!$F$17,IF(U69&lt;$H69*(1-'Feuille de Donnée'!$E$12),'Feuille de Donnée'!$F$18,'Feuille de Donnée'!$F$16))&amp;""&amp;IF(AND(V69&gt;=$I69*(1-'Feuille de Donnée'!$E$27),V69&lt;=$I69*(1+'Feuille de Donnée'!$F$27)),'Feuille de Donnée'!$F$32,IF(V69&lt;$I69*(1-'Feuille de Donnée'!$E$27),'Feuille de Donnée'!$F$33,'Feuille de Donnée'!$F$31)))))</f>
        <v/>
      </c>
      <c r="AB69" s="151"/>
      <c r="AC69" s="110"/>
      <c r="AD69" s="28"/>
      <c r="AE69" s="28"/>
      <c r="AF69" s="28" t="str">
        <f t="shared" si="26"/>
        <v/>
      </c>
      <c r="AG69" s="128" t="str">
        <f t="shared" si="27"/>
        <v/>
      </c>
      <c r="AH69" s="128" t="str">
        <f t="shared" si="28"/>
        <v/>
      </c>
      <c r="AI69" s="28" t="str">
        <f>IF(AND(ISBLANK(AK69),AJ69=""),"",1+MAX(AI$18:AI68))</f>
        <v/>
      </c>
      <c r="AJ69" s="150" t="str">
        <f>IF(OR(AF69="",AF69=0,$J69="",$J69=0,NOT(ISNUMBER($J69)),NOT(ISNUMBER(AF69))),IF(AND($G69&lt;&gt;"",AND(OR(ISNUMBER(AF69),AF69=""),AND(ISNUMBER($J69),$J69&gt;0))),'Feuille de Donnée'!$K$13,""),IF(AF69&lt;$J$165*'Feuille de Donnée'!$I$9,"Négligeable",(IF(AND(AD69&gt;=$H69*(1-'Feuille de Donnée'!$E$12),AD69&lt;=$H69*(1+'Feuille de Donnée'!$F$12)),'Feuille de Donnée'!$F$17,IF(AD69&lt;$H69*(1-'Feuille de Donnée'!$E$12),'Feuille de Donnée'!$F$18,'Feuille de Donnée'!$F$16))&amp;""&amp;IF(AND(AE69&gt;=$I69*(1-'Feuille de Donnée'!$E$27),AE69&lt;=$I69*(1+'Feuille de Donnée'!$F$27)),'Feuille de Donnée'!$F$32,IF(AE69&lt;$I69*(1-'Feuille de Donnée'!$E$27),'Feuille de Donnée'!$F$33,'Feuille de Donnée'!$F$31)))))</f>
        <v/>
      </c>
      <c r="AK69" s="151"/>
      <c r="AL69" s="110"/>
      <c r="AM69" s="28"/>
      <c r="AN69" s="28"/>
      <c r="AO69" s="28" t="str">
        <f t="shared" si="29"/>
        <v/>
      </c>
      <c r="AP69" s="128" t="str">
        <f t="shared" si="30"/>
        <v/>
      </c>
      <c r="AQ69" s="128" t="str">
        <f t="shared" si="31"/>
        <v/>
      </c>
      <c r="AR69" s="28" t="str">
        <f>IF(AND(ISBLANK(AT69),AS69=""),"",1+MAX(AR$18:AR68))</f>
        <v/>
      </c>
      <c r="AS69" s="150" t="str">
        <f>IF(OR(AO69="",AO69=0,$J69="",$J69=0,NOT(ISNUMBER($J69)),NOT(ISNUMBER(AO69))),IF(AND($G69&lt;&gt;"",AND(OR(ISNUMBER(AO69),AO69=""),AND(ISNUMBER($J69),$J69&gt;0))),'Feuille de Donnée'!$K$13,""),IF(AO69&lt;$J$165*'Feuille de Donnée'!$I$9,"Négligeable",(IF(AND(AM69&gt;=$H69*(1-'Feuille de Donnée'!$E$12),AM69&lt;=$H69*(1+'Feuille de Donnée'!$F$12)),'Feuille de Donnée'!$F$17,IF(AM69&lt;$H69*(1-'Feuille de Donnée'!$E$12),'Feuille de Donnée'!$F$18,'Feuille de Donnée'!$F$16))&amp;""&amp;IF(AND(AN69&gt;=$I69*(1-'Feuille de Donnée'!$E$27),AN69&lt;=$I69*(1+'Feuille de Donnée'!$F$27)),'Feuille de Donnée'!$F$32,IF(AN69&lt;$I69*(1-'Feuille de Donnée'!$E$27),'Feuille de Donnée'!$F$33,'Feuille de Donnée'!$F$31)))))</f>
        <v/>
      </c>
      <c r="AT69" s="151"/>
      <c r="AU69" s="110"/>
      <c r="AV69" s="28"/>
      <c r="AW69" s="28"/>
      <c r="AX69" s="28" t="str">
        <f t="shared" si="32"/>
        <v/>
      </c>
      <c r="AY69" s="128" t="str">
        <f t="shared" si="33"/>
        <v/>
      </c>
      <c r="AZ69" s="128" t="str">
        <f t="shared" si="34"/>
        <v/>
      </c>
      <c r="BA69" s="28" t="str">
        <f>IF(AND(ISBLANK(BC69),BB69=""),"",1+MAX(BA$18:BA68))</f>
        <v/>
      </c>
      <c r="BB69" s="150" t="str">
        <f>IF(OR(AX69="",AX69=0,$J69="",$J69=0,NOT(ISNUMBER($J69)),NOT(ISNUMBER(AX69))),IF(AND($G69&lt;&gt;"",AND(OR(ISNUMBER(AX69),AX69=""),AND(ISNUMBER($J69),$J69&gt;0))),'Feuille de Donnée'!$K$13,""),IF(AX69&lt;$J$165*'Feuille de Donnée'!$I$9,"Négligeable",(IF(AND(AV69&gt;=$H69*(1-'Feuille de Donnée'!$E$12),AV69&lt;=$H69*(1+'Feuille de Donnée'!$F$12)),'Feuille de Donnée'!$F$17,IF(AV69&lt;$H69*(1-'Feuille de Donnée'!$E$12),'Feuille de Donnée'!$F$18,'Feuille de Donnée'!$F$16))&amp;""&amp;IF(AND(AW69&gt;=$I69*(1-'Feuille de Donnée'!$E$27),AW69&lt;=$I69*(1+'Feuille de Donnée'!$F$27)),'Feuille de Donnée'!$F$32,IF(AW69&lt;$I69*(1-'Feuille de Donnée'!$E$27),'Feuille de Donnée'!$F$33,'Feuille de Donnée'!$F$31)))))</f>
        <v/>
      </c>
      <c r="BC69" s="151"/>
      <c r="BD69" s="110"/>
      <c r="BE69" s="28"/>
      <c r="BF69" s="28"/>
      <c r="BG69" s="28" t="str">
        <f t="shared" si="35"/>
        <v/>
      </c>
      <c r="BH69" s="128" t="str">
        <f t="shared" si="36"/>
        <v/>
      </c>
      <c r="BI69" s="128" t="str">
        <f t="shared" si="37"/>
        <v/>
      </c>
      <c r="BJ69" s="28" t="str">
        <f>IF(AND(ISBLANK(BL69),BK69=""),"",1+MAX(BJ$18:BJ68))</f>
        <v/>
      </c>
      <c r="BK69" s="150" t="str">
        <f>IF(OR(BG69="",BG69=0,$J69="",$J69=0,NOT(ISNUMBER($J69)),NOT(ISNUMBER(BG69))),IF(AND($G69&lt;&gt;"",AND(OR(ISNUMBER(BG69),BG69=""),AND(ISNUMBER($J69),$J69&gt;0))),'Feuille de Donnée'!$K$13,""),IF(BG69&lt;$J$165*'Feuille de Donnée'!$I$9,"Négligeable",(IF(AND(BE69&gt;=$H69*(1-'Feuille de Donnée'!$E$12),BE69&lt;=$H69*(1+'Feuille de Donnée'!$F$12)),'Feuille de Donnée'!$F$17,IF(BE69&lt;$H69*(1-'Feuille de Donnée'!$E$12),'Feuille de Donnée'!$F$18,'Feuille de Donnée'!$F$16))&amp;""&amp;IF(AND(BF69&gt;=$I69*(1-'Feuille de Donnée'!$E$27),BF69&lt;=$I69*(1+'Feuille de Donnée'!$F$27)),'Feuille de Donnée'!$F$32,IF(BF69&lt;$I69*(1-'Feuille de Donnée'!$E$27),'Feuille de Donnée'!$F$33,'Feuille de Donnée'!$F$31)))))</f>
        <v/>
      </c>
      <c r="BL69" s="151"/>
      <c r="BM69" s="153"/>
    </row>
    <row r="70" spans="1:65" s="7" customFormat="1" x14ac:dyDescent="0.3">
      <c r="A70" s="24"/>
      <c r="B70" s="25"/>
      <c r="C70" s="25"/>
      <c r="D70" s="25"/>
      <c r="E70" s="25"/>
      <c r="F70" s="25"/>
      <c r="G70" s="23"/>
      <c r="H70" s="26"/>
      <c r="I70" s="27"/>
      <c r="J70" s="109" t="str">
        <f t="shared" si="19"/>
        <v/>
      </c>
      <c r="K70" s="110"/>
      <c r="L70" s="28"/>
      <c r="M70" s="28"/>
      <c r="N70" s="28" t="str">
        <f t="shared" si="20"/>
        <v/>
      </c>
      <c r="O70" s="128" t="str">
        <f t="shared" si="21"/>
        <v/>
      </c>
      <c r="P70" s="128" t="str">
        <f t="shared" si="22"/>
        <v/>
      </c>
      <c r="Q70" s="28" t="str">
        <f>IF(AND(ISBLANK(S70),R70=""),"",1+MAX(Q$18:Q69))</f>
        <v/>
      </c>
      <c r="R70" s="150" t="str">
        <f>IF(OR(N70="",N70=0,$J70="",$J70=0,NOT(ISNUMBER($J70)),NOT(ISNUMBER(N70))),IF(AND($G70&lt;&gt;"",AND(OR(ISNUMBER(N70),N70=""),AND(ISNUMBER($J70),$J70&gt;0))),'Feuille de Donnée'!$K$13,""),IF(N70&lt;$J$165*'Feuille de Donnée'!$I$9,"Négligeable",(IF(AND(L70&gt;=$H70*(1-'Feuille de Donnée'!$E$12),L70&lt;=$H70*(1+'Feuille de Donnée'!$F$12)),'Feuille de Donnée'!$F$17,IF(L70&lt;$H70*(1-'Feuille de Donnée'!$E$12),'Feuille de Donnée'!$F$18,'Feuille de Donnée'!$F$16))&amp;""&amp;IF(AND(M70&gt;=$I70*(1-'Feuille de Donnée'!$E$27),M70&lt;=$I70*(1+'Feuille de Donnée'!$F$27)),'Feuille de Donnée'!$F$32,IF(M70&lt;$I70*(1-'Feuille de Donnée'!$E$27),'Feuille de Donnée'!$F$33,'Feuille de Donnée'!$F$31)))))</f>
        <v/>
      </c>
      <c r="S70" s="151"/>
      <c r="T70" s="110"/>
      <c r="U70" s="28"/>
      <c r="V70" s="28"/>
      <c r="W70" s="28" t="str">
        <f t="shared" si="23"/>
        <v/>
      </c>
      <c r="X70" s="128" t="str">
        <f t="shared" si="24"/>
        <v/>
      </c>
      <c r="Y70" s="128" t="str">
        <f t="shared" si="25"/>
        <v/>
      </c>
      <c r="Z70" s="28" t="str">
        <f>IF(AND(ISBLANK(AB70),AA70=""),"",1+MAX(Z$18:Z69))</f>
        <v/>
      </c>
      <c r="AA70" s="150" t="str">
        <f>IF(OR(W70="",W70=0,$J70="",$J70=0,NOT(ISNUMBER($J70)),NOT(ISNUMBER(W70))),IF(AND($G70&lt;&gt;"",AND(OR(ISNUMBER(W70),W70=""),AND(ISNUMBER($J70),$J70&gt;0))),'Feuille de Donnée'!$K$13,""),IF(W70&lt;$J$165*'Feuille de Donnée'!$I$9,"Négligeable",(IF(AND(U70&gt;=$H70*(1-'Feuille de Donnée'!$E$12),U70&lt;=$H70*(1+'Feuille de Donnée'!$F$12)),'Feuille de Donnée'!$F$17,IF(U70&lt;$H70*(1-'Feuille de Donnée'!$E$12),'Feuille de Donnée'!$F$18,'Feuille de Donnée'!$F$16))&amp;""&amp;IF(AND(V70&gt;=$I70*(1-'Feuille de Donnée'!$E$27),V70&lt;=$I70*(1+'Feuille de Donnée'!$F$27)),'Feuille de Donnée'!$F$32,IF(V70&lt;$I70*(1-'Feuille de Donnée'!$E$27),'Feuille de Donnée'!$F$33,'Feuille de Donnée'!$F$31)))))</f>
        <v/>
      </c>
      <c r="AB70" s="151"/>
      <c r="AC70" s="110"/>
      <c r="AD70" s="28"/>
      <c r="AE70" s="28"/>
      <c r="AF70" s="28" t="str">
        <f t="shared" si="26"/>
        <v/>
      </c>
      <c r="AG70" s="128" t="str">
        <f t="shared" si="27"/>
        <v/>
      </c>
      <c r="AH70" s="128" t="str">
        <f t="shared" si="28"/>
        <v/>
      </c>
      <c r="AI70" s="28" t="str">
        <f>IF(AND(ISBLANK(AK70),AJ70=""),"",1+MAX(AI$18:AI69))</f>
        <v/>
      </c>
      <c r="AJ70" s="150" t="str">
        <f>IF(OR(AF70="",AF70=0,$J70="",$J70=0,NOT(ISNUMBER($J70)),NOT(ISNUMBER(AF70))),IF(AND($G70&lt;&gt;"",AND(OR(ISNUMBER(AF70),AF70=""),AND(ISNUMBER($J70),$J70&gt;0))),'Feuille de Donnée'!$K$13,""),IF(AF70&lt;$J$165*'Feuille de Donnée'!$I$9,"Négligeable",(IF(AND(AD70&gt;=$H70*(1-'Feuille de Donnée'!$E$12),AD70&lt;=$H70*(1+'Feuille de Donnée'!$F$12)),'Feuille de Donnée'!$F$17,IF(AD70&lt;$H70*(1-'Feuille de Donnée'!$E$12),'Feuille de Donnée'!$F$18,'Feuille de Donnée'!$F$16))&amp;""&amp;IF(AND(AE70&gt;=$I70*(1-'Feuille de Donnée'!$E$27),AE70&lt;=$I70*(1+'Feuille de Donnée'!$F$27)),'Feuille de Donnée'!$F$32,IF(AE70&lt;$I70*(1-'Feuille de Donnée'!$E$27),'Feuille de Donnée'!$F$33,'Feuille de Donnée'!$F$31)))))</f>
        <v/>
      </c>
      <c r="AK70" s="151"/>
      <c r="AL70" s="110"/>
      <c r="AM70" s="28"/>
      <c r="AN70" s="28"/>
      <c r="AO70" s="28" t="str">
        <f t="shared" si="29"/>
        <v/>
      </c>
      <c r="AP70" s="128" t="str">
        <f t="shared" si="30"/>
        <v/>
      </c>
      <c r="AQ70" s="128" t="str">
        <f t="shared" si="31"/>
        <v/>
      </c>
      <c r="AR70" s="28" t="str">
        <f>IF(AND(ISBLANK(AT70),AS70=""),"",1+MAX(AR$18:AR69))</f>
        <v/>
      </c>
      <c r="AS70" s="150" t="str">
        <f>IF(OR(AO70="",AO70=0,$J70="",$J70=0,NOT(ISNUMBER($J70)),NOT(ISNUMBER(AO70))),IF(AND($G70&lt;&gt;"",AND(OR(ISNUMBER(AO70),AO70=""),AND(ISNUMBER($J70),$J70&gt;0))),'Feuille de Donnée'!$K$13,""),IF(AO70&lt;$J$165*'Feuille de Donnée'!$I$9,"Négligeable",(IF(AND(AM70&gt;=$H70*(1-'Feuille de Donnée'!$E$12),AM70&lt;=$H70*(1+'Feuille de Donnée'!$F$12)),'Feuille de Donnée'!$F$17,IF(AM70&lt;$H70*(1-'Feuille de Donnée'!$E$12),'Feuille de Donnée'!$F$18,'Feuille de Donnée'!$F$16))&amp;""&amp;IF(AND(AN70&gt;=$I70*(1-'Feuille de Donnée'!$E$27),AN70&lt;=$I70*(1+'Feuille de Donnée'!$F$27)),'Feuille de Donnée'!$F$32,IF(AN70&lt;$I70*(1-'Feuille de Donnée'!$E$27),'Feuille de Donnée'!$F$33,'Feuille de Donnée'!$F$31)))))</f>
        <v/>
      </c>
      <c r="AT70" s="151"/>
      <c r="AU70" s="110"/>
      <c r="AV70" s="28"/>
      <c r="AW70" s="28"/>
      <c r="AX70" s="28" t="str">
        <f t="shared" si="32"/>
        <v/>
      </c>
      <c r="AY70" s="128" t="str">
        <f t="shared" si="33"/>
        <v/>
      </c>
      <c r="AZ70" s="128" t="str">
        <f t="shared" si="34"/>
        <v/>
      </c>
      <c r="BA70" s="28" t="str">
        <f>IF(AND(ISBLANK(BC70),BB70=""),"",1+MAX(BA$18:BA69))</f>
        <v/>
      </c>
      <c r="BB70" s="150" t="str">
        <f>IF(OR(AX70="",AX70=0,$J70="",$J70=0,NOT(ISNUMBER($J70)),NOT(ISNUMBER(AX70))),IF(AND($G70&lt;&gt;"",AND(OR(ISNUMBER(AX70),AX70=""),AND(ISNUMBER($J70),$J70&gt;0))),'Feuille de Donnée'!$K$13,""),IF(AX70&lt;$J$165*'Feuille de Donnée'!$I$9,"Négligeable",(IF(AND(AV70&gt;=$H70*(1-'Feuille de Donnée'!$E$12),AV70&lt;=$H70*(1+'Feuille de Donnée'!$F$12)),'Feuille de Donnée'!$F$17,IF(AV70&lt;$H70*(1-'Feuille de Donnée'!$E$12),'Feuille de Donnée'!$F$18,'Feuille de Donnée'!$F$16))&amp;""&amp;IF(AND(AW70&gt;=$I70*(1-'Feuille de Donnée'!$E$27),AW70&lt;=$I70*(1+'Feuille de Donnée'!$F$27)),'Feuille de Donnée'!$F$32,IF(AW70&lt;$I70*(1-'Feuille de Donnée'!$E$27),'Feuille de Donnée'!$F$33,'Feuille de Donnée'!$F$31)))))</f>
        <v/>
      </c>
      <c r="BC70" s="151"/>
      <c r="BD70" s="110"/>
      <c r="BE70" s="28"/>
      <c r="BF70" s="28"/>
      <c r="BG70" s="28" t="str">
        <f t="shared" si="35"/>
        <v/>
      </c>
      <c r="BH70" s="128" t="str">
        <f t="shared" si="36"/>
        <v/>
      </c>
      <c r="BI70" s="128" t="str">
        <f t="shared" si="37"/>
        <v/>
      </c>
      <c r="BJ70" s="28" t="str">
        <f>IF(AND(ISBLANK(BL70),BK70=""),"",1+MAX(BJ$18:BJ69))</f>
        <v/>
      </c>
      <c r="BK70" s="150" t="str">
        <f>IF(OR(BG70="",BG70=0,$J70="",$J70=0,NOT(ISNUMBER($J70)),NOT(ISNUMBER(BG70))),IF(AND($G70&lt;&gt;"",AND(OR(ISNUMBER(BG70),BG70=""),AND(ISNUMBER($J70),$J70&gt;0))),'Feuille de Donnée'!$K$13,""),IF(BG70&lt;$J$165*'Feuille de Donnée'!$I$9,"Négligeable",(IF(AND(BE70&gt;=$H70*(1-'Feuille de Donnée'!$E$12),BE70&lt;=$H70*(1+'Feuille de Donnée'!$F$12)),'Feuille de Donnée'!$F$17,IF(BE70&lt;$H70*(1-'Feuille de Donnée'!$E$12),'Feuille de Donnée'!$F$18,'Feuille de Donnée'!$F$16))&amp;""&amp;IF(AND(BF70&gt;=$I70*(1-'Feuille de Donnée'!$E$27),BF70&lt;=$I70*(1+'Feuille de Donnée'!$F$27)),'Feuille de Donnée'!$F$32,IF(BF70&lt;$I70*(1-'Feuille de Donnée'!$E$27),'Feuille de Donnée'!$F$33,'Feuille de Donnée'!$F$31)))))</f>
        <v/>
      </c>
      <c r="BL70" s="151"/>
      <c r="BM70" s="153"/>
    </row>
    <row r="71" spans="1:65" s="7" customFormat="1" x14ac:dyDescent="0.3">
      <c r="A71" s="24"/>
      <c r="B71" s="25"/>
      <c r="C71" s="25"/>
      <c r="D71" s="25"/>
      <c r="E71" s="25"/>
      <c r="F71" s="25"/>
      <c r="G71" s="23"/>
      <c r="H71" s="26"/>
      <c r="I71" s="27"/>
      <c r="J71" s="109" t="str">
        <f t="shared" si="19"/>
        <v/>
      </c>
      <c r="K71" s="110"/>
      <c r="L71" s="28"/>
      <c r="M71" s="28"/>
      <c r="N71" s="28" t="str">
        <f t="shared" si="20"/>
        <v/>
      </c>
      <c r="O71" s="128" t="str">
        <f t="shared" si="21"/>
        <v/>
      </c>
      <c r="P71" s="128" t="str">
        <f t="shared" si="22"/>
        <v/>
      </c>
      <c r="Q71" s="28" t="str">
        <f>IF(AND(ISBLANK(S71),R71=""),"",1+MAX(Q$18:Q70))</f>
        <v/>
      </c>
      <c r="R71" s="150" t="str">
        <f>IF(OR(N71="",N71=0,$J71="",$J71=0,NOT(ISNUMBER($J71)),NOT(ISNUMBER(N71))),IF(AND($G71&lt;&gt;"",AND(OR(ISNUMBER(N71),N71=""),AND(ISNUMBER($J71),$J71&gt;0))),'Feuille de Donnée'!$K$13,""),IF(N71&lt;$J$165*'Feuille de Donnée'!$I$9,"Négligeable",(IF(AND(L71&gt;=$H71*(1-'Feuille de Donnée'!$E$12),L71&lt;=$H71*(1+'Feuille de Donnée'!$F$12)),'Feuille de Donnée'!$F$17,IF(L71&lt;$H71*(1-'Feuille de Donnée'!$E$12),'Feuille de Donnée'!$F$18,'Feuille de Donnée'!$F$16))&amp;""&amp;IF(AND(M71&gt;=$I71*(1-'Feuille de Donnée'!$E$27),M71&lt;=$I71*(1+'Feuille de Donnée'!$F$27)),'Feuille de Donnée'!$F$32,IF(M71&lt;$I71*(1-'Feuille de Donnée'!$E$27),'Feuille de Donnée'!$F$33,'Feuille de Donnée'!$F$31)))))</f>
        <v/>
      </c>
      <c r="S71" s="151"/>
      <c r="T71" s="110"/>
      <c r="U71" s="28"/>
      <c r="V71" s="28"/>
      <c r="W71" s="28" t="str">
        <f t="shared" si="23"/>
        <v/>
      </c>
      <c r="X71" s="128" t="str">
        <f t="shared" si="24"/>
        <v/>
      </c>
      <c r="Y71" s="128" t="str">
        <f t="shared" si="25"/>
        <v/>
      </c>
      <c r="Z71" s="28" t="str">
        <f>IF(AND(ISBLANK(AB71),AA71=""),"",1+MAX(Z$18:Z70))</f>
        <v/>
      </c>
      <c r="AA71" s="150" t="str">
        <f>IF(OR(W71="",W71=0,$J71="",$J71=0,NOT(ISNUMBER($J71)),NOT(ISNUMBER(W71))),IF(AND($G71&lt;&gt;"",AND(OR(ISNUMBER(W71),W71=""),AND(ISNUMBER($J71),$J71&gt;0))),'Feuille de Donnée'!$K$13,""),IF(W71&lt;$J$165*'Feuille de Donnée'!$I$9,"Négligeable",(IF(AND(U71&gt;=$H71*(1-'Feuille de Donnée'!$E$12),U71&lt;=$H71*(1+'Feuille de Donnée'!$F$12)),'Feuille de Donnée'!$F$17,IF(U71&lt;$H71*(1-'Feuille de Donnée'!$E$12),'Feuille de Donnée'!$F$18,'Feuille de Donnée'!$F$16))&amp;""&amp;IF(AND(V71&gt;=$I71*(1-'Feuille de Donnée'!$E$27),V71&lt;=$I71*(1+'Feuille de Donnée'!$F$27)),'Feuille de Donnée'!$F$32,IF(V71&lt;$I71*(1-'Feuille de Donnée'!$E$27),'Feuille de Donnée'!$F$33,'Feuille de Donnée'!$F$31)))))</f>
        <v/>
      </c>
      <c r="AB71" s="151"/>
      <c r="AC71" s="110"/>
      <c r="AD71" s="28"/>
      <c r="AE71" s="28"/>
      <c r="AF71" s="28" t="str">
        <f t="shared" si="26"/>
        <v/>
      </c>
      <c r="AG71" s="128" t="str">
        <f t="shared" si="27"/>
        <v/>
      </c>
      <c r="AH71" s="128" t="str">
        <f t="shared" si="28"/>
        <v/>
      </c>
      <c r="AI71" s="28" t="str">
        <f>IF(AND(ISBLANK(AK71),AJ71=""),"",1+MAX(AI$18:AI70))</f>
        <v/>
      </c>
      <c r="AJ71" s="150" t="str">
        <f>IF(OR(AF71="",AF71=0,$J71="",$J71=0,NOT(ISNUMBER($J71)),NOT(ISNUMBER(AF71))),IF(AND($G71&lt;&gt;"",AND(OR(ISNUMBER(AF71),AF71=""),AND(ISNUMBER($J71),$J71&gt;0))),'Feuille de Donnée'!$K$13,""),IF(AF71&lt;$J$165*'Feuille de Donnée'!$I$9,"Négligeable",(IF(AND(AD71&gt;=$H71*(1-'Feuille de Donnée'!$E$12),AD71&lt;=$H71*(1+'Feuille de Donnée'!$F$12)),'Feuille de Donnée'!$F$17,IF(AD71&lt;$H71*(1-'Feuille de Donnée'!$E$12),'Feuille de Donnée'!$F$18,'Feuille de Donnée'!$F$16))&amp;""&amp;IF(AND(AE71&gt;=$I71*(1-'Feuille de Donnée'!$E$27),AE71&lt;=$I71*(1+'Feuille de Donnée'!$F$27)),'Feuille de Donnée'!$F$32,IF(AE71&lt;$I71*(1-'Feuille de Donnée'!$E$27),'Feuille de Donnée'!$F$33,'Feuille de Donnée'!$F$31)))))</f>
        <v/>
      </c>
      <c r="AK71" s="151"/>
      <c r="AL71" s="110"/>
      <c r="AM71" s="28"/>
      <c r="AN71" s="28"/>
      <c r="AO71" s="28" t="str">
        <f t="shared" si="29"/>
        <v/>
      </c>
      <c r="AP71" s="128" t="str">
        <f t="shared" si="30"/>
        <v/>
      </c>
      <c r="AQ71" s="128" t="str">
        <f t="shared" si="31"/>
        <v/>
      </c>
      <c r="AR71" s="28" t="str">
        <f>IF(AND(ISBLANK(AT71),AS71=""),"",1+MAX(AR$18:AR70))</f>
        <v/>
      </c>
      <c r="AS71" s="150" t="str">
        <f>IF(OR(AO71="",AO71=0,$J71="",$J71=0,NOT(ISNUMBER($J71)),NOT(ISNUMBER(AO71))),IF(AND($G71&lt;&gt;"",AND(OR(ISNUMBER(AO71),AO71=""),AND(ISNUMBER($J71),$J71&gt;0))),'Feuille de Donnée'!$K$13,""),IF(AO71&lt;$J$165*'Feuille de Donnée'!$I$9,"Négligeable",(IF(AND(AM71&gt;=$H71*(1-'Feuille de Donnée'!$E$12),AM71&lt;=$H71*(1+'Feuille de Donnée'!$F$12)),'Feuille de Donnée'!$F$17,IF(AM71&lt;$H71*(1-'Feuille de Donnée'!$E$12),'Feuille de Donnée'!$F$18,'Feuille de Donnée'!$F$16))&amp;""&amp;IF(AND(AN71&gt;=$I71*(1-'Feuille de Donnée'!$E$27),AN71&lt;=$I71*(1+'Feuille de Donnée'!$F$27)),'Feuille de Donnée'!$F$32,IF(AN71&lt;$I71*(1-'Feuille de Donnée'!$E$27),'Feuille de Donnée'!$F$33,'Feuille de Donnée'!$F$31)))))</f>
        <v/>
      </c>
      <c r="AT71" s="151"/>
      <c r="AU71" s="110"/>
      <c r="AV71" s="28"/>
      <c r="AW71" s="28"/>
      <c r="AX71" s="28" t="str">
        <f t="shared" si="32"/>
        <v/>
      </c>
      <c r="AY71" s="128" t="str">
        <f t="shared" si="33"/>
        <v/>
      </c>
      <c r="AZ71" s="128" t="str">
        <f t="shared" si="34"/>
        <v/>
      </c>
      <c r="BA71" s="28" t="str">
        <f>IF(AND(ISBLANK(BC71),BB71=""),"",1+MAX(BA$18:BA70))</f>
        <v/>
      </c>
      <c r="BB71" s="150" t="str">
        <f>IF(OR(AX71="",AX71=0,$J71="",$J71=0,NOT(ISNUMBER($J71)),NOT(ISNUMBER(AX71))),IF(AND($G71&lt;&gt;"",AND(OR(ISNUMBER(AX71),AX71=""),AND(ISNUMBER($J71),$J71&gt;0))),'Feuille de Donnée'!$K$13,""),IF(AX71&lt;$J$165*'Feuille de Donnée'!$I$9,"Négligeable",(IF(AND(AV71&gt;=$H71*(1-'Feuille de Donnée'!$E$12),AV71&lt;=$H71*(1+'Feuille de Donnée'!$F$12)),'Feuille de Donnée'!$F$17,IF(AV71&lt;$H71*(1-'Feuille de Donnée'!$E$12),'Feuille de Donnée'!$F$18,'Feuille de Donnée'!$F$16))&amp;""&amp;IF(AND(AW71&gt;=$I71*(1-'Feuille de Donnée'!$E$27),AW71&lt;=$I71*(1+'Feuille de Donnée'!$F$27)),'Feuille de Donnée'!$F$32,IF(AW71&lt;$I71*(1-'Feuille de Donnée'!$E$27),'Feuille de Donnée'!$F$33,'Feuille de Donnée'!$F$31)))))</f>
        <v/>
      </c>
      <c r="BC71" s="151"/>
      <c r="BD71" s="110"/>
      <c r="BE71" s="28"/>
      <c r="BF71" s="28"/>
      <c r="BG71" s="28" t="str">
        <f t="shared" si="35"/>
        <v/>
      </c>
      <c r="BH71" s="128" t="str">
        <f t="shared" si="36"/>
        <v/>
      </c>
      <c r="BI71" s="128" t="str">
        <f t="shared" si="37"/>
        <v/>
      </c>
      <c r="BJ71" s="28" t="str">
        <f>IF(AND(ISBLANK(BL71),BK71=""),"",1+MAX(BJ$18:BJ70))</f>
        <v/>
      </c>
      <c r="BK71" s="150" t="str">
        <f>IF(OR(BG71="",BG71=0,$J71="",$J71=0,NOT(ISNUMBER($J71)),NOT(ISNUMBER(BG71))),IF(AND($G71&lt;&gt;"",AND(OR(ISNUMBER(BG71),BG71=""),AND(ISNUMBER($J71),$J71&gt;0))),'Feuille de Donnée'!$K$13,""),IF(BG71&lt;$J$165*'Feuille de Donnée'!$I$9,"Négligeable",(IF(AND(BE71&gt;=$H71*(1-'Feuille de Donnée'!$E$12),BE71&lt;=$H71*(1+'Feuille de Donnée'!$F$12)),'Feuille de Donnée'!$F$17,IF(BE71&lt;$H71*(1-'Feuille de Donnée'!$E$12),'Feuille de Donnée'!$F$18,'Feuille de Donnée'!$F$16))&amp;""&amp;IF(AND(BF71&gt;=$I71*(1-'Feuille de Donnée'!$E$27),BF71&lt;=$I71*(1+'Feuille de Donnée'!$F$27)),'Feuille de Donnée'!$F$32,IF(BF71&lt;$I71*(1-'Feuille de Donnée'!$E$27),'Feuille de Donnée'!$F$33,'Feuille de Donnée'!$F$31)))))</f>
        <v/>
      </c>
      <c r="BL71" s="151"/>
      <c r="BM71" s="153"/>
    </row>
    <row r="72" spans="1:65" s="7" customFormat="1" x14ac:dyDescent="0.3">
      <c r="A72" s="24"/>
      <c r="B72" s="25"/>
      <c r="C72" s="25"/>
      <c r="D72" s="25"/>
      <c r="E72" s="25"/>
      <c r="F72" s="25"/>
      <c r="G72" s="23"/>
      <c r="H72" s="26"/>
      <c r="I72" s="27"/>
      <c r="J72" s="109" t="str">
        <f t="shared" si="19"/>
        <v/>
      </c>
      <c r="K72" s="110"/>
      <c r="L72" s="28"/>
      <c r="M72" s="28"/>
      <c r="N72" s="28" t="str">
        <f t="shared" si="20"/>
        <v/>
      </c>
      <c r="O72" s="128" t="str">
        <f t="shared" si="21"/>
        <v/>
      </c>
      <c r="P72" s="128" t="str">
        <f t="shared" si="22"/>
        <v/>
      </c>
      <c r="Q72" s="28" t="str">
        <f>IF(AND(ISBLANK(S72),R72=""),"",1+MAX(Q$18:Q71))</f>
        <v/>
      </c>
      <c r="R72" s="150" t="str">
        <f>IF(OR(N72="",N72=0,$J72="",$J72=0,NOT(ISNUMBER($J72)),NOT(ISNUMBER(N72))),IF(AND($G72&lt;&gt;"",AND(OR(ISNUMBER(N72),N72=""),AND(ISNUMBER($J72),$J72&gt;0))),'Feuille de Donnée'!$K$13,""),IF(N72&lt;$J$165*'Feuille de Donnée'!$I$9,"Négligeable",(IF(AND(L72&gt;=$H72*(1-'Feuille de Donnée'!$E$12),L72&lt;=$H72*(1+'Feuille de Donnée'!$F$12)),'Feuille de Donnée'!$F$17,IF(L72&lt;$H72*(1-'Feuille de Donnée'!$E$12),'Feuille de Donnée'!$F$18,'Feuille de Donnée'!$F$16))&amp;""&amp;IF(AND(M72&gt;=$I72*(1-'Feuille de Donnée'!$E$27),M72&lt;=$I72*(1+'Feuille de Donnée'!$F$27)),'Feuille de Donnée'!$F$32,IF(M72&lt;$I72*(1-'Feuille de Donnée'!$E$27),'Feuille de Donnée'!$F$33,'Feuille de Donnée'!$F$31)))))</f>
        <v/>
      </c>
      <c r="S72" s="151"/>
      <c r="T72" s="110"/>
      <c r="U72" s="28"/>
      <c r="V72" s="28"/>
      <c r="W72" s="28" t="str">
        <f t="shared" si="23"/>
        <v/>
      </c>
      <c r="X72" s="128" t="str">
        <f t="shared" si="24"/>
        <v/>
      </c>
      <c r="Y72" s="128" t="str">
        <f t="shared" si="25"/>
        <v/>
      </c>
      <c r="Z72" s="28" t="str">
        <f>IF(AND(ISBLANK(AB72),AA72=""),"",1+MAX(Z$18:Z71))</f>
        <v/>
      </c>
      <c r="AA72" s="150" t="str">
        <f>IF(OR(W72="",W72=0,$J72="",$J72=0,NOT(ISNUMBER($J72)),NOT(ISNUMBER(W72))),IF(AND($G72&lt;&gt;"",AND(OR(ISNUMBER(W72),W72=""),AND(ISNUMBER($J72),$J72&gt;0))),'Feuille de Donnée'!$K$13,""),IF(W72&lt;$J$165*'Feuille de Donnée'!$I$9,"Négligeable",(IF(AND(U72&gt;=$H72*(1-'Feuille de Donnée'!$E$12),U72&lt;=$H72*(1+'Feuille de Donnée'!$F$12)),'Feuille de Donnée'!$F$17,IF(U72&lt;$H72*(1-'Feuille de Donnée'!$E$12),'Feuille de Donnée'!$F$18,'Feuille de Donnée'!$F$16))&amp;""&amp;IF(AND(V72&gt;=$I72*(1-'Feuille de Donnée'!$E$27),V72&lt;=$I72*(1+'Feuille de Donnée'!$F$27)),'Feuille de Donnée'!$F$32,IF(V72&lt;$I72*(1-'Feuille de Donnée'!$E$27),'Feuille de Donnée'!$F$33,'Feuille de Donnée'!$F$31)))))</f>
        <v/>
      </c>
      <c r="AB72" s="151"/>
      <c r="AC72" s="110"/>
      <c r="AD72" s="28"/>
      <c r="AE72" s="28"/>
      <c r="AF72" s="28" t="str">
        <f t="shared" si="26"/>
        <v/>
      </c>
      <c r="AG72" s="128" t="str">
        <f t="shared" si="27"/>
        <v/>
      </c>
      <c r="AH72" s="128" t="str">
        <f t="shared" si="28"/>
        <v/>
      </c>
      <c r="AI72" s="28" t="str">
        <f>IF(AND(ISBLANK(AK72),AJ72=""),"",1+MAX(AI$18:AI71))</f>
        <v/>
      </c>
      <c r="AJ72" s="150" t="str">
        <f>IF(OR(AF72="",AF72=0,$J72="",$J72=0,NOT(ISNUMBER($J72)),NOT(ISNUMBER(AF72))),IF(AND($G72&lt;&gt;"",AND(OR(ISNUMBER(AF72),AF72=""),AND(ISNUMBER($J72),$J72&gt;0))),'Feuille de Donnée'!$K$13,""),IF(AF72&lt;$J$165*'Feuille de Donnée'!$I$9,"Négligeable",(IF(AND(AD72&gt;=$H72*(1-'Feuille de Donnée'!$E$12),AD72&lt;=$H72*(1+'Feuille de Donnée'!$F$12)),'Feuille de Donnée'!$F$17,IF(AD72&lt;$H72*(1-'Feuille de Donnée'!$E$12),'Feuille de Donnée'!$F$18,'Feuille de Donnée'!$F$16))&amp;""&amp;IF(AND(AE72&gt;=$I72*(1-'Feuille de Donnée'!$E$27),AE72&lt;=$I72*(1+'Feuille de Donnée'!$F$27)),'Feuille de Donnée'!$F$32,IF(AE72&lt;$I72*(1-'Feuille de Donnée'!$E$27),'Feuille de Donnée'!$F$33,'Feuille de Donnée'!$F$31)))))</f>
        <v/>
      </c>
      <c r="AK72" s="151"/>
      <c r="AL72" s="110"/>
      <c r="AM72" s="28"/>
      <c r="AN72" s="28"/>
      <c r="AO72" s="28" t="str">
        <f t="shared" si="29"/>
        <v/>
      </c>
      <c r="AP72" s="128" t="str">
        <f t="shared" si="30"/>
        <v/>
      </c>
      <c r="AQ72" s="128" t="str">
        <f t="shared" si="31"/>
        <v/>
      </c>
      <c r="AR72" s="28" t="str">
        <f>IF(AND(ISBLANK(AT72),AS72=""),"",1+MAX(AR$18:AR71))</f>
        <v/>
      </c>
      <c r="AS72" s="150" t="str">
        <f>IF(OR(AO72="",AO72=0,$J72="",$J72=0,NOT(ISNUMBER($J72)),NOT(ISNUMBER(AO72))),IF(AND($G72&lt;&gt;"",AND(OR(ISNUMBER(AO72),AO72=""),AND(ISNUMBER($J72),$J72&gt;0))),'Feuille de Donnée'!$K$13,""),IF(AO72&lt;$J$165*'Feuille de Donnée'!$I$9,"Négligeable",(IF(AND(AM72&gt;=$H72*(1-'Feuille de Donnée'!$E$12),AM72&lt;=$H72*(1+'Feuille de Donnée'!$F$12)),'Feuille de Donnée'!$F$17,IF(AM72&lt;$H72*(1-'Feuille de Donnée'!$E$12),'Feuille de Donnée'!$F$18,'Feuille de Donnée'!$F$16))&amp;""&amp;IF(AND(AN72&gt;=$I72*(1-'Feuille de Donnée'!$E$27),AN72&lt;=$I72*(1+'Feuille de Donnée'!$F$27)),'Feuille de Donnée'!$F$32,IF(AN72&lt;$I72*(1-'Feuille de Donnée'!$E$27),'Feuille de Donnée'!$F$33,'Feuille de Donnée'!$F$31)))))</f>
        <v/>
      </c>
      <c r="AT72" s="151"/>
      <c r="AU72" s="110"/>
      <c r="AV72" s="28"/>
      <c r="AW72" s="28"/>
      <c r="AX72" s="28" t="str">
        <f t="shared" si="32"/>
        <v/>
      </c>
      <c r="AY72" s="128" t="str">
        <f t="shared" si="33"/>
        <v/>
      </c>
      <c r="AZ72" s="128" t="str">
        <f t="shared" si="34"/>
        <v/>
      </c>
      <c r="BA72" s="28" t="str">
        <f>IF(AND(ISBLANK(BC72),BB72=""),"",1+MAX(BA$18:BA71))</f>
        <v/>
      </c>
      <c r="BB72" s="150" t="str">
        <f>IF(OR(AX72="",AX72=0,$J72="",$J72=0,NOT(ISNUMBER($J72)),NOT(ISNUMBER(AX72))),IF(AND($G72&lt;&gt;"",AND(OR(ISNUMBER(AX72),AX72=""),AND(ISNUMBER($J72),$J72&gt;0))),'Feuille de Donnée'!$K$13,""),IF(AX72&lt;$J$165*'Feuille de Donnée'!$I$9,"Négligeable",(IF(AND(AV72&gt;=$H72*(1-'Feuille de Donnée'!$E$12),AV72&lt;=$H72*(1+'Feuille de Donnée'!$F$12)),'Feuille de Donnée'!$F$17,IF(AV72&lt;$H72*(1-'Feuille de Donnée'!$E$12),'Feuille de Donnée'!$F$18,'Feuille de Donnée'!$F$16))&amp;""&amp;IF(AND(AW72&gt;=$I72*(1-'Feuille de Donnée'!$E$27),AW72&lt;=$I72*(1+'Feuille de Donnée'!$F$27)),'Feuille de Donnée'!$F$32,IF(AW72&lt;$I72*(1-'Feuille de Donnée'!$E$27),'Feuille de Donnée'!$F$33,'Feuille de Donnée'!$F$31)))))</f>
        <v/>
      </c>
      <c r="BC72" s="151"/>
      <c r="BD72" s="110"/>
      <c r="BE72" s="28"/>
      <c r="BF72" s="28"/>
      <c r="BG72" s="28" t="str">
        <f t="shared" si="35"/>
        <v/>
      </c>
      <c r="BH72" s="128" t="str">
        <f t="shared" si="36"/>
        <v/>
      </c>
      <c r="BI72" s="128" t="str">
        <f t="shared" si="37"/>
        <v/>
      </c>
      <c r="BJ72" s="28" t="str">
        <f>IF(AND(ISBLANK(BL72),BK72=""),"",1+MAX(BJ$18:BJ71))</f>
        <v/>
      </c>
      <c r="BK72" s="150" t="str">
        <f>IF(OR(BG72="",BG72=0,$J72="",$J72=0,NOT(ISNUMBER($J72)),NOT(ISNUMBER(BG72))),IF(AND($G72&lt;&gt;"",AND(OR(ISNUMBER(BG72),BG72=""),AND(ISNUMBER($J72),$J72&gt;0))),'Feuille de Donnée'!$K$13,""),IF(BG72&lt;$J$165*'Feuille de Donnée'!$I$9,"Négligeable",(IF(AND(BE72&gt;=$H72*(1-'Feuille de Donnée'!$E$12),BE72&lt;=$H72*(1+'Feuille de Donnée'!$F$12)),'Feuille de Donnée'!$F$17,IF(BE72&lt;$H72*(1-'Feuille de Donnée'!$E$12),'Feuille de Donnée'!$F$18,'Feuille de Donnée'!$F$16))&amp;""&amp;IF(AND(BF72&gt;=$I72*(1-'Feuille de Donnée'!$E$27),BF72&lt;=$I72*(1+'Feuille de Donnée'!$F$27)),'Feuille de Donnée'!$F$32,IF(BF72&lt;$I72*(1-'Feuille de Donnée'!$E$27),'Feuille de Donnée'!$F$33,'Feuille de Donnée'!$F$31)))))</f>
        <v/>
      </c>
      <c r="BL72" s="151"/>
      <c r="BM72" s="153"/>
    </row>
    <row r="73" spans="1:65" s="7" customFormat="1" x14ac:dyDescent="0.3">
      <c r="A73" s="24"/>
      <c r="B73" s="25"/>
      <c r="C73" s="25"/>
      <c r="D73" s="25"/>
      <c r="E73" s="25"/>
      <c r="F73" s="25"/>
      <c r="G73" s="23"/>
      <c r="H73" s="26"/>
      <c r="I73" s="27"/>
      <c r="J73" s="109" t="str">
        <f t="shared" si="19"/>
        <v/>
      </c>
      <c r="K73" s="110"/>
      <c r="L73" s="28"/>
      <c r="M73" s="28"/>
      <c r="N73" s="28" t="str">
        <f t="shared" si="20"/>
        <v/>
      </c>
      <c r="O73" s="128" t="str">
        <f t="shared" si="21"/>
        <v/>
      </c>
      <c r="P73" s="128" t="str">
        <f t="shared" si="22"/>
        <v/>
      </c>
      <c r="Q73" s="28" t="str">
        <f>IF(AND(ISBLANK(S73),R73=""),"",1+MAX(Q$18:Q72))</f>
        <v/>
      </c>
      <c r="R73" s="150" t="str">
        <f>IF(OR(N73="",N73=0,$J73="",$J73=0,NOT(ISNUMBER($J73)),NOT(ISNUMBER(N73))),IF(AND($G73&lt;&gt;"",AND(OR(ISNUMBER(N73),N73=""),AND(ISNUMBER($J73),$J73&gt;0))),'Feuille de Donnée'!$K$13,""),IF(N73&lt;$J$165*'Feuille de Donnée'!$I$9,"Négligeable",(IF(AND(L73&gt;=$H73*(1-'Feuille de Donnée'!$E$12),L73&lt;=$H73*(1+'Feuille de Donnée'!$F$12)),'Feuille de Donnée'!$F$17,IF(L73&lt;$H73*(1-'Feuille de Donnée'!$E$12),'Feuille de Donnée'!$F$18,'Feuille de Donnée'!$F$16))&amp;""&amp;IF(AND(M73&gt;=$I73*(1-'Feuille de Donnée'!$E$27),M73&lt;=$I73*(1+'Feuille de Donnée'!$F$27)),'Feuille de Donnée'!$F$32,IF(M73&lt;$I73*(1-'Feuille de Donnée'!$E$27),'Feuille de Donnée'!$F$33,'Feuille de Donnée'!$F$31)))))</f>
        <v/>
      </c>
      <c r="S73" s="151"/>
      <c r="T73" s="110"/>
      <c r="U73" s="28"/>
      <c r="V73" s="28"/>
      <c r="W73" s="28" t="str">
        <f t="shared" si="23"/>
        <v/>
      </c>
      <c r="X73" s="128" t="str">
        <f t="shared" si="24"/>
        <v/>
      </c>
      <c r="Y73" s="128" t="str">
        <f t="shared" si="25"/>
        <v/>
      </c>
      <c r="Z73" s="28" t="str">
        <f>IF(AND(ISBLANK(AB73),AA73=""),"",1+MAX(Z$18:Z72))</f>
        <v/>
      </c>
      <c r="AA73" s="150" t="str">
        <f>IF(OR(W73="",W73=0,$J73="",$J73=0,NOT(ISNUMBER($J73)),NOT(ISNUMBER(W73))),IF(AND($G73&lt;&gt;"",AND(OR(ISNUMBER(W73),W73=""),AND(ISNUMBER($J73),$J73&gt;0))),'Feuille de Donnée'!$K$13,""),IF(W73&lt;$J$165*'Feuille de Donnée'!$I$9,"Négligeable",(IF(AND(U73&gt;=$H73*(1-'Feuille de Donnée'!$E$12),U73&lt;=$H73*(1+'Feuille de Donnée'!$F$12)),'Feuille de Donnée'!$F$17,IF(U73&lt;$H73*(1-'Feuille de Donnée'!$E$12),'Feuille de Donnée'!$F$18,'Feuille de Donnée'!$F$16))&amp;""&amp;IF(AND(V73&gt;=$I73*(1-'Feuille de Donnée'!$E$27),V73&lt;=$I73*(1+'Feuille de Donnée'!$F$27)),'Feuille de Donnée'!$F$32,IF(V73&lt;$I73*(1-'Feuille de Donnée'!$E$27),'Feuille de Donnée'!$F$33,'Feuille de Donnée'!$F$31)))))</f>
        <v/>
      </c>
      <c r="AB73" s="151"/>
      <c r="AC73" s="110"/>
      <c r="AD73" s="28"/>
      <c r="AE73" s="28"/>
      <c r="AF73" s="28" t="str">
        <f t="shared" si="26"/>
        <v/>
      </c>
      <c r="AG73" s="128" t="str">
        <f t="shared" si="27"/>
        <v/>
      </c>
      <c r="AH73" s="128" t="str">
        <f t="shared" si="28"/>
        <v/>
      </c>
      <c r="AI73" s="28" t="str">
        <f>IF(AND(ISBLANK(AK73),AJ73=""),"",1+MAX(AI$18:AI72))</f>
        <v/>
      </c>
      <c r="AJ73" s="150" t="str">
        <f>IF(OR(AF73="",AF73=0,$J73="",$J73=0,NOT(ISNUMBER($J73)),NOT(ISNUMBER(AF73))),IF(AND($G73&lt;&gt;"",AND(OR(ISNUMBER(AF73),AF73=""),AND(ISNUMBER($J73),$J73&gt;0))),'Feuille de Donnée'!$K$13,""),IF(AF73&lt;$J$165*'Feuille de Donnée'!$I$9,"Négligeable",(IF(AND(AD73&gt;=$H73*(1-'Feuille de Donnée'!$E$12),AD73&lt;=$H73*(1+'Feuille de Donnée'!$F$12)),'Feuille de Donnée'!$F$17,IF(AD73&lt;$H73*(1-'Feuille de Donnée'!$E$12),'Feuille de Donnée'!$F$18,'Feuille de Donnée'!$F$16))&amp;""&amp;IF(AND(AE73&gt;=$I73*(1-'Feuille de Donnée'!$E$27),AE73&lt;=$I73*(1+'Feuille de Donnée'!$F$27)),'Feuille de Donnée'!$F$32,IF(AE73&lt;$I73*(1-'Feuille de Donnée'!$E$27),'Feuille de Donnée'!$F$33,'Feuille de Donnée'!$F$31)))))</f>
        <v/>
      </c>
      <c r="AK73" s="151"/>
      <c r="AL73" s="110"/>
      <c r="AM73" s="28"/>
      <c r="AN73" s="28"/>
      <c r="AO73" s="28" t="str">
        <f t="shared" si="29"/>
        <v/>
      </c>
      <c r="AP73" s="128" t="str">
        <f t="shared" si="30"/>
        <v/>
      </c>
      <c r="AQ73" s="128" t="str">
        <f t="shared" si="31"/>
        <v/>
      </c>
      <c r="AR73" s="28" t="str">
        <f>IF(AND(ISBLANK(AT73),AS73=""),"",1+MAX(AR$18:AR72))</f>
        <v/>
      </c>
      <c r="AS73" s="150" t="str">
        <f>IF(OR(AO73="",AO73=0,$J73="",$J73=0,NOT(ISNUMBER($J73)),NOT(ISNUMBER(AO73))),IF(AND($G73&lt;&gt;"",AND(OR(ISNUMBER(AO73),AO73=""),AND(ISNUMBER($J73),$J73&gt;0))),'Feuille de Donnée'!$K$13,""),IF(AO73&lt;$J$165*'Feuille de Donnée'!$I$9,"Négligeable",(IF(AND(AM73&gt;=$H73*(1-'Feuille de Donnée'!$E$12),AM73&lt;=$H73*(1+'Feuille de Donnée'!$F$12)),'Feuille de Donnée'!$F$17,IF(AM73&lt;$H73*(1-'Feuille de Donnée'!$E$12),'Feuille de Donnée'!$F$18,'Feuille de Donnée'!$F$16))&amp;""&amp;IF(AND(AN73&gt;=$I73*(1-'Feuille de Donnée'!$E$27),AN73&lt;=$I73*(1+'Feuille de Donnée'!$F$27)),'Feuille de Donnée'!$F$32,IF(AN73&lt;$I73*(1-'Feuille de Donnée'!$E$27),'Feuille de Donnée'!$F$33,'Feuille de Donnée'!$F$31)))))</f>
        <v/>
      </c>
      <c r="AT73" s="151"/>
      <c r="AU73" s="110"/>
      <c r="AV73" s="28"/>
      <c r="AW73" s="28"/>
      <c r="AX73" s="28" t="str">
        <f t="shared" si="32"/>
        <v/>
      </c>
      <c r="AY73" s="128" t="str">
        <f t="shared" si="33"/>
        <v/>
      </c>
      <c r="AZ73" s="128" t="str">
        <f t="shared" si="34"/>
        <v/>
      </c>
      <c r="BA73" s="28" t="str">
        <f>IF(AND(ISBLANK(BC73),BB73=""),"",1+MAX(BA$18:BA72))</f>
        <v/>
      </c>
      <c r="BB73" s="150" t="str">
        <f>IF(OR(AX73="",AX73=0,$J73="",$J73=0,NOT(ISNUMBER($J73)),NOT(ISNUMBER(AX73))),IF(AND($G73&lt;&gt;"",AND(OR(ISNUMBER(AX73),AX73=""),AND(ISNUMBER($J73),$J73&gt;0))),'Feuille de Donnée'!$K$13,""),IF(AX73&lt;$J$165*'Feuille de Donnée'!$I$9,"Négligeable",(IF(AND(AV73&gt;=$H73*(1-'Feuille de Donnée'!$E$12),AV73&lt;=$H73*(1+'Feuille de Donnée'!$F$12)),'Feuille de Donnée'!$F$17,IF(AV73&lt;$H73*(1-'Feuille de Donnée'!$E$12),'Feuille de Donnée'!$F$18,'Feuille de Donnée'!$F$16))&amp;""&amp;IF(AND(AW73&gt;=$I73*(1-'Feuille de Donnée'!$E$27),AW73&lt;=$I73*(1+'Feuille de Donnée'!$F$27)),'Feuille de Donnée'!$F$32,IF(AW73&lt;$I73*(1-'Feuille de Donnée'!$E$27),'Feuille de Donnée'!$F$33,'Feuille de Donnée'!$F$31)))))</f>
        <v/>
      </c>
      <c r="BC73" s="151"/>
      <c r="BD73" s="110"/>
      <c r="BE73" s="28"/>
      <c r="BF73" s="28"/>
      <c r="BG73" s="28" t="str">
        <f t="shared" si="35"/>
        <v/>
      </c>
      <c r="BH73" s="128" t="str">
        <f t="shared" si="36"/>
        <v/>
      </c>
      <c r="BI73" s="128" t="str">
        <f t="shared" si="37"/>
        <v/>
      </c>
      <c r="BJ73" s="28" t="str">
        <f>IF(AND(ISBLANK(BL73),BK73=""),"",1+MAX(BJ$18:BJ72))</f>
        <v/>
      </c>
      <c r="BK73" s="150" t="str">
        <f>IF(OR(BG73="",BG73=0,$J73="",$J73=0,NOT(ISNUMBER($J73)),NOT(ISNUMBER(BG73))),IF(AND($G73&lt;&gt;"",AND(OR(ISNUMBER(BG73),BG73=""),AND(ISNUMBER($J73),$J73&gt;0))),'Feuille de Donnée'!$K$13,""),IF(BG73&lt;$J$165*'Feuille de Donnée'!$I$9,"Négligeable",(IF(AND(BE73&gt;=$H73*(1-'Feuille de Donnée'!$E$12),BE73&lt;=$H73*(1+'Feuille de Donnée'!$F$12)),'Feuille de Donnée'!$F$17,IF(BE73&lt;$H73*(1-'Feuille de Donnée'!$E$12),'Feuille de Donnée'!$F$18,'Feuille de Donnée'!$F$16))&amp;""&amp;IF(AND(BF73&gt;=$I73*(1-'Feuille de Donnée'!$E$27),BF73&lt;=$I73*(1+'Feuille de Donnée'!$F$27)),'Feuille de Donnée'!$F$32,IF(BF73&lt;$I73*(1-'Feuille de Donnée'!$E$27),'Feuille de Donnée'!$F$33,'Feuille de Donnée'!$F$31)))))</f>
        <v/>
      </c>
      <c r="BL73" s="151"/>
      <c r="BM73" s="153"/>
    </row>
    <row r="74" spans="1:65" s="7" customFormat="1" x14ac:dyDescent="0.3">
      <c r="A74" s="24"/>
      <c r="B74" s="25"/>
      <c r="C74" s="25"/>
      <c r="D74" s="25"/>
      <c r="E74" s="25"/>
      <c r="F74" s="25"/>
      <c r="G74" s="23"/>
      <c r="H74" s="26"/>
      <c r="I74" s="27"/>
      <c r="J74" s="109" t="str">
        <f t="shared" si="19"/>
        <v/>
      </c>
      <c r="K74" s="110"/>
      <c r="L74" s="28"/>
      <c r="M74" s="28"/>
      <c r="N74" s="28" t="str">
        <f t="shared" si="20"/>
        <v/>
      </c>
      <c r="O74" s="128" t="str">
        <f t="shared" si="21"/>
        <v/>
      </c>
      <c r="P74" s="128" t="str">
        <f t="shared" si="22"/>
        <v/>
      </c>
      <c r="Q74" s="28" t="str">
        <f>IF(AND(ISBLANK(S74),R74=""),"",1+MAX(Q$18:Q73))</f>
        <v/>
      </c>
      <c r="R74" s="150" t="str">
        <f>IF(OR(N74="",N74=0,$J74="",$J74=0,NOT(ISNUMBER($J74)),NOT(ISNUMBER(N74))),IF(AND($G74&lt;&gt;"",AND(OR(ISNUMBER(N74),N74=""),AND(ISNUMBER($J74),$J74&gt;0))),'Feuille de Donnée'!$K$13,""),IF(N74&lt;$J$165*'Feuille de Donnée'!$I$9,"Négligeable",(IF(AND(L74&gt;=$H74*(1-'Feuille de Donnée'!$E$12),L74&lt;=$H74*(1+'Feuille de Donnée'!$F$12)),'Feuille de Donnée'!$F$17,IF(L74&lt;$H74*(1-'Feuille de Donnée'!$E$12),'Feuille de Donnée'!$F$18,'Feuille de Donnée'!$F$16))&amp;""&amp;IF(AND(M74&gt;=$I74*(1-'Feuille de Donnée'!$E$27),M74&lt;=$I74*(1+'Feuille de Donnée'!$F$27)),'Feuille de Donnée'!$F$32,IF(M74&lt;$I74*(1-'Feuille de Donnée'!$E$27),'Feuille de Donnée'!$F$33,'Feuille de Donnée'!$F$31)))))</f>
        <v/>
      </c>
      <c r="S74" s="151"/>
      <c r="T74" s="110"/>
      <c r="U74" s="28"/>
      <c r="V74" s="28"/>
      <c r="W74" s="28" t="str">
        <f t="shared" si="23"/>
        <v/>
      </c>
      <c r="X74" s="128" t="str">
        <f t="shared" si="24"/>
        <v/>
      </c>
      <c r="Y74" s="128" t="str">
        <f t="shared" si="25"/>
        <v/>
      </c>
      <c r="Z74" s="28" t="str">
        <f>IF(AND(ISBLANK(AB74),AA74=""),"",1+MAX(Z$18:Z73))</f>
        <v/>
      </c>
      <c r="AA74" s="150" t="str">
        <f>IF(OR(W74="",W74=0,$J74="",$J74=0,NOT(ISNUMBER($J74)),NOT(ISNUMBER(W74))),IF(AND($G74&lt;&gt;"",AND(OR(ISNUMBER(W74),W74=""),AND(ISNUMBER($J74),$J74&gt;0))),'Feuille de Donnée'!$K$13,""),IF(W74&lt;$J$165*'Feuille de Donnée'!$I$9,"Négligeable",(IF(AND(U74&gt;=$H74*(1-'Feuille de Donnée'!$E$12),U74&lt;=$H74*(1+'Feuille de Donnée'!$F$12)),'Feuille de Donnée'!$F$17,IF(U74&lt;$H74*(1-'Feuille de Donnée'!$E$12),'Feuille de Donnée'!$F$18,'Feuille de Donnée'!$F$16))&amp;""&amp;IF(AND(V74&gt;=$I74*(1-'Feuille de Donnée'!$E$27),V74&lt;=$I74*(1+'Feuille de Donnée'!$F$27)),'Feuille de Donnée'!$F$32,IF(V74&lt;$I74*(1-'Feuille de Donnée'!$E$27),'Feuille de Donnée'!$F$33,'Feuille de Donnée'!$F$31)))))</f>
        <v/>
      </c>
      <c r="AB74" s="151"/>
      <c r="AC74" s="110"/>
      <c r="AD74" s="28"/>
      <c r="AE74" s="28"/>
      <c r="AF74" s="28" t="str">
        <f t="shared" si="26"/>
        <v/>
      </c>
      <c r="AG74" s="128" t="str">
        <f t="shared" si="27"/>
        <v/>
      </c>
      <c r="AH74" s="128" t="str">
        <f t="shared" si="28"/>
        <v/>
      </c>
      <c r="AI74" s="28" t="str">
        <f>IF(AND(ISBLANK(AK74),AJ74=""),"",1+MAX(AI$18:AI73))</f>
        <v/>
      </c>
      <c r="AJ74" s="150" t="str">
        <f>IF(OR(AF74="",AF74=0,$J74="",$J74=0,NOT(ISNUMBER($J74)),NOT(ISNUMBER(AF74))),IF(AND($G74&lt;&gt;"",AND(OR(ISNUMBER(AF74),AF74=""),AND(ISNUMBER($J74),$J74&gt;0))),'Feuille de Donnée'!$K$13,""),IF(AF74&lt;$J$165*'Feuille de Donnée'!$I$9,"Négligeable",(IF(AND(AD74&gt;=$H74*(1-'Feuille de Donnée'!$E$12),AD74&lt;=$H74*(1+'Feuille de Donnée'!$F$12)),'Feuille de Donnée'!$F$17,IF(AD74&lt;$H74*(1-'Feuille de Donnée'!$E$12),'Feuille de Donnée'!$F$18,'Feuille de Donnée'!$F$16))&amp;""&amp;IF(AND(AE74&gt;=$I74*(1-'Feuille de Donnée'!$E$27),AE74&lt;=$I74*(1+'Feuille de Donnée'!$F$27)),'Feuille de Donnée'!$F$32,IF(AE74&lt;$I74*(1-'Feuille de Donnée'!$E$27),'Feuille de Donnée'!$F$33,'Feuille de Donnée'!$F$31)))))</f>
        <v/>
      </c>
      <c r="AK74" s="151"/>
      <c r="AL74" s="110"/>
      <c r="AM74" s="28"/>
      <c r="AN74" s="28"/>
      <c r="AO74" s="28" t="str">
        <f t="shared" si="29"/>
        <v/>
      </c>
      <c r="AP74" s="128" t="str">
        <f t="shared" si="30"/>
        <v/>
      </c>
      <c r="AQ74" s="128" t="str">
        <f t="shared" si="31"/>
        <v/>
      </c>
      <c r="AR74" s="28" t="str">
        <f>IF(AND(ISBLANK(AT74),AS74=""),"",1+MAX(AR$18:AR73))</f>
        <v/>
      </c>
      <c r="AS74" s="150" t="str">
        <f>IF(OR(AO74="",AO74=0,$J74="",$J74=0,NOT(ISNUMBER($J74)),NOT(ISNUMBER(AO74))),IF(AND($G74&lt;&gt;"",AND(OR(ISNUMBER(AO74),AO74=""),AND(ISNUMBER($J74),$J74&gt;0))),'Feuille de Donnée'!$K$13,""),IF(AO74&lt;$J$165*'Feuille de Donnée'!$I$9,"Négligeable",(IF(AND(AM74&gt;=$H74*(1-'Feuille de Donnée'!$E$12),AM74&lt;=$H74*(1+'Feuille de Donnée'!$F$12)),'Feuille de Donnée'!$F$17,IF(AM74&lt;$H74*(1-'Feuille de Donnée'!$E$12),'Feuille de Donnée'!$F$18,'Feuille de Donnée'!$F$16))&amp;""&amp;IF(AND(AN74&gt;=$I74*(1-'Feuille de Donnée'!$E$27),AN74&lt;=$I74*(1+'Feuille de Donnée'!$F$27)),'Feuille de Donnée'!$F$32,IF(AN74&lt;$I74*(1-'Feuille de Donnée'!$E$27),'Feuille de Donnée'!$F$33,'Feuille de Donnée'!$F$31)))))</f>
        <v/>
      </c>
      <c r="AT74" s="151"/>
      <c r="AU74" s="110"/>
      <c r="AV74" s="28"/>
      <c r="AW74" s="28"/>
      <c r="AX74" s="28" t="str">
        <f t="shared" si="32"/>
        <v/>
      </c>
      <c r="AY74" s="128" t="str">
        <f t="shared" si="33"/>
        <v/>
      </c>
      <c r="AZ74" s="128" t="str">
        <f t="shared" si="34"/>
        <v/>
      </c>
      <c r="BA74" s="28" t="str">
        <f>IF(AND(ISBLANK(BC74),BB74=""),"",1+MAX(BA$18:BA73))</f>
        <v/>
      </c>
      <c r="BB74" s="150" t="str">
        <f>IF(OR(AX74="",AX74=0,$J74="",$J74=0,NOT(ISNUMBER($J74)),NOT(ISNUMBER(AX74))),IF(AND($G74&lt;&gt;"",AND(OR(ISNUMBER(AX74),AX74=""),AND(ISNUMBER($J74),$J74&gt;0))),'Feuille de Donnée'!$K$13,""),IF(AX74&lt;$J$165*'Feuille de Donnée'!$I$9,"Négligeable",(IF(AND(AV74&gt;=$H74*(1-'Feuille de Donnée'!$E$12),AV74&lt;=$H74*(1+'Feuille de Donnée'!$F$12)),'Feuille de Donnée'!$F$17,IF(AV74&lt;$H74*(1-'Feuille de Donnée'!$E$12),'Feuille de Donnée'!$F$18,'Feuille de Donnée'!$F$16))&amp;""&amp;IF(AND(AW74&gt;=$I74*(1-'Feuille de Donnée'!$E$27),AW74&lt;=$I74*(1+'Feuille de Donnée'!$F$27)),'Feuille de Donnée'!$F$32,IF(AW74&lt;$I74*(1-'Feuille de Donnée'!$E$27),'Feuille de Donnée'!$F$33,'Feuille de Donnée'!$F$31)))))</f>
        <v/>
      </c>
      <c r="BC74" s="151"/>
      <c r="BD74" s="110"/>
      <c r="BE74" s="28"/>
      <c r="BF74" s="28"/>
      <c r="BG74" s="28" t="str">
        <f t="shared" si="35"/>
        <v/>
      </c>
      <c r="BH74" s="128" t="str">
        <f t="shared" si="36"/>
        <v/>
      </c>
      <c r="BI74" s="128" t="str">
        <f t="shared" si="37"/>
        <v/>
      </c>
      <c r="BJ74" s="28" t="str">
        <f>IF(AND(ISBLANK(BL74),BK74=""),"",1+MAX(BJ$18:BJ73))</f>
        <v/>
      </c>
      <c r="BK74" s="150" t="str">
        <f>IF(OR(BG74="",BG74=0,$J74="",$J74=0,NOT(ISNUMBER($J74)),NOT(ISNUMBER(BG74))),IF(AND($G74&lt;&gt;"",AND(OR(ISNUMBER(BG74),BG74=""),AND(ISNUMBER($J74),$J74&gt;0))),'Feuille de Donnée'!$K$13,""),IF(BG74&lt;$J$165*'Feuille de Donnée'!$I$9,"Négligeable",(IF(AND(BE74&gt;=$H74*(1-'Feuille de Donnée'!$E$12),BE74&lt;=$H74*(1+'Feuille de Donnée'!$F$12)),'Feuille de Donnée'!$F$17,IF(BE74&lt;$H74*(1-'Feuille de Donnée'!$E$12),'Feuille de Donnée'!$F$18,'Feuille de Donnée'!$F$16))&amp;""&amp;IF(AND(BF74&gt;=$I74*(1-'Feuille de Donnée'!$E$27),BF74&lt;=$I74*(1+'Feuille de Donnée'!$F$27)),'Feuille de Donnée'!$F$32,IF(BF74&lt;$I74*(1-'Feuille de Donnée'!$E$27),'Feuille de Donnée'!$F$33,'Feuille de Donnée'!$F$31)))))</f>
        <v/>
      </c>
      <c r="BL74" s="151"/>
      <c r="BM74" s="153"/>
    </row>
    <row r="75" spans="1:65" s="7" customFormat="1" x14ac:dyDescent="0.3">
      <c r="A75" s="24"/>
      <c r="B75" s="25"/>
      <c r="C75" s="25"/>
      <c r="D75" s="25"/>
      <c r="E75" s="25"/>
      <c r="F75" s="25"/>
      <c r="G75" s="23"/>
      <c r="H75" s="26"/>
      <c r="I75" s="27"/>
      <c r="J75" s="109" t="str">
        <f t="shared" si="19"/>
        <v/>
      </c>
      <c r="K75" s="110"/>
      <c r="L75" s="28"/>
      <c r="M75" s="28"/>
      <c r="N75" s="28" t="str">
        <f t="shared" si="20"/>
        <v/>
      </c>
      <c r="O75" s="128" t="str">
        <f t="shared" si="21"/>
        <v/>
      </c>
      <c r="P75" s="128" t="str">
        <f t="shared" si="22"/>
        <v/>
      </c>
      <c r="Q75" s="28" t="str">
        <f>IF(AND(ISBLANK(S75),R75=""),"",1+MAX(Q$18:Q74))</f>
        <v/>
      </c>
      <c r="R75" s="150" t="str">
        <f>IF(OR(N75="",N75=0,$J75="",$J75=0,NOT(ISNUMBER($J75)),NOT(ISNUMBER(N75))),IF(AND($G75&lt;&gt;"",AND(OR(ISNUMBER(N75),N75=""),AND(ISNUMBER($J75),$J75&gt;0))),'Feuille de Donnée'!$K$13,""),IF(N75&lt;$J$165*'Feuille de Donnée'!$I$9,"Négligeable",(IF(AND(L75&gt;=$H75*(1-'Feuille de Donnée'!$E$12),L75&lt;=$H75*(1+'Feuille de Donnée'!$F$12)),'Feuille de Donnée'!$F$17,IF(L75&lt;$H75*(1-'Feuille de Donnée'!$E$12),'Feuille de Donnée'!$F$18,'Feuille de Donnée'!$F$16))&amp;""&amp;IF(AND(M75&gt;=$I75*(1-'Feuille de Donnée'!$E$27),M75&lt;=$I75*(1+'Feuille de Donnée'!$F$27)),'Feuille de Donnée'!$F$32,IF(M75&lt;$I75*(1-'Feuille de Donnée'!$E$27),'Feuille de Donnée'!$F$33,'Feuille de Donnée'!$F$31)))))</f>
        <v/>
      </c>
      <c r="S75" s="151"/>
      <c r="T75" s="110"/>
      <c r="U75" s="28"/>
      <c r="V75" s="28"/>
      <c r="W75" s="28" t="str">
        <f t="shared" si="23"/>
        <v/>
      </c>
      <c r="X75" s="128" t="str">
        <f t="shared" si="24"/>
        <v/>
      </c>
      <c r="Y75" s="128" t="str">
        <f t="shared" si="25"/>
        <v/>
      </c>
      <c r="Z75" s="28" t="str">
        <f>IF(AND(ISBLANK(AB75),AA75=""),"",1+MAX(Z$18:Z74))</f>
        <v/>
      </c>
      <c r="AA75" s="150" t="str">
        <f>IF(OR(W75="",W75=0,$J75="",$J75=0,NOT(ISNUMBER($J75)),NOT(ISNUMBER(W75))),IF(AND($G75&lt;&gt;"",AND(OR(ISNUMBER(W75),W75=""),AND(ISNUMBER($J75),$J75&gt;0))),'Feuille de Donnée'!$K$13,""),IF(W75&lt;$J$165*'Feuille de Donnée'!$I$9,"Négligeable",(IF(AND(U75&gt;=$H75*(1-'Feuille de Donnée'!$E$12),U75&lt;=$H75*(1+'Feuille de Donnée'!$F$12)),'Feuille de Donnée'!$F$17,IF(U75&lt;$H75*(1-'Feuille de Donnée'!$E$12),'Feuille de Donnée'!$F$18,'Feuille de Donnée'!$F$16))&amp;""&amp;IF(AND(V75&gt;=$I75*(1-'Feuille de Donnée'!$E$27),V75&lt;=$I75*(1+'Feuille de Donnée'!$F$27)),'Feuille de Donnée'!$F$32,IF(V75&lt;$I75*(1-'Feuille de Donnée'!$E$27),'Feuille de Donnée'!$F$33,'Feuille de Donnée'!$F$31)))))</f>
        <v/>
      </c>
      <c r="AB75" s="151"/>
      <c r="AC75" s="110"/>
      <c r="AD75" s="28"/>
      <c r="AE75" s="28"/>
      <c r="AF75" s="28" t="str">
        <f t="shared" si="26"/>
        <v/>
      </c>
      <c r="AG75" s="128" t="str">
        <f t="shared" si="27"/>
        <v/>
      </c>
      <c r="AH75" s="128" t="str">
        <f t="shared" si="28"/>
        <v/>
      </c>
      <c r="AI75" s="28" t="str">
        <f>IF(AND(ISBLANK(AK75),AJ75=""),"",1+MAX(AI$18:AI74))</f>
        <v/>
      </c>
      <c r="AJ75" s="150" t="str">
        <f>IF(OR(AF75="",AF75=0,$J75="",$J75=0,NOT(ISNUMBER($J75)),NOT(ISNUMBER(AF75))),IF(AND($G75&lt;&gt;"",AND(OR(ISNUMBER(AF75),AF75=""),AND(ISNUMBER($J75),$J75&gt;0))),'Feuille de Donnée'!$K$13,""),IF(AF75&lt;$J$165*'Feuille de Donnée'!$I$9,"Négligeable",(IF(AND(AD75&gt;=$H75*(1-'Feuille de Donnée'!$E$12),AD75&lt;=$H75*(1+'Feuille de Donnée'!$F$12)),'Feuille de Donnée'!$F$17,IF(AD75&lt;$H75*(1-'Feuille de Donnée'!$E$12),'Feuille de Donnée'!$F$18,'Feuille de Donnée'!$F$16))&amp;""&amp;IF(AND(AE75&gt;=$I75*(1-'Feuille de Donnée'!$E$27),AE75&lt;=$I75*(1+'Feuille de Donnée'!$F$27)),'Feuille de Donnée'!$F$32,IF(AE75&lt;$I75*(1-'Feuille de Donnée'!$E$27),'Feuille de Donnée'!$F$33,'Feuille de Donnée'!$F$31)))))</f>
        <v/>
      </c>
      <c r="AK75" s="151"/>
      <c r="AL75" s="110"/>
      <c r="AM75" s="28"/>
      <c r="AN75" s="28"/>
      <c r="AO75" s="28" t="str">
        <f t="shared" si="29"/>
        <v/>
      </c>
      <c r="AP75" s="128" t="str">
        <f t="shared" si="30"/>
        <v/>
      </c>
      <c r="AQ75" s="128" t="str">
        <f t="shared" si="31"/>
        <v/>
      </c>
      <c r="AR75" s="28" t="str">
        <f>IF(AND(ISBLANK(AT75),AS75=""),"",1+MAX(AR$18:AR74))</f>
        <v/>
      </c>
      <c r="AS75" s="150" t="str">
        <f>IF(OR(AO75="",AO75=0,$J75="",$J75=0,NOT(ISNUMBER($J75)),NOT(ISNUMBER(AO75))),IF(AND($G75&lt;&gt;"",AND(OR(ISNUMBER(AO75),AO75=""),AND(ISNUMBER($J75),$J75&gt;0))),'Feuille de Donnée'!$K$13,""),IF(AO75&lt;$J$165*'Feuille de Donnée'!$I$9,"Négligeable",(IF(AND(AM75&gt;=$H75*(1-'Feuille de Donnée'!$E$12),AM75&lt;=$H75*(1+'Feuille de Donnée'!$F$12)),'Feuille de Donnée'!$F$17,IF(AM75&lt;$H75*(1-'Feuille de Donnée'!$E$12),'Feuille de Donnée'!$F$18,'Feuille de Donnée'!$F$16))&amp;""&amp;IF(AND(AN75&gt;=$I75*(1-'Feuille de Donnée'!$E$27),AN75&lt;=$I75*(1+'Feuille de Donnée'!$F$27)),'Feuille de Donnée'!$F$32,IF(AN75&lt;$I75*(1-'Feuille de Donnée'!$E$27),'Feuille de Donnée'!$F$33,'Feuille de Donnée'!$F$31)))))</f>
        <v/>
      </c>
      <c r="AT75" s="151"/>
      <c r="AU75" s="110"/>
      <c r="AV75" s="28"/>
      <c r="AW75" s="28"/>
      <c r="AX75" s="28" t="str">
        <f t="shared" si="32"/>
        <v/>
      </c>
      <c r="AY75" s="128" t="str">
        <f t="shared" si="33"/>
        <v/>
      </c>
      <c r="AZ75" s="128" t="str">
        <f t="shared" si="34"/>
        <v/>
      </c>
      <c r="BA75" s="28" t="str">
        <f>IF(AND(ISBLANK(BC75),BB75=""),"",1+MAX(BA$18:BA74))</f>
        <v/>
      </c>
      <c r="BB75" s="150" t="str">
        <f>IF(OR(AX75="",AX75=0,$J75="",$J75=0,NOT(ISNUMBER($J75)),NOT(ISNUMBER(AX75))),IF(AND($G75&lt;&gt;"",AND(OR(ISNUMBER(AX75),AX75=""),AND(ISNUMBER($J75),$J75&gt;0))),'Feuille de Donnée'!$K$13,""),IF(AX75&lt;$J$165*'Feuille de Donnée'!$I$9,"Négligeable",(IF(AND(AV75&gt;=$H75*(1-'Feuille de Donnée'!$E$12),AV75&lt;=$H75*(1+'Feuille de Donnée'!$F$12)),'Feuille de Donnée'!$F$17,IF(AV75&lt;$H75*(1-'Feuille de Donnée'!$E$12),'Feuille de Donnée'!$F$18,'Feuille de Donnée'!$F$16))&amp;""&amp;IF(AND(AW75&gt;=$I75*(1-'Feuille de Donnée'!$E$27),AW75&lt;=$I75*(1+'Feuille de Donnée'!$F$27)),'Feuille de Donnée'!$F$32,IF(AW75&lt;$I75*(1-'Feuille de Donnée'!$E$27),'Feuille de Donnée'!$F$33,'Feuille de Donnée'!$F$31)))))</f>
        <v/>
      </c>
      <c r="BC75" s="151"/>
      <c r="BD75" s="110"/>
      <c r="BE75" s="28"/>
      <c r="BF75" s="28"/>
      <c r="BG75" s="28" t="str">
        <f t="shared" si="35"/>
        <v/>
      </c>
      <c r="BH75" s="128" t="str">
        <f t="shared" si="36"/>
        <v/>
      </c>
      <c r="BI75" s="128" t="str">
        <f t="shared" si="37"/>
        <v/>
      </c>
      <c r="BJ75" s="28" t="str">
        <f>IF(AND(ISBLANK(BL75),BK75=""),"",1+MAX(BJ$18:BJ74))</f>
        <v/>
      </c>
      <c r="BK75" s="150" t="str">
        <f>IF(OR(BG75="",BG75=0,$J75="",$J75=0,NOT(ISNUMBER($J75)),NOT(ISNUMBER(BG75))),IF(AND($G75&lt;&gt;"",AND(OR(ISNUMBER(BG75),BG75=""),AND(ISNUMBER($J75),$J75&gt;0))),'Feuille de Donnée'!$K$13,""),IF(BG75&lt;$J$165*'Feuille de Donnée'!$I$9,"Négligeable",(IF(AND(BE75&gt;=$H75*(1-'Feuille de Donnée'!$E$12),BE75&lt;=$H75*(1+'Feuille de Donnée'!$F$12)),'Feuille de Donnée'!$F$17,IF(BE75&lt;$H75*(1-'Feuille de Donnée'!$E$12),'Feuille de Donnée'!$F$18,'Feuille de Donnée'!$F$16))&amp;""&amp;IF(AND(BF75&gt;=$I75*(1-'Feuille de Donnée'!$E$27),BF75&lt;=$I75*(1+'Feuille de Donnée'!$F$27)),'Feuille de Donnée'!$F$32,IF(BF75&lt;$I75*(1-'Feuille de Donnée'!$E$27),'Feuille de Donnée'!$F$33,'Feuille de Donnée'!$F$31)))))</f>
        <v/>
      </c>
      <c r="BL75" s="151"/>
      <c r="BM75" s="153"/>
    </row>
    <row r="76" spans="1:65" s="7" customFormat="1" x14ac:dyDescent="0.3">
      <c r="A76" s="24"/>
      <c r="B76" s="25"/>
      <c r="C76" s="25"/>
      <c r="D76" s="25"/>
      <c r="E76" s="25"/>
      <c r="F76" s="25"/>
      <c r="G76" s="23"/>
      <c r="H76" s="26"/>
      <c r="I76" s="27"/>
      <c r="J76" s="109" t="str">
        <f t="shared" si="19"/>
        <v/>
      </c>
      <c r="K76" s="110"/>
      <c r="L76" s="28"/>
      <c r="M76" s="28"/>
      <c r="N76" s="28" t="str">
        <f t="shared" si="20"/>
        <v/>
      </c>
      <c r="O76" s="128" t="str">
        <f t="shared" si="21"/>
        <v/>
      </c>
      <c r="P76" s="128" t="str">
        <f t="shared" si="22"/>
        <v/>
      </c>
      <c r="Q76" s="28" t="str">
        <f>IF(AND(ISBLANK(S76),R76=""),"",1+MAX(Q$18:Q75))</f>
        <v/>
      </c>
      <c r="R76" s="150" t="str">
        <f>IF(OR(N76="",N76=0,$J76="",$J76=0,NOT(ISNUMBER($J76)),NOT(ISNUMBER(N76))),IF(AND($G76&lt;&gt;"",AND(OR(ISNUMBER(N76),N76=""),AND(ISNUMBER($J76),$J76&gt;0))),'Feuille de Donnée'!$K$13,""),IF(N76&lt;$J$165*'Feuille de Donnée'!$I$9,"Négligeable",(IF(AND(L76&gt;=$H76*(1-'Feuille de Donnée'!$E$12),L76&lt;=$H76*(1+'Feuille de Donnée'!$F$12)),'Feuille de Donnée'!$F$17,IF(L76&lt;$H76*(1-'Feuille de Donnée'!$E$12),'Feuille de Donnée'!$F$18,'Feuille de Donnée'!$F$16))&amp;""&amp;IF(AND(M76&gt;=$I76*(1-'Feuille de Donnée'!$E$27),M76&lt;=$I76*(1+'Feuille de Donnée'!$F$27)),'Feuille de Donnée'!$F$32,IF(M76&lt;$I76*(1-'Feuille de Donnée'!$E$27),'Feuille de Donnée'!$F$33,'Feuille de Donnée'!$F$31)))))</f>
        <v/>
      </c>
      <c r="S76" s="151"/>
      <c r="T76" s="110"/>
      <c r="U76" s="28"/>
      <c r="V76" s="28"/>
      <c r="W76" s="28" t="str">
        <f t="shared" si="23"/>
        <v/>
      </c>
      <c r="X76" s="128" t="str">
        <f t="shared" si="24"/>
        <v/>
      </c>
      <c r="Y76" s="128" t="str">
        <f t="shared" si="25"/>
        <v/>
      </c>
      <c r="Z76" s="28" t="str">
        <f>IF(AND(ISBLANK(AB76),AA76=""),"",1+MAX(Z$18:Z75))</f>
        <v/>
      </c>
      <c r="AA76" s="150" t="str">
        <f>IF(OR(W76="",W76=0,$J76="",$J76=0,NOT(ISNUMBER($J76)),NOT(ISNUMBER(W76))),IF(AND($G76&lt;&gt;"",AND(OR(ISNUMBER(W76),W76=""),AND(ISNUMBER($J76),$J76&gt;0))),'Feuille de Donnée'!$K$13,""),IF(W76&lt;$J$165*'Feuille de Donnée'!$I$9,"Négligeable",(IF(AND(U76&gt;=$H76*(1-'Feuille de Donnée'!$E$12),U76&lt;=$H76*(1+'Feuille de Donnée'!$F$12)),'Feuille de Donnée'!$F$17,IF(U76&lt;$H76*(1-'Feuille de Donnée'!$E$12),'Feuille de Donnée'!$F$18,'Feuille de Donnée'!$F$16))&amp;""&amp;IF(AND(V76&gt;=$I76*(1-'Feuille de Donnée'!$E$27),V76&lt;=$I76*(1+'Feuille de Donnée'!$F$27)),'Feuille de Donnée'!$F$32,IF(V76&lt;$I76*(1-'Feuille de Donnée'!$E$27),'Feuille de Donnée'!$F$33,'Feuille de Donnée'!$F$31)))))</f>
        <v/>
      </c>
      <c r="AB76" s="151"/>
      <c r="AC76" s="110"/>
      <c r="AD76" s="28"/>
      <c r="AE76" s="28"/>
      <c r="AF76" s="28" t="str">
        <f t="shared" si="26"/>
        <v/>
      </c>
      <c r="AG76" s="128" t="str">
        <f t="shared" si="27"/>
        <v/>
      </c>
      <c r="AH76" s="128" t="str">
        <f t="shared" si="28"/>
        <v/>
      </c>
      <c r="AI76" s="28" t="str">
        <f>IF(AND(ISBLANK(AK76),AJ76=""),"",1+MAX(AI$18:AI75))</f>
        <v/>
      </c>
      <c r="AJ76" s="150" t="str">
        <f>IF(OR(AF76="",AF76=0,$J76="",$J76=0,NOT(ISNUMBER($J76)),NOT(ISNUMBER(AF76))),IF(AND($G76&lt;&gt;"",AND(OR(ISNUMBER(AF76),AF76=""),AND(ISNUMBER($J76),$J76&gt;0))),'Feuille de Donnée'!$K$13,""),IF(AF76&lt;$J$165*'Feuille de Donnée'!$I$9,"Négligeable",(IF(AND(AD76&gt;=$H76*(1-'Feuille de Donnée'!$E$12),AD76&lt;=$H76*(1+'Feuille de Donnée'!$F$12)),'Feuille de Donnée'!$F$17,IF(AD76&lt;$H76*(1-'Feuille de Donnée'!$E$12),'Feuille de Donnée'!$F$18,'Feuille de Donnée'!$F$16))&amp;""&amp;IF(AND(AE76&gt;=$I76*(1-'Feuille de Donnée'!$E$27),AE76&lt;=$I76*(1+'Feuille de Donnée'!$F$27)),'Feuille de Donnée'!$F$32,IF(AE76&lt;$I76*(1-'Feuille de Donnée'!$E$27),'Feuille de Donnée'!$F$33,'Feuille de Donnée'!$F$31)))))</f>
        <v/>
      </c>
      <c r="AK76" s="151"/>
      <c r="AL76" s="110"/>
      <c r="AM76" s="28"/>
      <c r="AN76" s="28"/>
      <c r="AO76" s="28" t="str">
        <f t="shared" si="29"/>
        <v/>
      </c>
      <c r="AP76" s="128" t="str">
        <f t="shared" si="30"/>
        <v/>
      </c>
      <c r="AQ76" s="128" t="str">
        <f t="shared" si="31"/>
        <v/>
      </c>
      <c r="AR76" s="28" t="str">
        <f>IF(AND(ISBLANK(AT76),AS76=""),"",1+MAX(AR$18:AR75))</f>
        <v/>
      </c>
      <c r="AS76" s="150" t="str">
        <f>IF(OR(AO76="",AO76=0,$J76="",$J76=0,NOT(ISNUMBER($J76)),NOT(ISNUMBER(AO76))),IF(AND($G76&lt;&gt;"",AND(OR(ISNUMBER(AO76),AO76=""),AND(ISNUMBER($J76),$J76&gt;0))),'Feuille de Donnée'!$K$13,""),IF(AO76&lt;$J$165*'Feuille de Donnée'!$I$9,"Négligeable",(IF(AND(AM76&gt;=$H76*(1-'Feuille de Donnée'!$E$12),AM76&lt;=$H76*(1+'Feuille de Donnée'!$F$12)),'Feuille de Donnée'!$F$17,IF(AM76&lt;$H76*(1-'Feuille de Donnée'!$E$12),'Feuille de Donnée'!$F$18,'Feuille de Donnée'!$F$16))&amp;""&amp;IF(AND(AN76&gt;=$I76*(1-'Feuille de Donnée'!$E$27),AN76&lt;=$I76*(1+'Feuille de Donnée'!$F$27)),'Feuille de Donnée'!$F$32,IF(AN76&lt;$I76*(1-'Feuille de Donnée'!$E$27),'Feuille de Donnée'!$F$33,'Feuille de Donnée'!$F$31)))))</f>
        <v/>
      </c>
      <c r="AT76" s="151"/>
      <c r="AU76" s="110"/>
      <c r="AV76" s="28"/>
      <c r="AW76" s="28"/>
      <c r="AX76" s="28" t="str">
        <f t="shared" si="32"/>
        <v/>
      </c>
      <c r="AY76" s="128" t="str">
        <f t="shared" si="33"/>
        <v/>
      </c>
      <c r="AZ76" s="128" t="str">
        <f t="shared" si="34"/>
        <v/>
      </c>
      <c r="BA76" s="28" t="str">
        <f>IF(AND(ISBLANK(BC76),BB76=""),"",1+MAX(BA$18:BA75))</f>
        <v/>
      </c>
      <c r="BB76" s="150" t="str">
        <f>IF(OR(AX76="",AX76=0,$J76="",$J76=0,NOT(ISNUMBER($J76)),NOT(ISNUMBER(AX76))),IF(AND($G76&lt;&gt;"",AND(OR(ISNUMBER(AX76),AX76=""),AND(ISNUMBER($J76),$J76&gt;0))),'Feuille de Donnée'!$K$13,""),IF(AX76&lt;$J$165*'Feuille de Donnée'!$I$9,"Négligeable",(IF(AND(AV76&gt;=$H76*(1-'Feuille de Donnée'!$E$12),AV76&lt;=$H76*(1+'Feuille de Donnée'!$F$12)),'Feuille de Donnée'!$F$17,IF(AV76&lt;$H76*(1-'Feuille de Donnée'!$E$12),'Feuille de Donnée'!$F$18,'Feuille de Donnée'!$F$16))&amp;""&amp;IF(AND(AW76&gt;=$I76*(1-'Feuille de Donnée'!$E$27),AW76&lt;=$I76*(1+'Feuille de Donnée'!$F$27)),'Feuille de Donnée'!$F$32,IF(AW76&lt;$I76*(1-'Feuille de Donnée'!$E$27),'Feuille de Donnée'!$F$33,'Feuille de Donnée'!$F$31)))))</f>
        <v/>
      </c>
      <c r="BC76" s="151"/>
      <c r="BD76" s="110"/>
      <c r="BE76" s="28"/>
      <c r="BF76" s="28"/>
      <c r="BG76" s="28" t="str">
        <f t="shared" si="35"/>
        <v/>
      </c>
      <c r="BH76" s="128" t="str">
        <f t="shared" si="36"/>
        <v/>
      </c>
      <c r="BI76" s="128" t="str">
        <f t="shared" si="37"/>
        <v/>
      </c>
      <c r="BJ76" s="28" t="str">
        <f>IF(AND(ISBLANK(BL76),BK76=""),"",1+MAX(BJ$18:BJ75))</f>
        <v/>
      </c>
      <c r="BK76" s="150" t="str">
        <f>IF(OR(BG76="",BG76=0,$J76="",$J76=0,NOT(ISNUMBER($J76)),NOT(ISNUMBER(BG76))),IF(AND($G76&lt;&gt;"",AND(OR(ISNUMBER(BG76),BG76=""),AND(ISNUMBER($J76),$J76&gt;0))),'Feuille de Donnée'!$K$13,""),IF(BG76&lt;$J$165*'Feuille de Donnée'!$I$9,"Négligeable",(IF(AND(BE76&gt;=$H76*(1-'Feuille de Donnée'!$E$12),BE76&lt;=$H76*(1+'Feuille de Donnée'!$F$12)),'Feuille de Donnée'!$F$17,IF(BE76&lt;$H76*(1-'Feuille de Donnée'!$E$12),'Feuille de Donnée'!$F$18,'Feuille de Donnée'!$F$16))&amp;""&amp;IF(AND(BF76&gt;=$I76*(1-'Feuille de Donnée'!$E$27),BF76&lt;=$I76*(1+'Feuille de Donnée'!$F$27)),'Feuille de Donnée'!$F$32,IF(BF76&lt;$I76*(1-'Feuille de Donnée'!$E$27),'Feuille de Donnée'!$F$33,'Feuille de Donnée'!$F$31)))))</f>
        <v/>
      </c>
      <c r="BL76" s="151"/>
      <c r="BM76" s="153"/>
    </row>
    <row r="77" spans="1:65" s="7" customFormat="1" x14ac:dyDescent="0.3">
      <c r="A77" s="24"/>
      <c r="B77" s="25"/>
      <c r="C77" s="25"/>
      <c r="D77" s="25"/>
      <c r="E77" s="25"/>
      <c r="F77" s="25"/>
      <c r="G77" s="23"/>
      <c r="H77" s="26"/>
      <c r="I77" s="27"/>
      <c r="J77" s="109" t="str">
        <f t="shared" si="19"/>
        <v/>
      </c>
      <c r="K77" s="110"/>
      <c r="L77" s="28"/>
      <c r="M77" s="28"/>
      <c r="N77" s="28" t="str">
        <f t="shared" si="20"/>
        <v/>
      </c>
      <c r="O77" s="128" t="str">
        <f t="shared" si="21"/>
        <v/>
      </c>
      <c r="P77" s="128" t="str">
        <f t="shared" si="22"/>
        <v/>
      </c>
      <c r="Q77" s="28" t="str">
        <f>IF(AND(ISBLANK(S77),R77=""),"",1+MAX(Q$18:Q76))</f>
        <v/>
      </c>
      <c r="R77" s="150" t="str">
        <f>IF(OR(N77="",N77=0,$J77="",$J77=0,NOT(ISNUMBER($J77)),NOT(ISNUMBER(N77))),IF(AND($G77&lt;&gt;"",AND(OR(ISNUMBER(N77),N77=""),AND(ISNUMBER($J77),$J77&gt;0))),'Feuille de Donnée'!$K$13,""),IF(N77&lt;$J$165*'Feuille de Donnée'!$I$9,"Négligeable",(IF(AND(L77&gt;=$H77*(1-'Feuille de Donnée'!$E$12),L77&lt;=$H77*(1+'Feuille de Donnée'!$F$12)),'Feuille de Donnée'!$F$17,IF(L77&lt;$H77*(1-'Feuille de Donnée'!$E$12),'Feuille de Donnée'!$F$18,'Feuille de Donnée'!$F$16))&amp;""&amp;IF(AND(M77&gt;=$I77*(1-'Feuille de Donnée'!$E$27),M77&lt;=$I77*(1+'Feuille de Donnée'!$F$27)),'Feuille de Donnée'!$F$32,IF(M77&lt;$I77*(1-'Feuille de Donnée'!$E$27),'Feuille de Donnée'!$F$33,'Feuille de Donnée'!$F$31)))))</f>
        <v/>
      </c>
      <c r="S77" s="151"/>
      <c r="T77" s="110"/>
      <c r="U77" s="28"/>
      <c r="V77" s="28"/>
      <c r="W77" s="28" t="str">
        <f t="shared" si="23"/>
        <v/>
      </c>
      <c r="X77" s="128" t="str">
        <f t="shared" si="24"/>
        <v/>
      </c>
      <c r="Y77" s="128" t="str">
        <f t="shared" si="25"/>
        <v/>
      </c>
      <c r="Z77" s="28" t="str">
        <f>IF(AND(ISBLANK(AB77),AA77=""),"",1+MAX(Z$18:Z76))</f>
        <v/>
      </c>
      <c r="AA77" s="150" t="str">
        <f>IF(OR(W77="",W77=0,$J77="",$J77=0,NOT(ISNUMBER($J77)),NOT(ISNUMBER(W77))),IF(AND($G77&lt;&gt;"",AND(OR(ISNUMBER(W77),W77=""),AND(ISNUMBER($J77),$J77&gt;0))),'Feuille de Donnée'!$K$13,""),IF(W77&lt;$J$165*'Feuille de Donnée'!$I$9,"Négligeable",(IF(AND(U77&gt;=$H77*(1-'Feuille de Donnée'!$E$12),U77&lt;=$H77*(1+'Feuille de Donnée'!$F$12)),'Feuille de Donnée'!$F$17,IF(U77&lt;$H77*(1-'Feuille de Donnée'!$E$12),'Feuille de Donnée'!$F$18,'Feuille de Donnée'!$F$16))&amp;""&amp;IF(AND(V77&gt;=$I77*(1-'Feuille de Donnée'!$E$27),V77&lt;=$I77*(1+'Feuille de Donnée'!$F$27)),'Feuille de Donnée'!$F$32,IF(V77&lt;$I77*(1-'Feuille de Donnée'!$E$27),'Feuille de Donnée'!$F$33,'Feuille de Donnée'!$F$31)))))</f>
        <v/>
      </c>
      <c r="AB77" s="151"/>
      <c r="AC77" s="110"/>
      <c r="AD77" s="28"/>
      <c r="AE77" s="28"/>
      <c r="AF77" s="28" t="str">
        <f t="shared" si="26"/>
        <v/>
      </c>
      <c r="AG77" s="128" t="str">
        <f t="shared" si="27"/>
        <v/>
      </c>
      <c r="AH77" s="128" t="str">
        <f t="shared" si="28"/>
        <v/>
      </c>
      <c r="AI77" s="28" t="str">
        <f>IF(AND(ISBLANK(AK77),AJ77=""),"",1+MAX(AI$18:AI76))</f>
        <v/>
      </c>
      <c r="AJ77" s="150" t="str">
        <f>IF(OR(AF77="",AF77=0,$J77="",$J77=0,NOT(ISNUMBER($J77)),NOT(ISNUMBER(AF77))),IF(AND($G77&lt;&gt;"",AND(OR(ISNUMBER(AF77),AF77=""),AND(ISNUMBER($J77),$J77&gt;0))),'Feuille de Donnée'!$K$13,""),IF(AF77&lt;$J$165*'Feuille de Donnée'!$I$9,"Négligeable",(IF(AND(AD77&gt;=$H77*(1-'Feuille de Donnée'!$E$12),AD77&lt;=$H77*(1+'Feuille de Donnée'!$F$12)),'Feuille de Donnée'!$F$17,IF(AD77&lt;$H77*(1-'Feuille de Donnée'!$E$12),'Feuille de Donnée'!$F$18,'Feuille de Donnée'!$F$16))&amp;""&amp;IF(AND(AE77&gt;=$I77*(1-'Feuille de Donnée'!$E$27),AE77&lt;=$I77*(1+'Feuille de Donnée'!$F$27)),'Feuille de Donnée'!$F$32,IF(AE77&lt;$I77*(1-'Feuille de Donnée'!$E$27),'Feuille de Donnée'!$F$33,'Feuille de Donnée'!$F$31)))))</f>
        <v/>
      </c>
      <c r="AK77" s="151"/>
      <c r="AL77" s="110"/>
      <c r="AM77" s="28"/>
      <c r="AN77" s="28"/>
      <c r="AO77" s="28" t="str">
        <f t="shared" si="29"/>
        <v/>
      </c>
      <c r="AP77" s="128" t="str">
        <f t="shared" si="30"/>
        <v/>
      </c>
      <c r="AQ77" s="128" t="str">
        <f t="shared" si="31"/>
        <v/>
      </c>
      <c r="AR77" s="28" t="str">
        <f>IF(AND(ISBLANK(AT77),AS77=""),"",1+MAX(AR$18:AR76))</f>
        <v/>
      </c>
      <c r="AS77" s="150" t="str">
        <f>IF(OR(AO77="",AO77=0,$J77="",$J77=0,NOT(ISNUMBER($J77)),NOT(ISNUMBER(AO77))),IF(AND($G77&lt;&gt;"",AND(OR(ISNUMBER(AO77),AO77=""),AND(ISNUMBER($J77),$J77&gt;0))),'Feuille de Donnée'!$K$13,""),IF(AO77&lt;$J$165*'Feuille de Donnée'!$I$9,"Négligeable",(IF(AND(AM77&gt;=$H77*(1-'Feuille de Donnée'!$E$12),AM77&lt;=$H77*(1+'Feuille de Donnée'!$F$12)),'Feuille de Donnée'!$F$17,IF(AM77&lt;$H77*(1-'Feuille de Donnée'!$E$12),'Feuille de Donnée'!$F$18,'Feuille de Donnée'!$F$16))&amp;""&amp;IF(AND(AN77&gt;=$I77*(1-'Feuille de Donnée'!$E$27),AN77&lt;=$I77*(1+'Feuille de Donnée'!$F$27)),'Feuille de Donnée'!$F$32,IF(AN77&lt;$I77*(1-'Feuille de Donnée'!$E$27),'Feuille de Donnée'!$F$33,'Feuille de Donnée'!$F$31)))))</f>
        <v/>
      </c>
      <c r="AT77" s="151"/>
      <c r="AU77" s="110"/>
      <c r="AV77" s="28"/>
      <c r="AW77" s="28"/>
      <c r="AX77" s="28" t="str">
        <f t="shared" si="32"/>
        <v/>
      </c>
      <c r="AY77" s="128" t="str">
        <f t="shared" si="33"/>
        <v/>
      </c>
      <c r="AZ77" s="128" t="str">
        <f t="shared" si="34"/>
        <v/>
      </c>
      <c r="BA77" s="28" t="str">
        <f>IF(AND(ISBLANK(BC77),BB77=""),"",1+MAX(BA$18:BA76))</f>
        <v/>
      </c>
      <c r="BB77" s="150" t="str">
        <f>IF(OR(AX77="",AX77=0,$J77="",$J77=0,NOT(ISNUMBER($J77)),NOT(ISNUMBER(AX77))),IF(AND($G77&lt;&gt;"",AND(OR(ISNUMBER(AX77),AX77=""),AND(ISNUMBER($J77),$J77&gt;0))),'Feuille de Donnée'!$K$13,""),IF(AX77&lt;$J$165*'Feuille de Donnée'!$I$9,"Négligeable",(IF(AND(AV77&gt;=$H77*(1-'Feuille de Donnée'!$E$12),AV77&lt;=$H77*(1+'Feuille de Donnée'!$F$12)),'Feuille de Donnée'!$F$17,IF(AV77&lt;$H77*(1-'Feuille de Donnée'!$E$12),'Feuille de Donnée'!$F$18,'Feuille de Donnée'!$F$16))&amp;""&amp;IF(AND(AW77&gt;=$I77*(1-'Feuille de Donnée'!$E$27),AW77&lt;=$I77*(1+'Feuille de Donnée'!$F$27)),'Feuille de Donnée'!$F$32,IF(AW77&lt;$I77*(1-'Feuille de Donnée'!$E$27),'Feuille de Donnée'!$F$33,'Feuille de Donnée'!$F$31)))))</f>
        <v/>
      </c>
      <c r="BC77" s="151"/>
      <c r="BD77" s="110"/>
      <c r="BE77" s="28"/>
      <c r="BF77" s="28"/>
      <c r="BG77" s="28" t="str">
        <f t="shared" si="35"/>
        <v/>
      </c>
      <c r="BH77" s="128" t="str">
        <f t="shared" si="36"/>
        <v/>
      </c>
      <c r="BI77" s="128" t="str">
        <f t="shared" si="37"/>
        <v/>
      </c>
      <c r="BJ77" s="28" t="str">
        <f>IF(AND(ISBLANK(BL77),BK77=""),"",1+MAX(BJ$18:BJ76))</f>
        <v/>
      </c>
      <c r="BK77" s="150" t="str">
        <f>IF(OR(BG77="",BG77=0,$J77="",$J77=0,NOT(ISNUMBER($J77)),NOT(ISNUMBER(BG77))),IF(AND($G77&lt;&gt;"",AND(OR(ISNUMBER(BG77),BG77=""),AND(ISNUMBER($J77),$J77&gt;0))),'Feuille de Donnée'!$K$13,""),IF(BG77&lt;$J$165*'Feuille de Donnée'!$I$9,"Négligeable",(IF(AND(BE77&gt;=$H77*(1-'Feuille de Donnée'!$E$12),BE77&lt;=$H77*(1+'Feuille de Donnée'!$F$12)),'Feuille de Donnée'!$F$17,IF(BE77&lt;$H77*(1-'Feuille de Donnée'!$E$12),'Feuille de Donnée'!$F$18,'Feuille de Donnée'!$F$16))&amp;""&amp;IF(AND(BF77&gt;=$I77*(1-'Feuille de Donnée'!$E$27),BF77&lt;=$I77*(1+'Feuille de Donnée'!$F$27)),'Feuille de Donnée'!$F$32,IF(BF77&lt;$I77*(1-'Feuille de Donnée'!$E$27),'Feuille de Donnée'!$F$33,'Feuille de Donnée'!$F$31)))))</f>
        <v/>
      </c>
      <c r="BL77" s="151"/>
      <c r="BM77" s="153"/>
    </row>
    <row r="78" spans="1:65" s="7" customFormat="1" x14ac:dyDescent="0.3">
      <c r="A78" s="24"/>
      <c r="B78" s="25"/>
      <c r="C78" s="25"/>
      <c r="D78" s="25"/>
      <c r="E78" s="25"/>
      <c r="F78" s="25"/>
      <c r="G78" s="23"/>
      <c r="H78" s="26"/>
      <c r="I78" s="27"/>
      <c r="J78" s="109" t="str">
        <f t="shared" si="19"/>
        <v/>
      </c>
      <c r="K78" s="110"/>
      <c r="L78" s="28"/>
      <c r="M78" s="28"/>
      <c r="N78" s="28" t="str">
        <f t="shared" si="20"/>
        <v/>
      </c>
      <c r="O78" s="128" t="str">
        <f t="shared" si="21"/>
        <v/>
      </c>
      <c r="P78" s="128" t="str">
        <f t="shared" si="22"/>
        <v/>
      </c>
      <c r="Q78" s="28" t="str">
        <f>IF(AND(ISBLANK(S78),R78=""),"",1+MAX(Q$18:Q77))</f>
        <v/>
      </c>
      <c r="R78" s="150" t="str">
        <f>IF(OR(N78="",N78=0,$J78="",$J78=0,NOT(ISNUMBER($J78)),NOT(ISNUMBER(N78))),IF(AND($G78&lt;&gt;"",AND(OR(ISNUMBER(N78),N78=""),AND(ISNUMBER($J78),$J78&gt;0))),'Feuille de Donnée'!$K$13,""),IF(N78&lt;$J$165*'Feuille de Donnée'!$I$9,"Négligeable",(IF(AND(L78&gt;=$H78*(1-'Feuille de Donnée'!$E$12),L78&lt;=$H78*(1+'Feuille de Donnée'!$F$12)),'Feuille de Donnée'!$F$17,IF(L78&lt;$H78*(1-'Feuille de Donnée'!$E$12),'Feuille de Donnée'!$F$18,'Feuille de Donnée'!$F$16))&amp;""&amp;IF(AND(M78&gt;=$I78*(1-'Feuille de Donnée'!$E$27),M78&lt;=$I78*(1+'Feuille de Donnée'!$F$27)),'Feuille de Donnée'!$F$32,IF(M78&lt;$I78*(1-'Feuille de Donnée'!$E$27),'Feuille de Donnée'!$F$33,'Feuille de Donnée'!$F$31)))))</f>
        <v/>
      </c>
      <c r="S78" s="151"/>
      <c r="T78" s="110"/>
      <c r="U78" s="28"/>
      <c r="V78" s="28"/>
      <c r="W78" s="28" t="str">
        <f t="shared" si="23"/>
        <v/>
      </c>
      <c r="X78" s="128" t="str">
        <f t="shared" si="24"/>
        <v/>
      </c>
      <c r="Y78" s="128" t="str">
        <f t="shared" si="25"/>
        <v/>
      </c>
      <c r="Z78" s="28" t="str">
        <f>IF(AND(ISBLANK(AB78),AA78=""),"",1+MAX(Z$18:Z77))</f>
        <v/>
      </c>
      <c r="AA78" s="150" t="str">
        <f>IF(OR(W78="",W78=0,$J78="",$J78=0,NOT(ISNUMBER($J78)),NOT(ISNUMBER(W78))),IF(AND($G78&lt;&gt;"",AND(OR(ISNUMBER(W78),W78=""),AND(ISNUMBER($J78),$J78&gt;0))),'Feuille de Donnée'!$K$13,""),IF(W78&lt;$J$165*'Feuille de Donnée'!$I$9,"Négligeable",(IF(AND(U78&gt;=$H78*(1-'Feuille de Donnée'!$E$12),U78&lt;=$H78*(1+'Feuille de Donnée'!$F$12)),'Feuille de Donnée'!$F$17,IF(U78&lt;$H78*(1-'Feuille de Donnée'!$E$12),'Feuille de Donnée'!$F$18,'Feuille de Donnée'!$F$16))&amp;""&amp;IF(AND(V78&gt;=$I78*(1-'Feuille de Donnée'!$E$27),V78&lt;=$I78*(1+'Feuille de Donnée'!$F$27)),'Feuille de Donnée'!$F$32,IF(V78&lt;$I78*(1-'Feuille de Donnée'!$E$27),'Feuille de Donnée'!$F$33,'Feuille de Donnée'!$F$31)))))</f>
        <v/>
      </c>
      <c r="AB78" s="151"/>
      <c r="AC78" s="110"/>
      <c r="AD78" s="28"/>
      <c r="AE78" s="28"/>
      <c r="AF78" s="28" t="str">
        <f t="shared" si="26"/>
        <v/>
      </c>
      <c r="AG78" s="128" t="str">
        <f t="shared" si="27"/>
        <v/>
      </c>
      <c r="AH78" s="128" t="str">
        <f t="shared" si="28"/>
        <v/>
      </c>
      <c r="AI78" s="28" t="str">
        <f>IF(AND(ISBLANK(AK78),AJ78=""),"",1+MAX(AI$18:AI77))</f>
        <v/>
      </c>
      <c r="AJ78" s="150" t="str">
        <f>IF(OR(AF78="",AF78=0,$J78="",$J78=0,NOT(ISNUMBER($J78)),NOT(ISNUMBER(AF78))),IF(AND($G78&lt;&gt;"",AND(OR(ISNUMBER(AF78),AF78=""),AND(ISNUMBER($J78),$J78&gt;0))),'Feuille de Donnée'!$K$13,""),IF(AF78&lt;$J$165*'Feuille de Donnée'!$I$9,"Négligeable",(IF(AND(AD78&gt;=$H78*(1-'Feuille de Donnée'!$E$12),AD78&lt;=$H78*(1+'Feuille de Donnée'!$F$12)),'Feuille de Donnée'!$F$17,IF(AD78&lt;$H78*(1-'Feuille de Donnée'!$E$12),'Feuille de Donnée'!$F$18,'Feuille de Donnée'!$F$16))&amp;""&amp;IF(AND(AE78&gt;=$I78*(1-'Feuille de Donnée'!$E$27),AE78&lt;=$I78*(1+'Feuille de Donnée'!$F$27)),'Feuille de Donnée'!$F$32,IF(AE78&lt;$I78*(1-'Feuille de Donnée'!$E$27),'Feuille de Donnée'!$F$33,'Feuille de Donnée'!$F$31)))))</f>
        <v/>
      </c>
      <c r="AK78" s="151"/>
      <c r="AL78" s="110"/>
      <c r="AM78" s="28"/>
      <c r="AN78" s="28"/>
      <c r="AO78" s="28" t="str">
        <f t="shared" si="29"/>
        <v/>
      </c>
      <c r="AP78" s="128" t="str">
        <f t="shared" si="30"/>
        <v/>
      </c>
      <c r="AQ78" s="128" t="str">
        <f t="shared" si="31"/>
        <v/>
      </c>
      <c r="AR78" s="28" t="str">
        <f>IF(AND(ISBLANK(AT78),AS78=""),"",1+MAX(AR$18:AR77))</f>
        <v/>
      </c>
      <c r="AS78" s="150" t="str">
        <f>IF(OR(AO78="",AO78=0,$J78="",$J78=0,NOT(ISNUMBER($J78)),NOT(ISNUMBER(AO78))),IF(AND($G78&lt;&gt;"",AND(OR(ISNUMBER(AO78),AO78=""),AND(ISNUMBER($J78),$J78&gt;0))),'Feuille de Donnée'!$K$13,""),IF(AO78&lt;$J$165*'Feuille de Donnée'!$I$9,"Négligeable",(IF(AND(AM78&gt;=$H78*(1-'Feuille de Donnée'!$E$12),AM78&lt;=$H78*(1+'Feuille de Donnée'!$F$12)),'Feuille de Donnée'!$F$17,IF(AM78&lt;$H78*(1-'Feuille de Donnée'!$E$12),'Feuille de Donnée'!$F$18,'Feuille de Donnée'!$F$16))&amp;""&amp;IF(AND(AN78&gt;=$I78*(1-'Feuille de Donnée'!$E$27),AN78&lt;=$I78*(1+'Feuille de Donnée'!$F$27)),'Feuille de Donnée'!$F$32,IF(AN78&lt;$I78*(1-'Feuille de Donnée'!$E$27),'Feuille de Donnée'!$F$33,'Feuille de Donnée'!$F$31)))))</f>
        <v/>
      </c>
      <c r="AT78" s="151"/>
      <c r="AU78" s="110"/>
      <c r="AV78" s="28"/>
      <c r="AW78" s="28"/>
      <c r="AX78" s="28" t="str">
        <f t="shared" si="32"/>
        <v/>
      </c>
      <c r="AY78" s="128" t="str">
        <f t="shared" si="33"/>
        <v/>
      </c>
      <c r="AZ78" s="128" t="str">
        <f t="shared" si="34"/>
        <v/>
      </c>
      <c r="BA78" s="28" t="str">
        <f>IF(AND(ISBLANK(BC78),BB78=""),"",1+MAX(BA$18:BA77))</f>
        <v/>
      </c>
      <c r="BB78" s="150" t="str">
        <f>IF(OR(AX78="",AX78=0,$J78="",$J78=0,NOT(ISNUMBER($J78)),NOT(ISNUMBER(AX78))),IF(AND($G78&lt;&gt;"",AND(OR(ISNUMBER(AX78),AX78=""),AND(ISNUMBER($J78),$J78&gt;0))),'Feuille de Donnée'!$K$13,""),IF(AX78&lt;$J$165*'Feuille de Donnée'!$I$9,"Négligeable",(IF(AND(AV78&gt;=$H78*(1-'Feuille de Donnée'!$E$12),AV78&lt;=$H78*(1+'Feuille de Donnée'!$F$12)),'Feuille de Donnée'!$F$17,IF(AV78&lt;$H78*(1-'Feuille de Donnée'!$E$12),'Feuille de Donnée'!$F$18,'Feuille de Donnée'!$F$16))&amp;""&amp;IF(AND(AW78&gt;=$I78*(1-'Feuille de Donnée'!$E$27),AW78&lt;=$I78*(1+'Feuille de Donnée'!$F$27)),'Feuille de Donnée'!$F$32,IF(AW78&lt;$I78*(1-'Feuille de Donnée'!$E$27),'Feuille de Donnée'!$F$33,'Feuille de Donnée'!$F$31)))))</f>
        <v/>
      </c>
      <c r="BC78" s="151"/>
      <c r="BD78" s="110"/>
      <c r="BE78" s="28"/>
      <c r="BF78" s="28"/>
      <c r="BG78" s="28" t="str">
        <f t="shared" si="35"/>
        <v/>
      </c>
      <c r="BH78" s="128" t="str">
        <f t="shared" si="36"/>
        <v/>
      </c>
      <c r="BI78" s="128" t="str">
        <f t="shared" si="37"/>
        <v/>
      </c>
      <c r="BJ78" s="28" t="str">
        <f>IF(AND(ISBLANK(BL78),BK78=""),"",1+MAX(BJ$18:BJ77))</f>
        <v/>
      </c>
      <c r="BK78" s="150" t="str">
        <f>IF(OR(BG78="",BG78=0,$J78="",$J78=0,NOT(ISNUMBER($J78)),NOT(ISNUMBER(BG78))),IF(AND($G78&lt;&gt;"",AND(OR(ISNUMBER(BG78),BG78=""),AND(ISNUMBER($J78),$J78&gt;0))),'Feuille de Donnée'!$K$13,""),IF(BG78&lt;$J$165*'Feuille de Donnée'!$I$9,"Négligeable",(IF(AND(BE78&gt;=$H78*(1-'Feuille de Donnée'!$E$12),BE78&lt;=$H78*(1+'Feuille de Donnée'!$F$12)),'Feuille de Donnée'!$F$17,IF(BE78&lt;$H78*(1-'Feuille de Donnée'!$E$12),'Feuille de Donnée'!$F$18,'Feuille de Donnée'!$F$16))&amp;""&amp;IF(AND(BF78&gt;=$I78*(1-'Feuille de Donnée'!$E$27),BF78&lt;=$I78*(1+'Feuille de Donnée'!$F$27)),'Feuille de Donnée'!$F$32,IF(BF78&lt;$I78*(1-'Feuille de Donnée'!$E$27),'Feuille de Donnée'!$F$33,'Feuille de Donnée'!$F$31)))))</f>
        <v/>
      </c>
      <c r="BL78" s="151"/>
      <c r="BM78" s="153"/>
    </row>
    <row r="79" spans="1:65" s="7" customFormat="1" x14ac:dyDescent="0.3">
      <c r="A79" s="24"/>
      <c r="B79" s="25"/>
      <c r="C79" s="25"/>
      <c r="D79" s="25"/>
      <c r="E79" s="25"/>
      <c r="F79" s="25"/>
      <c r="G79" s="23"/>
      <c r="H79" s="26"/>
      <c r="I79" s="27"/>
      <c r="J79" s="109" t="str">
        <f t="shared" si="19"/>
        <v/>
      </c>
      <c r="K79" s="110"/>
      <c r="L79" s="28"/>
      <c r="M79" s="28"/>
      <c r="N79" s="28" t="str">
        <f t="shared" si="20"/>
        <v/>
      </c>
      <c r="O79" s="128" t="str">
        <f t="shared" si="21"/>
        <v/>
      </c>
      <c r="P79" s="128" t="str">
        <f t="shared" si="22"/>
        <v/>
      </c>
      <c r="Q79" s="28" t="str">
        <f>IF(AND(ISBLANK(S79),R79=""),"",1+MAX(Q$18:Q78))</f>
        <v/>
      </c>
      <c r="R79" s="150" t="str">
        <f>IF(OR(N79="",N79=0,$J79="",$J79=0,NOT(ISNUMBER($J79)),NOT(ISNUMBER(N79))),IF(AND($G79&lt;&gt;"",AND(OR(ISNUMBER(N79),N79=""),AND(ISNUMBER($J79),$J79&gt;0))),'Feuille de Donnée'!$K$13,""),IF(N79&lt;$J$165*'Feuille de Donnée'!$I$9,"Négligeable",(IF(AND(L79&gt;=$H79*(1-'Feuille de Donnée'!$E$12),L79&lt;=$H79*(1+'Feuille de Donnée'!$F$12)),'Feuille de Donnée'!$F$17,IF(L79&lt;$H79*(1-'Feuille de Donnée'!$E$12),'Feuille de Donnée'!$F$18,'Feuille de Donnée'!$F$16))&amp;""&amp;IF(AND(M79&gt;=$I79*(1-'Feuille de Donnée'!$E$27),M79&lt;=$I79*(1+'Feuille de Donnée'!$F$27)),'Feuille de Donnée'!$F$32,IF(M79&lt;$I79*(1-'Feuille de Donnée'!$E$27),'Feuille de Donnée'!$F$33,'Feuille de Donnée'!$F$31)))))</f>
        <v/>
      </c>
      <c r="S79" s="151"/>
      <c r="T79" s="110"/>
      <c r="U79" s="28"/>
      <c r="V79" s="28"/>
      <c r="W79" s="28" t="str">
        <f t="shared" si="23"/>
        <v/>
      </c>
      <c r="X79" s="128" t="str">
        <f t="shared" si="24"/>
        <v/>
      </c>
      <c r="Y79" s="128" t="str">
        <f t="shared" si="25"/>
        <v/>
      </c>
      <c r="Z79" s="28" t="str">
        <f>IF(AND(ISBLANK(AB79),AA79=""),"",1+MAX(Z$18:Z78))</f>
        <v/>
      </c>
      <c r="AA79" s="150" t="str">
        <f>IF(OR(W79="",W79=0,$J79="",$J79=0,NOT(ISNUMBER($J79)),NOT(ISNUMBER(W79))),IF(AND($G79&lt;&gt;"",AND(OR(ISNUMBER(W79),W79=""),AND(ISNUMBER($J79),$J79&gt;0))),'Feuille de Donnée'!$K$13,""),IF(W79&lt;$J$165*'Feuille de Donnée'!$I$9,"Négligeable",(IF(AND(U79&gt;=$H79*(1-'Feuille de Donnée'!$E$12),U79&lt;=$H79*(1+'Feuille de Donnée'!$F$12)),'Feuille de Donnée'!$F$17,IF(U79&lt;$H79*(1-'Feuille de Donnée'!$E$12),'Feuille de Donnée'!$F$18,'Feuille de Donnée'!$F$16))&amp;""&amp;IF(AND(V79&gt;=$I79*(1-'Feuille de Donnée'!$E$27),V79&lt;=$I79*(1+'Feuille de Donnée'!$F$27)),'Feuille de Donnée'!$F$32,IF(V79&lt;$I79*(1-'Feuille de Donnée'!$E$27),'Feuille de Donnée'!$F$33,'Feuille de Donnée'!$F$31)))))</f>
        <v/>
      </c>
      <c r="AB79" s="151"/>
      <c r="AC79" s="110"/>
      <c r="AD79" s="28"/>
      <c r="AE79" s="28"/>
      <c r="AF79" s="28" t="str">
        <f t="shared" si="26"/>
        <v/>
      </c>
      <c r="AG79" s="128" t="str">
        <f t="shared" si="27"/>
        <v/>
      </c>
      <c r="AH79" s="128" t="str">
        <f t="shared" si="28"/>
        <v/>
      </c>
      <c r="AI79" s="28" t="str">
        <f>IF(AND(ISBLANK(AK79),AJ79=""),"",1+MAX(AI$18:AI78))</f>
        <v/>
      </c>
      <c r="AJ79" s="150" t="str">
        <f>IF(OR(AF79="",AF79=0,$J79="",$J79=0,NOT(ISNUMBER($J79)),NOT(ISNUMBER(AF79))),IF(AND($G79&lt;&gt;"",AND(OR(ISNUMBER(AF79),AF79=""),AND(ISNUMBER($J79),$J79&gt;0))),'Feuille de Donnée'!$K$13,""),IF(AF79&lt;$J$165*'Feuille de Donnée'!$I$9,"Négligeable",(IF(AND(AD79&gt;=$H79*(1-'Feuille de Donnée'!$E$12),AD79&lt;=$H79*(1+'Feuille de Donnée'!$F$12)),'Feuille de Donnée'!$F$17,IF(AD79&lt;$H79*(1-'Feuille de Donnée'!$E$12),'Feuille de Donnée'!$F$18,'Feuille de Donnée'!$F$16))&amp;""&amp;IF(AND(AE79&gt;=$I79*(1-'Feuille de Donnée'!$E$27),AE79&lt;=$I79*(1+'Feuille de Donnée'!$F$27)),'Feuille de Donnée'!$F$32,IF(AE79&lt;$I79*(1-'Feuille de Donnée'!$E$27),'Feuille de Donnée'!$F$33,'Feuille de Donnée'!$F$31)))))</f>
        <v/>
      </c>
      <c r="AK79" s="151"/>
      <c r="AL79" s="110"/>
      <c r="AM79" s="28"/>
      <c r="AN79" s="28"/>
      <c r="AO79" s="28" t="str">
        <f t="shared" si="29"/>
        <v/>
      </c>
      <c r="AP79" s="128" t="str">
        <f t="shared" si="30"/>
        <v/>
      </c>
      <c r="AQ79" s="128" t="str">
        <f t="shared" si="31"/>
        <v/>
      </c>
      <c r="AR79" s="28" t="str">
        <f>IF(AND(ISBLANK(AT79),AS79=""),"",1+MAX(AR$18:AR78))</f>
        <v/>
      </c>
      <c r="AS79" s="150" t="str">
        <f>IF(OR(AO79="",AO79=0,$J79="",$J79=0,NOT(ISNUMBER($J79)),NOT(ISNUMBER(AO79))),IF(AND($G79&lt;&gt;"",AND(OR(ISNUMBER(AO79),AO79=""),AND(ISNUMBER($J79),$J79&gt;0))),'Feuille de Donnée'!$K$13,""),IF(AO79&lt;$J$165*'Feuille de Donnée'!$I$9,"Négligeable",(IF(AND(AM79&gt;=$H79*(1-'Feuille de Donnée'!$E$12),AM79&lt;=$H79*(1+'Feuille de Donnée'!$F$12)),'Feuille de Donnée'!$F$17,IF(AM79&lt;$H79*(1-'Feuille de Donnée'!$E$12),'Feuille de Donnée'!$F$18,'Feuille de Donnée'!$F$16))&amp;""&amp;IF(AND(AN79&gt;=$I79*(1-'Feuille de Donnée'!$E$27),AN79&lt;=$I79*(1+'Feuille de Donnée'!$F$27)),'Feuille de Donnée'!$F$32,IF(AN79&lt;$I79*(1-'Feuille de Donnée'!$E$27),'Feuille de Donnée'!$F$33,'Feuille de Donnée'!$F$31)))))</f>
        <v/>
      </c>
      <c r="AT79" s="151"/>
      <c r="AU79" s="110"/>
      <c r="AV79" s="28"/>
      <c r="AW79" s="28"/>
      <c r="AX79" s="28" t="str">
        <f t="shared" si="32"/>
        <v/>
      </c>
      <c r="AY79" s="128" t="str">
        <f t="shared" si="33"/>
        <v/>
      </c>
      <c r="AZ79" s="128" t="str">
        <f t="shared" si="34"/>
        <v/>
      </c>
      <c r="BA79" s="28" t="str">
        <f>IF(AND(ISBLANK(BC79),BB79=""),"",1+MAX(BA$18:BA78))</f>
        <v/>
      </c>
      <c r="BB79" s="150" t="str">
        <f>IF(OR(AX79="",AX79=0,$J79="",$J79=0,NOT(ISNUMBER($J79)),NOT(ISNUMBER(AX79))),IF(AND($G79&lt;&gt;"",AND(OR(ISNUMBER(AX79),AX79=""),AND(ISNUMBER($J79),$J79&gt;0))),'Feuille de Donnée'!$K$13,""),IF(AX79&lt;$J$165*'Feuille de Donnée'!$I$9,"Négligeable",(IF(AND(AV79&gt;=$H79*(1-'Feuille de Donnée'!$E$12),AV79&lt;=$H79*(1+'Feuille de Donnée'!$F$12)),'Feuille de Donnée'!$F$17,IF(AV79&lt;$H79*(1-'Feuille de Donnée'!$E$12),'Feuille de Donnée'!$F$18,'Feuille de Donnée'!$F$16))&amp;""&amp;IF(AND(AW79&gt;=$I79*(1-'Feuille de Donnée'!$E$27),AW79&lt;=$I79*(1+'Feuille de Donnée'!$F$27)),'Feuille de Donnée'!$F$32,IF(AW79&lt;$I79*(1-'Feuille de Donnée'!$E$27),'Feuille de Donnée'!$F$33,'Feuille de Donnée'!$F$31)))))</f>
        <v/>
      </c>
      <c r="BC79" s="151"/>
      <c r="BD79" s="110"/>
      <c r="BE79" s="28"/>
      <c r="BF79" s="28"/>
      <c r="BG79" s="28" t="str">
        <f t="shared" si="35"/>
        <v/>
      </c>
      <c r="BH79" s="128" t="str">
        <f t="shared" si="36"/>
        <v/>
      </c>
      <c r="BI79" s="128" t="str">
        <f t="shared" si="37"/>
        <v/>
      </c>
      <c r="BJ79" s="28" t="str">
        <f>IF(AND(ISBLANK(BL79),BK79=""),"",1+MAX(BJ$18:BJ78))</f>
        <v/>
      </c>
      <c r="BK79" s="150" t="str">
        <f>IF(OR(BG79="",BG79=0,$J79="",$J79=0,NOT(ISNUMBER($J79)),NOT(ISNUMBER(BG79))),IF(AND($G79&lt;&gt;"",AND(OR(ISNUMBER(BG79),BG79=""),AND(ISNUMBER($J79),$J79&gt;0))),'Feuille de Donnée'!$K$13,""),IF(BG79&lt;$J$165*'Feuille de Donnée'!$I$9,"Négligeable",(IF(AND(BE79&gt;=$H79*(1-'Feuille de Donnée'!$E$12),BE79&lt;=$H79*(1+'Feuille de Donnée'!$F$12)),'Feuille de Donnée'!$F$17,IF(BE79&lt;$H79*(1-'Feuille de Donnée'!$E$12),'Feuille de Donnée'!$F$18,'Feuille de Donnée'!$F$16))&amp;""&amp;IF(AND(BF79&gt;=$I79*(1-'Feuille de Donnée'!$E$27),BF79&lt;=$I79*(1+'Feuille de Donnée'!$F$27)),'Feuille de Donnée'!$F$32,IF(BF79&lt;$I79*(1-'Feuille de Donnée'!$E$27),'Feuille de Donnée'!$F$33,'Feuille de Donnée'!$F$31)))))</f>
        <v/>
      </c>
      <c r="BL79" s="151"/>
      <c r="BM79" s="153"/>
    </row>
    <row r="80" spans="1:65" s="7" customFormat="1" x14ac:dyDescent="0.3">
      <c r="A80" s="24"/>
      <c r="B80" s="25"/>
      <c r="C80" s="25"/>
      <c r="D80" s="25"/>
      <c r="E80" s="25"/>
      <c r="F80" s="25"/>
      <c r="G80" s="23"/>
      <c r="H80" s="26"/>
      <c r="I80" s="27"/>
      <c r="J80" s="109" t="str">
        <f t="shared" si="19"/>
        <v/>
      </c>
      <c r="K80" s="110"/>
      <c r="L80" s="28"/>
      <c r="M80" s="28"/>
      <c r="N80" s="28" t="str">
        <f t="shared" si="20"/>
        <v/>
      </c>
      <c r="O80" s="128" t="str">
        <f t="shared" si="21"/>
        <v/>
      </c>
      <c r="P80" s="128" t="str">
        <f t="shared" si="22"/>
        <v/>
      </c>
      <c r="Q80" s="28" t="str">
        <f>IF(AND(ISBLANK(S80),R80=""),"",1+MAX(Q$18:Q79))</f>
        <v/>
      </c>
      <c r="R80" s="150" t="str">
        <f>IF(OR(N80="",N80=0,$J80="",$J80=0,NOT(ISNUMBER($J80)),NOT(ISNUMBER(N80))),IF(AND($G80&lt;&gt;"",AND(OR(ISNUMBER(N80),N80=""),AND(ISNUMBER($J80),$J80&gt;0))),'Feuille de Donnée'!$K$13,""),IF(N80&lt;$J$165*'Feuille de Donnée'!$I$9,"Négligeable",(IF(AND(L80&gt;=$H80*(1-'Feuille de Donnée'!$E$12),L80&lt;=$H80*(1+'Feuille de Donnée'!$F$12)),'Feuille de Donnée'!$F$17,IF(L80&lt;$H80*(1-'Feuille de Donnée'!$E$12),'Feuille de Donnée'!$F$18,'Feuille de Donnée'!$F$16))&amp;""&amp;IF(AND(M80&gt;=$I80*(1-'Feuille de Donnée'!$E$27),M80&lt;=$I80*(1+'Feuille de Donnée'!$F$27)),'Feuille de Donnée'!$F$32,IF(M80&lt;$I80*(1-'Feuille de Donnée'!$E$27),'Feuille de Donnée'!$F$33,'Feuille de Donnée'!$F$31)))))</f>
        <v/>
      </c>
      <c r="S80" s="151"/>
      <c r="T80" s="110"/>
      <c r="U80" s="28"/>
      <c r="V80" s="28"/>
      <c r="W80" s="28" t="str">
        <f t="shared" si="23"/>
        <v/>
      </c>
      <c r="X80" s="128" t="str">
        <f t="shared" si="24"/>
        <v/>
      </c>
      <c r="Y80" s="128" t="str">
        <f t="shared" si="25"/>
        <v/>
      </c>
      <c r="Z80" s="28" t="str">
        <f>IF(AND(ISBLANK(AB80),AA80=""),"",1+MAX(Z$18:Z79))</f>
        <v/>
      </c>
      <c r="AA80" s="150" t="str">
        <f>IF(OR(W80="",W80=0,$J80="",$J80=0,NOT(ISNUMBER($J80)),NOT(ISNUMBER(W80))),IF(AND($G80&lt;&gt;"",AND(OR(ISNUMBER(W80),W80=""),AND(ISNUMBER($J80),$J80&gt;0))),'Feuille de Donnée'!$K$13,""),IF(W80&lt;$J$165*'Feuille de Donnée'!$I$9,"Négligeable",(IF(AND(U80&gt;=$H80*(1-'Feuille de Donnée'!$E$12),U80&lt;=$H80*(1+'Feuille de Donnée'!$F$12)),'Feuille de Donnée'!$F$17,IF(U80&lt;$H80*(1-'Feuille de Donnée'!$E$12),'Feuille de Donnée'!$F$18,'Feuille de Donnée'!$F$16))&amp;""&amp;IF(AND(V80&gt;=$I80*(1-'Feuille de Donnée'!$E$27),V80&lt;=$I80*(1+'Feuille de Donnée'!$F$27)),'Feuille de Donnée'!$F$32,IF(V80&lt;$I80*(1-'Feuille de Donnée'!$E$27),'Feuille de Donnée'!$F$33,'Feuille de Donnée'!$F$31)))))</f>
        <v/>
      </c>
      <c r="AB80" s="151"/>
      <c r="AC80" s="110"/>
      <c r="AD80" s="28"/>
      <c r="AE80" s="28"/>
      <c r="AF80" s="28" t="str">
        <f t="shared" si="26"/>
        <v/>
      </c>
      <c r="AG80" s="128" t="str">
        <f t="shared" si="27"/>
        <v/>
      </c>
      <c r="AH80" s="128" t="str">
        <f t="shared" si="28"/>
        <v/>
      </c>
      <c r="AI80" s="28" t="str">
        <f>IF(AND(ISBLANK(AK80),AJ80=""),"",1+MAX(AI$18:AI79))</f>
        <v/>
      </c>
      <c r="AJ80" s="150" t="str">
        <f>IF(OR(AF80="",AF80=0,$J80="",$J80=0,NOT(ISNUMBER($J80)),NOT(ISNUMBER(AF80))),IF(AND($G80&lt;&gt;"",AND(OR(ISNUMBER(AF80),AF80=""),AND(ISNUMBER($J80),$J80&gt;0))),'Feuille de Donnée'!$K$13,""),IF(AF80&lt;$J$165*'Feuille de Donnée'!$I$9,"Négligeable",(IF(AND(AD80&gt;=$H80*(1-'Feuille de Donnée'!$E$12),AD80&lt;=$H80*(1+'Feuille de Donnée'!$F$12)),'Feuille de Donnée'!$F$17,IF(AD80&lt;$H80*(1-'Feuille de Donnée'!$E$12),'Feuille de Donnée'!$F$18,'Feuille de Donnée'!$F$16))&amp;""&amp;IF(AND(AE80&gt;=$I80*(1-'Feuille de Donnée'!$E$27),AE80&lt;=$I80*(1+'Feuille de Donnée'!$F$27)),'Feuille de Donnée'!$F$32,IF(AE80&lt;$I80*(1-'Feuille de Donnée'!$E$27),'Feuille de Donnée'!$F$33,'Feuille de Donnée'!$F$31)))))</f>
        <v/>
      </c>
      <c r="AK80" s="151"/>
      <c r="AL80" s="110"/>
      <c r="AM80" s="28"/>
      <c r="AN80" s="28"/>
      <c r="AO80" s="28" t="str">
        <f t="shared" si="29"/>
        <v/>
      </c>
      <c r="AP80" s="128" t="str">
        <f t="shared" si="30"/>
        <v/>
      </c>
      <c r="AQ80" s="128" t="str">
        <f t="shared" si="31"/>
        <v/>
      </c>
      <c r="AR80" s="28" t="str">
        <f>IF(AND(ISBLANK(AT80),AS80=""),"",1+MAX(AR$18:AR79))</f>
        <v/>
      </c>
      <c r="AS80" s="150" t="str">
        <f>IF(OR(AO80="",AO80=0,$J80="",$J80=0,NOT(ISNUMBER($J80)),NOT(ISNUMBER(AO80))),IF(AND($G80&lt;&gt;"",AND(OR(ISNUMBER(AO80),AO80=""),AND(ISNUMBER($J80),$J80&gt;0))),'Feuille de Donnée'!$K$13,""),IF(AO80&lt;$J$165*'Feuille de Donnée'!$I$9,"Négligeable",(IF(AND(AM80&gt;=$H80*(1-'Feuille de Donnée'!$E$12),AM80&lt;=$H80*(1+'Feuille de Donnée'!$F$12)),'Feuille de Donnée'!$F$17,IF(AM80&lt;$H80*(1-'Feuille de Donnée'!$E$12),'Feuille de Donnée'!$F$18,'Feuille de Donnée'!$F$16))&amp;""&amp;IF(AND(AN80&gt;=$I80*(1-'Feuille de Donnée'!$E$27),AN80&lt;=$I80*(1+'Feuille de Donnée'!$F$27)),'Feuille de Donnée'!$F$32,IF(AN80&lt;$I80*(1-'Feuille de Donnée'!$E$27),'Feuille de Donnée'!$F$33,'Feuille de Donnée'!$F$31)))))</f>
        <v/>
      </c>
      <c r="AT80" s="151"/>
      <c r="AU80" s="110"/>
      <c r="AV80" s="28"/>
      <c r="AW80" s="28"/>
      <c r="AX80" s="28" t="str">
        <f t="shared" si="32"/>
        <v/>
      </c>
      <c r="AY80" s="128" t="str">
        <f t="shared" si="33"/>
        <v/>
      </c>
      <c r="AZ80" s="128" t="str">
        <f t="shared" si="34"/>
        <v/>
      </c>
      <c r="BA80" s="28" t="str">
        <f>IF(AND(ISBLANK(BC80),BB80=""),"",1+MAX(BA$18:BA79))</f>
        <v/>
      </c>
      <c r="BB80" s="150" t="str">
        <f>IF(OR(AX80="",AX80=0,$J80="",$J80=0,NOT(ISNUMBER($J80)),NOT(ISNUMBER(AX80))),IF(AND($G80&lt;&gt;"",AND(OR(ISNUMBER(AX80),AX80=""),AND(ISNUMBER($J80),$J80&gt;0))),'Feuille de Donnée'!$K$13,""),IF(AX80&lt;$J$165*'Feuille de Donnée'!$I$9,"Négligeable",(IF(AND(AV80&gt;=$H80*(1-'Feuille de Donnée'!$E$12),AV80&lt;=$H80*(1+'Feuille de Donnée'!$F$12)),'Feuille de Donnée'!$F$17,IF(AV80&lt;$H80*(1-'Feuille de Donnée'!$E$12),'Feuille de Donnée'!$F$18,'Feuille de Donnée'!$F$16))&amp;""&amp;IF(AND(AW80&gt;=$I80*(1-'Feuille de Donnée'!$E$27),AW80&lt;=$I80*(1+'Feuille de Donnée'!$F$27)),'Feuille de Donnée'!$F$32,IF(AW80&lt;$I80*(1-'Feuille de Donnée'!$E$27),'Feuille de Donnée'!$F$33,'Feuille de Donnée'!$F$31)))))</f>
        <v/>
      </c>
      <c r="BC80" s="151"/>
      <c r="BD80" s="110"/>
      <c r="BE80" s="28"/>
      <c r="BF80" s="28"/>
      <c r="BG80" s="28" t="str">
        <f t="shared" si="35"/>
        <v/>
      </c>
      <c r="BH80" s="128" t="str">
        <f t="shared" si="36"/>
        <v/>
      </c>
      <c r="BI80" s="128" t="str">
        <f t="shared" si="37"/>
        <v/>
      </c>
      <c r="BJ80" s="28" t="str">
        <f>IF(AND(ISBLANK(BL80),BK80=""),"",1+MAX(BJ$18:BJ79))</f>
        <v/>
      </c>
      <c r="BK80" s="150" t="str">
        <f>IF(OR(BG80="",BG80=0,$J80="",$J80=0,NOT(ISNUMBER($J80)),NOT(ISNUMBER(BG80))),IF(AND($G80&lt;&gt;"",AND(OR(ISNUMBER(BG80),BG80=""),AND(ISNUMBER($J80),$J80&gt;0))),'Feuille de Donnée'!$K$13,""),IF(BG80&lt;$J$165*'Feuille de Donnée'!$I$9,"Négligeable",(IF(AND(BE80&gt;=$H80*(1-'Feuille de Donnée'!$E$12),BE80&lt;=$H80*(1+'Feuille de Donnée'!$F$12)),'Feuille de Donnée'!$F$17,IF(BE80&lt;$H80*(1-'Feuille de Donnée'!$E$12),'Feuille de Donnée'!$F$18,'Feuille de Donnée'!$F$16))&amp;""&amp;IF(AND(BF80&gt;=$I80*(1-'Feuille de Donnée'!$E$27),BF80&lt;=$I80*(1+'Feuille de Donnée'!$F$27)),'Feuille de Donnée'!$F$32,IF(BF80&lt;$I80*(1-'Feuille de Donnée'!$E$27),'Feuille de Donnée'!$F$33,'Feuille de Donnée'!$F$31)))))</f>
        <v/>
      </c>
      <c r="BL80" s="151"/>
      <c r="BM80" s="153"/>
    </row>
    <row r="81" spans="1:65" s="7" customFormat="1" x14ac:dyDescent="0.3">
      <c r="A81" s="24"/>
      <c r="B81" s="25"/>
      <c r="C81" s="25"/>
      <c r="D81" s="25"/>
      <c r="E81" s="25"/>
      <c r="F81" s="25"/>
      <c r="G81" s="23"/>
      <c r="H81" s="26"/>
      <c r="I81" s="27"/>
      <c r="J81" s="109" t="str">
        <f t="shared" si="19"/>
        <v/>
      </c>
      <c r="K81" s="110"/>
      <c r="L81" s="28"/>
      <c r="M81" s="28"/>
      <c r="N81" s="28" t="str">
        <f t="shared" si="20"/>
        <v/>
      </c>
      <c r="O81" s="128" t="str">
        <f t="shared" si="21"/>
        <v/>
      </c>
      <c r="P81" s="128" t="str">
        <f t="shared" si="22"/>
        <v/>
      </c>
      <c r="Q81" s="28" t="str">
        <f>IF(AND(ISBLANK(S81),R81=""),"",1+MAX(Q$18:Q80))</f>
        <v/>
      </c>
      <c r="R81" s="150" t="str">
        <f>IF(OR(N81="",N81=0,$J81="",$J81=0,NOT(ISNUMBER($J81)),NOT(ISNUMBER(N81))),IF(AND($G81&lt;&gt;"",AND(OR(ISNUMBER(N81),N81=""),AND(ISNUMBER($J81),$J81&gt;0))),'Feuille de Donnée'!$K$13,""),IF(N81&lt;$J$165*'Feuille de Donnée'!$I$9,"Négligeable",(IF(AND(L81&gt;=$H81*(1-'Feuille de Donnée'!$E$12),L81&lt;=$H81*(1+'Feuille de Donnée'!$F$12)),'Feuille de Donnée'!$F$17,IF(L81&lt;$H81*(1-'Feuille de Donnée'!$E$12),'Feuille de Donnée'!$F$18,'Feuille de Donnée'!$F$16))&amp;""&amp;IF(AND(M81&gt;=$I81*(1-'Feuille de Donnée'!$E$27),M81&lt;=$I81*(1+'Feuille de Donnée'!$F$27)),'Feuille de Donnée'!$F$32,IF(M81&lt;$I81*(1-'Feuille de Donnée'!$E$27),'Feuille de Donnée'!$F$33,'Feuille de Donnée'!$F$31)))))</f>
        <v/>
      </c>
      <c r="S81" s="151"/>
      <c r="T81" s="110"/>
      <c r="U81" s="28"/>
      <c r="V81" s="28"/>
      <c r="W81" s="28" t="str">
        <f t="shared" si="23"/>
        <v/>
      </c>
      <c r="X81" s="128" t="str">
        <f t="shared" si="24"/>
        <v/>
      </c>
      <c r="Y81" s="128" t="str">
        <f t="shared" si="25"/>
        <v/>
      </c>
      <c r="Z81" s="28" t="str">
        <f>IF(AND(ISBLANK(AB81),AA81=""),"",1+MAX(Z$18:Z80))</f>
        <v/>
      </c>
      <c r="AA81" s="150" t="str">
        <f>IF(OR(W81="",W81=0,$J81="",$J81=0,NOT(ISNUMBER($J81)),NOT(ISNUMBER(W81))),IF(AND($G81&lt;&gt;"",AND(OR(ISNUMBER(W81),W81=""),AND(ISNUMBER($J81),$J81&gt;0))),'Feuille de Donnée'!$K$13,""),IF(W81&lt;$J$165*'Feuille de Donnée'!$I$9,"Négligeable",(IF(AND(U81&gt;=$H81*(1-'Feuille de Donnée'!$E$12),U81&lt;=$H81*(1+'Feuille de Donnée'!$F$12)),'Feuille de Donnée'!$F$17,IF(U81&lt;$H81*(1-'Feuille de Donnée'!$E$12),'Feuille de Donnée'!$F$18,'Feuille de Donnée'!$F$16))&amp;""&amp;IF(AND(V81&gt;=$I81*(1-'Feuille de Donnée'!$E$27),V81&lt;=$I81*(1+'Feuille de Donnée'!$F$27)),'Feuille de Donnée'!$F$32,IF(V81&lt;$I81*(1-'Feuille de Donnée'!$E$27),'Feuille de Donnée'!$F$33,'Feuille de Donnée'!$F$31)))))</f>
        <v/>
      </c>
      <c r="AB81" s="151"/>
      <c r="AC81" s="110"/>
      <c r="AD81" s="28"/>
      <c r="AE81" s="28"/>
      <c r="AF81" s="28" t="str">
        <f t="shared" si="26"/>
        <v/>
      </c>
      <c r="AG81" s="128" t="str">
        <f t="shared" si="27"/>
        <v/>
      </c>
      <c r="AH81" s="128" t="str">
        <f t="shared" si="28"/>
        <v/>
      </c>
      <c r="AI81" s="28" t="str">
        <f>IF(AND(ISBLANK(AK81),AJ81=""),"",1+MAX(AI$18:AI80))</f>
        <v/>
      </c>
      <c r="AJ81" s="150" t="str">
        <f>IF(OR(AF81="",AF81=0,$J81="",$J81=0,NOT(ISNUMBER($J81)),NOT(ISNUMBER(AF81))),IF(AND($G81&lt;&gt;"",AND(OR(ISNUMBER(AF81),AF81=""),AND(ISNUMBER($J81),$J81&gt;0))),'Feuille de Donnée'!$K$13,""),IF(AF81&lt;$J$165*'Feuille de Donnée'!$I$9,"Négligeable",(IF(AND(AD81&gt;=$H81*(1-'Feuille de Donnée'!$E$12),AD81&lt;=$H81*(1+'Feuille de Donnée'!$F$12)),'Feuille de Donnée'!$F$17,IF(AD81&lt;$H81*(1-'Feuille de Donnée'!$E$12),'Feuille de Donnée'!$F$18,'Feuille de Donnée'!$F$16))&amp;""&amp;IF(AND(AE81&gt;=$I81*(1-'Feuille de Donnée'!$E$27),AE81&lt;=$I81*(1+'Feuille de Donnée'!$F$27)),'Feuille de Donnée'!$F$32,IF(AE81&lt;$I81*(1-'Feuille de Donnée'!$E$27),'Feuille de Donnée'!$F$33,'Feuille de Donnée'!$F$31)))))</f>
        <v/>
      </c>
      <c r="AK81" s="151"/>
      <c r="AL81" s="110"/>
      <c r="AM81" s="28"/>
      <c r="AN81" s="28"/>
      <c r="AO81" s="28" t="str">
        <f t="shared" si="29"/>
        <v/>
      </c>
      <c r="AP81" s="128" t="str">
        <f t="shared" si="30"/>
        <v/>
      </c>
      <c r="AQ81" s="128" t="str">
        <f t="shared" si="31"/>
        <v/>
      </c>
      <c r="AR81" s="28" t="str">
        <f>IF(AND(ISBLANK(AT81),AS81=""),"",1+MAX(AR$18:AR80))</f>
        <v/>
      </c>
      <c r="AS81" s="150" t="str">
        <f>IF(OR(AO81="",AO81=0,$J81="",$J81=0,NOT(ISNUMBER($J81)),NOT(ISNUMBER(AO81))),IF(AND($G81&lt;&gt;"",AND(OR(ISNUMBER(AO81),AO81=""),AND(ISNUMBER($J81),$J81&gt;0))),'Feuille de Donnée'!$K$13,""),IF(AO81&lt;$J$165*'Feuille de Donnée'!$I$9,"Négligeable",(IF(AND(AM81&gt;=$H81*(1-'Feuille de Donnée'!$E$12),AM81&lt;=$H81*(1+'Feuille de Donnée'!$F$12)),'Feuille de Donnée'!$F$17,IF(AM81&lt;$H81*(1-'Feuille de Donnée'!$E$12),'Feuille de Donnée'!$F$18,'Feuille de Donnée'!$F$16))&amp;""&amp;IF(AND(AN81&gt;=$I81*(1-'Feuille de Donnée'!$E$27),AN81&lt;=$I81*(1+'Feuille de Donnée'!$F$27)),'Feuille de Donnée'!$F$32,IF(AN81&lt;$I81*(1-'Feuille de Donnée'!$E$27),'Feuille de Donnée'!$F$33,'Feuille de Donnée'!$F$31)))))</f>
        <v/>
      </c>
      <c r="AT81" s="151"/>
      <c r="AU81" s="110"/>
      <c r="AV81" s="28"/>
      <c r="AW81" s="28"/>
      <c r="AX81" s="28" t="str">
        <f t="shared" si="32"/>
        <v/>
      </c>
      <c r="AY81" s="128" t="str">
        <f t="shared" si="33"/>
        <v/>
      </c>
      <c r="AZ81" s="128" t="str">
        <f t="shared" si="34"/>
        <v/>
      </c>
      <c r="BA81" s="28" t="str">
        <f>IF(AND(ISBLANK(BC81),BB81=""),"",1+MAX(BA$18:BA80))</f>
        <v/>
      </c>
      <c r="BB81" s="150" t="str">
        <f>IF(OR(AX81="",AX81=0,$J81="",$J81=0,NOT(ISNUMBER($J81)),NOT(ISNUMBER(AX81))),IF(AND($G81&lt;&gt;"",AND(OR(ISNUMBER(AX81),AX81=""),AND(ISNUMBER($J81),$J81&gt;0))),'Feuille de Donnée'!$K$13,""),IF(AX81&lt;$J$165*'Feuille de Donnée'!$I$9,"Négligeable",(IF(AND(AV81&gt;=$H81*(1-'Feuille de Donnée'!$E$12),AV81&lt;=$H81*(1+'Feuille de Donnée'!$F$12)),'Feuille de Donnée'!$F$17,IF(AV81&lt;$H81*(1-'Feuille de Donnée'!$E$12),'Feuille de Donnée'!$F$18,'Feuille de Donnée'!$F$16))&amp;""&amp;IF(AND(AW81&gt;=$I81*(1-'Feuille de Donnée'!$E$27),AW81&lt;=$I81*(1+'Feuille de Donnée'!$F$27)),'Feuille de Donnée'!$F$32,IF(AW81&lt;$I81*(1-'Feuille de Donnée'!$E$27),'Feuille de Donnée'!$F$33,'Feuille de Donnée'!$F$31)))))</f>
        <v/>
      </c>
      <c r="BC81" s="151"/>
      <c r="BD81" s="110"/>
      <c r="BE81" s="28"/>
      <c r="BF81" s="28"/>
      <c r="BG81" s="28" t="str">
        <f t="shared" si="35"/>
        <v/>
      </c>
      <c r="BH81" s="128" t="str">
        <f t="shared" si="36"/>
        <v/>
      </c>
      <c r="BI81" s="128" t="str">
        <f t="shared" si="37"/>
        <v/>
      </c>
      <c r="BJ81" s="28" t="str">
        <f>IF(AND(ISBLANK(BL81),BK81=""),"",1+MAX(BJ$18:BJ80))</f>
        <v/>
      </c>
      <c r="BK81" s="150" t="str">
        <f>IF(OR(BG81="",BG81=0,$J81="",$J81=0,NOT(ISNUMBER($J81)),NOT(ISNUMBER(BG81))),IF(AND($G81&lt;&gt;"",AND(OR(ISNUMBER(BG81),BG81=""),AND(ISNUMBER($J81),$J81&gt;0))),'Feuille de Donnée'!$K$13,""),IF(BG81&lt;$J$165*'Feuille de Donnée'!$I$9,"Négligeable",(IF(AND(BE81&gt;=$H81*(1-'Feuille de Donnée'!$E$12),BE81&lt;=$H81*(1+'Feuille de Donnée'!$F$12)),'Feuille de Donnée'!$F$17,IF(BE81&lt;$H81*(1-'Feuille de Donnée'!$E$12),'Feuille de Donnée'!$F$18,'Feuille de Donnée'!$F$16))&amp;""&amp;IF(AND(BF81&gt;=$I81*(1-'Feuille de Donnée'!$E$27),BF81&lt;=$I81*(1+'Feuille de Donnée'!$F$27)),'Feuille de Donnée'!$F$32,IF(BF81&lt;$I81*(1-'Feuille de Donnée'!$E$27),'Feuille de Donnée'!$F$33,'Feuille de Donnée'!$F$31)))))</f>
        <v/>
      </c>
      <c r="BL81" s="151"/>
      <c r="BM81" s="153"/>
    </row>
    <row r="82" spans="1:65" s="7" customFormat="1" x14ac:dyDescent="0.3">
      <c r="A82" s="24"/>
      <c r="B82" s="25"/>
      <c r="C82" s="25"/>
      <c r="D82" s="25"/>
      <c r="E82" s="25"/>
      <c r="F82" s="25"/>
      <c r="G82" s="23"/>
      <c r="H82" s="26"/>
      <c r="I82" s="27"/>
      <c r="J82" s="109" t="str">
        <f t="shared" si="19"/>
        <v/>
      </c>
      <c r="K82" s="110"/>
      <c r="L82" s="28"/>
      <c r="M82" s="28"/>
      <c r="N82" s="28" t="str">
        <f t="shared" si="20"/>
        <v/>
      </c>
      <c r="O82" s="128" t="str">
        <f t="shared" si="21"/>
        <v/>
      </c>
      <c r="P82" s="128" t="str">
        <f t="shared" si="22"/>
        <v/>
      </c>
      <c r="Q82" s="28" t="str">
        <f>IF(AND(ISBLANK(S82),R82=""),"",1+MAX(Q$18:Q81))</f>
        <v/>
      </c>
      <c r="R82" s="150" t="str">
        <f>IF(OR(N82="",N82=0,$J82="",$J82=0,NOT(ISNUMBER($J82)),NOT(ISNUMBER(N82))),IF(AND($G82&lt;&gt;"",AND(OR(ISNUMBER(N82),N82=""),AND(ISNUMBER($J82),$J82&gt;0))),'Feuille de Donnée'!$K$13,""),IF(N82&lt;$J$165*'Feuille de Donnée'!$I$9,"Négligeable",(IF(AND(L82&gt;=$H82*(1-'Feuille de Donnée'!$E$12),L82&lt;=$H82*(1+'Feuille de Donnée'!$F$12)),'Feuille de Donnée'!$F$17,IF(L82&lt;$H82*(1-'Feuille de Donnée'!$E$12),'Feuille de Donnée'!$F$18,'Feuille de Donnée'!$F$16))&amp;""&amp;IF(AND(M82&gt;=$I82*(1-'Feuille de Donnée'!$E$27),M82&lt;=$I82*(1+'Feuille de Donnée'!$F$27)),'Feuille de Donnée'!$F$32,IF(M82&lt;$I82*(1-'Feuille de Donnée'!$E$27),'Feuille de Donnée'!$F$33,'Feuille de Donnée'!$F$31)))))</f>
        <v/>
      </c>
      <c r="S82" s="151"/>
      <c r="T82" s="110"/>
      <c r="U82" s="28"/>
      <c r="V82" s="28"/>
      <c r="W82" s="28" t="str">
        <f t="shared" si="23"/>
        <v/>
      </c>
      <c r="X82" s="128" t="str">
        <f t="shared" si="24"/>
        <v/>
      </c>
      <c r="Y82" s="128" t="str">
        <f t="shared" si="25"/>
        <v/>
      </c>
      <c r="Z82" s="28" t="str">
        <f>IF(AND(ISBLANK(AB82),AA82=""),"",1+MAX(Z$18:Z81))</f>
        <v/>
      </c>
      <c r="AA82" s="150" t="str">
        <f>IF(OR(W82="",W82=0,$J82="",$J82=0,NOT(ISNUMBER($J82)),NOT(ISNUMBER(W82))),IF(AND($G82&lt;&gt;"",AND(OR(ISNUMBER(W82),W82=""),AND(ISNUMBER($J82),$J82&gt;0))),'Feuille de Donnée'!$K$13,""),IF(W82&lt;$J$165*'Feuille de Donnée'!$I$9,"Négligeable",(IF(AND(U82&gt;=$H82*(1-'Feuille de Donnée'!$E$12),U82&lt;=$H82*(1+'Feuille de Donnée'!$F$12)),'Feuille de Donnée'!$F$17,IF(U82&lt;$H82*(1-'Feuille de Donnée'!$E$12),'Feuille de Donnée'!$F$18,'Feuille de Donnée'!$F$16))&amp;""&amp;IF(AND(V82&gt;=$I82*(1-'Feuille de Donnée'!$E$27),V82&lt;=$I82*(1+'Feuille de Donnée'!$F$27)),'Feuille de Donnée'!$F$32,IF(V82&lt;$I82*(1-'Feuille de Donnée'!$E$27),'Feuille de Donnée'!$F$33,'Feuille de Donnée'!$F$31)))))</f>
        <v/>
      </c>
      <c r="AB82" s="151"/>
      <c r="AC82" s="110"/>
      <c r="AD82" s="28"/>
      <c r="AE82" s="28"/>
      <c r="AF82" s="28" t="str">
        <f t="shared" si="26"/>
        <v/>
      </c>
      <c r="AG82" s="128" t="str">
        <f t="shared" si="27"/>
        <v/>
      </c>
      <c r="AH82" s="128" t="str">
        <f t="shared" si="28"/>
        <v/>
      </c>
      <c r="AI82" s="28" t="str">
        <f>IF(AND(ISBLANK(AK82),AJ82=""),"",1+MAX(AI$18:AI81))</f>
        <v/>
      </c>
      <c r="AJ82" s="150" t="str">
        <f>IF(OR(AF82="",AF82=0,$J82="",$J82=0,NOT(ISNUMBER($J82)),NOT(ISNUMBER(AF82))),IF(AND($G82&lt;&gt;"",AND(OR(ISNUMBER(AF82),AF82=""),AND(ISNUMBER($J82),$J82&gt;0))),'Feuille de Donnée'!$K$13,""),IF(AF82&lt;$J$165*'Feuille de Donnée'!$I$9,"Négligeable",(IF(AND(AD82&gt;=$H82*(1-'Feuille de Donnée'!$E$12),AD82&lt;=$H82*(1+'Feuille de Donnée'!$F$12)),'Feuille de Donnée'!$F$17,IF(AD82&lt;$H82*(1-'Feuille de Donnée'!$E$12),'Feuille de Donnée'!$F$18,'Feuille de Donnée'!$F$16))&amp;""&amp;IF(AND(AE82&gt;=$I82*(1-'Feuille de Donnée'!$E$27),AE82&lt;=$I82*(1+'Feuille de Donnée'!$F$27)),'Feuille de Donnée'!$F$32,IF(AE82&lt;$I82*(1-'Feuille de Donnée'!$E$27),'Feuille de Donnée'!$F$33,'Feuille de Donnée'!$F$31)))))</f>
        <v/>
      </c>
      <c r="AK82" s="151"/>
      <c r="AL82" s="110"/>
      <c r="AM82" s="28"/>
      <c r="AN82" s="28"/>
      <c r="AO82" s="28" t="str">
        <f t="shared" si="29"/>
        <v/>
      </c>
      <c r="AP82" s="128" t="str">
        <f t="shared" si="30"/>
        <v/>
      </c>
      <c r="AQ82" s="128" t="str">
        <f t="shared" si="31"/>
        <v/>
      </c>
      <c r="AR82" s="28" t="str">
        <f>IF(AND(ISBLANK(AT82),AS82=""),"",1+MAX(AR$18:AR81))</f>
        <v/>
      </c>
      <c r="AS82" s="150" t="str">
        <f>IF(OR(AO82="",AO82=0,$J82="",$J82=0,NOT(ISNUMBER($J82)),NOT(ISNUMBER(AO82))),IF(AND($G82&lt;&gt;"",AND(OR(ISNUMBER(AO82),AO82=""),AND(ISNUMBER($J82),$J82&gt;0))),'Feuille de Donnée'!$K$13,""),IF(AO82&lt;$J$165*'Feuille de Donnée'!$I$9,"Négligeable",(IF(AND(AM82&gt;=$H82*(1-'Feuille de Donnée'!$E$12),AM82&lt;=$H82*(1+'Feuille de Donnée'!$F$12)),'Feuille de Donnée'!$F$17,IF(AM82&lt;$H82*(1-'Feuille de Donnée'!$E$12),'Feuille de Donnée'!$F$18,'Feuille de Donnée'!$F$16))&amp;""&amp;IF(AND(AN82&gt;=$I82*(1-'Feuille de Donnée'!$E$27),AN82&lt;=$I82*(1+'Feuille de Donnée'!$F$27)),'Feuille de Donnée'!$F$32,IF(AN82&lt;$I82*(1-'Feuille de Donnée'!$E$27),'Feuille de Donnée'!$F$33,'Feuille de Donnée'!$F$31)))))</f>
        <v/>
      </c>
      <c r="AT82" s="151"/>
      <c r="AU82" s="110"/>
      <c r="AV82" s="28"/>
      <c r="AW82" s="28"/>
      <c r="AX82" s="28" t="str">
        <f t="shared" si="32"/>
        <v/>
      </c>
      <c r="AY82" s="128" t="str">
        <f t="shared" si="33"/>
        <v/>
      </c>
      <c r="AZ82" s="128" t="str">
        <f t="shared" si="34"/>
        <v/>
      </c>
      <c r="BA82" s="28" t="str">
        <f>IF(AND(ISBLANK(BC82),BB82=""),"",1+MAX(BA$18:BA81))</f>
        <v/>
      </c>
      <c r="BB82" s="150" t="str">
        <f>IF(OR(AX82="",AX82=0,$J82="",$J82=0,NOT(ISNUMBER($J82)),NOT(ISNUMBER(AX82))),IF(AND($G82&lt;&gt;"",AND(OR(ISNUMBER(AX82),AX82=""),AND(ISNUMBER($J82),$J82&gt;0))),'Feuille de Donnée'!$K$13,""),IF(AX82&lt;$J$165*'Feuille de Donnée'!$I$9,"Négligeable",(IF(AND(AV82&gt;=$H82*(1-'Feuille de Donnée'!$E$12),AV82&lt;=$H82*(1+'Feuille de Donnée'!$F$12)),'Feuille de Donnée'!$F$17,IF(AV82&lt;$H82*(1-'Feuille de Donnée'!$E$12),'Feuille de Donnée'!$F$18,'Feuille de Donnée'!$F$16))&amp;""&amp;IF(AND(AW82&gt;=$I82*(1-'Feuille de Donnée'!$E$27),AW82&lt;=$I82*(1+'Feuille de Donnée'!$F$27)),'Feuille de Donnée'!$F$32,IF(AW82&lt;$I82*(1-'Feuille de Donnée'!$E$27),'Feuille de Donnée'!$F$33,'Feuille de Donnée'!$F$31)))))</f>
        <v/>
      </c>
      <c r="BC82" s="151"/>
      <c r="BD82" s="110"/>
      <c r="BE82" s="28"/>
      <c r="BF82" s="28"/>
      <c r="BG82" s="28" t="str">
        <f t="shared" si="35"/>
        <v/>
      </c>
      <c r="BH82" s="128" t="str">
        <f t="shared" si="36"/>
        <v/>
      </c>
      <c r="BI82" s="128" t="str">
        <f t="shared" si="37"/>
        <v/>
      </c>
      <c r="BJ82" s="28" t="str">
        <f>IF(AND(ISBLANK(BL82),BK82=""),"",1+MAX(BJ$18:BJ81))</f>
        <v/>
      </c>
      <c r="BK82" s="150" t="str">
        <f>IF(OR(BG82="",BG82=0,$J82="",$J82=0,NOT(ISNUMBER($J82)),NOT(ISNUMBER(BG82))),IF(AND($G82&lt;&gt;"",AND(OR(ISNUMBER(BG82),BG82=""),AND(ISNUMBER($J82),$J82&gt;0))),'Feuille de Donnée'!$K$13,""),IF(BG82&lt;$J$165*'Feuille de Donnée'!$I$9,"Négligeable",(IF(AND(BE82&gt;=$H82*(1-'Feuille de Donnée'!$E$12),BE82&lt;=$H82*(1+'Feuille de Donnée'!$F$12)),'Feuille de Donnée'!$F$17,IF(BE82&lt;$H82*(1-'Feuille de Donnée'!$E$12),'Feuille de Donnée'!$F$18,'Feuille de Donnée'!$F$16))&amp;""&amp;IF(AND(BF82&gt;=$I82*(1-'Feuille de Donnée'!$E$27),BF82&lt;=$I82*(1+'Feuille de Donnée'!$F$27)),'Feuille de Donnée'!$F$32,IF(BF82&lt;$I82*(1-'Feuille de Donnée'!$E$27),'Feuille de Donnée'!$F$33,'Feuille de Donnée'!$F$31)))))</f>
        <v/>
      </c>
      <c r="BL82" s="151"/>
      <c r="BM82" s="153"/>
    </row>
    <row r="83" spans="1:65" s="7" customFormat="1" x14ac:dyDescent="0.3">
      <c r="A83" s="24"/>
      <c r="B83" s="25"/>
      <c r="C83" s="25"/>
      <c r="D83" s="25"/>
      <c r="E83" s="25"/>
      <c r="F83" s="25"/>
      <c r="G83" s="23"/>
      <c r="H83" s="26"/>
      <c r="I83" s="27"/>
      <c r="J83" s="109" t="str">
        <f t="shared" si="19"/>
        <v/>
      </c>
      <c r="K83" s="110"/>
      <c r="L83" s="28"/>
      <c r="M83" s="28"/>
      <c r="N83" s="28" t="str">
        <f t="shared" si="20"/>
        <v/>
      </c>
      <c r="O83" s="128" t="str">
        <f t="shared" si="21"/>
        <v/>
      </c>
      <c r="P83" s="128" t="str">
        <f t="shared" si="22"/>
        <v/>
      </c>
      <c r="Q83" s="28" t="str">
        <f>IF(AND(ISBLANK(S83),R83=""),"",1+MAX(Q$18:Q82))</f>
        <v/>
      </c>
      <c r="R83" s="150" t="str">
        <f>IF(OR(N83="",N83=0,$J83="",$J83=0,NOT(ISNUMBER($J83)),NOT(ISNUMBER(N83))),IF(AND($G83&lt;&gt;"",AND(OR(ISNUMBER(N83),N83=""),AND(ISNUMBER($J83),$J83&gt;0))),'Feuille de Donnée'!$K$13,""),IF(N83&lt;$J$165*'Feuille de Donnée'!$I$9,"Négligeable",(IF(AND(L83&gt;=$H83*(1-'Feuille de Donnée'!$E$12),L83&lt;=$H83*(1+'Feuille de Donnée'!$F$12)),'Feuille de Donnée'!$F$17,IF(L83&lt;$H83*(1-'Feuille de Donnée'!$E$12),'Feuille de Donnée'!$F$18,'Feuille de Donnée'!$F$16))&amp;""&amp;IF(AND(M83&gt;=$I83*(1-'Feuille de Donnée'!$E$27),M83&lt;=$I83*(1+'Feuille de Donnée'!$F$27)),'Feuille de Donnée'!$F$32,IF(M83&lt;$I83*(1-'Feuille de Donnée'!$E$27),'Feuille de Donnée'!$F$33,'Feuille de Donnée'!$F$31)))))</f>
        <v/>
      </c>
      <c r="S83" s="151"/>
      <c r="T83" s="110"/>
      <c r="U83" s="28"/>
      <c r="V83" s="28"/>
      <c r="W83" s="28" t="str">
        <f t="shared" si="23"/>
        <v/>
      </c>
      <c r="X83" s="128" t="str">
        <f t="shared" si="24"/>
        <v/>
      </c>
      <c r="Y83" s="128" t="str">
        <f t="shared" si="25"/>
        <v/>
      </c>
      <c r="Z83" s="28" t="str">
        <f>IF(AND(ISBLANK(AB83),AA83=""),"",1+MAX(Z$18:Z82))</f>
        <v/>
      </c>
      <c r="AA83" s="150" t="str">
        <f>IF(OR(W83="",W83=0,$J83="",$J83=0,NOT(ISNUMBER($J83)),NOT(ISNUMBER(W83))),IF(AND($G83&lt;&gt;"",AND(OR(ISNUMBER(W83),W83=""),AND(ISNUMBER($J83),$J83&gt;0))),'Feuille de Donnée'!$K$13,""),IF(W83&lt;$J$165*'Feuille de Donnée'!$I$9,"Négligeable",(IF(AND(U83&gt;=$H83*(1-'Feuille de Donnée'!$E$12),U83&lt;=$H83*(1+'Feuille de Donnée'!$F$12)),'Feuille de Donnée'!$F$17,IF(U83&lt;$H83*(1-'Feuille de Donnée'!$E$12),'Feuille de Donnée'!$F$18,'Feuille de Donnée'!$F$16))&amp;""&amp;IF(AND(V83&gt;=$I83*(1-'Feuille de Donnée'!$E$27),V83&lt;=$I83*(1+'Feuille de Donnée'!$F$27)),'Feuille de Donnée'!$F$32,IF(V83&lt;$I83*(1-'Feuille de Donnée'!$E$27),'Feuille de Donnée'!$F$33,'Feuille de Donnée'!$F$31)))))</f>
        <v/>
      </c>
      <c r="AB83" s="151"/>
      <c r="AC83" s="110"/>
      <c r="AD83" s="28"/>
      <c r="AE83" s="28"/>
      <c r="AF83" s="28" t="str">
        <f t="shared" si="26"/>
        <v/>
      </c>
      <c r="AG83" s="128" t="str">
        <f t="shared" si="27"/>
        <v/>
      </c>
      <c r="AH83" s="128" t="str">
        <f t="shared" si="28"/>
        <v/>
      </c>
      <c r="AI83" s="28" t="str">
        <f>IF(AND(ISBLANK(AK83),AJ83=""),"",1+MAX(AI$18:AI82))</f>
        <v/>
      </c>
      <c r="AJ83" s="150" t="str">
        <f>IF(OR(AF83="",AF83=0,$J83="",$J83=0,NOT(ISNUMBER($J83)),NOT(ISNUMBER(AF83))),IF(AND($G83&lt;&gt;"",AND(OR(ISNUMBER(AF83),AF83=""),AND(ISNUMBER($J83),$J83&gt;0))),'Feuille de Donnée'!$K$13,""),IF(AF83&lt;$J$165*'Feuille de Donnée'!$I$9,"Négligeable",(IF(AND(AD83&gt;=$H83*(1-'Feuille de Donnée'!$E$12),AD83&lt;=$H83*(1+'Feuille de Donnée'!$F$12)),'Feuille de Donnée'!$F$17,IF(AD83&lt;$H83*(1-'Feuille de Donnée'!$E$12),'Feuille de Donnée'!$F$18,'Feuille de Donnée'!$F$16))&amp;""&amp;IF(AND(AE83&gt;=$I83*(1-'Feuille de Donnée'!$E$27),AE83&lt;=$I83*(1+'Feuille de Donnée'!$F$27)),'Feuille de Donnée'!$F$32,IF(AE83&lt;$I83*(1-'Feuille de Donnée'!$E$27),'Feuille de Donnée'!$F$33,'Feuille de Donnée'!$F$31)))))</f>
        <v/>
      </c>
      <c r="AK83" s="151"/>
      <c r="AL83" s="110"/>
      <c r="AM83" s="28"/>
      <c r="AN83" s="28"/>
      <c r="AO83" s="28" t="str">
        <f t="shared" si="29"/>
        <v/>
      </c>
      <c r="AP83" s="128" t="str">
        <f t="shared" si="30"/>
        <v/>
      </c>
      <c r="AQ83" s="128" t="str">
        <f t="shared" si="31"/>
        <v/>
      </c>
      <c r="AR83" s="28" t="str">
        <f>IF(AND(ISBLANK(AT83),AS83=""),"",1+MAX(AR$18:AR82))</f>
        <v/>
      </c>
      <c r="AS83" s="150" t="str">
        <f>IF(OR(AO83="",AO83=0,$J83="",$J83=0,NOT(ISNUMBER($J83)),NOT(ISNUMBER(AO83))),IF(AND($G83&lt;&gt;"",AND(OR(ISNUMBER(AO83),AO83=""),AND(ISNUMBER($J83),$J83&gt;0))),'Feuille de Donnée'!$K$13,""),IF(AO83&lt;$J$165*'Feuille de Donnée'!$I$9,"Négligeable",(IF(AND(AM83&gt;=$H83*(1-'Feuille de Donnée'!$E$12),AM83&lt;=$H83*(1+'Feuille de Donnée'!$F$12)),'Feuille de Donnée'!$F$17,IF(AM83&lt;$H83*(1-'Feuille de Donnée'!$E$12),'Feuille de Donnée'!$F$18,'Feuille de Donnée'!$F$16))&amp;""&amp;IF(AND(AN83&gt;=$I83*(1-'Feuille de Donnée'!$E$27),AN83&lt;=$I83*(1+'Feuille de Donnée'!$F$27)),'Feuille de Donnée'!$F$32,IF(AN83&lt;$I83*(1-'Feuille de Donnée'!$E$27),'Feuille de Donnée'!$F$33,'Feuille de Donnée'!$F$31)))))</f>
        <v/>
      </c>
      <c r="AT83" s="151"/>
      <c r="AU83" s="110"/>
      <c r="AV83" s="28"/>
      <c r="AW83" s="28"/>
      <c r="AX83" s="28" t="str">
        <f t="shared" si="32"/>
        <v/>
      </c>
      <c r="AY83" s="128" t="str">
        <f t="shared" si="33"/>
        <v/>
      </c>
      <c r="AZ83" s="128" t="str">
        <f t="shared" si="34"/>
        <v/>
      </c>
      <c r="BA83" s="28" t="str">
        <f>IF(AND(ISBLANK(BC83),BB83=""),"",1+MAX(BA$18:BA82))</f>
        <v/>
      </c>
      <c r="BB83" s="150" t="str">
        <f>IF(OR(AX83="",AX83=0,$J83="",$J83=0,NOT(ISNUMBER($J83)),NOT(ISNUMBER(AX83))),IF(AND($G83&lt;&gt;"",AND(OR(ISNUMBER(AX83),AX83=""),AND(ISNUMBER($J83),$J83&gt;0))),'Feuille de Donnée'!$K$13,""),IF(AX83&lt;$J$165*'Feuille de Donnée'!$I$9,"Négligeable",(IF(AND(AV83&gt;=$H83*(1-'Feuille de Donnée'!$E$12),AV83&lt;=$H83*(1+'Feuille de Donnée'!$F$12)),'Feuille de Donnée'!$F$17,IF(AV83&lt;$H83*(1-'Feuille de Donnée'!$E$12),'Feuille de Donnée'!$F$18,'Feuille de Donnée'!$F$16))&amp;""&amp;IF(AND(AW83&gt;=$I83*(1-'Feuille de Donnée'!$E$27),AW83&lt;=$I83*(1+'Feuille de Donnée'!$F$27)),'Feuille de Donnée'!$F$32,IF(AW83&lt;$I83*(1-'Feuille de Donnée'!$E$27),'Feuille de Donnée'!$F$33,'Feuille de Donnée'!$F$31)))))</f>
        <v/>
      </c>
      <c r="BC83" s="151"/>
      <c r="BD83" s="110"/>
      <c r="BE83" s="28"/>
      <c r="BF83" s="28"/>
      <c r="BG83" s="28" t="str">
        <f t="shared" si="35"/>
        <v/>
      </c>
      <c r="BH83" s="128" t="str">
        <f t="shared" si="36"/>
        <v/>
      </c>
      <c r="BI83" s="128" t="str">
        <f t="shared" si="37"/>
        <v/>
      </c>
      <c r="BJ83" s="28" t="str">
        <f>IF(AND(ISBLANK(BL83),BK83=""),"",1+MAX(BJ$18:BJ82))</f>
        <v/>
      </c>
      <c r="BK83" s="150" t="str">
        <f>IF(OR(BG83="",BG83=0,$J83="",$J83=0,NOT(ISNUMBER($J83)),NOT(ISNUMBER(BG83))),IF(AND($G83&lt;&gt;"",AND(OR(ISNUMBER(BG83),BG83=""),AND(ISNUMBER($J83),$J83&gt;0))),'Feuille de Donnée'!$K$13,""),IF(BG83&lt;$J$165*'Feuille de Donnée'!$I$9,"Négligeable",(IF(AND(BE83&gt;=$H83*(1-'Feuille de Donnée'!$E$12),BE83&lt;=$H83*(1+'Feuille de Donnée'!$F$12)),'Feuille de Donnée'!$F$17,IF(BE83&lt;$H83*(1-'Feuille de Donnée'!$E$12),'Feuille de Donnée'!$F$18,'Feuille de Donnée'!$F$16))&amp;""&amp;IF(AND(BF83&gt;=$I83*(1-'Feuille de Donnée'!$E$27),BF83&lt;=$I83*(1+'Feuille de Donnée'!$F$27)),'Feuille de Donnée'!$F$32,IF(BF83&lt;$I83*(1-'Feuille de Donnée'!$E$27),'Feuille de Donnée'!$F$33,'Feuille de Donnée'!$F$31)))))</f>
        <v/>
      </c>
      <c r="BL83" s="151"/>
      <c r="BM83" s="153"/>
    </row>
    <row r="84" spans="1:65" s="7" customFormat="1" x14ac:dyDescent="0.3">
      <c r="A84" s="24"/>
      <c r="B84" s="25"/>
      <c r="C84" s="25"/>
      <c r="D84" s="25"/>
      <c r="E84" s="25"/>
      <c r="F84" s="25"/>
      <c r="G84" s="23"/>
      <c r="H84" s="26"/>
      <c r="I84" s="27"/>
      <c r="J84" s="109" t="str">
        <f t="shared" si="19"/>
        <v/>
      </c>
      <c r="K84" s="110"/>
      <c r="L84" s="28"/>
      <c r="M84" s="28"/>
      <c r="N84" s="28" t="str">
        <f t="shared" si="20"/>
        <v/>
      </c>
      <c r="O84" s="128" t="str">
        <f t="shared" si="21"/>
        <v/>
      </c>
      <c r="P84" s="128" t="str">
        <f t="shared" si="22"/>
        <v/>
      </c>
      <c r="Q84" s="28" t="str">
        <f>IF(AND(ISBLANK(S84),R84=""),"",1+MAX(Q$18:Q83))</f>
        <v/>
      </c>
      <c r="R84" s="150" t="str">
        <f>IF(OR(N84="",N84=0,$J84="",$J84=0,NOT(ISNUMBER($J84)),NOT(ISNUMBER(N84))),IF(AND($G84&lt;&gt;"",AND(OR(ISNUMBER(N84),N84=""),AND(ISNUMBER($J84),$J84&gt;0))),'Feuille de Donnée'!$K$13,""),IF(N84&lt;$J$165*'Feuille de Donnée'!$I$9,"Négligeable",(IF(AND(L84&gt;=$H84*(1-'Feuille de Donnée'!$E$12),L84&lt;=$H84*(1+'Feuille de Donnée'!$F$12)),'Feuille de Donnée'!$F$17,IF(L84&lt;$H84*(1-'Feuille de Donnée'!$E$12),'Feuille de Donnée'!$F$18,'Feuille de Donnée'!$F$16))&amp;""&amp;IF(AND(M84&gt;=$I84*(1-'Feuille de Donnée'!$E$27),M84&lt;=$I84*(1+'Feuille de Donnée'!$F$27)),'Feuille de Donnée'!$F$32,IF(M84&lt;$I84*(1-'Feuille de Donnée'!$E$27),'Feuille de Donnée'!$F$33,'Feuille de Donnée'!$F$31)))))</f>
        <v/>
      </c>
      <c r="S84" s="151"/>
      <c r="T84" s="110"/>
      <c r="U84" s="28"/>
      <c r="V84" s="28"/>
      <c r="W84" s="28" t="str">
        <f t="shared" si="23"/>
        <v/>
      </c>
      <c r="X84" s="128" t="str">
        <f t="shared" si="24"/>
        <v/>
      </c>
      <c r="Y84" s="128" t="str">
        <f t="shared" si="25"/>
        <v/>
      </c>
      <c r="Z84" s="28" t="str">
        <f>IF(AND(ISBLANK(AB84),AA84=""),"",1+MAX(Z$18:Z83))</f>
        <v/>
      </c>
      <c r="AA84" s="150" t="str">
        <f>IF(OR(W84="",W84=0,$J84="",$J84=0,NOT(ISNUMBER($J84)),NOT(ISNUMBER(W84))),IF(AND($G84&lt;&gt;"",AND(OR(ISNUMBER(W84),W84=""),AND(ISNUMBER($J84),$J84&gt;0))),'Feuille de Donnée'!$K$13,""),IF(W84&lt;$J$165*'Feuille de Donnée'!$I$9,"Négligeable",(IF(AND(U84&gt;=$H84*(1-'Feuille de Donnée'!$E$12),U84&lt;=$H84*(1+'Feuille de Donnée'!$F$12)),'Feuille de Donnée'!$F$17,IF(U84&lt;$H84*(1-'Feuille de Donnée'!$E$12),'Feuille de Donnée'!$F$18,'Feuille de Donnée'!$F$16))&amp;""&amp;IF(AND(V84&gt;=$I84*(1-'Feuille de Donnée'!$E$27),V84&lt;=$I84*(1+'Feuille de Donnée'!$F$27)),'Feuille de Donnée'!$F$32,IF(V84&lt;$I84*(1-'Feuille de Donnée'!$E$27),'Feuille de Donnée'!$F$33,'Feuille de Donnée'!$F$31)))))</f>
        <v/>
      </c>
      <c r="AB84" s="151"/>
      <c r="AC84" s="110"/>
      <c r="AD84" s="28"/>
      <c r="AE84" s="28"/>
      <c r="AF84" s="28" t="str">
        <f t="shared" si="26"/>
        <v/>
      </c>
      <c r="AG84" s="128" t="str">
        <f t="shared" si="27"/>
        <v/>
      </c>
      <c r="AH84" s="128" t="str">
        <f t="shared" si="28"/>
        <v/>
      </c>
      <c r="AI84" s="28" t="str">
        <f>IF(AND(ISBLANK(AK84),AJ84=""),"",1+MAX(AI$18:AI83))</f>
        <v/>
      </c>
      <c r="AJ84" s="150" t="str">
        <f>IF(OR(AF84="",AF84=0,$J84="",$J84=0,NOT(ISNUMBER($J84)),NOT(ISNUMBER(AF84))),IF(AND($G84&lt;&gt;"",AND(OR(ISNUMBER(AF84),AF84=""),AND(ISNUMBER($J84),$J84&gt;0))),'Feuille de Donnée'!$K$13,""),IF(AF84&lt;$J$165*'Feuille de Donnée'!$I$9,"Négligeable",(IF(AND(AD84&gt;=$H84*(1-'Feuille de Donnée'!$E$12),AD84&lt;=$H84*(1+'Feuille de Donnée'!$F$12)),'Feuille de Donnée'!$F$17,IF(AD84&lt;$H84*(1-'Feuille de Donnée'!$E$12),'Feuille de Donnée'!$F$18,'Feuille de Donnée'!$F$16))&amp;""&amp;IF(AND(AE84&gt;=$I84*(1-'Feuille de Donnée'!$E$27),AE84&lt;=$I84*(1+'Feuille de Donnée'!$F$27)),'Feuille de Donnée'!$F$32,IF(AE84&lt;$I84*(1-'Feuille de Donnée'!$E$27),'Feuille de Donnée'!$F$33,'Feuille de Donnée'!$F$31)))))</f>
        <v/>
      </c>
      <c r="AK84" s="151"/>
      <c r="AL84" s="110"/>
      <c r="AM84" s="28"/>
      <c r="AN84" s="28"/>
      <c r="AO84" s="28" t="str">
        <f t="shared" si="29"/>
        <v/>
      </c>
      <c r="AP84" s="128" t="str">
        <f t="shared" si="30"/>
        <v/>
      </c>
      <c r="AQ84" s="128" t="str">
        <f t="shared" si="31"/>
        <v/>
      </c>
      <c r="AR84" s="28" t="str">
        <f>IF(AND(ISBLANK(AT84),AS84=""),"",1+MAX(AR$18:AR83))</f>
        <v/>
      </c>
      <c r="AS84" s="150" t="str">
        <f>IF(OR(AO84="",AO84=0,$J84="",$J84=0,NOT(ISNUMBER($J84)),NOT(ISNUMBER(AO84))),IF(AND($G84&lt;&gt;"",AND(OR(ISNUMBER(AO84),AO84=""),AND(ISNUMBER($J84),$J84&gt;0))),'Feuille de Donnée'!$K$13,""),IF(AO84&lt;$J$165*'Feuille de Donnée'!$I$9,"Négligeable",(IF(AND(AM84&gt;=$H84*(1-'Feuille de Donnée'!$E$12),AM84&lt;=$H84*(1+'Feuille de Donnée'!$F$12)),'Feuille de Donnée'!$F$17,IF(AM84&lt;$H84*(1-'Feuille de Donnée'!$E$12),'Feuille de Donnée'!$F$18,'Feuille de Donnée'!$F$16))&amp;""&amp;IF(AND(AN84&gt;=$I84*(1-'Feuille de Donnée'!$E$27),AN84&lt;=$I84*(1+'Feuille de Donnée'!$F$27)),'Feuille de Donnée'!$F$32,IF(AN84&lt;$I84*(1-'Feuille de Donnée'!$E$27),'Feuille de Donnée'!$F$33,'Feuille de Donnée'!$F$31)))))</f>
        <v/>
      </c>
      <c r="AT84" s="151"/>
      <c r="AU84" s="110"/>
      <c r="AV84" s="28"/>
      <c r="AW84" s="28"/>
      <c r="AX84" s="28" t="str">
        <f t="shared" si="32"/>
        <v/>
      </c>
      <c r="AY84" s="128" t="str">
        <f t="shared" si="33"/>
        <v/>
      </c>
      <c r="AZ84" s="128" t="str">
        <f t="shared" si="34"/>
        <v/>
      </c>
      <c r="BA84" s="28" t="str">
        <f>IF(AND(ISBLANK(BC84),BB84=""),"",1+MAX(BA$18:BA83))</f>
        <v/>
      </c>
      <c r="BB84" s="150" t="str">
        <f>IF(OR(AX84="",AX84=0,$J84="",$J84=0,NOT(ISNUMBER($J84)),NOT(ISNUMBER(AX84))),IF(AND($G84&lt;&gt;"",AND(OR(ISNUMBER(AX84),AX84=""),AND(ISNUMBER($J84),$J84&gt;0))),'Feuille de Donnée'!$K$13,""),IF(AX84&lt;$J$165*'Feuille de Donnée'!$I$9,"Négligeable",(IF(AND(AV84&gt;=$H84*(1-'Feuille de Donnée'!$E$12),AV84&lt;=$H84*(1+'Feuille de Donnée'!$F$12)),'Feuille de Donnée'!$F$17,IF(AV84&lt;$H84*(1-'Feuille de Donnée'!$E$12),'Feuille de Donnée'!$F$18,'Feuille de Donnée'!$F$16))&amp;""&amp;IF(AND(AW84&gt;=$I84*(1-'Feuille de Donnée'!$E$27),AW84&lt;=$I84*(1+'Feuille de Donnée'!$F$27)),'Feuille de Donnée'!$F$32,IF(AW84&lt;$I84*(1-'Feuille de Donnée'!$E$27),'Feuille de Donnée'!$F$33,'Feuille de Donnée'!$F$31)))))</f>
        <v/>
      </c>
      <c r="BC84" s="151"/>
      <c r="BD84" s="110"/>
      <c r="BE84" s="28"/>
      <c r="BF84" s="28"/>
      <c r="BG84" s="28" t="str">
        <f t="shared" si="35"/>
        <v/>
      </c>
      <c r="BH84" s="128" t="str">
        <f t="shared" si="36"/>
        <v/>
      </c>
      <c r="BI84" s="128" t="str">
        <f t="shared" si="37"/>
        <v/>
      </c>
      <c r="BJ84" s="28" t="str">
        <f>IF(AND(ISBLANK(BL84),BK84=""),"",1+MAX(BJ$18:BJ83))</f>
        <v/>
      </c>
      <c r="BK84" s="150" t="str">
        <f>IF(OR(BG84="",BG84=0,$J84="",$J84=0,NOT(ISNUMBER($J84)),NOT(ISNUMBER(BG84))),IF(AND($G84&lt;&gt;"",AND(OR(ISNUMBER(BG84),BG84=""),AND(ISNUMBER($J84),$J84&gt;0))),'Feuille de Donnée'!$K$13,""),IF(BG84&lt;$J$165*'Feuille de Donnée'!$I$9,"Négligeable",(IF(AND(BE84&gt;=$H84*(1-'Feuille de Donnée'!$E$12),BE84&lt;=$H84*(1+'Feuille de Donnée'!$F$12)),'Feuille de Donnée'!$F$17,IF(BE84&lt;$H84*(1-'Feuille de Donnée'!$E$12),'Feuille de Donnée'!$F$18,'Feuille de Donnée'!$F$16))&amp;""&amp;IF(AND(BF84&gt;=$I84*(1-'Feuille de Donnée'!$E$27),BF84&lt;=$I84*(1+'Feuille de Donnée'!$F$27)),'Feuille de Donnée'!$F$32,IF(BF84&lt;$I84*(1-'Feuille de Donnée'!$E$27),'Feuille de Donnée'!$F$33,'Feuille de Donnée'!$F$31)))))</f>
        <v/>
      </c>
      <c r="BL84" s="151"/>
      <c r="BM84" s="153"/>
    </row>
    <row r="85" spans="1:65" s="7" customFormat="1" x14ac:dyDescent="0.3">
      <c r="A85" s="24"/>
      <c r="B85" s="25"/>
      <c r="C85" s="25"/>
      <c r="D85" s="25"/>
      <c r="E85" s="25"/>
      <c r="F85" s="25"/>
      <c r="G85" s="23"/>
      <c r="H85" s="26"/>
      <c r="I85" s="27"/>
      <c r="J85" s="109" t="str">
        <f t="shared" ref="J85:J148" si="38">IF(ISBLANK(G85),"",ROUND(H85*I85,2))</f>
        <v/>
      </c>
      <c r="K85" s="110"/>
      <c r="L85" s="28"/>
      <c r="M85" s="28"/>
      <c r="N85" s="28" t="str">
        <f t="shared" ref="N85:N148" si="39">IF(ISBLANK(K85),"",ROUND(L85*M85,2))</f>
        <v/>
      </c>
      <c r="O85" s="128" t="str">
        <f t="shared" ref="O85:O148" si="40">IF($H85=0,"",(L85/$H85-1))</f>
        <v/>
      </c>
      <c r="P85" s="128" t="str">
        <f t="shared" ref="P85:P148" si="41">IF($I85=0,"",(M85/$I85-1))</f>
        <v/>
      </c>
      <c r="Q85" s="28" t="str">
        <f>IF(AND(ISBLANK(S85),R85=""),"",1+MAX(Q$18:Q84))</f>
        <v/>
      </c>
      <c r="R85" s="150" t="str">
        <f>IF(OR(N85="",N85=0,$J85="",$J85=0,NOT(ISNUMBER($J85)),NOT(ISNUMBER(N85))),IF(AND($G85&lt;&gt;"",AND(OR(ISNUMBER(N85),N85=""),AND(ISNUMBER($J85),$J85&gt;0))),'Feuille de Donnée'!$K$13,""),IF(N85&lt;$J$165*'Feuille de Donnée'!$I$9,"Négligeable",(IF(AND(L85&gt;=$H85*(1-'Feuille de Donnée'!$E$12),L85&lt;=$H85*(1+'Feuille de Donnée'!$F$12)),'Feuille de Donnée'!$F$17,IF(L85&lt;$H85*(1-'Feuille de Donnée'!$E$12),'Feuille de Donnée'!$F$18,'Feuille de Donnée'!$F$16))&amp;""&amp;IF(AND(M85&gt;=$I85*(1-'Feuille de Donnée'!$E$27),M85&lt;=$I85*(1+'Feuille de Donnée'!$F$27)),'Feuille de Donnée'!$F$32,IF(M85&lt;$I85*(1-'Feuille de Donnée'!$E$27),'Feuille de Donnée'!$F$33,'Feuille de Donnée'!$F$31)))))</f>
        <v/>
      </c>
      <c r="S85" s="151"/>
      <c r="T85" s="110"/>
      <c r="U85" s="28"/>
      <c r="V85" s="28"/>
      <c r="W85" s="28" t="str">
        <f t="shared" ref="W85:W148" si="42">IF(ISBLANK(T85),"",ROUND(U85*V85,2))</f>
        <v/>
      </c>
      <c r="X85" s="128" t="str">
        <f t="shared" ref="X85:X148" si="43">IF($H85=0,"",(U85/$H85-1))</f>
        <v/>
      </c>
      <c r="Y85" s="128" t="str">
        <f t="shared" ref="Y85:Y148" si="44">IF($I85=0,"",(V85/$I85-1))</f>
        <v/>
      </c>
      <c r="Z85" s="28" t="str">
        <f>IF(AND(ISBLANK(AB85),AA85=""),"",1+MAX(Z$18:Z84))</f>
        <v/>
      </c>
      <c r="AA85" s="150" t="str">
        <f>IF(OR(W85="",W85=0,$J85="",$J85=0,NOT(ISNUMBER($J85)),NOT(ISNUMBER(W85))),IF(AND($G85&lt;&gt;"",AND(OR(ISNUMBER(W85),W85=""),AND(ISNUMBER($J85),$J85&gt;0))),'Feuille de Donnée'!$K$13,""),IF(W85&lt;$J$165*'Feuille de Donnée'!$I$9,"Négligeable",(IF(AND(U85&gt;=$H85*(1-'Feuille de Donnée'!$E$12),U85&lt;=$H85*(1+'Feuille de Donnée'!$F$12)),'Feuille de Donnée'!$F$17,IF(U85&lt;$H85*(1-'Feuille de Donnée'!$E$12),'Feuille de Donnée'!$F$18,'Feuille de Donnée'!$F$16))&amp;""&amp;IF(AND(V85&gt;=$I85*(1-'Feuille de Donnée'!$E$27),V85&lt;=$I85*(1+'Feuille de Donnée'!$F$27)),'Feuille de Donnée'!$F$32,IF(V85&lt;$I85*(1-'Feuille de Donnée'!$E$27),'Feuille de Donnée'!$F$33,'Feuille de Donnée'!$F$31)))))</f>
        <v/>
      </c>
      <c r="AB85" s="151"/>
      <c r="AC85" s="110"/>
      <c r="AD85" s="28"/>
      <c r="AE85" s="28"/>
      <c r="AF85" s="28" t="str">
        <f t="shared" ref="AF85:AF148" si="45">IF(ISBLANK(AC85),"",ROUND(AD85*AE85,2))</f>
        <v/>
      </c>
      <c r="AG85" s="128" t="str">
        <f t="shared" ref="AG85:AG148" si="46">IF($H85=0,"",(AD85/$H85-1))</f>
        <v/>
      </c>
      <c r="AH85" s="128" t="str">
        <f t="shared" ref="AH85:AH148" si="47">IF($I85=0,"",(AE85/$I85-1))</f>
        <v/>
      </c>
      <c r="AI85" s="28" t="str">
        <f>IF(AND(ISBLANK(AK85),AJ85=""),"",1+MAX(AI$18:AI84))</f>
        <v/>
      </c>
      <c r="AJ85" s="150" t="str">
        <f>IF(OR(AF85="",AF85=0,$J85="",$J85=0,NOT(ISNUMBER($J85)),NOT(ISNUMBER(AF85))),IF(AND($G85&lt;&gt;"",AND(OR(ISNUMBER(AF85),AF85=""),AND(ISNUMBER($J85),$J85&gt;0))),'Feuille de Donnée'!$K$13,""),IF(AF85&lt;$J$165*'Feuille de Donnée'!$I$9,"Négligeable",(IF(AND(AD85&gt;=$H85*(1-'Feuille de Donnée'!$E$12),AD85&lt;=$H85*(1+'Feuille de Donnée'!$F$12)),'Feuille de Donnée'!$F$17,IF(AD85&lt;$H85*(1-'Feuille de Donnée'!$E$12),'Feuille de Donnée'!$F$18,'Feuille de Donnée'!$F$16))&amp;""&amp;IF(AND(AE85&gt;=$I85*(1-'Feuille de Donnée'!$E$27),AE85&lt;=$I85*(1+'Feuille de Donnée'!$F$27)),'Feuille de Donnée'!$F$32,IF(AE85&lt;$I85*(1-'Feuille de Donnée'!$E$27),'Feuille de Donnée'!$F$33,'Feuille de Donnée'!$F$31)))))</f>
        <v/>
      </c>
      <c r="AK85" s="151"/>
      <c r="AL85" s="110"/>
      <c r="AM85" s="28"/>
      <c r="AN85" s="28"/>
      <c r="AO85" s="28" t="str">
        <f t="shared" ref="AO85:AO148" si="48">IF(ISBLANK(AL85),"",ROUND(AM85*AN85,2))</f>
        <v/>
      </c>
      <c r="AP85" s="128" t="str">
        <f t="shared" ref="AP85:AP148" si="49">IF($H85=0,"",(AM85/$H85-1))</f>
        <v/>
      </c>
      <c r="AQ85" s="128" t="str">
        <f t="shared" ref="AQ85:AQ148" si="50">IF($I85=0,"",(AN85/$I85-1))</f>
        <v/>
      </c>
      <c r="AR85" s="28" t="str">
        <f>IF(AND(ISBLANK(AT85),AS85=""),"",1+MAX(AR$18:AR84))</f>
        <v/>
      </c>
      <c r="AS85" s="150" t="str">
        <f>IF(OR(AO85="",AO85=0,$J85="",$J85=0,NOT(ISNUMBER($J85)),NOT(ISNUMBER(AO85))),IF(AND($G85&lt;&gt;"",AND(OR(ISNUMBER(AO85),AO85=""),AND(ISNUMBER($J85),$J85&gt;0))),'Feuille de Donnée'!$K$13,""),IF(AO85&lt;$J$165*'Feuille de Donnée'!$I$9,"Négligeable",(IF(AND(AM85&gt;=$H85*(1-'Feuille de Donnée'!$E$12),AM85&lt;=$H85*(1+'Feuille de Donnée'!$F$12)),'Feuille de Donnée'!$F$17,IF(AM85&lt;$H85*(1-'Feuille de Donnée'!$E$12),'Feuille de Donnée'!$F$18,'Feuille de Donnée'!$F$16))&amp;""&amp;IF(AND(AN85&gt;=$I85*(1-'Feuille de Donnée'!$E$27),AN85&lt;=$I85*(1+'Feuille de Donnée'!$F$27)),'Feuille de Donnée'!$F$32,IF(AN85&lt;$I85*(1-'Feuille de Donnée'!$E$27),'Feuille de Donnée'!$F$33,'Feuille de Donnée'!$F$31)))))</f>
        <v/>
      </c>
      <c r="AT85" s="151"/>
      <c r="AU85" s="110"/>
      <c r="AV85" s="28"/>
      <c r="AW85" s="28"/>
      <c r="AX85" s="28" t="str">
        <f t="shared" ref="AX85:AX148" si="51">IF(ISBLANK(AU85),"",ROUND(AV85*AW85,2))</f>
        <v/>
      </c>
      <c r="AY85" s="128" t="str">
        <f t="shared" ref="AY85:AY148" si="52">IF($H85=0,"",(AV85/$H85-1))</f>
        <v/>
      </c>
      <c r="AZ85" s="128" t="str">
        <f t="shared" ref="AZ85:AZ148" si="53">IF($I85=0,"",(AW85/$I85-1))</f>
        <v/>
      </c>
      <c r="BA85" s="28" t="str">
        <f>IF(AND(ISBLANK(BC85),BB85=""),"",1+MAX(BA$18:BA84))</f>
        <v/>
      </c>
      <c r="BB85" s="150" t="str">
        <f>IF(OR(AX85="",AX85=0,$J85="",$J85=0,NOT(ISNUMBER($J85)),NOT(ISNUMBER(AX85))),IF(AND($G85&lt;&gt;"",AND(OR(ISNUMBER(AX85),AX85=""),AND(ISNUMBER($J85),$J85&gt;0))),'Feuille de Donnée'!$K$13,""),IF(AX85&lt;$J$165*'Feuille de Donnée'!$I$9,"Négligeable",(IF(AND(AV85&gt;=$H85*(1-'Feuille de Donnée'!$E$12),AV85&lt;=$H85*(1+'Feuille de Donnée'!$F$12)),'Feuille de Donnée'!$F$17,IF(AV85&lt;$H85*(1-'Feuille de Donnée'!$E$12),'Feuille de Donnée'!$F$18,'Feuille de Donnée'!$F$16))&amp;""&amp;IF(AND(AW85&gt;=$I85*(1-'Feuille de Donnée'!$E$27),AW85&lt;=$I85*(1+'Feuille de Donnée'!$F$27)),'Feuille de Donnée'!$F$32,IF(AW85&lt;$I85*(1-'Feuille de Donnée'!$E$27),'Feuille de Donnée'!$F$33,'Feuille de Donnée'!$F$31)))))</f>
        <v/>
      </c>
      <c r="BC85" s="151"/>
      <c r="BD85" s="110"/>
      <c r="BE85" s="28"/>
      <c r="BF85" s="28"/>
      <c r="BG85" s="28" t="str">
        <f t="shared" ref="BG85:BG148" si="54">IF(ISBLANK(BD85),"",ROUND(BE85*BF85,2))</f>
        <v/>
      </c>
      <c r="BH85" s="128" t="str">
        <f t="shared" ref="BH85:BH148" si="55">IF($H85=0,"",(BE85/$H85-1))</f>
        <v/>
      </c>
      <c r="BI85" s="128" t="str">
        <f t="shared" ref="BI85:BI148" si="56">IF($I85=0,"",(BF85/$I85-1))</f>
        <v/>
      </c>
      <c r="BJ85" s="28" t="str">
        <f>IF(AND(ISBLANK(BL85),BK85=""),"",1+MAX(BJ$18:BJ84))</f>
        <v/>
      </c>
      <c r="BK85" s="150" t="str">
        <f>IF(OR(BG85="",BG85=0,$J85="",$J85=0,NOT(ISNUMBER($J85)),NOT(ISNUMBER(BG85))),IF(AND($G85&lt;&gt;"",AND(OR(ISNUMBER(BG85),BG85=""),AND(ISNUMBER($J85),$J85&gt;0))),'Feuille de Donnée'!$K$13,""),IF(BG85&lt;$J$165*'Feuille de Donnée'!$I$9,"Négligeable",(IF(AND(BE85&gt;=$H85*(1-'Feuille de Donnée'!$E$12),BE85&lt;=$H85*(1+'Feuille de Donnée'!$F$12)),'Feuille de Donnée'!$F$17,IF(BE85&lt;$H85*(1-'Feuille de Donnée'!$E$12),'Feuille de Donnée'!$F$18,'Feuille de Donnée'!$F$16))&amp;""&amp;IF(AND(BF85&gt;=$I85*(1-'Feuille de Donnée'!$E$27),BF85&lt;=$I85*(1+'Feuille de Donnée'!$F$27)),'Feuille de Donnée'!$F$32,IF(BF85&lt;$I85*(1-'Feuille de Donnée'!$E$27),'Feuille de Donnée'!$F$33,'Feuille de Donnée'!$F$31)))))</f>
        <v/>
      </c>
      <c r="BL85" s="151"/>
      <c r="BM85" s="153"/>
    </row>
    <row r="86" spans="1:65" s="7" customFormat="1" x14ac:dyDescent="0.3">
      <c r="A86" s="24"/>
      <c r="B86" s="25"/>
      <c r="C86" s="25"/>
      <c r="D86" s="25"/>
      <c r="E86" s="25"/>
      <c r="F86" s="25"/>
      <c r="G86" s="23"/>
      <c r="H86" s="26"/>
      <c r="I86" s="27"/>
      <c r="J86" s="109" t="str">
        <f t="shared" si="38"/>
        <v/>
      </c>
      <c r="K86" s="110"/>
      <c r="L86" s="28"/>
      <c r="M86" s="28"/>
      <c r="N86" s="28" t="str">
        <f t="shared" si="39"/>
        <v/>
      </c>
      <c r="O86" s="128" t="str">
        <f t="shared" si="40"/>
        <v/>
      </c>
      <c r="P86" s="128" t="str">
        <f t="shared" si="41"/>
        <v/>
      </c>
      <c r="Q86" s="28" t="str">
        <f>IF(AND(ISBLANK(S86),R86=""),"",1+MAX(Q$18:Q85))</f>
        <v/>
      </c>
      <c r="R86" s="150" t="str">
        <f>IF(OR(N86="",N86=0,$J86="",$J86=0,NOT(ISNUMBER($J86)),NOT(ISNUMBER(N86))),IF(AND($G86&lt;&gt;"",AND(OR(ISNUMBER(N86),N86=""),AND(ISNUMBER($J86),$J86&gt;0))),'Feuille de Donnée'!$K$13,""),IF(N86&lt;$J$165*'Feuille de Donnée'!$I$9,"Négligeable",(IF(AND(L86&gt;=$H86*(1-'Feuille de Donnée'!$E$12),L86&lt;=$H86*(1+'Feuille de Donnée'!$F$12)),'Feuille de Donnée'!$F$17,IF(L86&lt;$H86*(1-'Feuille de Donnée'!$E$12),'Feuille de Donnée'!$F$18,'Feuille de Donnée'!$F$16))&amp;""&amp;IF(AND(M86&gt;=$I86*(1-'Feuille de Donnée'!$E$27),M86&lt;=$I86*(1+'Feuille de Donnée'!$F$27)),'Feuille de Donnée'!$F$32,IF(M86&lt;$I86*(1-'Feuille de Donnée'!$E$27),'Feuille de Donnée'!$F$33,'Feuille de Donnée'!$F$31)))))</f>
        <v/>
      </c>
      <c r="S86" s="151"/>
      <c r="T86" s="110"/>
      <c r="U86" s="28"/>
      <c r="V86" s="28"/>
      <c r="W86" s="28" t="str">
        <f t="shared" si="42"/>
        <v/>
      </c>
      <c r="X86" s="128" t="str">
        <f t="shared" si="43"/>
        <v/>
      </c>
      <c r="Y86" s="128" t="str">
        <f t="shared" si="44"/>
        <v/>
      </c>
      <c r="Z86" s="28" t="str">
        <f>IF(AND(ISBLANK(AB86),AA86=""),"",1+MAX(Z$18:Z85))</f>
        <v/>
      </c>
      <c r="AA86" s="150" t="str">
        <f>IF(OR(W86="",W86=0,$J86="",$J86=0,NOT(ISNUMBER($J86)),NOT(ISNUMBER(W86))),IF(AND($G86&lt;&gt;"",AND(OR(ISNUMBER(W86),W86=""),AND(ISNUMBER($J86),$J86&gt;0))),'Feuille de Donnée'!$K$13,""),IF(W86&lt;$J$165*'Feuille de Donnée'!$I$9,"Négligeable",(IF(AND(U86&gt;=$H86*(1-'Feuille de Donnée'!$E$12),U86&lt;=$H86*(1+'Feuille de Donnée'!$F$12)),'Feuille de Donnée'!$F$17,IF(U86&lt;$H86*(1-'Feuille de Donnée'!$E$12),'Feuille de Donnée'!$F$18,'Feuille de Donnée'!$F$16))&amp;""&amp;IF(AND(V86&gt;=$I86*(1-'Feuille de Donnée'!$E$27),V86&lt;=$I86*(1+'Feuille de Donnée'!$F$27)),'Feuille de Donnée'!$F$32,IF(V86&lt;$I86*(1-'Feuille de Donnée'!$E$27),'Feuille de Donnée'!$F$33,'Feuille de Donnée'!$F$31)))))</f>
        <v/>
      </c>
      <c r="AB86" s="151"/>
      <c r="AC86" s="110"/>
      <c r="AD86" s="28"/>
      <c r="AE86" s="28"/>
      <c r="AF86" s="28" t="str">
        <f t="shared" si="45"/>
        <v/>
      </c>
      <c r="AG86" s="128" t="str">
        <f t="shared" si="46"/>
        <v/>
      </c>
      <c r="AH86" s="128" t="str">
        <f t="shared" si="47"/>
        <v/>
      </c>
      <c r="AI86" s="28" t="str">
        <f>IF(AND(ISBLANK(AK86),AJ86=""),"",1+MAX(AI$18:AI85))</f>
        <v/>
      </c>
      <c r="AJ86" s="150" t="str">
        <f>IF(OR(AF86="",AF86=0,$J86="",$J86=0,NOT(ISNUMBER($J86)),NOT(ISNUMBER(AF86))),IF(AND($G86&lt;&gt;"",AND(OR(ISNUMBER(AF86),AF86=""),AND(ISNUMBER($J86),$J86&gt;0))),'Feuille de Donnée'!$K$13,""),IF(AF86&lt;$J$165*'Feuille de Donnée'!$I$9,"Négligeable",(IF(AND(AD86&gt;=$H86*(1-'Feuille de Donnée'!$E$12),AD86&lt;=$H86*(1+'Feuille de Donnée'!$F$12)),'Feuille de Donnée'!$F$17,IF(AD86&lt;$H86*(1-'Feuille de Donnée'!$E$12),'Feuille de Donnée'!$F$18,'Feuille de Donnée'!$F$16))&amp;""&amp;IF(AND(AE86&gt;=$I86*(1-'Feuille de Donnée'!$E$27),AE86&lt;=$I86*(1+'Feuille de Donnée'!$F$27)),'Feuille de Donnée'!$F$32,IF(AE86&lt;$I86*(1-'Feuille de Donnée'!$E$27),'Feuille de Donnée'!$F$33,'Feuille de Donnée'!$F$31)))))</f>
        <v/>
      </c>
      <c r="AK86" s="151"/>
      <c r="AL86" s="110"/>
      <c r="AM86" s="28"/>
      <c r="AN86" s="28"/>
      <c r="AO86" s="28" t="str">
        <f t="shared" si="48"/>
        <v/>
      </c>
      <c r="AP86" s="128" t="str">
        <f t="shared" si="49"/>
        <v/>
      </c>
      <c r="AQ86" s="128" t="str">
        <f t="shared" si="50"/>
        <v/>
      </c>
      <c r="AR86" s="28" t="str">
        <f>IF(AND(ISBLANK(AT86),AS86=""),"",1+MAX(AR$18:AR85))</f>
        <v/>
      </c>
      <c r="AS86" s="150" t="str">
        <f>IF(OR(AO86="",AO86=0,$J86="",$J86=0,NOT(ISNUMBER($J86)),NOT(ISNUMBER(AO86))),IF(AND($G86&lt;&gt;"",AND(OR(ISNUMBER(AO86),AO86=""),AND(ISNUMBER($J86),$J86&gt;0))),'Feuille de Donnée'!$K$13,""),IF(AO86&lt;$J$165*'Feuille de Donnée'!$I$9,"Négligeable",(IF(AND(AM86&gt;=$H86*(1-'Feuille de Donnée'!$E$12),AM86&lt;=$H86*(1+'Feuille de Donnée'!$F$12)),'Feuille de Donnée'!$F$17,IF(AM86&lt;$H86*(1-'Feuille de Donnée'!$E$12),'Feuille de Donnée'!$F$18,'Feuille de Donnée'!$F$16))&amp;""&amp;IF(AND(AN86&gt;=$I86*(1-'Feuille de Donnée'!$E$27),AN86&lt;=$I86*(1+'Feuille de Donnée'!$F$27)),'Feuille de Donnée'!$F$32,IF(AN86&lt;$I86*(1-'Feuille de Donnée'!$E$27),'Feuille de Donnée'!$F$33,'Feuille de Donnée'!$F$31)))))</f>
        <v/>
      </c>
      <c r="AT86" s="151"/>
      <c r="AU86" s="110"/>
      <c r="AV86" s="28"/>
      <c r="AW86" s="28"/>
      <c r="AX86" s="28" t="str">
        <f t="shared" si="51"/>
        <v/>
      </c>
      <c r="AY86" s="128" t="str">
        <f t="shared" si="52"/>
        <v/>
      </c>
      <c r="AZ86" s="128" t="str">
        <f t="shared" si="53"/>
        <v/>
      </c>
      <c r="BA86" s="28" t="str">
        <f>IF(AND(ISBLANK(BC86),BB86=""),"",1+MAX(BA$18:BA85))</f>
        <v/>
      </c>
      <c r="BB86" s="150" t="str">
        <f>IF(OR(AX86="",AX86=0,$J86="",$J86=0,NOT(ISNUMBER($J86)),NOT(ISNUMBER(AX86))),IF(AND($G86&lt;&gt;"",AND(OR(ISNUMBER(AX86),AX86=""),AND(ISNUMBER($J86),$J86&gt;0))),'Feuille de Donnée'!$K$13,""),IF(AX86&lt;$J$165*'Feuille de Donnée'!$I$9,"Négligeable",(IF(AND(AV86&gt;=$H86*(1-'Feuille de Donnée'!$E$12),AV86&lt;=$H86*(1+'Feuille de Donnée'!$F$12)),'Feuille de Donnée'!$F$17,IF(AV86&lt;$H86*(1-'Feuille de Donnée'!$E$12),'Feuille de Donnée'!$F$18,'Feuille de Donnée'!$F$16))&amp;""&amp;IF(AND(AW86&gt;=$I86*(1-'Feuille de Donnée'!$E$27),AW86&lt;=$I86*(1+'Feuille de Donnée'!$F$27)),'Feuille de Donnée'!$F$32,IF(AW86&lt;$I86*(1-'Feuille de Donnée'!$E$27),'Feuille de Donnée'!$F$33,'Feuille de Donnée'!$F$31)))))</f>
        <v/>
      </c>
      <c r="BC86" s="151"/>
      <c r="BD86" s="110"/>
      <c r="BE86" s="28"/>
      <c r="BF86" s="28"/>
      <c r="BG86" s="28" t="str">
        <f t="shared" si="54"/>
        <v/>
      </c>
      <c r="BH86" s="128" t="str">
        <f t="shared" si="55"/>
        <v/>
      </c>
      <c r="BI86" s="128" t="str">
        <f t="shared" si="56"/>
        <v/>
      </c>
      <c r="BJ86" s="28" t="str">
        <f>IF(AND(ISBLANK(BL86),BK86=""),"",1+MAX(BJ$18:BJ85))</f>
        <v/>
      </c>
      <c r="BK86" s="150" t="str">
        <f>IF(OR(BG86="",BG86=0,$J86="",$J86=0,NOT(ISNUMBER($J86)),NOT(ISNUMBER(BG86))),IF(AND($G86&lt;&gt;"",AND(OR(ISNUMBER(BG86),BG86=""),AND(ISNUMBER($J86),$J86&gt;0))),'Feuille de Donnée'!$K$13,""),IF(BG86&lt;$J$165*'Feuille de Donnée'!$I$9,"Négligeable",(IF(AND(BE86&gt;=$H86*(1-'Feuille de Donnée'!$E$12),BE86&lt;=$H86*(1+'Feuille de Donnée'!$F$12)),'Feuille de Donnée'!$F$17,IF(BE86&lt;$H86*(1-'Feuille de Donnée'!$E$12),'Feuille de Donnée'!$F$18,'Feuille de Donnée'!$F$16))&amp;""&amp;IF(AND(BF86&gt;=$I86*(1-'Feuille de Donnée'!$E$27),BF86&lt;=$I86*(1+'Feuille de Donnée'!$F$27)),'Feuille de Donnée'!$F$32,IF(BF86&lt;$I86*(1-'Feuille de Donnée'!$E$27),'Feuille de Donnée'!$F$33,'Feuille de Donnée'!$F$31)))))</f>
        <v/>
      </c>
      <c r="BL86" s="151"/>
      <c r="BM86" s="153"/>
    </row>
    <row r="87" spans="1:65" s="7" customFormat="1" x14ac:dyDescent="0.3">
      <c r="A87" s="24"/>
      <c r="B87" s="25"/>
      <c r="C87" s="25"/>
      <c r="D87" s="25"/>
      <c r="E87" s="25"/>
      <c r="F87" s="25"/>
      <c r="G87" s="23"/>
      <c r="H87" s="26"/>
      <c r="I87" s="27"/>
      <c r="J87" s="109" t="str">
        <f t="shared" si="38"/>
        <v/>
      </c>
      <c r="K87" s="110"/>
      <c r="L87" s="28"/>
      <c r="M87" s="28"/>
      <c r="N87" s="28" t="str">
        <f t="shared" si="39"/>
        <v/>
      </c>
      <c r="O87" s="128" t="str">
        <f t="shared" si="40"/>
        <v/>
      </c>
      <c r="P87" s="128" t="str">
        <f t="shared" si="41"/>
        <v/>
      </c>
      <c r="Q87" s="28" t="str">
        <f>IF(AND(ISBLANK(S87),R87=""),"",1+MAX(Q$18:Q86))</f>
        <v/>
      </c>
      <c r="R87" s="150" t="str">
        <f>IF(OR(N87="",N87=0,$J87="",$J87=0,NOT(ISNUMBER($J87)),NOT(ISNUMBER(N87))),IF(AND($G87&lt;&gt;"",AND(OR(ISNUMBER(N87),N87=""),AND(ISNUMBER($J87),$J87&gt;0))),'Feuille de Donnée'!$K$13,""),IF(N87&lt;$J$165*'Feuille de Donnée'!$I$9,"Négligeable",(IF(AND(L87&gt;=$H87*(1-'Feuille de Donnée'!$E$12),L87&lt;=$H87*(1+'Feuille de Donnée'!$F$12)),'Feuille de Donnée'!$F$17,IF(L87&lt;$H87*(1-'Feuille de Donnée'!$E$12),'Feuille de Donnée'!$F$18,'Feuille de Donnée'!$F$16))&amp;""&amp;IF(AND(M87&gt;=$I87*(1-'Feuille de Donnée'!$E$27),M87&lt;=$I87*(1+'Feuille de Donnée'!$F$27)),'Feuille de Donnée'!$F$32,IF(M87&lt;$I87*(1-'Feuille de Donnée'!$E$27),'Feuille de Donnée'!$F$33,'Feuille de Donnée'!$F$31)))))</f>
        <v/>
      </c>
      <c r="S87" s="151"/>
      <c r="T87" s="110"/>
      <c r="U87" s="28"/>
      <c r="V87" s="28"/>
      <c r="W87" s="28" t="str">
        <f t="shared" si="42"/>
        <v/>
      </c>
      <c r="X87" s="128" t="str">
        <f t="shared" si="43"/>
        <v/>
      </c>
      <c r="Y87" s="128" t="str">
        <f t="shared" si="44"/>
        <v/>
      </c>
      <c r="Z87" s="28" t="str">
        <f>IF(AND(ISBLANK(AB87),AA87=""),"",1+MAX(Z$18:Z86))</f>
        <v/>
      </c>
      <c r="AA87" s="150" t="str">
        <f>IF(OR(W87="",W87=0,$J87="",$J87=0,NOT(ISNUMBER($J87)),NOT(ISNUMBER(W87))),IF(AND($G87&lt;&gt;"",AND(OR(ISNUMBER(W87),W87=""),AND(ISNUMBER($J87),$J87&gt;0))),'Feuille de Donnée'!$K$13,""),IF(W87&lt;$J$165*'Feuille de Donnée'!$I$9,"Négligeable",(IF(AND(U87&gt;=$H87*(1-'Feuille de Donnée'!$E$12),U87&lt;=$H87*(1+'Feuille de Donnée'!$F$12)),'Feuille de Donnée'!$F$17,IF(U87&lt;$H87*(1-'Feuille de Donnée'!$E$12),'Feuille de Donnée'!$F$18,'Feuille de Donnée'!$F$16))&amp;""&amp;IF(AND(V87&gt;=$I87*(1-'Feuille de Donnée'!$E$27),V87&lt;=$I87*(1+'Feuille de Donnée'!$F$27)),'Feuille de Donnée'!$F$32,IF(V87&lt;$I87*(1-'Feuille de Donnée'!$E$27),'Feuille de Donnée'!$F$33,'Feuille de Donnée'!$F$31)))))</f>
        <v/>
      </c>
      <c r="AB87" s="151"/>
      <c r="AC87" s="110"/>
      <c r="AD87" s="28"/>
      <c r="AE87" s="28"/>
      <c r="AF87" s="28" t="str">
        <f t="shared" si="45"/>
        <v/>
      </c>
      <c r="AG87" s="128" t="str">
        <f t="shared" si="46"/>
        <v/>
      </c>
      <c r="AH87" s="128" t="str">
        <f t="shared" si="47"/>
        <v/>
      </c>
      <c r="AI87" s="28" t="str">
        <f>IF(AND(ISBLANK(AK87),AJ87=""),"",1+MAX(AI$18:AI86))</f>
        <v/>
      </c>
      <c r="AJ87" s="150" t="str">
        <f>IF(OR(AF87="",AF87=0,$J87="",$J87=0,NOT(ISNUMBER($J87)),NOT(ISNUMBER(AF87))),IF(AND($G87&lt;&gt;"",AND(OR(ISNUMBER(AF87),AF87=""),AND(ISNUMBER($J87),$J87&gt;0))),'Feuille de Donnée'!$K$13,""),IF(AF87&lt;$J$165*'Feuille de Donnée'!$I$9,"Négligeable",(IF(AND(AD87&gt;=$H87*(1-'Feuille de Donnée'!$E$12),AD87&lt;=$H87*(1+'Feuille de Donnée'!$F$12)),'Feuille de Donnée'!$F$17,IF(AD87&lt;$H87*(1-'Feuille de Donnée'!$E$12),'Feuille de Donnée'!$F$18,'Feuille de Donnée'!$F$16))&amp;""&amp;IF(AND(AE87&gt;=$I87*(1-'Feuille de Donnée'!$E$27),AE87&lt;=$I87*(1+'Feuille de Donnée'!$F$27)),'Feuille de Donnée'!$F$32,IF(AE87&lt;$I87*(1-'Feuille de Donnée'!$E$27),'Feuille de Donnée'!$F$33,'Feuille de Donnée'!$F$31)))))</f>
        <v/>
      </c>
      <c r="AK87" s="151"/>
      <c r="AL87" s="110"/>
      <c r="AM87" s="28"/>
      <c r="AN87" s="28"/>
      <c r="AO87" s="28" t="str">
        <f t="shared" si="48"/>
        <v/>
      </c>
      <c r="AP87" s="128" t="str">
        <f t="shared" si="49"/>
        <v/>
      </c>
      <c r="AQ87" s="128" t="str">
        <f t="shared" si="50"/>
        <v/>
      </c>
      <c r="AR87" s="28" t="str">
        <f>IF(AND(ISBLANK(AT87),AS87=""),"",1+MAX(AR$18:AR86))</f>
        <v/>
      </c>
      <c r="AS87" s="150" t="str">
        <f>IF(OR(AO87="",AO87=0,$J87="",$J87=0,NOT(ISNUMBER($J87)),NOT(ISNUMBER(AO87))),IF(AND($G87&lt;&gt;"",AND(OR(ISNUMBER(AO87),AO87=""),AND(ISNUMBER($J87),$J87&gt;0))),'Feuille de Donnée'!$K$13,""),IF(AO87&lt;$J$165*'Feuille de Donnée'!$I$9,"Négligeable",(IF(AND(AM87&gt;=$H87*(1-'Feuille de Donnée'!$E$12),AM87&lt;=$H87*(1+'Feuille de Donnée'!$F$12)),'Feuille de Donnée'!$F$17,IF(AM87&lt;$H87*(1-'Feuille de Donnée'!$E$12),'Feuille de Donnée'!$F$18,'Feuille de Donnée'!$F$16))&amp;""&amp;IF(AND(AN87&gt;=$I87*(1-'Feuille de Donnée'!$E$27),AN87&lt;=$I87*(1+'Feuille de Donnée'!$F$27)),'Feuille de Donnée'!$F$32,IF(AN87&lt;$I87*(1-'Feuille de Donnée'!$E$27),'Feuille de Donnée'!$F$33,'Feuille de Donnée'!$F$31)))))</f>
        <v/>
      </c>
      <c r="AT87" s="151"/>
      <c r="AU87" s="110"/>
      <c r="AV87" s="28"/>
      <c r="AW87" s="28"/>
      <c r="AX87" s="28" t="str">
        <f t="shared" si="51"/>
        <v/>
      </c>
      <c r="AY87" s="128" t="str">
        <f t="shared" si="52"/>
        <v/>
      </c>
      <c r="AZ87" s="128" t="str">
        <f t="shared" si="53"/>
        <v/>
      </c>
      <c r="BA87" s="28" t="str">
        <f>IF(AND(ISBLANK(BC87),BB87=""),"",1+MAX(BA$18:BA86))</f>
        <v/>
      </c>
      <c r="BB87" s="150" t="str">
        <f>IF(OR(AX87="",AX87=0,$J87="",$J87=0,NOT(ISNUMBER($J87)),NOT(ISNUMBER(AX87))),IF(AND($G87&lt;&gt;"",AND(OR(ISNUMBER(AX87),AX87=""),AND(ISNUMBER($J87),$J87&gt;0))),'Feuille de Donnée'!$K$13,""),IF(AX87&lt;$J$165*'Feuille de Donnée'!$I$9,"Négligeable",(IF(AND(AV87&gt;=$H87*(1-'Feuille de Donnée'!$E$12),AV87&lt;=$H87*(1+'Feuille de Donnée'!$F$12)),'Feuille de Donnée'!$F$17,IF(AV87&lt;$H87*(1-'Feuille de Donnée'!$E$12),'Feuille de Donnée'!$F$18,'Feuille de Donnée'!$F$16))&amp;""&amp;IF(AND(AW87&gt;=$I87*(1-'Feuille de Donnée'!$E$27),AW87&lt;=$I87*(1+'Feuille de Donnée'!$F$27)),'Feuille de Donnée'!$F$32,IF(AW87&lt;$I87*(1-'Feuille de Donnée'!$E$27),'Feuille de Donnée'!$F$33,'Feuille de Donnée'!$F$31)))))</f>
        <v/>
      </c>
      <c r="BC87" s="151"/>
      <c r="BD87" s="110"/>
      <c r="BE87" s="28"/>
      <c r="BF87" s="28"/>
      <c r="BG87" s="28" t="str">
        <f t="shared" si="54"/>
        <v/>
      </c>
      <c r="BH87" s="128" t="str">
        <f t="shared" si="55"/>
        <v/>
      </c>
      <c r="BI87" s="128" t="str">
        <f t="shared" si="56"/>
        <v/>
      </c>
      <c r="BJ87" s="28" t="str">
        <f>IF(AND(ISBLANK(BL87),BK87=""),"",1+MAX(BJ$18:BJ86))</f>
        <v/>
      </c>
      <c r="BK87" s="150" t="str">
        <f>IF(OR(BG87="",BG87=0,$J87="",$J87=0,NOT(ISNUMBER($J87)),NOT(ISNUMBER(BG87))),IF(AND($G87&lt;&gt;"",AND(OR(ISNUMBER(BG87),BG87=""),AND(ISNUMBER($J87),$J87&gt;0))),'Feuille de Donnée'!$K$13,""),IF(BG87&lt;$J$165*'Feuille de Donnée'!$I$9,"Négligeable",(IF(AND(BE87&gt;=$H87*(1-'Feuille de Donnée'!$E$12),BE87&lt;=$H87*(1+'Feuille de Donnée'!$F$12)),'Feuille de Donnée'!$F$17,IF(BE87&lt;$H87*(1-'Feuille de Donnée'!$E$12),'Feuille de Donnée'!$F$18,'Feuille de Donnée'!$F$16))&amp;""&amp;IF(AND(BF87&gt;=$I87*(1-'Feuille de Donnée'!$E$27),BF87&lt;=$I87*(1+'Feuille de Donnée'!$F$27)),'Feuille de Donnée'!$F$32,IF(BF87&lt;$I87*(1-'Feuille de Donnée'!$E$27),'Feuille de Donnée'!$F$33,'Feuille de Donnée'!$F$31)))))</f>
        <v/>
      </c>
      <c r="BL87" s="151"/>
      <c r="BM87" s="153"/>
    </row>
    <row r="88" spans="1:65" s="7" customFormat="1" x14ac:dyDescent="0.3">
      <c r="A88" s="24"/>
      <c r="B88" s="25"/>
      <c r="C88" s="25"/>
      <c r="D88" s="25"/>
      <c r="E88" s="25"/>
      <c r="F88" s="25"/>
      <c r="G88" s="23"/>
      <c r="H88" s="26"/>
      <c r="I88" s="27"/>
      <c r="J88" s="109" t="str">
        <f t="shared" si="38"/>
        <v/>
      </c>
      <c r="K88" s="110"/>
      <c r="L88" s="28"/>
      <c r="M88" s="28"/>
      <c r="N88" s="28" t="str">
        <f t="shared" si="39"/>
        <v/>
      </c>
      <c r="O88" s="128" t="str">
        <f t="shared" si="40"/>
        <v/>
      </c>
      <c r="P88" s="128" t="str">
        <f t="shared" si="41"/>
        <v/>
      </c>
      <c r="Q88" s="28" t="str">
        <f>IF(AND(ISBLANK(S88),R88=""),"",1+MAX(Q$18:Q87))</f>
        <v/>
      </c>
      <c r="R88" s="150" t="str">
        <f>IF(OR(N88="",N88=0,$J88="",$J88=0,NOT(ISNUMBER($J88)),NOT(ISNUMBER(N88))),IF(AND($G88&lt;&gt;"",AND(OR(ISNUMBER(N88),N88=""),AND(ISNUMBER($J88),$J88&gt;0))),'Feuille de Donnée'!$K$13,""),IF(N88&lt;$J$165*'Feuille de Donnée'!$I$9,"Négligeable",(IF(AND(L88&gt;=$H88*(1-'Feuille de Donnée'!$E$12),L88&lt;=$H88*(1+'Feuille de Donnée'!$F$12)),'Feuille de Donnée'!$F$17,IF(L88&lt;$H88*(1-'Feuille de Donnée'!$E$12),'Feuille de Donnée'!$F$18,'Feuille de Donnée'!$F$16))&amp;""&amp;IF(AND(M88&gt;=$I88*(1-'Feuille de Donnée'!$E$27),M88&lt;=$I88*(1+'Feuille de Donnée'!$F$27)),'Feuille de Donnée'!$F$32,IF(M88&lt;$I88*(1-'Feuille de Donnée'!$E$27),'Feuille de Donnée'!$F$33,'Feuille de Donnée'!$F$31)))))</f>
        <v/>
      </c>
      <c r="S88" s="151"/>
      <c r="T88" s="110"/>
      <c r="U88" s="28"/>
      <c r="V88" s="28"/>
      <c r="W88" s="28" t="str">
        <f t="shared" si="42"/>
        <v/>
      </c>
      <c r="X88" s="128" t="str">
        <f t="shared" si="43"/>
        <v/>
      </c>
      <c r="Y88" s="128" t="str">
        <f t="shared" si="44"/>
        <v/>
      </c>
      <c r="Z88" s="28" t="str">
        <f>IF(AND(ISBLANK(AB88),AA88=""),"",1+MAX(Z$18:Z87))</f>
        <v/>
      </c>
      <c r="AA88" s="150" t="str">
        <f>IF(OR(W88="",W88=0,$J88="",$J88=0,NOT(ISNUMBER($J88)),NOT(ISNUMBER(W88))),IF(AND($G88&lt;&gt;"",AND(OR(ISNUMBER(W88),W88=""),AND(ISNUMBER($J88),$J88&gt;0))),'Feuille de Donnée'!$K$13,""),IF(W88&lt;$J$165*'Feuille de Donnée'!$I$9,"Négligeable",(IF(AND(U88&gt;=$H88*(1-'Feuille de Donnée'!$E$12),U88&lt;=$H88*(1+'Feuille de Donnée'!$F$12)),'Feuille de Donnée'!$F$17,IF(U88&lt;$H88*(1-'Feuille de Donnée'!$E$12),'Feuille de Donnée'!$F$18,'Feuille de Donnée'!$F$16))&amp;""&amp;IF(AND(V88&gt;=$I88*(1-'Feuille de Donnée'!$E$27),V88&lt;=$I88*(1+'Feuille de Donnée'!$F$27)),'Feuille de Donnée'!$F$32,IF(V88&lt;$I88*(1-'Feuille de Donnée'!$E$27),'Feuille de Donnée'!$F$33,'Feuille de Donnée'!$F$31)))))</f>
        <v/>
      </c>
      <c r="AB88" s="151"/>
      <c r="AC88" s="110"/>
      <c r="AD88" s="28"/>
      <c r="AE88" s="28"/>
      <c r="AF88" s="28" t="str">
        <f t="shared" si="45"/>
        <v/>
      </c>
      <c r="AG88" s="128" t="str">
        <f t="shared" si="46"/>
        <v/>
      </c>
      <c r="AH88" s="128" t="str">
        <f t="shared" si="47"/>
        <v/>
      </c>
      <c r="AI88" s="28" t="str">
        <f>IF(AND(ISBLANK(AK88),AJ88=""),"",1+MAX(AI$18:AI87))</f>
        <v/>
      </c>
      <c r="AJ88" s="150" t="str">
        <f>IF(OR(AF88="",AF88=0,$J88="",$J88=0,NOT(ISNUMBER($J88)),NOT(ISNUMBER(AF88))),IF(AND($G88&lt;&gt;"",AND(OR(ISNUMBER(AF88),AF88=""),AND(ISNUMBER($J88),$J88&gt;0))),'Feuille de Donnée'!$K$13,""),IF(AF88&lt;$J$165*'Feuille de Donnée'!$I$9,"Négligeable",(IF(AND(AD88&gt;=$H88*(1-'Feuille de Donnée'!$E$12),AD88&lt;=$H88*(1+'Feuille de Donnée'!$F$12)),'Feuille de Donnée'!$F$17,IF(AD88&lt;$H88*(1-'Feuille de Donnée'!$E$12),'Feuille de Donnée'!$F$18,'Feuille de Donnée'!$F$16))&amp;""&amp;IF(AND(AE88&gt;=$I88*(1-'Feuille de Donnée'!$E$27),AE88&lt;=$I88*(1+'Feuille de Donnée'!$F$27)),'Feuille de Donnée'!$F$32,IF(AE88&lt;$I88*(1-'Feuille de Donnée'!$E$27),'Feuille de Donnée'!$F$33,'Feuille de Donnée'!$F$31)))))</f>
        <v/>
      </c>
      <c r="AK88" s="151"/>
      <c r="AL88" s="110"/>
      <c r="AM88" s="28"/>
      <c r="AN88" s="28"/>
      <c r="AO88" s="28" t="str">
        <f t="shared" si="48"/>
        <v/>
      </c>
      <c r="AP88" s="128" t="str">
        <f t="shared" si="49"/>
        <v/>
      </c>
      <c r="AQ88" s="128" t="str">
        <f t="shared" si="50"/>
        <v/>
      </c>
      <c r="AR88" s="28" t="str">
        <f>IF(AND(ISBLANK(AT88),AS88=""),"",1+MAX(AR$18:AR87))</f>
        <v/>
      </c>
      <c r="AS88" s="150" t="str">
        <f>IF(OR(AO88="",AO88=0,$J88="",$J88=0,NOT(ISNUMBER($J88)),NOT(ISNUMBER(AO88))),IF(AND($G88&lt;&gt;"",AND(OR(ISNUMBER(AO88),AO88=""),AND(ISNUMBER($J88),$J88&gt;0))),'Feuille de Donnée'!$K$13,""),IF(AO88&lt;$J$165*'Feuille de Donnée'!$I$9,"Négligeable",(IF(AND(AM88&gt;=$H88*(1-'Feuille de Donnée'!$E$12),AM88&lt;=$H88*(1+'Feuille de Donnée'!$F$12)),'Feuille de Donnée'!$F$17,IF(AM88&lt;$H88*(1-'Feuille de Donnée'!$E$12),'Feuille de Donnée'!$F$18,'Feuille de Donnée'!$F$16))&amp;""&amp;IF(AND(AN88&gt;=$I88*(1-'Feuille de Donnée'!$E$27),AN88&lt;=$I88*(1+'Feuille de Donnée'!$F$27)),'Feuille de Donnée'!$F$32,IF(AN88&lt;$I88*(1-'Feuille de Donnée'!$E$27),'Feuille de Donnée'!$F$33,'Feuille de Donnée'!$F$31)))))</f>
        <v/>
      </c>
      <c r="AT88" s="151"/>
      <c r="AU88" s="110"/>
      <c r="AV88" s="28"/>
      <c r="AW88" s="28"/>
      <c r="AX88" s="28" t="str">
        <f t="shared" si="51"/>
        <v/>
      </c>
      <c r="AY88" s="128" t="str">
        <f t="shared" si="52"/>
        <v/>
      </c>
      <c r="AZ88" s="128" t="str">
        <f t="shared" si="53"/>
        <v/>
      </c>
      <c r="BA88" s="28" t="str">
        <f>IF(AND(ISBLANK(BC88),BB88=""),"",1+MAX(BA$18:BA87))</f>
        <v/>
      </c>
      <c r="BB88" s="150" t="str">
        <f>IF(OR(AX88="",AX88=0,$J88="",$J88=0,NOT(ISNUMBER($J88)),NOT(ISNUMBER(AX88))),IF(AND($G88&lt;&gt;"",AND(OR(ISNUMBER(AX88),AX88=""),AND(ISNUMBER($J88),$J88&gt;0))),'Feuille de Donnée'!$K$13,""),IF(AX88&lt;$J$165*'Feuille de Donnée'!$I$9,"Négligeable",(IF(AND(AV88&gt;=$H88*(1-'Feuille de Donnée'!$E$12),AV88&lt;=$H88*(1+'Feuille de Donnée'!$F$12)),'Feuille de Donnée'!$F$17,IF(AV88&lt;$H88*(1-'Feuille de Donnée'!$E$12),'Feuille de Donnée'!$F$18,'Feuille de Donnée'!$F$16))&amp;""&amp;IF(AND(AW88&gt;=$I88*(1-'Feuille de Donnée'!$E$27),AW88&lt;=$I88*(1+'Feuille de Donnée'!$F$27)),'Feuille de Donnée'!$F$32,IF(AW88&lt;$I88*(1-'Feuille de Donnée'!$E$27),'Feuille de Donnée'!$F$33,'Feuille de Donnée'!$F$31)))))</f>
        <v/>
      </c>
      <c r="BC88" s="151"/>
      <c r="BD88" s="110"/>
      <c r="BE88" s="28"/>
      <c r="BF88" s="28"/>
      <c r="BG88" s="28" t="str">
        <f t="shared" si="54"/>
        <v/>
      </c>
      <c r="BH88" s="128" t="str">
        <f t="shared" si="55"/>
        <v/>
      </c>
      <c r="BI88" s="128" t="str">
        <f t="shared" si="56"/>
        <v/>
      </c>
      <c r="BJ88" s="28" t="str">
        <f>IF(AND(ISBLANK(BL88),BK88=""),"",1+MAX(BJ$18:BJ87))</f>
        <v/>
      </c>
      <c r="BK88" s="150" t="str">
        <f>IF(OR(BG88="",BG88=0,$J88="",$J88=0,NOT(ISNUMBER($J88)),NOT(ISNUMBER(BG88))),IF(AND($G88&lt;&gt;"",AND(OR(ISNUMBER(BG88),BG88=""),AND(ISNUMBER($J88),$J88&gt;0))),'Feuille de Donnée'!$K$13,""),IF(BG88&lt;$J$165*'Feuille de Donnée'!$I$9,"Négligeable",(IF(AND(BE88&gt;=$H88*(1-'Feuille de Donnée'!$E$12),BE88&lt;=$H88*(1+'Feuille de Donnée'!$F$12)),'Feuille de Donnée'!$F$17,IF(BE88&lt;$H88*(1-'Feuille de Donnée'!$E$12),'Feuille de Donnée'!$F$18,'Feuille de Donnée'!$F$16))&amp;""&amp;IF(AND(BF88&gt;=$I88*(1-'Feuille de Donnée'!$E$27),BF88&lt;=$I88*(1+'Feuille de Donnée'!$F$27)),'Feuille de Donnée'!$F$32,IF(BF88&lt;$I88*(1-'Feuille de Donnée'!$E$27),'Feuille de Donnée'!$F$33,'Feuille de Donnée'!$F$31)))))</f>
        <v/>
      </c>
      <c r="BL88" s="151"/>
      <c r="BM88" s="153"/>
    </row>
    <row r="89" spans="1:65" s="7" customFormat="1" x14ac:dyDescent="0.3">
      <c r="A89" s="24"/>
      <c r="B89" s="25"/>
      <c r="C89" s="25"/>
      <c r="D89" s="25"/>
      <c r="E89" s="25"/>
      <c r="F89" s="25"/>
      <c r="G89" s="23"/>
      <c r="H89" s="26"/>
      <c r="I89" s="27"/>
      <c r="J89" s="109" t="str">
        <f t="shared" si="38"/>
        <v/>
      </c>
      <c r="K89" s="110"/>
      <c r="L89" s="28"/>
      <c r="M89" s="28"/>
      <c r="N89" s="28" t="str">
        <f t="shared" si="39"/>
        <v/>
      </c>
      <c r="O89" s="128" t="str">
        <f t="shared" si="40"/>
        <v/>
      </c>
      <c r="P89" s="128" t="str">
        <f t="shared" si="41"/>
        <v/>
      </c>
      <c r="Q89" s="28" t="str">
        <f>IF(AND(ISBLANK(S89),R89=""),"",1+MAX(Q$18:Q88))</f>
        <v/>
      </c>
      <c r="R89" s="150" t="str">
        <f>IF(OR(N89="",N89=0,$J89="",$J89=0,NOT(ISNUMBER($J89)),NOT(ISNUMBER(N89))),IF(AND($G89&lt;&gt;"",AND(OR(ISNUMBER(N89),N89=""),AND(ISNUMBER($J89),$J89&gt;0))),'Feuille de Donnée'!$K$13,""),IF(N89&lt;$J$165*'Feuille de Donnée'!$I$9,"Négligeable",(IF(AND(L89&gt;=$H89*(1-'Feuille de Donnée'!$E$12),L89&lt;=$H89*(1+'Feuille de Donnée'!$F$12)),'Feuille de Donnée'!$F$17,IF(L89&lt;$H89*(1-'Feuille de Donnée'!$E$12),'Feuille de Donnée'!$F$18,'Feuille de Donnée'!$F$16))&amp;""&amp;IF(AND(M89&gt;=$I89*(1-'Feuille de Donnée'!$E$27),M89&lt;=$I89*(1+'Feuille de Donnée'!$F$27)),'Feuille de Donnée'!$F$32,IF(M89&lt;$I89*(1-'Feuille de Donnée'!$E$27),'Feuille de Donnée'!$F$33,'Feuille de Donnée'!$F$31)))))</f>
        <v/>
      </c>
      <c r="S89" s="151"/>
      <c r="T89" s="110"/>
      <c r="U89" s="28"/>
      <c r="V89" s="28"/>
      <c r="W89" s="28" t="str">
        <f t="shared" si="42"/>
        <v/>
      </c>
      <c r="X89" s="128" t="str">
        <f t="shared" si="43"/>
        <v/>
      </c>
      <c r="Y89" s="128" t="str">
        <f t="shared" si="44"/>
        <v/>
      </c>
      <c r="Z89" s="28" t="str">
        <f>IF(AND(ISBLANK(AB89),AA89=""),"",1+MAX(Z$18:Z88))</f>
        <v/>
      </c>
      <c r="AA89" s="150" t="str">
        <f>IF(OR(W89="",W89=0,$J89="",$J89=0,NOT(ISNUMBER($J89)),NOT(ISNUMBER(W89))),IF(AND($G89&lt;&gt;"",AND(OR(ISNUMBER(W89),W89=""),AND(ISNUMBER($J89),$J89&gt;0))),'Feuille de Donnée'!$K$13,""),IF(W89&lt;$J$165*'Feuille de Donnée'!$I$9,"Négligeable",(IF(AND(U89&gt;=$H89*(1-'Feuille de Donnée'!$E$12),U89&lt;=$H89*(1+'Feuille de Donnée'!$F$12)),'Feuille de Donnée'!$F$17,IF(U89&lt;$H89*(1-'Feuille de Donnée'!$E$12),'Feuille de Donnée'!$F$18,'Feuille de Donnée'!$F$16))&amp;""&amp;IF(AND(V89&gt;=$I89*(1-'Feuille de Donnée'!$E$27),V89&lt;=$I89*(1+'Feuille de Donnée'!$F$27)),'Feuille de Donnée'!$F$32,IF(V89&lt;$I89*(1-'Feuille de Donnée'!$E$27),'Feuille de Donnée'!$F$33,'Feuille de Donnée'!$F$31)))))</f>
        <v/>
      </c>
      <c r="AB89" s="151"/>
      <c r="AC89" s="110"/>
      <c r="AD89" s="28"/>
      <c r="AE89" s="28"/>
      <c r="AF89" s="28" t="str">
        <f t="shared" si="45"/>
        <v/>
      </c>
      <c r="AG89" s="128" t="str">
        <f t="shared" si="46"/>
        <v/>
      </c>
      <c r="AH89" s="128" t="str">
        <f t="shared" si="47"/>
        <v/>
      </c>
      <c r="AI89" s="28" t="str">
        <f>IF(AND(ISBLANK(AK89),AJ89=""),"",1+MAX(AI$18:AI88))</f>
        <v/>
      </c>
      <c r="AJ89" s="150" t="str">
        <f>IF(OR(AF89="",AF89=0,$J89="",$J89=0,NOT(ISNUMBER($J89)),NOT(ISNUMBER(AF89))),IF(AND($G89&lt;&gt;"",AND(OR(ISNUMBER(AF89),AF89=""),AND(ISNUMBER($J89),$J89&gt;0))),'Feuille de Donnée'!$K$13,""),IF(AF89&lt;$J$165*'Feuille de Donnée'!$I$9,"Négligeable",(IF(AND(AD89&gt;=$H89*(1-'Feuille de Donnée'!$E$12),AD89&lt;=$H89*(1+'Feuille de Donnée'!$F$12)),'Feuille de Donnée'!$F$17,IF(AD89&lt;$H89*(1-'Feuille de Donnée'!$E$12),'Feuille de Donnée'!$F$18,'Feuille de Donnée'!$F$16))&amp;""&amp;IF(AND(AE89&gt;=$I89*(1-'Feuille de Donnée'!$E$27),AE89&lt;=$I89*(1+'Feuille de Donnée'!$F$27)),'Feuille de Donnée'!$F$32,IF(AE89&lt;$I89*(1-'Feuille de Donnée'!$E$27),'Feuille de Donnée'!$F$33,'Feuille de Donnée'!$F$31)))))</f>
        <v/>
      </c>
      <c r="AK89" s="151"/>
      <c r="AL89" s="110"/>
      <c r="AM89" s="28"/>
      <c r="AN89" s="28"/>
      <c r="AO89" s="28" t="str">
        <f t="shared" si="48"/>
        <v/>
      </c>
      <c r="AP89" s="128" t="str">
        <f t="shared" si="49"/>
        <v/>
      </c>
      <c r="AQ89" s="128" t="str">
        <f t="shared" si="50"/>
        <v/>
      </c>
      <c r="AR89" s="28" t="str">
        <f>IF(AND(ISBLANK(AT89),AS89=""),"",1+MAX(AR$18:AR88))</f>
        <v/>
      </c>
      <c r="AS89" s="150" t="str">
        <f>IF(OR(AO89="",AO89=0,$J89="",$J89=0,NOT(ISNUMBER($J89)),NOT(ISNUMBER(AO89))),IF(AND($G89&lt;&gt;"",AND(OR(ISNUMBER(AO89),AO89=""),AND(ISNUMBER($J89),$J89&gt;0))),'Feuille de Donnée'!$K$13,""),IF(AO89&lt;$J$165*'Feuille de Donnée'!$I$9,"Négligeable",(IF(AND(AM89&gt;=$H89*(1-'Feuille de Donnée'!$E$12),AM89&lt;=$H89*(1+'Feuille de Donnée'!$F$12)),'Feuille de Donnée'!$F$17,IF(AM89&lt;$H89*(1-'Feuille de Donnée'!$E$12),'Feuille de Donnée'!$F$18,'Feuille de Donnée'!$F$16))&amp;""&amp;IF(AND(AN89&gt;=$I89*(1-'Feuille de Donnée'!$E$27),AN89&lt;=$I89*(1+'Feuille de Donnée'!$F$27)),'Feuille de Donnée'!$F$32,IF(AN89&lt;$I89*(1-'Feuille de Donnée'!$E$27),'Feuille de Donnée'!$F$33,'Feuille de Donnée'!$F$31)))))</f>
        <v/>
      </c>
      <c r="AT89" s="151"/>
      <c r="AU89" s="110"/>
      <c r="AV89" s="28"/>
      <c r="AW89" s="28"/>
      <c r="AX89" s="28" t="str">
        <f t="shared" si="51"/>
        <v/>
      </c>
      <c r="AY89" s="128" t="str">
        <f t="shared" si="52"/>
        <v/>
      </c>
      <c r="AZ89" s="128" t="str">
        <f t="shared" si="53"/>
        <v/>
      </c>
      <c r="BA89" s="28" t="str">
        <f>IF(AND(ISBLANK(BC89),BB89=""),"",1+MAX(BA$18:BA88))</f>
        <v/>
      </c>
      <c r="BB89" s="150" t="str">
        <f>IF(OR(AX89="",AX89=0,$J89="",$J89=0,NOT(ISNUMBER($J89)),NOT(ISNUMBER(AX89))),IF(AND($G89&lt;&gt;"",AND(OR(ISNUMBER(AX89),AX89=""),AND(ISNUMBER($J89),$J89&gt;0))),'Feuille de Donnée'!$K$13,""),IF(AX89&lt;$J$165*'Feuille de Donnée'!$I$9,"Négligeable",(IF(AND(AV89&gt;=$H89*(1-'Feuille de Donnée'!$E$12),AV89&lt;=$H89*(1+'Feuille de Donnée'!$F$12)),'Feuille de Donnée'!$F$17,IF(AV89&lt;$H89*(1-'Feuille de Donnée'!$E$12),'Feuille de Donnée'!$F$18,'Feuille de Donnée'!$F$16))&amp;""&amp;IF(AND(AW89&gt;=$I89*(1-'Feuille de Donnée'!$E$27),AW89&lt;=$I89*(1+'Feuille de Donnée'!$F$27)),'Feuille de Donnée'!$F$32,IF(AW89&lt;$I89*(1-'Feuille de Donnée'!$E$27),'Feuille de Donnée'!$F$33,'Feuille de Donnée'!$F$31)))))</f>
        <v/>
      </c>
      <c r="BC89" s="151"/>
      <c r="BD89" s="110"/>
      <c r="BE89" s="28"/>
      <c r="BF89" s="28"/>
      <c r="BG89" s="28" t="str">
        <f t="shared" si="54"/>
        <v/>
      </c>
      <c r="BH89" s="128" t="str">
        <f t="shared" si="55"/>
        <v/>
      </c>
      <c r="BI89" s="128" t="str">
        <f t="shared" si="56"/>
        <v/>
      </c>
      <c r="BJ89" s="28" t="str">
        <f>IF(AND(ISBLANK(BL89),BK89=""),"",1+MAX(BJ$18:BJ88))</f>
        <v/>
      </c>
      <c r="BK89" s="150" t="str">
        <f>IF(OR(BG89="",BG89=0,$J89="",$J89=0,NOT(ISNUMBER($J89)),NOT(ISNUMBER(BG89))),IF(AND($G89&lt;&gt;"",AND(OR(ISNUMBER(BG89),BG89=""),AND(ISNUMBER($J89),$J89&gt;0))),'Feuille de Donnée'!$K$13,""),IF(BG89&lt;$J$165*'Feuille de Donnée'!$I$9,"Négligeable",(IF(AND(BE89&gt;=$H89*(1-'Feuille de Donnée'!$E$12),BE89&lt;=$H89*(1+'Feuille de Donnée'!$F$12)),'Feuille de Donnée'!$F$17,IF(BE89&lt;$H89*(1-'Feuille de Donnée'!$E$12),'Feuille de Donnée'!$F$18,'Feuille de Donnée'!$F$16))&amp;""&amp;IF(AND(BF89&gt;=$I89*(1-'Feuille de Donnée'!$E$27),BF89&lt;=$I89*(1+'Feuille de Donnée'!$F$27)),'Feuille de Donnée'!$F$32,IF(BF89&lt;$I89*(1-'Feuille de Donnée'!$E$27),'Feuille de Donnée'!$F$33,'Feuille de Donnée'!$F$31)))))</f>
        <v/>
      </c>
      <c r="BL89" s="151"/>
      <c r="BM89" s="153"/>
    </row>
    <row r="90" spans="1:65" s="7" customFormat="1" x14ac:dyDescent="0.3">
      <c r="A90" s="24"/>
      <c r="B90" s="25"/>
      <c r="C90" s="25"/>
      <c r="D90" s="25"/>
      <c r="E90" s="25"/>
      <c r="F90" s="25"/>
      <c r="G90" s="23"/>
      <c r="H90" s="26"/>
      <c r="I90" s="27"/>
      <c r="J90" s="109" t="str">
        <f t="shared" si="38"/>
        <v/>
      </c>
      <c r="K90" s="110"/>
      <c r="L90" s="28"/>
      <c r="M90" s="28"/>
      <c r="N90" s="28" t="str">
        <f t="shared" si="39"/>
        <v/>
      </c>
      <c r="O90" s="128" t="str">
        <f t="shared" si="40"/>
        <v/>
      </c>
      <c r="P90" s="128" t="str">
        <f t="shared" si="41"/>
        <v/>
      </c>
      <c r="Q90" s="28" t="str">
        <f>IF(AND(ISBLANK(S90),R90=""),"",1+MAX(Q$18:Q89))</f>
        <v/>
      </c>
      <c r="R90" s="150" t="str">
        <f>IF(OR(N90="",N90=0,$J90="",$J90=0,NOT(ISNUMBER($J90)),NOT(ISNUMBER(N90))),IF(AND($G90&lt;&gt;"",AND(OR(ISNUMBER(N90),N90=""),AND(ISNUMBER($J90),$J90&gt;0))),'Feuille de Donnée'!$K$13,""),IF(N90&lt;$J$165*'Feuille de Donnée'!$I$9,"Négligeable",(IF(AND(L90&gt;=$H90*(1-'Feuille de Donnée'!$E$12),L90&lt;=$H90*(1+'Feuille de Donnée'!$F$12)),'Feuille de Donnée'!$F$17,IF(L90&lt;$H90*(1-'Feuille de Donnée'!$E$12),'Feuille de Donnée'!$F$18,'Feuille de Donnée'!$F$16))&amp;""&amp;IF(AND(M90&gt;=$I90*(1-'Feuille de Donnée'!$E$27),M90&lt;=$I90*(1+'Feuille de Donnée'!$F$27)),'Feuille de Donnée'!$F$32,IF(M90&lt;$I90*(1-'Feuille de Donnée'!$E$27),'Feuille de Donnée'!$F$33,'Feuille de Donnée'!$F$31)))))</f>
        <v/>
      </c>
      <c r="S90" s="151"/>
      <c r="T90" s="110"/>
      <c r="U90" s="28"/>
      <c r="V90" s="28"/>
      <c r="W90" s="28" t="str">
        <f t="shared" si="42"/>
        <v/>
      </c>
      <c r="X90" s="128" t="str">
        <f t="shared" si="43"/>
        <v/>
      </c>
      <c r="Y90" s="128" t="str">
        <f t="shared" si="44"/>
        <v/>
      </c>
      <c r="Z90" s="28" t="str">
        <f>IF(AND(ISBLANK(AB90),AA90=""),"",1+MAX(Z$18:Z89))</f>
        <v/>
      </c>
      <c r="AA90" s="150" t="str">
        <f>IF(OR(W90="",W90=0,$J90="",$J90=0,NOT(ISNUMBER($J90)),NOT(ISNUMBER(W90))),IF(AND($G90&lt;&gt;"",AND(OR(ISNUMBER(W90),W90=""),AND(ISNUMBER($J90),$J90&gt;0))),'Feuille de Donnée'!$K$13,""),IF(W90&lt;$J$165*'Feuille de Donnée'!$I$9,"Négligeable",(IF(AND(U90&gt;=$H90*(1-'Feuille de Donnée'!$E$12),U90&lt;=$H90*(1+'Feuille de Donnée'!$F$12)),'Feuille de Donnée'!$F$17,IF(U90&lt;$H90*(1-'Feuille de Donnée'!$E$12),'Feuille de Donnée'!$F$18,'Feuille de Donnée'!$F$16))&amp;""&amp;IF(AND(V90&gt;=$I90*(1-'Feuille de Donnée'!$E$27),V90&lt;=$I90*(1+'Feuille de Donnée'!$F$27)),'Feuille de Donnée'!$F$32,IF(V90&lt;$I90*(1-'Feuille de Donnée'!$E$27),'Feuille de Donnée'!$F$33,'Feuille de Donnée'!$F$31)))))</f>
        <v/>
      </c>
      <c r="AB90" s="151"/>
      <c r="AC90" s="110"/>
      <c r="AD90" s="28"/>
      <c r="AE90" s="28"/>
      <c r="AF90" s="28" t="str">
        <f t="shared" si="45"/>
        <v/>
      </c>
      <c r="AG90" s="128" t="str">
        <f t="shared" si="46"/>
        <v/>
      </c>
      <c r="AH90" s="128" t="str">
        <f t="shared" si="47"/>
        <v/>
      </c>
      <c r="AI90" s="28" t="str">
        <f>IF(AND(ISBLANK(AK90),AJ90=""),"",1+MAX(AI$18:AI89))</f>
        <v/>
      </c>
      <c r="AJ90" s="150" t="str">
        <f>IF(OR(AF90="",AF90=0,$J90="",$J90=0,NOT(ISNUMBER($J90)),NOT(ISNUMBER(AF90))),IF(AND($G90&lt;&gt;"",AND(OR(ISNUMBER(AF90),AF90=""),AND(ISNUMBER($J90),$J90&gt;0))),'Feuille de Donnée'!$K$13,""),IF(AF90&lt;$J$165*'Feuille de Donnée'!$I$9,"Négligeable",(IF(AND(AD90&gt;=$H90*(1-'Feuille de Donnée'!$E$12),AD90&lt;=$H90*(1+'Feuille de Donnée'!$F$12)),'Feuille de Donnée'!$F$17,IF(AD90&lt;$H90*(1-'Feuille de Donnée'!$E$12),'Feuille de Donnée'!$F$18,'Feuille de Donnée'!$F$16))&amp;""&amp;IF(AND(AE90&gt;=$I90*(1-'Feuille de Donnée'!$E$27),AE90&lt;=$I90*(1+'Feuille de Donnée'!$F$27)),'Feuille de Donnée'!$F$32,IF(AE90&lt;$I90*(1-'Feuille de Donnée'!$E$27),'Feuille de Donnée'!$F$33,'Feuille de Donnée'!$F$31)))))</f>
        <v/>
      </c>
      <c r="AK90" s="151"/>
      <c r="AL90" s="110"/>
      <c r="AM90" s="28"/>
      <c r="AN90" s="28"/>
      <c r="AO90" s="28" t="str">
        <f t="shared" si="48"/>
        <v/>
      </c>
      <c r="AP90" s="128" t="str">
        <f t="shared" si="49"/>
        <v/>
      </c>
      <c r="AQ90" s="128" t="str">
        <f t="shared" si="50"/>
        <v/>
      </c>
      <c r="AR90" s="28" t="str">
        <f>IF(AND(ISBLANK(AT90),AS90=""),"",1+MAX(AR$18:AR89))</f>
        <v/>
      </c>
      <c r="AS90" s="150" t="str">
        <f>IF(OR(AO90="",AO90=0,$J90="",$J90=0,NOT(ISNUMBER($J90)),NOT(ISNUMBER(AO90))),IF(AND($G90&lt;&gt;"",AND(OR(ISNUMBER(AO90),AO90=""),AND(ISNUMBER($J90),$J90&gt;0))),'Feuille de Donnée'!$K$13,""),IF(AO90&lt;$J$165*'Feuille de Donnée'!$I$9,"Négligeable",(IF(AND(AM90&gt;=$H90*(1-'Feuille de Donnée'!$E$12),AM90&lt;=$H90*(1+'Feuille de Donnée'!$F$12)),'Feuille de Donnée'!$F$17,IF(AM90&lt;$H90*(1-'Feuille de Donnée'!$E$12),'Feuille de Donnée'!$F$18,'Feuille de Donnée'!$F$16))&amp;""&amp;IF(AND(AN90&gt;=$I90*(1-'Feuille de Donnée'!$E$27),AN90&lt;=$I90*(1+'Feuille de Donnée'!$F$27)),'Feuille de Donnée'!$F$32,IF(AN90&lt;$I90*(1-'Feuille de Donnée'!$E$27),'Feuille de Donnée'!$F$33,'Feuille de Donnée'!$F$31)))))</f>
        <v/>
      </c>
      <c r="AT90" s="151"/>
      <c r="AU90" s="110"/>
      <c r="AV90" s="28"/>
      <c r="AW90" s="28"/>
      <c r="AX90" s="28" t="str">
        <f t="shared" si="51"/>
        <v/>
      </c>
      <c r="AY90" s="128" t="str">
        <f t="shared" si="52"/>
        <v/>
      </c>
      <c r="AZ90" s="128" t="str">
        <f t="shared" si="53"/>
        <v/>
      </c>
      <c r="BA90" s="28" t="str">
        <f>IF(AND(ISBLANK(BC90),BB90=""),"",1+MAX(BA$18:BA89))</f>
        <v/>
      </c>
      <c r="BB90" s="150" t="str">
        <f>IF(OR(AX90="",AX90=0,$J90="",$J90=0,NOT(ISNUMBER($J90)),NOT(ISNUMBER(AX90))),IF(AND($G90&lt;&gt;"",AND(OR(ISNUMBER(AX90),AX90=""),AND(ISNUMBER($J90),$J90&gt;0))),'Feuille de Donnée'!$K$13,""),IF(AX90&lt;$J$165*'Feuille de Donnée'!$I$9,"Négligeable",(IF(AND(AV90&gt;=$H90*(1-'Feuille de Donnée'!$E$12),AV90&lt;=$H90*(1+'Feuille de Donnée'!$F$12)),'Feuille de Donnée'!$F$17,IF(AV90&lt;$H90*(1-'Feuille de Donnée'!$E$12),'Feuille de Donnée'!$F$18,'Feuille de Donnée'!$F$16))&amp;""&amp;IF(AND(AW90&gt;=$I90*(1-'Feuille de Donnée'!$E$27),AW90&lt;=$I90*(1+'Feuille de Donnée'!$F$27)),'Feuille de Donnée'!$F$32,IF(AW90&lt;$I90*(1-'Feuille de Donnée'!$E$27),'Feuille de Donnée'!$F$33,'Feuille de Donnée'!$F$31)))))</f>
        <v/>
      </c>
      <c r="BC90" s="151"/>
      <c r="BD90" s="110"/>
      <c r="BE90" s="28"/>
      <c r="BF90" s="28"/>
      <c r="BG90" s="28" t="str">
        <f t="shared" si="54"/>
        <v/>
      </c>
      <c r="BH90" s="128" t="str">
        <f t="shared" si="55"/>
        <v/>
      </c>
      <c r="BI90" s="128" t="str">
        <f t="shared" si="56"/>
        <v/>
      </c>
      <c r="BJ90" s="28" t="str">
        <f>IF(AND(ISBLANK(BL90),BK90=""),"",1+MAX(BJ$18:BJ89))</f>
        <v/>
      </c>
      <c r="BK90" s="150" t="str">
        <f>IF(OR(BG90="",BG90=0,$J90="",$J90=0,NOT(ISNUMBER($J90)),NOT(ISNUMBER(BG90))),IF(AND($G90&lt;&gt;"",AND(OR(ISNUMBER(BG90),BG90=""),AND(ISNUMBER($J90),$J90&gt;0))),'Feuille de Donnée'!$K$13,""),IF(BG90&lt;$J$165*'Feuille de Donnée'!$I$9,"Négligeable",(IF(AND(BE90&gt;=$H90*(1-'Feuille de Donnée'!$E$12),BE90&lt;=$H90*(1+'Feuille de Donnée'!$F$12)),'Feuille de Donnée'!$F$17,IF(BE90&lt;$H90*(1-'Feuille de Donnée'!$E$12),'Feuille de Donnée'!$F$18,'Feuille de Donnée'!$F$16))&amp;""&amp;IF(AND(BF90&gt;=$I90*(1-'Feuille de Donnée'!$E$27),BF90&lt;=$I90*(1+'Feuille de Donnée'!$F$27)),'Feuille de Donnée'!$F$32,IF(BF90&lt;$I90*(1-'Feuille de Donnée'!$E$27),'Feuille de Donnée'!$F$33,'Feuille de Donnée'!$F$31)))))</f>
        <v/>
      </c>
      <c r="BL90" s="151"/>
      <c r="BM90" s="153"/>
    </row>
    <row r="91" spans="1:65" s="7" customFormat="1" x14ac:dyDescent="0.3">
      <c r="A91" s="24"/>
      <c r="B91" s="25"/>
      <c r="C91" s="25"/>
      <c r="D91" s="25"/>
      <c r="E91" s="25"/>
      <c r="F91" s="25"/>
      <c r="G91" s="23"/>
      <c r="H91" s="26"/>
      <c r="I91" s="27"/>
      <c r="J91" s="109" t="str">
        <f t="shared" si="38"/>
        <v/>
      </c>
      <c r="K91" s="110"/>
      <c r="L91" s="28"/>
      <c r="M91" s="28"/>
      <c r="N91" s="28" t="str">
        <f t="shared" si="39"/>
        <v/>
      </c>
      <c r="O91" s="128" t="str">
        <f t="shared" si="40"/>
        <v/>
      </c>
      <c r="P91" s="128" t="str">
        <f t="shared" si="41"/>
        <v/>
      </c>
      <c r="Q91" s="28" t="str">
        <f>IF(AND(ISBLANK(S91),R91=""),"",1+MAX(Q$18:Q90))</f>
        <v/>
      </c>
      <c r="R91" s="150" t="str">
        <f>IF(OR(N91="",N91=0,$J91="",$J91=0,NOT(ISNUMBER($J91)),NOT(ISNUMBER(N91))),IF(AND($G91&lt;&gt;"",AND(OR(ISNUMBER(N91),N91=""),AND(ISNUMBER($J91),$J91&gt;0))),'Feuille de Donnée'!$K$13,""),IF(N91&lt;$J$165*'Feuille de Donnée'!$I$9,"Négligeable",(IF(AND(L91&gt;=$H91*(1-'Feuille de Donnée'!$E$12),L91&lt;=$H91*(1+'Feuille de Donnée'!$F$12)),'Feuille de Donnée'!$F$17,IF(L91&lt;$H91*(1-'Feuille de Donnée'!$E$12),'Feuille de Donnée'!$F$18,'Feuille de Donnée'!$F$16))&amp;""&amp;IF(AND(M91&gt;=$I91*(1-'Feuille de Donnée'!$E$27),M91&lt;=$I91*(1+'Feuille de Donnée'!$F$27)),'Feuille de Donnée'!$F$32,IF(M91&lt;$I91*(1-'Feuille de Donnée'!$E$27),'Feuille de Donnée'!$F$33,'Feuille de Donnée'!$F$31)))))</f>
        <v/>
      </c>
      <c r="S91" s="151"/>
      <c r="T91" s="110"/>
      <c r="U91" s="28"/>
      <c r="V91" s="28"/>
      <c r="W91" s="28" t="str">
        <f t="shared" si="42"/>
        <v/>
      </c>
      <c r="X91" s="128" t="str">
        <f t="shared" si="43"/>
        <v/>
      </c>
      <c r="Y91" s="128" t="str">
        <f t="shared" si="44"/>
        <v/>
      </c>
      <c r="Z91" s="28" t="str">
        <f>IF(AND(ISBLANK(AB91),AA91=""),"",1+MAX(Z$18:Z90))</f>
        <v/>
      </c>
      <c r="AA91" s="150" t="str">
        <f>IF(OR(W91="",W91=0,$J91="",$J91=0,NOT(ISNUMBER($J91)),NOT(ISNUMBER(W91))),IF(AND($G91&lt;&gt;"",AND(OR(ISNUMBER(W91),W91=""),AND(ISNUMBER($J91),$J91&gt;0))),'Feuille de Donnée'!$K$13,""),IF(W91&lt;$J$165*'Feuille de Donnée'!$I$9,"Négligeable",(IF(AND(U91&gt;=$H91*(1-'Feuille de Donnée'!$E$12),U91&lt;=$H91*(1+'Feuille de Donnée'!$F$12)),'Feuille de Donnée'!$F$17,IF(U91&lt;$H91*(1-'Feuille de Donnée'!$E$12),'Feuille de Donnée'!$F$18,'Feuille de Donnée'!$F$16))&amp;""&amp;IF(AND(V91&gt;=$I91*(1-'Feuille de Donnée'!$E$27),V91&lt;=$I91*(1+'Feuille de Donnée'!$F$27)),'Feuille de Donnée'!$F$32,IF(V91&lt;$I91*(1-'Feuille de Donnée'!$E$27),'Feuille de Donnée'!$F$33,'Feuille de Donnée'!$F$31)))))</f>
        <v/>
      </c>
      <c r="AB91" s="151"/>
      <c r="AC91" s="110"/>
      <c r="AD91" s="28"/>
      <c r="AE91" s="28"/>
      <c r="AF91" s="28" t="str">
        <f t="shared" si="45"/>
        <v/>
      </c>
      <c r="AG91" s="128" t="str">
        <f t="shared" si="46"/>
        <v/>
      </c>
      <c r="AH91" s="128" t="str">
        <f t="shared" si="47"/>
        <v/>
      </c>
      <c r="AI91" s="28" t="str">
        <f>IF(AND(ISBLANK(AK91),AJ91=""),"",1+MAX(AI$18:AI90))</f>
        <v/>
      </c>
      <c r="AJ91" s="150" t="str">
        <f>IF(OR(AF91="",AF91=0,$J91="",$J91=0,NOT(ISNUMBER($J91)),NOT(ISNUMBER(AF91))),IF(AND($G91&lt;&gt;"",AND(OR(ISNUMBER(AF91),AF91=""),AND(ISNUMBER($J91),$J91&gt;0))),'Feuille de Donnée'!$K$13,""),IF(AF91&lt;$J$165*'Feuille de Donnée'!$I$9,"Négligeable",(IF(AND(AD91&gt;=$H91*(1-'Feuille de Donnée'!$E$12),AD91&lt;=$H91*(1+'Feuille de Donnée'!$F$12)),'Feuille de Donnée'!$F$17,IF(AD91&lt;$H91*(1-'Feuille de Donnée'!$E$12),'Feuille de Donnée'!$F$18,'Feuille de Donnée'!$F$16))&amp;""&amp;IF(AND(AE91&gt;=$I91*(1-'Feuille de Donnée'!$E$27),AE91&lt;=$I91*(1+'Feuille de Donnée'!$F$27)),'Feuille de Donnée'!$F$32,IF(AE91&lt;$I91*(1-'Feuille de Donnée'!$E$27),'Feuille de Donnée'!$F$33,'Feuille de Donnée'!$F$31)))))</f>
        <v/>
      </c>
      <c r="AK91" s="151"/>
      <c r="AL91" s="110"/>
      <c r="AM91" s="28"/>
      <c r="AN91" s="28"/>
      <c r="AO91" s="28" t="str">
        <f t="shared" si="48"/>
        <v/>
      </c>
      <c r="AP91" s="128" t="str">
        <f t="shared" si="49"/>
        <v/>
      </c>
      <c r="AQ91" s="128" t="str">
        <f t="shared" si="50"/>
        <v/>
      </c>
      <c r="AR91" s="28" t="str">
        <f>IF(AND(ISBLANK(AT91),AS91=""),"",1+MAX(AR$18:AR90))</f>
        <v/>
      </c>
      <c r="AS91" s="150" t="str">
        <f>IF(OR(AO91="",AO91=0,$J91="",$J91=0,NOT(ISNUMBER($J91)),NOT(ISNUMBER(AO91))),IF(AND($G91&lt;&gt;"",AND(OR(ISNUMBER(AO91),AO91=""),AND(ISNUMBER($J91),$J91&gt;0))),'Feuille de Donnée'!$K$13,""),IF(AO91&lt;$J$165*'Feuille de Donnée'!$I$9,"Négligeable",(IF(AND(AM91&gt;=$H91*(1-'Feuille de Donnée'!$E$12),AM91&lt;=$H91*(1+'Feuille de Donnée'!$F$12)),'Feuille de Donnée'!$F$17,IF(AM91&lt;$H91*(1-'Feuille de Donnée'!$E$12),'Feuille de Donnée'!$F$18,'Feuille de Donnée'!$F$16))&amp;""&amp;IF(AND(AN91&gt;=$I91*(1-'Feuille de Donnée'!$E$27),AN91&lt;=$I91*(1+'Feuille de Donnée'!$F$27)),'Feuille de Donnée'!$F$32,IF(AN91&lt;$I91*(1-'Feuille de Donnée'!$E$27),'Feuille de Donnée'!$F$33,'Feuille de Donnée'!$F$31)))))</f>
        <v/>
      </c>
      <c r="AT91" s="151"/>
      <c r="AU91" s="110"/>
      <c r="AV91" s="28"/>
      <c r="AW91" s="28"/>
      <c r="AX91" s="28" t="str">
        <f t="shared" si="51"/>
        <v/>
      </c>
      <c r="AY91" s="128" t="str">
        <f t="shared" si="52"/>
        <v/>
      </c>
      <c r="AZ91" s="128" t="str">
        <f t="shared" si="53"/>
        <v/>
      </c>
      <c r="BA91" s="28" t="str">
        <f>IF(AND(ISBLANK(BC91),BB91=""),"",1+MAX(BA$18:BA90))</f>
        <v/>
      </c>
      <c r="BB91" s="150" t="str">
        <f>IF(OR(AX91="",AX91=0,$J91="",$J91=0,NOT(ISNUMBER($J91)),NOT(ISNUMBER(AX91))),IF(AND($G91&lt;&gt;"",AND(OR(ISNUMBER(AX91),AX91=""),AND(ISNUMBER($J91),$J91&gt;0))),'Feuille de Donnée'!$K$13,""),IF(AX91&lt;$J$165*'Feuille de Donnée'!$I$9,"Négligeable",(IF(AND(AV91&gt;=$H91*(1-'Feuille de Donnée'!$E$12),AV91&lt;=$H91*(1+'Feuille de Donnée'!$F$12)),'Feuille de Donnée'!$F$17,IF(AV91&lt;$H91*(1-'Feuille de Donnée'!$E$12),'Feuille de Donnée'!$F$18,'Feuille de Donnée'!$F$16))&amp;""&amp;IF(AND(AW91&gt;=$I91*(1-'Feuille de Donnée'!$E$27),AW91&lt;=$I91*(1+'Feuille de Donnée'!$F$27)),'Feuille de Donnée'!$F$32,IF(AW91&lt;$I91*(1-'Feuille de Donnée'!$E$27),'Feuille de Donnée'!$F$33,'Feuille de Donnée'!$F$31)))))</f>
        <v/>
      </c>
      <c r="BC91" s="151"/>
      <c r="BD91" s="110"/>
      <c r="BE91" s="28"/>
      <c r="BF91" s="28"/>
      <c r="BG91" s="28" t="str">
        <f t="shared" si="54"/>
        <v/>
      </c>
      <c r="BH91" s="128" t="str">
        <f t="shared" si="55"/>
        <v/>
      </c>
      <c r="BI91" s="128" t="str">
        <f t="shared" si="56"/>
        <v/>
      </c>
      <c r="BJ91" s="28" t="str">
        <f>IF(AND(ISBLANK(BL91),BK91=""),"",1+MAX(BJ$18:BJ90))</f>
        <v/>
      </c>
      <c r="BK91" s="150" t="str">
        <f>IF(OR(BG91="",BG91=0,$J91="",$J91=0,NOT(ISNUMBER($J91)),NOT(ISNUMBER(BG91))),IF(AND($G91&lt;&gt;"",AND(OR(ISNUMBER(BG91),BG91=""),AND(ISNUMBER($J91),$J91&gt;0))),'Feuille de Donnée'!$K$13,""),IF(BG91&lt;$J$165*'Feuille de Donnée'!$I$9,"Négligeable",(IF(AND(BE91&gt;=$H91*(1-'Feuille de Donnée'!$E$12),BE91&lt;=$H91*(1+'Feuille de Donnée'!$F$12)),'Feuille de Donnée'!$F$17,IF(BE91&lt;$H91*(1-'Feuille de Donnée'!$E$12),'Feuille de Donnée'!$F$18,'Feuille de Donnée'!$F$16))&amp;""&amp;IF(AND(BF91&gt;=$I91*(1-'Feuille de Donnée'!$E$27),BF91&lt;=$I91*(1+'Feuille de Donnée'!$F$27)),'Feuille de Donnée'!$F$32,IF(BF91&lt;$I91*(1-'Feuille de Donnée'!$E$27),'Feuille de Donnée'!$F$33,'Feuille de Donnée'!$F$31)))))</f>
        <v/>
      </c>
      <c r="BL91" s="151"/>
      <c r="BM91" s="153"/>
    </row>
    <row r="92" spans="1:65" s="7" customFormat="1" x14ac:dyDescent="0.3">
      <c r="A92" s="24"/>
      <c r="B92" s="25"/>
      <c r="C92" s="25"/>
      <c r="D92" s="25"/>
      <c r="E92" s="25"/>
      <c r="F92" s="25"/>
      <c r="G92" s="23"/>
      <c r="H92" s="26"/>
      <c r="I92" s="27"/>
      <c r="J92" s="109" t="str">
        <f t="shared" si="38"/>
        <v/>
      </c>
      <c r="K92" s="110"/>
      <c r="L92" s="28"/>
      <c r="M92" s="28"/>
      <c r="N92" s="28" t="str">
        <f t="shared" si="39"/>
        <v/>
      </c>
      <c r="O92" s="128" t="str">
        <f t="shared" si="40"/>
        <v/>
      </c>
      <c r="P92" s="128" t="str">
        <f t="shared" si="41"/>
        <v/>
      </c>
      <c r="Q92" s="28" t="str">
        <f>IF(AND(ISBLANK(S92),R92=""),"",1+MAX(Q$18:Q91))</f>
        <v/>
      </c>
      <c r="R92" s="150" t="str">
        <f>IF(OR(N92="",N92=0,$J92="",$J92=0,NOT(ISNUMBER($J92)),NOT(ISNUMBER(N92))),IF(AND($G92&lt;&gt;"",AND(OR(ISNUMBER(N92),N92=""),AND(ISNUMBER($J92),$J92&gt;0))),'Feuille de Donnée'!$K$13,""),IF(N92&lt;$J$165*'Feuille de Donnée'!$I$9,"Négligeable",(IF(AND(L92&gt;=$H92*(1-'Feuille de Donnée'!$E$12),L92&lt;=$H92*(1+'Feuille de Donnée'!$F$12)),'Feuille de Donnée'!$F$17,IF(L92&lt;$H92*(1-'Feuille de Donnée'!$E$12),'Feuille de Donnée'!$F$18,'Feuille de Donnée'!$F$16))&amp;""&amp;IF(AND(M92&gt;=$I92*(1-'Feuille de Donnée'!$E$27),M92&lt;=$I92*(1+'Feuille de Donnée'!$F$27)),'Feuille de Donnée'!$F$32,IF(M92&lt;$I92*(1-'Feuille de Donnée'!$E$27),'Feuille de Donnée'!$F$33,'Feuille de Donnée'!$F$31)))))</f>
        <v/>
      </c>
      <c r="S92" s="151"/>
      <c r="T92" s="110"/>
      <c r="U92" s="28"/>
      <c r="V92" s="28"/>
      <c r="W92" s="28" t="str">
        <f t="shared" si="42"/>
        <v/>
      </c>
      <c r="X92" s="128" t="str">
        <f t="shared" si="43"/>
        <v/>
      </c>
      <c r="Y92" s="128" t="str">
        <f t="shared" si="44"/>
        <v/>
      </c>
      <c r="Z92" s="28" t="str">
        <f>IF(AND(ISBLANK(AB92),AA92=""),"",1+MAX(Z$18:Z91))</f>
        <v/>
      </c>
      <c r="AA92" s="150" t="str">
        <f>IF(OR(W92="",W92=0,$J92="",$J92=0,NOT(ISNUMBER($J92)),NOT(ISNUMBER(W92))),IF(AND($G92&lt;&gt;"",AND(OR(ISNUMBER(W92),W92=""),AND(ISNUMBER($J92),$J92&gt;0))),'Feuille de Donnée'!$K$13,""),IF(W92&lt;$J$165*'Feuille de Donnée'!$I$9,"Négligeable",(IF(AND(U92&gt;=$H92*(1-'Feuille de Donnée'!$E$12),U92&lt;=$H92*(1+'Feuille de Donnée'!$F$12)),'Feuille de Donnée'!$F$17,IF(U92&lt;$H92*(1-'Feuille de Donnée'!$E$12),'Feuille de Donnée'!$F$18,'Feuille de Donnée'!$F$16))&amp;""&amp;IF(AND(V92&gt;=$I92*(1-'Feuille de Donnée'!$E$27),V92&lt;=$I92*(1+'Feuille de Donnée'!$F$27)),'Feuille de Donnée'!$F$32,IF(V92&lt;$I92*(1-'Feuille de Donnée'!$E$27),'Feuille de Donnée'!$F$33,'Feuille de Donnée'!$F$31)))))</f>
        <v/>
      </c>
      <c r="AB92" s="151"/>
      <c r="AC92" s="110"/>
      <c r="AD92" s="28"/>
      <c r="AE92" s="28"/>
      <c r="AF92" s="28" t="str">
        <f t="shared" si="45"/>
        <v/>
      </c>
      <c r="AG92" s="128" t="str">
        <f t="shared" si="46"/>
        <v/>
      </c>
      <c r="AH92" s="128" t="str">
        <f t="shared" si="47"/>
        <v/>
      </c>
      <c r="AI92" s="28" t="str">
        <f>IF(AND(ISBLANK(AK92),AJ92=""),"",1+MAX(AI$18:AI91))</f>
        <v/>
      </c>
      <c r="AJ92" s="150" t="str">
        <f>IF(OR(AF92="",AF92=0,$J92="",$J92=0,NOT(ISNUMBER($J92)),NOT(ISNUMBER(AF92))),IF(AND($G92&lt;&gt;"",AND(OR(ISNUMBER(AF92),AF92=""),AND(ISNUMBER($J92),$J92&gt;0))),'Feuille de Donnée'!$K$13,""),IF(AF92&lt;$J$165*'Feuille de Donnée'!$I$9,"Négligeable",(IF(AND(AD92&gt;=$H92*(1-'Feuille de Donnée'!$E$12),AD92&lt;=$H92*(1+'Feuille de Donnée'!$F$12)),'Feuille de Donnée'!$F$17,IF(AD92&lt;$H92*(1-'Feuille de Donnée'!$E$12),'Feuille de Donnée'!$F$18,'Feuille de Donnée'!$F$16))&amp;""&amp;IF(AND(AE92&gt;=$I92*(1-'Feuille de Donnée'!$E$27),AE92&lt;=$I92*(1+'Feuille de Donnée'!$F$27)),'Feuille de Donnée'!$F$32,IF(AE92&lt;$I92*(1-'Feuille de Donnée'!$E$27),'Feuille de Donnée'!$F$33,'Feuille de Donnée'!$F$31)))))</f>
        <v/>
      </c>
      <c r="AK92" s="151"/>
      <c r="AL92" s="110"/>
      <c r="AM92" s="28"/>
      <c r="AN92" s="28"/>
      <c r="AO92" s="28" t="str">
        <f t="shared" si="48"/>
        <v/>
      </c>
      <c r="AP92" s="128" t="str">
        <f t="shared" si="49"/>
        <v/>
      </c>
      <c r="AQ92" s="128" t="str">
        <f t="shared" si="50"/>
        <v/>
      </c>
      <c r="AR92" s="28" t="str">
        <f>IF(AND(ISBLANK(AT92),AS92=""),"",1+MAX(AR$18:AR91))</f>
        <v/>
      </c>
      <c r="AS92" s="150" t="str">
        <f>IF(OR(AO92="",AO92=0,$J92="",$J92=0,NOT(ISNUMBER($J92)),NOT(ISNUMBER(AO92))),IF(AND($G92&lt;&gt;"",AND(OR(ISNUMBER(AO92),AO92=""),AND(ISNUMBER($J92),$J92&gt;0))),'Feuille de Donnée'!$K$13,""),IF(AO92&lt;$J$165*'Feuille de Donnée'!$I$9,"Négligeable",(IF(AND(AM92&gt;=$H92*(1-'Feuille de Donnée'!$E$12),AM92&lt;=$H92*(1+'Feuille de Donnée'!$F$12)),'Feuille de Donnée'!$F$17,IF(AM92&lt;$H92*(1-'Feuille de Donnée'!$E$12),'Feuille de Donnée'!$F$18,'Feuille de Donnée'!$F$16))&amp;""&amp;IF(AND(AN92&gt;=$I92*(1-'Feuille de Donnée'!$E$27),AN92&lt;=$I92*(1+'Feuille de Donnée'!$F$27)),'Feuille de Donnée'!$F$32,IF(AN92&lt;$I92*(1-'Feuille de Donnée'!$E$27),'Feuille de Donnée'!$F$33,'Feuille de Donnée'!$F$31)))))</f>
        <v/>
      </c>
      <c r="AT92" s="151"/>
      <c r="AU92" s="110"/>
      <c r="AV92" s="28"/>
      <c r="AW92" s="28"/>
      <c r="AX92" s="28" t="str">
        <f t="shared" si="51"/>
        <v/>
      </c>
      <c r="AY92" s="128" t="str">
        <f t="shared" si="52"/>
        <v/>
      </c>
      <c r="AZ92" s="128" t="str">
        <f t="shared" si="53"/>
        <v/>
      </c>
      <c r="BA92" s="28" t="str">
        <f>IF(AND(ISBLANK(BC92),BB92=""),"",1+MAX(BA$18:BA91))</f>
        <v/>
      </c>
      <c r="BB92" s="150" t="str">
        <f>IF(OR(AX92="",AX92=0,$J92="",$J92=0,NOT(ISNUMBER($J92)),NOT(ISNUMBER(AX92))),IF(AND($G92&lt;&gt;"",AND(OR(ISNUMBER(AX92),AX92=""),AND(ISNUMBER($J92),$J92&gt;0))),'Feuille de Donnée'!$K$13,""),IF(AX92&lt;$J$165*'Feuille de Donnée'!$I$9,"Négligeable",(IF(AND(AV92&gt;=$H92*(1-'Feuille de Donnée'!$E$12),AV92&lt;=$H92*(1+'Feuille de Donnée'!$F$12)),'Feuille de Donnée'!$F$17,IF(AV92&lt;$H92*(1-'Feuille de Donnée'!$E$12),'Feuille de Donnée'!$F$18,'Feuille de Donnée'!$F$16))&amp;""&amp;IF(AND(AW92&gt;=$I92*(1-'Feuille de Donnée'!$E$27),AW92&lt;=$I92*(1+'Feuille de Donnée'!$F$27)),'Feuille de Donnée'!$F$32,IF(AW92&lt;$I92*(1-'Feuille de Donnée'!$E$27),'Feuille de Donnée'!$F$33,'Feuille de Donnée'!$F$31)))))</f>
        <v/>
      </c>
      <c r="BC92" s="151"/>
      <c r="BD92" s="110"/>
      <c r="BE92" s="28"/>
      <c r="BF92" s="28"/>
      <c r="BG92" s="28" t="str">
        <f t="shared" si="54"/>
        <v/>
      </c>
      <c r="BH92" s="128" t="str">
        <f t="shared" si="55"/>
        <v/>
      </c>
      <c r="BI92" s="128" t="str">
        <f t="shared" si="56"/>
        <v/>
      </c>
      <c r="BJ92" s="28" t="str">
        <f>IF(AND(ISBLANK(BL92),BK92=""),"",1+MAX(BJ$18:BJ91))</f>
        <v/>
      </c>
      <c r="BK92" s="150" t="str">
        <f>IF(OR(BG92="",BG92=0,$J92="",$J92=0,NOT(ISNUMBER($J92)),NOT(ISNUMBER(BG92))),IF(AND($G92&lt;&gt;"",AND(OR(ISNUMBER(BG92),BG92=""),AND(ISNUMBER($J92),$J92&gt;0))),'Feuille de Donnée'!$K$13,""),IF(BG92&lt;$J$165*'Feuille de Donnée'!$I$9,"Négligeable",(IF(AND(BE92&gt;=$H92*(1-'Feuille de Donnée'!$E$12),BE92&lt;=$H92*(1+'Feuille de Donnée'!$F$12)),'Feuille de Donnée'!$F$17,IF(BE92&lt;$H92*(1-'Feuille de Donnée'!$E$12),'Feuille de Donnée'!$F$18,'Feuille de Donnée'!$F$16))&amp;""&amp;IF(AND(BF92&gt;=$I92*(1-'Feuille de Donnée'!$E$27),BF92&lt;=$I92*(1+'Feuille de Donnée'!$F$27)),'Feuille de Donnée'!$F$32,IF(BF92&lt;$I92*(1-'Feuille de Donnée'!$E$27),'Feuille de Donnée'!$F$33,'Feuille de Donnée'!$F$31)))))</f>
        <v/>
      </c>
      <c r="BL92" s="151"/>
      <c r="BM92" s="153"/>
    </row>
    <row r="93" spans="1:65" s="7" customFormat="1" x14ac:dyDescent="0.3">
      <c r="A93" s="24"/>
      <c r="B93" s="25"/>
      <c r="C93" s="25"/>
      <c r="D93" s="25"/>
      <c r="E93" s="25"/>
      <c r="F93" s="25"/>
      <c r="G93" s="23"/>
      <c r="H93" s="26"/>
      <c r="I93" s="27"/>
      <c r="J93" s="109" t="str">
        <f t="shared" si="38"/>
        <v/>
      </c>
      <c r="K93" s="110"/>
      <c r="L93" s="28"/>
      <c r="M93" s="28"/>
      <c r="N93" s="28" t="str">
        <f t="shared" si="39"/>
        <v/>
      </c>
      <c r="O93" s="128" t="str">
        <f t="shared" si="40"/>
        <v/>
      </c>
      <c r="P93" s="128" t="str">
        <f t="shared" si="41"/>
        <v/>
      </c>
      <c r="Q93" s="28" t="str">
        <f>IF(AND(ISBLANK(S93),R93=""),"",1+MAX(Q$18:Q92))</f>
        <v/>
      </c>
      <c r="R93" s="150" t="str">
        <f>IF(OR(N93="",N93=0,$J93="",$J93=0,NOT(ISNUMBER($J93)),NOT(ISNUMBER(N93))),IF(AND($G93&lt;&gt;"",AND(OR(ISNUMBER(N93),N93=""),AND(ISNUMBER($J93),$J93&gt;0))),'Feuille de Donnée'!$K$13,""),IF(N93&lt;$J$165*'Feuille de Donnée'!$I$9,"Négligeable",(IF(AND(L93&gt;=$H93*(1-'Feuille de Donnée'!$E$12),L93&lt;=$H93*(1+'Feuille de Donnée'!$F$12)),'Feuille de Donnée'!$F$17,IF(L93&lt;$H93*(1-'Feuille de Donnée'!$E$12),'Feuille de Donnée'!$F$18,'Feuille de Donnée'!$F$16))&amp;""&amp;IF(AND(M93&gt;=$I93*(1-'Feuille de Donnée'!$E$27),M93&lt;=$I93*(1+'Feuille de Donnée'!$F$27)),'Feuille de Donnée'!$F$32,IF(M93&lt;$I93*(1-'Feuille de Donnée'!$E$27),'Feuille de Donnée'!$F$33,'Feuille de Donnée'!$F$31)))))</f>
        <v/>
      </c>
      <c r="S93" s="151"/>
      <c r="T93" s="110"/>
      <c r="U93" s="28"/>
      <c r="V93" s="28"/>
      <c r="W93" s="28" t="str">
        <f t="shared" si="42"/>
        <v/>
      </c>
      <c r="X93" s="128" t="str">
        <f t="shared" si="43"/>
        <v/>
      </c>
      <c r="Y93" s="128" t="str">
        <f t="shared" si="44"/>
        <v/>
      </c>
      <c r="Z93" s="28" t="str">
        <f>IF(AND(ISBLANK(AB93),AA93=""),"",1+MAX(Z$18:Z92))</f>
        <v/>
      </c>
      <c r="AA93" s="150" t="str">
        <f>IF(OR(W93="",W93=0,$J93="",$J93=0,NOT(ISNUMBER($J93)),NOT(ISNUMBER(W93))),IF(AND($G93&lt;&gt;"",AND(OR(ISNUMBER(W93),W93=""),AND(ISNUMBER($J93),$J93&gt;0))),'Feuille de Donnée'!$K$13,""),IF(W93&lt;$J$165*'Feuille de Donnée'!$I$9,"Négligeable",(IF(AND(U93&gt;=$H93*(1-'Feuille de Donnée'!$E$12),U93&lt;=$H93*(1+'Feuille de Donnée'!$F$12)),'Feuille de Donnée'!$F$17,IF(U93&lt;$H93*(1-'Feuille de Donnée'!$E$12),'Feuille de Donnée'!$F$18,'Feuille de Donnée'!$F$16))&amp;""&amp;IF(AND(V93&gt;=$I93*(1-'Feuille de Donnée'!$E$27),V93&lt;=$I93*(1+'Feuille de Donnée'!$F$27)),'Feuille de Donnée'!$F$32,IF(V93&lt;$I93*(1-'Feuille de Donnée'!$E$27),'Feuille de Donnée'!$F$33,'Feuille de Donnée'!$F$31)))))</f>
        <v/>
      </c>
      <c r="AB93" s="151"/>
      <c r="AC93" s="110"/>
      <c r="AD93" s="28"/>
      <c r="AE93" s="28"/>
      <c r="AF93" s="28" t="str">
        <f t="shared" si="45"/>
        <v/>
      </c>
      <c r="AG93" s="128" t="str">
        <f t="shared" si="46"/>
        <v/>
      </c>
      <c r="AH93" s="128" t="str">
        <f t="shared" si="47"/>
        <v/>
      </c>
      <c r="AI93" s="28" t="str">
        <f>IF(AND(ISBLANK(AK93),AJ93=""),"",1+MAX(AI$18:AI92))</f>
        <v/>
      </c>
      <c r="AJ93" s="150" t="str">
        <f>IF(OR(AF93="",AF93=0,$J93="",$J93=0,NOT(ISNUMBER($J93)),NOT(ISNUMBER(AF93))),IF(AND($G93&lt;&gt;"",AND(OR(ISNUMBER(AF93),AF93=""),AND(ISNUMBER($J93),$J93&gt;0))),'Feuille de Donnée'!$K$13,""),IF(AF93&lt;$J$165*'Feuille de Donnée'!$I$9,"Négligeable",(IF(AND(AD93&gt;=$H93*(1-'Feuille de Donnée'!$E$12),AD93&lt;=$H93*(1+'Feuille de Donnée'!$F$12)),'Feuille de Donnée'!$F$17,IF(AD93&lt;$H93*(1-'Feuille de Donnée'!$E$12),'Feuille de Donnée'!$F$18,'Feuille de Donnée'!$F$16))&amp;""&amp;IF(AND(AE93&gt;=$I93*(1-'Feuille de Donnée'!$E$27),AE93&lt;=$I93*(1+'Feuille de Donnée'!$F$27)),'Feuille de Donnée'!$F$32,IF(AE93&lt;$I93*(1-'Feuille de Donnée'!$E$27),'Feuille de Donnée'!$F$33,'Feuille de Donnée'!$F$31)))))</f>
        <v/>
      </c>
      <c r="AK93" s="151"/>
      <c r="AL93" s="110"/>
      <c r="AM93" s="28"/>
      <c r="AN93" s="28"/>
      <c r="AO93" s="28" t="str">
        <f t="shared" si="48"/>
        <v/>
      </c>
      <c r="AP93" s="128" t="str">
        <f t="shared" si="49"/>
        <v/>
      </c>
      <c r="AQ93" s="128" t="str">
        <f t="shared" si="50"/>
        <v/>
      </c>
      <c r="AR93" s="28" t="str">
        <f>IF(AND(ISBLANK(AT93),AS93=""),"",1+MAX(AR$18:AR92))</f>
        <v/>
      </c>
      <c r="AS93" s="150" t="str">
        <f>IF(OR(AO93="",AO93=0,$J93="",$J93=0,NOT(ISNUMBER($J93)),NOT(ISNUMBER(AO93))),IF(AND($G93&lt;&gt;"",AND(OR(ISNUMBER(AO93),AO93=""),AND(ISNUMBER($J93),$J93&gt;0))),'Feuille de Donnée'!$K$13,""),IF(AO93&lt;$J$165*'Feuille de Donnée'!$I$9,"Négligeable",(IF(AND(AM93&gt;=$H93*(1-'Feuille de Donnée'!$E$12),AM93&lt;=$H93*(1+'Feuille de Donnée'!$F$12)),'Feuille de Donnée'!$F$17,IF(AM93&lt;$H93*(1-'Feuille de Donnée'!$E$12),'Feuille de Donnée'!$F$18,'Feuille de Donnée'!$F$16))&amp;""&amp;IF(AND(AN93&gt;=$I93*(1-'Feuille de Donnée'!$E$27),AN93&lt;=$I93*(1+'Feuille de Donnée'!$F$27)),'Feuille de Donnée'!$F$32,IF(AN93&lt;$I93*(1-'Feuille de Donnée'!$E$27),'Feuille de Donnée'!$F$33,'Feuille de Donnée'!$F$31)))))</f>
        <v/>
      </c>
      <c r="AT93" s="151"/>
      <c r="AU93" s="110"/>
      <c r="AV93" s="28"/>
      <c r="AW93" s="28"/>
      <c r="AX93" s="28" t="str">
        <f t="shared" si="51"/>
        <v/>
      </c>
      <c r="AY93" s="128" t="str">
        <f t="shared" si="52"/>
        <v/>
      </c>
      <c r="AZ93" s="128" t="str">
        <f t="shared" si="53"/>
        <v/>
      </c>
      <c r="BA93" s="28" t="str">
        <f>IF(AND(ISBLANK(BC93),BB93=""),"",1+MAX(BA$18:BA92))</f>
        <v/>
      </c>
      <c r="BB93" s="150" t="str">
        <f>IF(OR(AX93="",AX93=0,$J93="",$J93=0,NOT(ISNUMBER($J93)),NOT(ISNUMBER(AX93))),IF(AND($G93&lt;&gt;"",AND(OR(ISNUMBER(AX93),AX93=""),AND(ISNUMBER($J93),$J93&gt;0))),'Feuille de Donnée'!$K$13,""),IF(AX93&lt;$J$165*'Feuille de Donnée'!$I$9,"Négligeable",(IF(AND(AV93&gt;=$H93*(1-'Feuille de Donnée'!$E$12),AV93&lt;=$H93*(1+'Feuille de Donnée'!$F$12)),'Feuille de Donnée'!$F$17,IF(AV93&lt;$H93*(1-'Feuille de Donnée'!$E$12),'Feuille de Donnée'!$F$18,'Feuille de Donnée'!$F$16))&amp;""&amp;IF(AND(AW93&gt;=$I93*(1-'Feuille de Donnée'!$E$27),AW93&lt;=$I93*(1+'Feuille de Donnée'!$F$27)),'Feuille de Donnée'!$F$32,IF(AW93&lt;$I93*(1-'Feuille de Donnée'!$E$27),'Feuille de Donnée'!$F$33,'Feuille de Donnée'!$F$31)))))</f>
        <v/>
      </c>
      <c r="BC93" s="151"/>
      <c r="BD93" s="110"/>
      <c r="BE93" s="28"/>
      <c r="BF93" s="28"/>
      <c r="BG93" s="28" t="str">
        <f t="shared" si="54"/>
        <v/>
      </c>
      <c r="BH93" s="128" t="str">
        <f t="shared" si="55"/>
        <v/>
      </c>
      <c r="BI93" s="128" t="str">
        <f t="shared" si="56"/>
        <v/>
      </c>
      <c r="BJ93" s="28" t="str">
        <f>IF(AND(ISBLANK(BL93),BK93=""),"",1+MAX(BJ$18:BJ92))</f>
        <v/>
      </c>
      <c r="BK93" s="150" t="str">
        <f>IF(OR(BG93="",BG93=0,$J93="",$J93=0,NOT(ISNUMBER($J93)),NOT(ISNUMBER(BG93))),IF(AND($G93&lt;&gt;"",AND(OR(ISNUMBER(BG93),BG93=""),AND(ISNUMBER($J93),$J93&gt;0))),'Feuille de Donnée'!$K$13,""),IF(BG93&lt;$J$165*'Feuille de Donnée'!$I$9,"Négligeable",(IF(AND(BE93&gt;=$H93*(1-'Feuille de Donnée'!$E$12),BE93&lt;=$H93*(1+'Feuille de Donnée'!$F$12)),'Feuille de Donnée'!$F$17,IF(BE93&lt;$H93*(1-'Feuille de Donnée'!$E$12),'Feuille de Donnée'!$F$18,'Feuille de Donnée'!$F$16))&amp;""&amp;IF(AND(BF93&gt;=$I93*(1-'Feuille de Donnée'!$E$27),BF93&lt;=$I93*(1+'Feuille de Donnée'!$F$27)),'Feuille de Donnée'!$F$32,IF(BF93&lt;$I93*(1-'Feuille de Donnée'!$E$27),'Feuille de Donnée'!$F$33,'Feuille de Donnée'!$F$31)))))</f>
        <v/>
      </c>
      <c r="BL93" s="151"/>
      <c r="BM93" s="153"/>
    </row>
    <row r="94" spans="1:65" s="7" customFormat="1" x14ac:dyDescent="0.3">
      <c r="A94" s="24"/>
      <c r="B94" s="25"/>
      <c r="C94" s="25"/>
      <c r="D94" s="25"/>
      <c r="E94" s="25"/>
      <c r="F94" s="25"/>
      <c r="G94" s="23"/>
      <c r="H94" s="26"/>
      <c r="I94" s="27"/>
      <c r="J94" s="109" t="str">
        <f t="shared" si="38"/>
        <v/>
      </c>
      <c r="K94" s="110"/>
      <c r="L94" s="28"/>
      <c r="M94" s="28"/>
      <c r="N94" s="28" t="str">
        <f t="shared" si="39"/>
        <v/>
      </c>
      <c r="O94" s="128" t="str">
        <f t="shared" si="40"/>
        <v/>
      </c>
      <c r="P94" s="128" t="str">
        <f t="shared" si="41"/>
        <v/>
      </c>
      <c r="Q94" s="28" t="str">
        <f>IF(AND(ISBLANK(S94),R94=""),"",1+MAX(Q$18:Q93))</f>
        <v/>
      </c>
      <c r="R94" s="150" t="str">
        <f>IF(OR(N94="",N94=0,$J94="",$J94=0,NOT(ISNUMBER($J94)),NOT(ISNUMBER(N94))),IF(AND($G94&lt;&gt;"",AND(OR(ISNUMBER(N94),N94=""),AND(ISNUMBER($J94),$J94&gt;0))),'Feuille de Donnée'!$K$13,""),IF(N94&lt;$J$165*'Feuille de Donnée'!$I$9,"Négligeable",(IF(AND(L94&gt;=$H94*(1-'Feuille de Donnée'!$E$12),L94&lt;=$H94*(1+'Feuille de Donnée'!$F$12)),'Feuille de Donnée'!$F$17,IF(L94&lt;$H94*(1-'Feuille de Donnée'!$E$12),'Feuille de Donnée'!$F$18,'Feuille de Donnée'!$F$16))&amp;""&amp;IF(AND(M94&gt;=$I94*(1-'Feuille de Donnée'!$E$27),M94&lt;=$I94*(1+'Feuille de Donnée'!$F$27)),'Feuille de Donnée'!$F$32,IF(M94&lt;$I94*(1-'Feuille de Donnée'!$E$27),'Feuille de Donnée'!$F$33,'Feuille de Donnée'!$F$31)))))</f>
        <v/>
      </c>
      <c r="S94" s="151"/>
      <c r="T94" s="110"/>
      <c r="U94" s="28"/>
      <c r="V94" s="28"/>
      <c r="W94" s="28" t="str">
        <f t="shared" si="42"/>
        <v/>
      </c>
      <c r="X94" s="128" t="str">
        <f t="shared" si="43"/>
        <v/>
      </c>
      <c r="Y94" s="128" t="str">
        <f t="shared" si="44"/>
        <v/>
      </c>
      <c r="Z94" s="28" t="str">
        <f>IF(AND(ISBLANK(AB94),AA94=""),"",1+MAX(Z$18:Z93))</f>
        <v/>
      </c>
      <c r="AA94" s="150" t="str">
        <f>IF(OR(W94="",W94=0,$J94="",$J94=0,NOT(ISNUMBER($J94)),NOT(ISNUMBER(W94))),IF(AND($G94&lt;&gt;"",AND(OR(ISNUMBER(W94),W94=""),AND(ISNUMBER($J94),$J94&gt;0))),'Feuille de Donnée'!$K$13,""),IF(W94&lt;$J$165*'Feuille de Donnée'!$I$9,"Négligeable",(IF(AND(U94&gt;=$H94*(1-'Feuille de Donnée'!$E$12),U94&lt;=$H94*(1+'Feuille de Donnée'!$F$12)),'Feuille de Donnée'!$F$17,IF(U94&lt;$H94*(1-'Feuille de Donnée'!$E$12),'Feuille de Donnée'!$F$18,'Feuille de Donnée'!$F$16))&amp;""&amp;IF(AND(V94&gt;=$I94*(1-'Feuille de Donnée'!$E$27),V94&lt;=$I94*(1+'Feuille de Donnée'!$F$27)),'Feuille de Donnée'!$F$32,IF(V94&lt;$I94*(1-'Feuille de Donnée'!$E$27),'Feuille de Donnée'!$F$33,'Feuille de Donnée'!$F$31)))))</f>
        <v/>
      </c>
      <c r="AB94" s="151"/>
      <c r="AC94" s="110"/>
      <c r="AD94" s="28"/>
      <c r="AE94" s="28"/>
      <c r="AF94" s="28" t="str">
        <f t="shared" si="45"/>
        <v/>
      </c>
      <c r="AG94" s="128" t="str">
        <f t="shared" si="46"/>
        <v/>
      </c>
      <c r="AH94" s="128" t="str">
        <f t="shared" si="47"/>
        <v/>
      </c>
      <c r="AI94" s="28" t="str">
        <f>IF(AND(ISBLANK(AK94),AJ94=""),"",1+MAX(AI$18:AI93))</f>
        <v/>
      </c>
      <c r="AJ94" s="150" t="str">
        <f>IF(OR(AF94="",AF94=0,$J94="",$J94=0,NOT(ISNUMBER($J94)),NOT(ISNUMBER(AF94))),IF(AND($G94&lt;&gt;"",AND(OR(ISNUMBER(AF94),AF94=""),AND(ISNUMBER($J94),$J94&gt;0))),'Feuille de Donnée'!$K$13,""),IF(AF94&lt;$J$165*'Feuille de Donnée'!$I$9,"Négligeable",(IF(AND(AD94&gt;=$H94*(1-'Feuille de Donnée'!$E$12),AD94&lt;=$H94*(1+'Feuille de Donnée'!$F$12)),'Feuille de Donnée'!$F$17,IF(AD94&lt;$H94*(1-'Feuille de Donnée'!$E$12),'Feuille de Donnée'!$F$18,'Feuille de Donnée'!$F$16))&amp;""&amp;IF(AND(AE94&gt;=$I94*(1-'Feuille de Donnée'!$E$27),AE94&lt;=$I94*(1+'Feuille de Donnée'!$F$27)),'Feuille de Donnée'!$F$32,IF(AE94&lt;$I94*(1-'Feuille de Donnée'!$E$27),'Feuille de Donnée'!$F$33,'Feuille de Donnée'!$F$31)))))</f>
        <v/>
      </c>
      <c r="AK94" s="151"/>
      <c r="AL94" s="110"/>
      <c r="AM94" s="28"/>
      <c r="AN94" s="28"/>
      <c r="AO94" s="28" t="str">
        <f t="shared" si="48"/>
        <v/>
      </c>
      <c r="AP94" s="128" t="str">
        <f t="shared" si="49"/>
        <v/>
      </c>
      <c r="AQ94" s="128" t="str">
        <f t="shared" si="50"/>
        <v/>
      </c>
      <c r="AR94" s="28" t="str">
        <f>IF(AND(ISBLANK(AT94),AS94=""),"",1+MAX(AR$18:AR93))</f>
        <v/>
      </c>
      <c r="AS94" s="150" t="str">
        <f>IF(OR(AO94="",AO94=0,$J94="",$J94=0,NOT(ISNUMBER($J94)),NOT(ISNUMBER(AO94))),IF(AND($G94&lt;&gt;"",AND(OR(ISNUMBER(AO94),AO94=""),AND(ISNUMBER($J94),$J94&gt;0))),'Feuille de Donnée'!$K$13,""),IF(AO94&lt;$J$165*'Feuille de Donnée'!$I$9,"Négligeable",(IF(AND(AM94&gt;=$H94*(1-'Feuille de Donnée'!$E$12),AM94&lt;=$H94*(1+'Feuille de Donnée'!$F$12)),'Feuille de Donnée'!$F$17,IF(AM94&lt;$H94*(1-'Feuille de Donnée'!$E$12),'Feuille de Donnée'!$F$18,'Feuille de Donnée'!$F$16))&amp;""&amp;IF(AND(AN94&gt;=$I94*(1-'Feuille de Donnée'!$E$27),AN94&lt;=$I94*(1+'Feuille de Donnée'!$F$27)),'Feuille de Donnée'!$F$32,IF(AN94&lt;$I94*(1-'Feuille de Donnée'!$E$27),'Feuille de Donnée'!$F$33,'Feuille de Donnée'!$F$31)))))</f>
        <v/>
      </c>
      <c r="AT94" s="151"/>
      <c r="AU94" s="110"/>
      <c r="AV94" s="28"/>
      <c r="AW94" s="28"/>
      <c r="AX94" s="28" t="str">
        <f t="shared" si="51"/>
        <v/>
      </c>
      <c r="AY94" s="128" t="str">
        <f t="shared" si="52"/>
        <v/>
      </c>
      <c r="AZ94" s="128" t="str">
        <f t="shared" si="53"/>
        <v/>
      </c>
      <c r="BA94" s="28" t="str">
        <f>IF(AND(ISBLANK(BC94),BB94=""),"",1+MAX(BA$18:BA93))</f>
        <v/>
      </c>
      <c r="BB94" s="150" t="str">
        <f>IF(OR(AX94="",AX94=0,$J94="",$J94=0,NOT(ISNUMBER($J94)),NOT(ISNUMBER(AX94))),IF(AND($G94&lt;&gt;"",AND(OR(ISNUMBER(AX94),AX94=""),AND(ISNUMBER($J94),$J94&gt;0))),'Feuille de Donnée'!$K$13,""),IF(AX94&lt;$J$165*'Feuille de Donnée'!$I$9,"Négligeable",(IF(AND(AV94&gt;=$H94*(1-'Feuille de Donnée'!$E$12),AV94&lt;=$H94*(1+'Feuille de Donnée'!$F$12)),'Feuille de Donnée'!$F$17,IF(AV94&lt;$H94*(1-'Feuille de Donnée'!$E$12),'Feuille de Donnée'!$F$18,'Feuille de Donnée'!$F$16))&amp;""&amp;IF(AND(AW94&gt;=$I94*(1-'Feuille de Donnée'!$E$27),AW94&lt;=$I94*(1+'Feuille de Donnée'!$F$27)),'Feuille de Donnée'!$F$32,IF(AW94&lt;$I94*(1-'Feuille de Donnée'!$E$27),'Feuille de Donnée'!$F$33,'Feuille de Donnée'!$F$31)))))</f>
        <v/>
      </c>
      <c r="BC94" s="151"/>
      <c r="BD94" s="110"/>
      <c r="BE94" s="28"/>
      <c r="BF94" s="28"/>
      <c r="BG94" s="28" t="str">
        <f t="shared" si="54"/>
        <v/>
      </c>
      <c r="BH94" s="128" t="str">
        <f t="shared" si="55"/>
        <v/>
      </c>
      <c r="BI94" s="128" t="str">
        <f t="shared" si="56"/>
        <v/>
      </c>
      <c r="BJ94" s="28" t="str">
        <f>IF(AND(ISBLANK(BL94),BK94=""),"",1+MAX(BJ$18:BJ93))</f>
        <v/>
      </c>
      <c r="BK94" s="150" t="str">
        <f>IF(OR(BG94="",BG94=0,$J94="",$J94=0,NOT(ISNUMBER($J94)),NOT(ISNUMBER(BG94))),IF(AND($G94&lt;&gt;"",AND(OR(ISNUMBER(BG94),BG94=""),AND(ISNUMBER($J94),$J94&gt;0))),'Feuille de Donnée'!$K$13,""),IF(BG94&lt;$J$165*'Feuille de Donnée'!$I$9,"Négligeable",(IF(AND(BE94&gt;=$H94*(1-'Feuille de Donnée'!$E$12),BE94&lt;=$H94*(1+'Feuille de Donnée'!$F$12)),'Feuille de Donnée'!$F$17,IF(BE94&lt;$H94*(1-'Feuille de Donnée'!$E$12),'Feuille de Donnée'!$F$18,'Feuille de Donnée'!$F$16))&amp;""&amp;IF(AND(BF94&gt;=$I94*(1-'Feuille de Donnée'!$E$27),BF94&lt;=$I94*(1+'Feuille de Donnée'!$F$27)),'Feuille de Donnée'!$F$32,IF(BF94&lt;$I94*(1-'Feuille de Donnée'!$E$27),'Feuille de Donnée'!$F$33,'Feuille de Donnée'!$F$31)))))</f>
        <v/>
      </c>
      <c r="BL94" s="151"/>
      <c r="BM94" s="153"/>
    </row>
    <row r="95" spans="1:65" s="7" customFormat="1" x14ac:dyDescent="0.3">
      <c r="A95" s="24"/>
      <c r="B95" s="25"/>
      <c r="C95" s="25"/>
      <c r="D95" s="25"/>
      <c r="E95" s="25"/>
      <c r="F95" s="25"/>
      <c r="G95" s="23"/>
      <c r="H95" s="26"/>
      <c r="I95" s="27"/>
      <c r="J95" s="109" t="str">
        <f t="shared" si="38"/>
        <v/>
      </c>
      <c r="K95" s="110"/>
      <c r="L95" s="28"/>
      <c r="M95" s="28"/>
      <c r="N95" s="28" t="str">
        <f t="shared" si="39"/>
        <v/>
      </c>
      <c r="O95" s="128" t="str">
        <f t="shared" si="40"/>
        <v/>
      </c>
      <c r="P95" s="128" t="str">
        <f t="shared" si="41"/>
        <v/>
      </c>
      <c r="Q95" s="28" t="str">
        <f>IF(AND(ISBLANK(S95),R95=""),"",1+MAX(Q$18:Q94))</f>
        <v/>
      </c>
      <c r="R95" s="150" t="str">
        <f>IF(OR(N95="",N95=0,$J95="",$J95=0,NOT(ISNUMBER($J95)),NOT(ISNUMBER(N95))),IF(AND($G95&lt;&gt;"",AND(OR(ISNUMBER(N95),N95=""),AND(ISNUMBER($J95),$J95&gt;0))),'Feuille de Donnée'!$K$13,""),IF(N95&lt;$J$165*'Feuille de Donnée'!$I$9,"Négligeable",(IF(AND(L95&gt;=$H95*(1-'Feuille de Donnée'!$E$12),L95&lt;=$H95*(1+'Feuille de Donnée'!$F$12)),'Feuille de Donnée'!$F$17,IF(L95&lt;$H95*(1-'Feuille de Donnée'!$E$12),'Feuille de Donnée'!$F$18,'Feuille de Donnée'!$F$16))&amp;""&amp;IF(AND(M95&gt;=$I95*(1-'Feuille de Donnée'!$E$27),M95&lt;=$I95*(1+'Feuille de Donnée'!$F$27)),'Feuille de Donnée'!$F$32,IF(M95&lt;$I95*(1-'Feuille de Donnée'!$E$27),'Feuille de Donnée'!$F$33,'Feuille de Donnée'!$F$31)))))</f>
        <v/>
      </c>
      <c r="S95" s="151"/>
      <c r="T95" s="110"/>
      <c r="U95" s="28"/>
      <c r="V95" s="28"/>
      <c r="W95" s="28" t="str">
        <f t="shared" si="42"/>
        <v/>
      </c>
      <c r="X95" s="128" t="str">
        <f t="shared" si="43"/>
        <v/>
      </c>
      <c r="Y95" s="128" t="str">
        <f t="shared" si="44"/>
        <v/>
      </c>
      <c r="Z95" s="28" t="str">
        <f>IF(AND(ISBLANK(AB95),AA95=""),"",1+MAX(Z$18:Z94))</f>
        <v/>
      </c>
      <c r="AA95" s="150" t="str">
        <f>IF(OR(W95="",W95=0,$J95="",$J95=0,NOT(ISNUMBER($J95)),NOT(ISNUMBER(W95))),IF(AND($G95&lt;&gt;"",AND(OR(ISNUMBER(W95),W95=""),AND(ISNUMBER($J95),$J95&gt;0))),'Feuille de Donnée'!$K$13,""),IF(W95&lt;$J$165*'Feuille de Donnée'!$I$9,"Négligeable",(IF(AND(U95&gt;=$H95*(1-'Feuille de Donnée'!$E$12),U95&lt;=$H95*(1+'Feuille de Donnée'!$F$12)),'Feuille de Donnée'!$F$17,IF(U95&lt;$H95*(1-'Feuille de Donnée'!$E$12),'Feuille de Donnée'!$F$18,'Feuille de Donnée'!$F$16))&amp;""&amp;IF(AND(V95&gt;=$I95*(1-'Feuille de Donnée'!$E$27),V95&lt;=$I95*(1+'Feuille de Donnée'!$F$27)),'Feuille de Donnée'!$F$32,IF(V95&lt;$I95*(1-'Feuille de Donnée'!$E$27),'Feuille de Donnée'!$F$33,'Feuille de Donnée'!$F$31)))))</f>
        <v/>
      </c>
      <c r="AB95" s="151"/>
      <c r="AC95" s="110"/>
      <c r="AD95" s="28"/>
      <c r="AE95" s="28"/>
      <c r="AF95" s="28" t="str">
        <f t="shared" si="45"/>
        <v/>
      </c>
      <c r="AG95" s="128" t="str">
        <f t="shared" si="46"/>
        <v/>
      </c>
      <c r="AH95" s="128" t="str">
        <f t="shared" si="47"/>
        <v/>
      </c>
      <c r="AI95" s="28" t="str">
        <f>IF(AND(ISBLANK(AK95),AJ95=""),"",1+MAX(AI$18:AI94))</f>
        <v/>
      </c>
      <c r="AJ95" s="150" t="str">
        <f>IF(OR(AF95="",AF95=0,$J95="",$J95=0,NOT(ISNUMBER($J95)),NOT(ISNUMBER(AF95))),IF(AND($G95&lt;&gt;"",AND(OR(ISNUMBER(AF95),AF95=""),AND(ISNUMBER($J95),$J95&gt;0))),'Feuille de Donnée'!$K$13,""),IF(AF95&lt;$J$165*'Feuille de Donnée'!$I$9,"Négligeable",(IF(AND(AD95&gt;=$H95*(1-'Feuille de Donnée'!$E$12),AD95&lt;=$H95*(1+'Feuille de Donnée'!$F$12)),'Feuille de Donnée'!$F$17,IF(AD95&lt;$H95*(1-'Feuille de Donnée'!$E$12),'Feuille de Donnée'!$F$18,'Feuille de Donnée'!$F$16))&amp;""&amp;IF(AND(AE95&gt;=$I95*(1-'Feuille de Donnée'!$E$27),AE95&lt;=$I95*(1+'Feuille de Donnée'!$F$27)),'Feuille de Donnée'!$F$32,IF(AE95&lt;$I95*(1-'Feuille de Donnée'!$E$27),'Feuille de Donnée'!$F$33,'Feuille de Donnée'!$F$31)))))</f>
        <v/>
      </c>
      <c r="AK95" s="151"/>
      <c r="AL95" s="110"/>
      <c r="AM95" s="28"/>
      <c r="AN95" s="28"/>
      <c r="AO95" s="28" t="str">
        <f t="shared" si="48"/>
        <v/>
      </c>
      <c r="AP95" s="128" t="str">
        <f t="shared" si="49"/>
        <v/>
      </c>
      <c r="AQ95" s="128" t="str">
        <f t="shared" si="50"/>
        <v/>
      </c>
      <c r="AR95" s="28" t="str">
        <f>IF(AND(ISBLANK(AT95),AS95=""),"",1+MAX(AR$18:AR94))</f>
        <v/>
      </c>
      <c r="AS95" s="150" t="str">
        <f>IF(OR(AO95="",AO95=0,$J95="",$J95=0,NOT(ISNUMBER($J95)),NOT(ISNUMBER(AO95))),IF(AND($G95&lt;&gt;"",AND(OR(ISNUMBER(AO95),AO95=""),AND(ISNUMBER($J95),$J95&gt;0))),'Feuille de Donnée'!$K$13,""),IF(AO95&lt;$J$165*'Feuille de Donnée'!$I$9,"Négligeable",(IF(AND(AM95&gt;=$H95*(1-'Feuille de Donnée'!$E$12),AM95&lt;=$H95*(1+'Feuille de Donnée'!$F$12)),'Feuille de Donnée'!$F$17,IF(AM95&lt;$H95*(1-'Feuille de Donnée'!$E$12),'Feuille de Donnée'!$F$18,'Feuille de Donnée'!$F$16))&amp;""&amp;IF(AND(AN95&gt;=$I95*(1-'Feuille de Donnée'!$E$27),AN95&lt;=$I95*(1+'Feuille de Donnée'!$F$27)),'Feuille de Donnée'!$F$32,IF(AN95&lt;$I95*(1-'Feuille de Donnée'!$E$27),'Feuille de Donnée'!$F$33,'Feuille de Donnée'!$F$31)))))</f>
        <v/>
      </c>
      <c r="AT95" s="151"/>
      <c r="AU95" s="110"/>
      <c r="AV95" s="28"/>
      <c r="AW95" s="28"/>
      <c r="AX95" s="28" t="str">
        <f t="shared" si="51"/>
        <v/>
      </c>
      <c r="AY95" s="128" t="str">
        <f t="shared" si="52"/>
        <v/>
      </c>
      <c r="AZ95" s="128" t="str">
        <f t="shared" si="53"/>
        <v/>
      </c>
      <c r="BA95" s="28" t="str">
        <f>IF(AND(ISBLANK(BC95),BB95=""),"",1+MAX(BA$18:BA94))</f>
        <v/>
      </c>
      <c r="BB95" s="150" t="str">
        <f>IF(OR(AX95="",AX95=0,$J95="",$J95=0,NOT(ISNUMBER($J95)),NOT(ISNUMBER(AX95))),IF(AND($G95&lt;&gt;"",AND(OR(ISNUMBER(AX95),AX95=""),AND(ISNUMBER($J95),$J95&gt;0))),'Feuille de Donnée'!$K$13,""),IF(AX95&lt;$J$165*'Feuille de Donnée'!$I$9,"Négligeable",(IF(AND(AV95&gt;=$H95*(1-'Feuille de Donnée'!$E$12),AV95&lt;=$H95*(1+'Feuille de Donnée'!$F$12)),'Feuille de Donnée'!$F$17,IF(AV95&lt;$H95*(1-'Feuille de Donnée'!$E$12),'Feuille de Donnée'!$F$18,'Feuille de Donnée'!$F$16))&amp;""&amp;IF(AND(AW95&gt;=$I95*(1-'Feuille de Donnée'!$E$27),AW95&lt;=$I95*(1+'Feuille de Donnée'!$F$27)),'Feuille de Donnée'!$F$32,IF(AW95&lt;$I95*(1-'Feuille de Donnée'!$E$27),'Feuille de Donnée'!$F$33,'Feuille de Donnée'!$F$31)))))</f>
        <v/>
      </c>
      <c r="BC95" s="151"/>
      <c r="BD95" s="110"/>
      <c r="BE95" s="28"/>
      <c r="BF95" s="28"/>
      <c r="BG95" s="28" t="str">
        <f t="shared" si="54"/>
        <v/>
      </c>
      <c r="BH95" s="128" t="str">
        <f t="shared" si="55"/>
        <v/>
      </c>
      <c r="BI95" s="128" t="str">
        <f t="shared" si="56"/>
        <v/>
      </c>
      <c r="BJ95" s="28" t="str">
        <f>IF(AND(ISBLANK(BL95),BK95=""),"",1+MAX(BJ$18:BJ94))</f>
        <v/>
      </c>
      <c r="BK95" s="150" t="str">
        <f>IF(OR(BG95="",BG95=0,$J95="",$J95=0,NOT(ISNUMBER($J95)),NOT(ISNUMBER(BG95))),IF(AND($G95&lt;&gt;"",AND(OR(ISNUMBER(BG95),BG95=""),AND(ISNUMBER($J95),$J95&gt;0))),'Feuille de Donnée'!$K$13,""),IF(BG95&lt;$J$165*'Feuille de Donnée'!$I$9,"Négligeable",(IF(AND(BE95&gt;=$H95*(1-'Feuille de Donnée'!$E$12),BE95&lt;=$H95*(1+'Feuille de Donnée'!$F$12)),'Feuille de Donnée'!$F$17,IF(BE95&lt;$H95*(1-'Feuille de Donnée'!$E$12),'Feuille de Donnée'!$F$18,'Feuille de Donnée'!$F$16))&amp;""&amp;IF(AND(BF95&gt;=$I95*(1-'Feuille de Donnée'!$E$27),BF95&lt;=$I95*(1+'Feuille de Donnée'!$F$27)),'Feuille de Donnée'!$F$32,IF(BF95&lt;$I95*(1-'Feuille de Donnée'!$E$27),'Feuille de Donnée'!$F$33,'Feuille de Donnée'!$F$31)))))</f>
        <v/>
      </c>
      <c r="BL95" s="151"/>
      <c r="BM95" s="153"/>
    </row>
    <row r="96" spans="1:65" s="7" customFormat="1" x14ac:dyDescent="0.3">
      <c r="A96" s="24"/>
      <c r="B96" s="25"/>
      <c r="C96" s="25"/>
      <c r="D96" s="25"/>
      <c r="E96" s="25"/>
      <c r="F96" s="25"/>
      <c r="G96" s="23"/>
      <c r="H96" s="26"/>
      <c r="I96" s="27"/>
      <c r="J96" s="109" t="str">
        <f t="shared" si="38"/>
        <v/>
      </c>
      <c r="K96" s="110"/>
      <c r="L96" s="28"/>
      <c r="M96" s="28"/>
      <c r="N96" s="28" t="str">
        <f t="shared" si="39"/>
        <v/>
      </c>
      <c r="O96" s="128" t="str">
        <f t="shared" si="40"/>
        <v/>
      </c>
      <c r="P96" s="128" t="str">
        <f t="shared" si="41"/>
        <v/>
      </c>
      <c r="Q96" s="28" t="str">
        <f>IF(AND(ISBLANK(S96),R96=""),"",1+MAX(Q$18:Q95))</f>
        <v/>
      </c>
      <c r="R96" s="150" t="str">
        <f>IF(OR(N96="",N96=0,$J96="",$J96=0,NOT(ISNUMBER($J96)),NOT(ISNUMBER(N96))),IF(AND($G96&lt;&gt;"",AND(OR(ISNUMBER(N96),N96=""),AND(ISNUMBER($J96),$J96&gt;0))),'Feuille de Donnée'!$K$13,""),IF(N96&lt;$J$165*'Feuille de Donnée'!$I$9,"Négligeable",(IF(AND(L96&gt;=$H96*(1-'Feuille de Donnée'!$E$12),L96&lt;=$H96*(1+'Feuille de Donnée'!$F$12)),'Feuille de Donnée'!$F$17,IF(L96&lt;$H96*(1-'Feuille de Donnée'!$E$12),'Feuille de Donnée'!$F$18,'Feuille de Donnée'!$F$16))&amp;""&amp;IF(AND(M96&gt;=$I96*(1-'Feuille de Donnée'!$E$27),M96&lt;=$I96*(1+'Feuille de Donnée'!$F$27)),'Feuille de Donnée'!$F$32,IF(M96&lt;$I96*(1-'Feuille de Donnée'!$E$27),'Feuille de Donnée'!$F$33,'Feuille de Donnée'!$F$31)))))</f>
        <v/>
      </c>
      <c r="S96" s="151"/>
      <c r="T96" s="110"/>
      <c r="U96" s="28"/>
      <c r="V96" s="28"/>
      <c r="W96" s="28" t="str">
        <f t="shared" si="42"/>
        <v/>
      </c>
      <c r="X96" s="128" t="str">
        <f t="shared" si="43"/>
        <v/>
      </c>
      <c r="Y96" s="128" t="str">
        <f t="shared" si="44"/>
        <v/>
      </c>
      <c r="Z96" s="28" t="str">
        <f>IF(AND(ISBLANK(AB96),AA96=""),"",1+MAX(Z$18:Z95))</f>
        <v/>
      </c>
      <c r="AA96" s="150" t="str">
        <f>IF(OR(W96="",W96=0,$J96="",$J96=0,NOT(ISNUMBER($J96)),NOT(ISNUMBER(W96))),IF(AND($G96&lt;&gt;"",AND(OR(ISNUMBER(W96),W96=""),AND(ISNUMBER($J96),$J96&gt;0))),'Feuille de Donnée'!$K$13,""),IF(W96&lt;$J$165*'Feuille de Donnée'!$I$9,"Négligeable",(IF(AND(U96&gt;=$H96*(1-'Feuille de Donnée'!$E$12),U96&lt;=$H96*(1+'Feuille de Donnée'!$F$12)),'Feuille de Donnée'!$F$17,IF(U96&lt;$H96*(1-'Feuille de Donnée'!$E$12),'Feuille de Donnée'!$F$18,'Feuille de Donnée'!$F$16))&amp;""&amp;IF(AND(V96&gt;=$I96*(1-'Feuille de Donnée'!$E$27),V96&lt;=$I96*(1+'Feuille de Donnée'!$F$27)),'Feuille de Donnée'!$F$32,IF(V96&lt;$I96*(1-'Feuille de Donnée'!$E$27),'Feuille de Donnée'!$F$33,'Feuille de Donnée'!$F$31)))))</f>
        <v/>
      </c>
      <c r="AB96" s="151"/>
      <c r="AC96" s="110"/>
      <c r="AD96" s="28"/>
      <c r="AE96" s="28"/>
      <c r="AF96" s="28" t="str">
        <f t="shared" si="45"/>
        <v/>
      </c>
      <c r="AG96" s="128" t="str">
        <f t="shared" si="46"/>
        <v/>
      </c>
      <c r="AH96" s="128" t="str">
        <f t="shared" si="47"/>
        <v/>
      </c>
      <c r="AI96" s="28" t="str">
        <f>IF(AND(ISBLANK(AK96),AJ96=""),"",1+MAX(AI$18:AI95))</f>
        <v/>
      </c>
      <c r="AJ96" s="150" t="str">
        <f>IF(OR(AF96="",AF96=0,$J96="",$J96=0,NOT(ISNUMBER($J96)),NOT(ISNUMBER(AF96))),IF(AND($G96&lt;&gt;"",AND(OR(ISNUMBER(AF96),AF96=""),AND(ISNUMBER($J96),$J96&gt;0))),'Feuille de Donnée'!$K$13,""),IF(AF96&lt;$J$165*'Feuille de Donnée'!$I$9,"Négligeable",(IF(AND(AD96&gt;=$H96*(1-'Feuille de Donnée'!$E$12),AD96&lt;=$H96*(1+'Feuille de Donnée'!$F$12)),'Feuille de Donnée'!$F$17,IF(AD96&lt;$H96*(1-'Feuille de Donnée'!$E$12),'Feuille de Donnée'!$F$18,'Feuille de Donnée'!$F$16))&amp;""&amp;IF(AND(AE96&gt;=$I96*(1-'Feuille de Donnée'!$E$27),AE96&lt;=$I96*(1+'Feuille de Donnée'!$F$27)),'Feuille de Donnée'!$F$32,IF(AE96&lt;$I96*(1-'Feuille de Donnée'!$E$27),'Feuille de Donnée'!$F$33,'Feuille de Donnée'!$F$31)))))</f>
        <v/>
      </c>
      <c r="AK96" s="151"/>
      <c r="AL96" s="110"/>
      <c r="AM96" s="28"/>
      <c r="AN96" s="28"/>
      <c r="AO96" s="28" t="str">
        <f t="shared" si="48"/>
        <v/>
      </c>
      <c r="AP96" s="128" t="str">
        <f t="shared" si="49"/>
        <v/>
      </c>
      <c r="AQ96" s="128" t="str">
        <f t="shared" si="50"/>
        <v/>
      </c>
      <c r="AR96" s="28" t="str">
        <f>IF(AND(ISBLANK(AT96),AS96=""),"",1+MAX(AR$18:AR95))</f>
        <v/>
      </c>
      <c r="AS96" s="150" t="str">
        <f>IF(OR(AO96="",AO96=0,$J96="",$J96=0,NOT(ISNUMBER($J96)),NOT(ISNUMBER(AO96))),IF(AND($G96&lt;&gt;"",AND(OR(ISNUMBER(AO96),AO96=""),AND(ISNUMBER($J96),$J96&gt;0))),'Feuille de Donnée'!$K$13,""),IF(AO96&lt;$J$165*'Feuille de Donnée'!$I$9,"Négligeable",(IF(AND(AM96&gt;=$H96*(1-'Feuille de Donnée'!$E$12),AM96&lt;=$H96*(1+'Feuille de Donnée'!$F$12)),'Feuille de Donnée'!$F$17,IF(AM96&lt;$H96*(1-'Feuille de Donnée'!$E$12),'Feuille de Donnée'!$F$18,'Feuille de Donnée'!$F$16))&amp;""&amp;IF(AND(AN96&gt;=$I96*(1-'Feuille de Donnée'!$E$27),AN96&lt;=$I96*(1+'Feuille de Donnée'!$F$27)),'Feuille de Donnée'!$F$32,IF(AN96&lt;$I96*(1-'Feuille de Donnée'!$E$27),'Feuille de Donnée'!$F$33,'Feuille de Donnée'!$F$31)))))</f>
        <v/>
      </c>
      <c r="AT96" s="151"/>
      <c r="AU96" s="110"/>
      <c r="AV96" s="28"/>
      <c r="AW96" s="28"/>
      <c r="AX96" s="28" t="str">
        <f t="shared" si="51"/>
        <v/>
      </c>
      <c r="AY96" s="128" t="str">
        <f t="shared" si="52"/>
        <v/>
      </c>
      <c r="AZ96" s="128" t="str">
        <f t="shared" si="53"/>
        <v/>
      </c>
      <c r="BA96" s="28" t="str">
        <f>IF(AND(ISBLANK(BC96),BB96=""),"",1+MAX(BA$18:BA95))</f>
        <v/>
      </c>
      <c r="BB96" s="150" t="str">
        <f>IF(OR(AX96="",AX96=0,$J96="",$J96=0,NOT(ISNUMBER($J96)),NOT(ISNUMBER(AX96))),IF(AND($G96&lt;&gt;"",AND(OR(ISNUMBER(AX96),AX96=""),AND(ISNUMBER($J96),$J96&gt;0))),'Feuille de Donnée'!$K$13,""),IF(AX96&lt;$J$165*'Feuille de Donnée'!$I$9,"Négligeable",(IF(AND(AV96&gt;=$H96*(1-'Feuille de Donnée'!$E$12),AV96&lt;=$H96*(1+'Feuille de Donnée'!$F$12)),'Feuille de Donnée'!$F$17,IF(AV96&lt;$H96*(1-'Feuille de Donnée'!$E$12),'Feuille de Donnée'!$F$18,'Feuille de Donnée'!$F$16))&amp;""&amp;IF(AND(AW96&gt;=$I96*(1-'Feuille de Donnée'!$E$27),AW96&lt;=$I96*(1+'Feuille de Donnée'!$F$27)),'Feuille de Donnée'!$F$32,IF(AW96&lt;$I96*(1-'Feuille de Donnée'!$E$27),'Feuille de Donnée'!$F$33,'Feuille de Donnée'!$F$31)))))</f>
        <v/>
      </c>
      <c r="BC96" s="151"/>
      <c r="BD96" s="110"/>
      <c r="BE96" s="28"/>
      <c r="BF96" s="28"/>
      <c r="BG96" s="28" t="str">
        <f t="shared" si="54"/>
        <v/>
      </c>
      <c r="BH96" s="128" t="str">
        <f t="shared" si="55"/>
        <v/>
      </c>
      <c r="BI96" s="128" t="str">
        <f t="shared" si="56"/>
        <v/>
      </c>
      <c r="BJ96" s="28" t="str">
        <f>IF(AND(ISBLANK(BL96),BK96=""),"",1+MAX(BJ$18:BJ95))</f>
        <v/>
      </c>
      <c r="BK96" s="150" t="str">
        <f>IF(OR(BG96="",BG96=0,$J96="",$J96=0,NOT(ISNUMBER($J96)),NOT(ISNUMBER(BG96))),IF(AND($G96&lt;&gt;"",AND(OR(ISNUMBER(BG96),BG96=""),AND(ISNUMBER($J96),$J96&gt;0))),'Feuille de Donnée'!$K$13,""),IF(BG96&lt;$J$165*'Feuille de Donnée'!$I$9,"Négligeable",(IF(AND(BE96&gt;=$H96*(1-'Feuille de Donnée'!$E$12),BE96&lt;=$H96*(1+'Feuille de Donnée'!$F$12)),'Feuille de Donnée'!$F$17,IF(BE96&lt;$H96*(1-'Feuille de Donnée'!$E$12),'Feuille de Donnée'!$F$18,'Feuille de Donnée'!$F$16))&amp;""&amp;IF(AND(BF96&gt;=$I96*(1-'Feuille de Donnée'!$E$27),BF96&lt;=$I96*(1+'Feuille de Donnée'!$F$27)),'Feuille de Donnée'!$F$32,IF(BF96&lt;$I96*(1-'Feuille de Donnée'!$E$27),'Feuille de Donnée'!$F$33,'Feuille de Donnée'!$F$31)))))</f>
        <v/>
      </c>
      <c r="BL96" s="151"/>
      <c r="BM96" s="153"/>
    </row>
    <row r="97" spans="1:65" s="7" customFormat="1" x14ac:dyDescent="0.3">
      <c r="A97" s="24"/>
      <c r="B97" s="25"/>
      <c r="C97" s="25"/>
      <c r="D97" s="25"/>
      <c r="E97" s="25"/>
      <c r="F97" s="25"/>
      <c r="G97" s="23"/>
      <c r="H97" s="26"/>
      <c r="I97" s="27"/>
      <c r="J97" s="109" t="str">
        <f t="shared" si="38"/>
        <v/>
      </c>
      <c r="K97" s="110"/>
      <c r="L97" s="28"/>
      <c r="M97" s="28"/>
      <c r="N97" s="28" t="str">
        <f t="shared" si="39"/>
        <v/>
      </c>
      <c r="O97" s="128" t="str">
        <f t="shared" si="40"/>
        <v/>
      </c>
      <c r="P97" s="128" t="str">
        <f t="shared" si="41"/>
        <v/>
      </c>
      <c r="Q97" s="28" t="str">
        <f>IF(AND(ISBLANK(S97),R97=""),"",1+MAX(Q$18:Q96))</f>
        <v/>
      </c>
      <c r="R97" s="150" t="str">
        <f>IF(OR(N97="",N97=0,$J97="",$J97=0,NOT(ISNUMBER($J97)),NOT(ISNUMBER(N97))),IF(AND($G97&lt;&gt;"",AND(OR(ISNUMBER(N97),N97=""),AND(ISNUMBER($J97),$J97&gt;0))),'Feuille de Donnée'!$K$13,""),IF(N97&lt;$J$165*'Feuille de Donnée'!$I$9,"Négligeable",(IF(AND(L97&gt;=$H97*(1-'Feuille de Donnée'!$E$12),L97&lt;=$H97*(1+'Feuille de Donnée'!$F$12)),'Feuille de Donnée'!$F$17,IF(L97&lt;$H97*(1-'Feuille de Donnée'!$E$12),'Feuille de Donnée'!$F$18,'Feuille de Donnée'!$F$16))&amp;""&amp;IF(AND(M97&gt;=$I97*(1-'Feuille de Donnée'!$E$27),M97&lt;=$I97*(1+'Feuille de Donnée'!$F$27)),'Feuille de Donnée'!$F$32,IF(M97&lt;$I97*(1-'Feuille de Donnée'!$E$27),'Feuille de Donnée'!$F$33,'Feuille de Donnée'!$F$31)))))</f>
        <v/>
      </c>
      <c r="S97" s="151"/>
      <c r="T97" s="110"/>
      <c r="U97" s="28"/>
      <c r="V97" s="28"/>
      <c r="W97" s="28" t="str">
        <f t="shared" si="42"/>
        <v/>
      </c>
      <c r="X97" s="128" t="str">
        <f t="shared" si="43"/>
        <v/>
      </c>
      <c r="Y97" s="128" t="str">
        <f t="shared" si="44"/>
        <v/>
      </c>
      <c r="Z97" s="28" t="str">
        <f>IF(AND(ISBLANK(AB97),AA97=""),"",1+MAX(Z$18:Z96))</f>
        <v/>
      </c>
      <c r="AA97" s="150" t="str">
        <f>IF(OR(W97="",W97=0,$J97="",$J97=0,NOT(ISNUMBER($J97)),NOT(ISNUMBER(W97))),IF(AND($G97&lt;&gt;"",AND(OR(ISNUMBER(W97),W97=""),AND(ISNUMBER($J97),$J97&gt;0))),'Feuille de Donnée'!$K$13,""),IF(W97&lt;$J$165*'Feuille de Donnée'!$I$9,"Négligeable",(IF(AND(U97&gt;=$H97*(1-'Feuille de Donnée'!$E$12),U97&lt;=$H97*(1+'Feuille de Donnée'!$F$12)),'Feuille de Donnée'!$F$17,IF(U97&lt;$H97*(1-'Feuille de Donnée'!$E$12),'Feuille de Donnée'!$F$18,'Feuille de Donnée'!$F$16))&amp;""&amp;IF(AND(V97&gt;=$I97*(1-'Feuille de Donnée'!$E$27),V97&lt;=$I97*(1+'Feuille de Donnée'!$F$27)),'Feuille de Donnée'!$F$32,IF(V97&lt;$I97*(1-'Feuille de Donnée'!$E$27),'Feuille de Donnée'!$F$33,'Feuille de Donnée'!$F$31)))))</f>
        <v/>
      </c>
      <c r="AB97" s="151"/>
      <c r="AC97" s="110"/>
      <c r="AD97" s="28"/>
      <c r="AE97" s="28"/>
      <c r="AF97" s="28" t="str">
        <f t="shared" si="45"/>
        <v/>
      </c>
      <c r="AG97" s="128" t="str">
        <f t="shared" si="46"/>
        <v/>
      </c>
      <c r="AH97" s="128" t="str">
        <f t="shared" si="47"/>
        <v/>
      </c>
      <c r="AI97" s="28" t="str">
        <f>IF(AND(ISBLANK(AK97),AJ97=""),"",1+MAX(AI$18:AI96))</f>
        <v/>
      </c>
      <c r="AJ97" s="150" t="str">
        <f>IF(OR(AF97="",AF97=0,$J97="",$J97=0,NOT(ISNUMBER($J97)),NOT(ISNUMBER(AF97))),IF(AND($G97&lt;&gt;"",AND(OR(ISNUMBER(AF97),AF97=""),AND(ISNUMBER($J97),$J97&gt;0))),'Feuille de Donnée'!$K$13,""),IF(AF97&lt;$J$165*'Feuille de Donnée'!$I$9,"Négligeable",(IF(AND(AD97&gt;=$H97*(1-'Feuille de Donnée'!$E$12),AD97&lt;=$H97*(1+'Feuille de Donnée'!$F$12)),'Feuille de Donnée'!$F$17,IF(AD97&lt;$H97*(1-'Feuille de Donnée'!$E$12),'Feuille de Donnée'!$F$18,'Feuille de Donnée'!$F$16))&amp;""&amp;IF(AND(AE97&gt;=$I97*(1-'Feuille de Donnée'!$E$27),AE97&lt;=$I97*(1+'Feuille de Donnée'!$F$27)),'Feuille de Donnée'!$F$32,IF(AE97&lt;$I97*(1-'Feuille de Donnée'!$E$27),'Feuille de Donnée'!$F$33,'Feuille de Donnée'!$F$31)))))</f>
        <v/>
      </c>
      <c r="AK97" s="151"/>
      <c r="AL97" s="110"/>
      <c r="AM97" s="28"/>
      <c r="AN97" s="28"/>
      <c r="AO97" s="28" t="str">
        <f t="shared" si="48"/>
        <v/>
      </c>
      <c r="AP97" s="128" t="str">
        <f t="shared" si="49"/>
        <v/>
      </c>
      <c r="AQ97" s="128" t="str">
        <f t="shared" si="50"/>
        <v/>
      </c>
      <c r="AR97" s="28" t="str">
        <f>IF(AND(ISBLANK(AT97),AS97=""),"",1+MAX(AR$18:AR96))</f>
        <v/>
      </c>
      <c r="AS97" s="150" t="str">
        <f>IF(OR(AO97="",AO97=0,$J97="",$J97=0,NOT(ISNUMBER($J97)),NOT(ISNUMBER(AO97))),IF(AND($G97&lt;&gt;"",AND(OR(ISNUMBER(AO97),AO97=""),AND(ISNUMBER($J97),$J97&gt;0))),'Feuille de Donnée'!$K$13,""),IF(AO97&lt;$J$165*'Feuille de Donnée'!$I$9,"Négligeable",(IF(AND(AM97&gt;=$H97*(1-'Feuille de Donnée'!$E$12),AM97&lt;=$H97*(1+'Feuille de Donnée'!$F$12)),'Feuille de Donnée'!$F$17,IF(AM97&lt;$H97*(1-'Feuille de Donnée'!$E$12),'Feuille de Donnée'!$F$18,'Feuille de Donnée'!$F$16))&amp;""&amp;IF(AND(AN97&gt;=$I97*(1-'Feuille de Donnée'!$E$27),AN97&lt;=$I97*(1+'Feuille de Donnée'!$F$27)),'Feuille de Donnée'!$F$32,IF(AN97&lt;$I97*(1-'Feuille de Donnée'!$E$27),'Feuille de Donnée'!$F$33,'Feuille de Donnée'!$F$31)))))</f>
        <v/>
      </c>
      <c r="AT97" s="151"/>
      <c r="AU97" s="110"/>
      <c r="AV97" s="28"/>
      <c r="AW97" s="28"/>
      <c r="AX97" s="28" t="str">
        <f t="shared" si="51"/>
        <v/>
      </c>
      <c r="AY97" s="128" t="str">
        <f t="shared" si="52"/>
        <v/>
      </c>
      <c r="AZ97" s="128" t="str">
        <f t="shared" si="53"/>
        <v/>
      </c>
      <c r="BA97" s="28" t="str">
        <f>IF(AND(ISBLANK(BC97),BB97=""),"",1+MAX(BA$18:BA96))</f>
        <v/>
      </c>
      <c r="BB97" s="150" t="str">
        <f>IF(OR(AX97="",AX97=0,$J97="",$J97=0,NOT(ISNUMBER($J97)),NOT(ISNUMBER(AX97))),IF(AND($G97&lt;&gt;"",AND(OR(ISNUMBER(AX97),AX97=""),AND(ISNUMBER($J97),$J97&gt;0))),'Feuille de Donnée'!$K$13,""),IF(AX97&lt;$J$165*'Feuille de Donnée'!$I$9,"Négligeable",(IF(AND(AV97&gt;=$H97*(1-'Feuille de Donnée'!$E$12),AV97&lt;=$H97*(1+'Feuille de Donnée'!$F$12)),'Feuille de Donnée'!$F$17,IF(AV97&lt;$H97*(1-'Feuille de Donnée'!$E$12),'Feuille de Donnée'!$F$18,'Feuille de Donnée'!$F$16))&amp;""&amp;IF(AND(AW97&gt;=$I97*(1-'Feuille de Donnée'!$E$27),AW97&lt;=$I97*(1+'Feuille de Donnée'!$F$27)),'Feuille de Donnée'!$F$32,IF(AW97&lt;$I97*(1-'Feuille de Donnée'!$E$27),'Feuille de Donnée'!$F$33,'Feuille de Donnée'!$F$31)))))</f>
        <v/>
      </c>
      <c r="BC97" s="151"/>
      <c r="BD97" s="110"/>
      <c r="BE97" s="28"/>
      <c r="BF97" s="28"/>
      <c r="BG97" s="28" t="str">
        <f t="shared" si="54"/>
        <v/>
      </c>
      <c r="BH97" s="128" t="str">
        <f t="shared" si="55"/>
        <v/>
      </c>
      <c r="BI97" s="128" t="str">
        <f t="shared" si="56"/>
        <v/>
      </c>
      <c r="BJ97" s="28" t="str">
        <f>IF(AND(ISBLANK(BL97),BK97=""),"",1+MAX(BJ$18:BJ96))</f>
        <v/>
      </c>
      <c r="BK97" s="150" t="str">
        <f>IF(OR(BG97="",BG97=0,$J97="",$J97=0,NOT(ISNUMBER($J97)),NOT(ISNUMBER(BG97))),IF(AND($G97&lt;&gt;"",AND(OR(ISNUMBER(BG97),BG97=""),AND(ISNUMBER($J97),$J97&gt;0))),'Feuille de Donnée'!$K$13,""),IF(BG97&lt;$J$165*'Feuille de Donnée'!$I$9,"Négligeable",(IF(AND(BE97&gt;=$H97*(1-'Feuille de Donnée'!$E$12),BE97&lt;=$H97*(1+'Feuille de Donnée'!$F$12)),'Feuille de Donnée'!$F$17,IF(BE97&lt;$H97*(1-'Feuille de Donnée'!$E$12),'Feuille de Donnée'!$F$18,'Feuille de Donnée'!$F$16))&amp;""&amp;IF(AND(BF97&gt;=$I97*(1-'Feuille de Donnée'!$E$27),BF97&lt;=$I97*(1+'Feuille de Donnée'!$F$27)),'Feuille de Donnée'!$F$32,IF(BF97&lt;$I97*(1-'Feuille de Donnée'!$E$27),'Feuille de Donnée'!$F$33,'Feuille de Donnée'!$F$31)))))</f>
        <v/>
      </c>
      <c r="BL97" s="151"/>
      <c r="BM97" s="153"/>
    </row>
    <row r="98" spans="1:65" s="7" customFormat="1" x14ac:dyDescent="0.3">
      <c r="A98" s="24"/>
      <c r="B98" s="25"/>
      <c r="C98" s="25"/>
      <c r="D98" s="25"/>
      <c r="E98" s="25"/>
      <c r="F98" s="25"/>
      <c r="G98" s="23"/>
      <c r="H98" s="26"/>
      <c r="I98" s="27"/>
      <c r="J98" s="109" t="str">
        <f t="shared" si="38"/>
        <v/>
      </c>
      <c r="K98" s="110"/>
      <c r="L98" s="28"/>
      <c r="M98" s="28"/>
      <c r="N98" s="28" t="str">
        <f t="shared" si="39"/>
        <v/>
      </c>
      <c r="O98" s="128" t="str">
        <f t="shared" si="40"/>
        <v/>
      </c>
      <c r="P98" s="128" t="str">
        <f t="shared" si="41"/>
        <v/>
      </c>
      <c r="Q98" s="28" t="str">
        <f>IF(AND(ISBLANK(S98),R98=""),"",1+MAX(Q$18:Q97))</f>
        <v/>
      </c>
      <c r="R98" s="150" t="str">
        <f>IF(OR(N98="",N98=0,$J98="",$J98=0,NOT(ISNUMBER($J98)),NOT(ISNUMBER(N98))),IF(AND($G98&lt;&gt;"",AND(OR(ISNUMBER(N98),N98=""),AND(ISNUMBER($J98),$J98&gt;0))),'Feuille de Donnée'!$K$13,""),IF(N98&lt;$J$165*'Feuille de Donnée'!$I$9,"Négligeable",(IF(AND(L98&gt;=$H98*(1-'Feuille de Donnée'!$E$12),L98&lt;=$H98*(1+'Feuille de Donnée'!$F$12)),'Feuille de Donnée'!$F$17,IF(L98&lt;$H98*(1-'Feuille de Donnée'!$E$12),'Feuille de Donnée'!$F$18,'Feuille de Donnée'!$F$16))&amp;""&amp;IF(AND(M98&gt;=$I98*(1-'Feuille de Donnée'!$E$27),M98&lt;=$I98*(1+'Feuille de Donnée'!$F$27)),'Feuille de Donnée'!$F$32,IF(M98&lt;$I98*(1-'Feuille de Donnée'!$E$27),'Feuille de Donnée'!$F$33,'Feuille de Donnée'!$F$31)))))</f>
        <v/>
      </c>
      <c r="S98" s="151"/>
      <c r="T98" s="110"/>
      <c r="U98" s="28"/>
      <c r="V98" s="28"/>
      <c r="W98" s="28" t="str">
        <f t="shared" si="42"/>
        <v/>
      </c>
      <c r="X98" s="128" t="str">
        <f t="shared" si="43"/>
        <v/>
      </c>
      <c r="Y98" s="128" t="str">
        <f t="shared" si="44"/>
        <v/>
      </c>
      <c r="Z98" s="28" t="str">
        <f>IF(AND(ISBLANK(AB98),AA98=""),"",1+MAX(Z$18:Z97))</f>
        <v/>
      </c>
      <c r="AA98" s="150" t="str">
        <f>IF(OR(W98="",W98=0,$J98="",$J98=0,NOT(ISNUMBER($J98)),NOT(ISNUMBER(W98))),IF(AND($G98&lt;&gt;"",AND(OR(ISNUMBER(W98),W98=""),AND(ISNUMBER($J98),$J98&gt;0))),'Feuille de Donnée'!$K$13,""),IF(W98&lt;$J$165*'Feuille de Donnée'!$I$9,"Négligeable",(IF(AND(U98&gt;=$H98*(1-'Feuille de Donnée'!$E$12),U98&lt;=$H98*(1+'Feuille de Donnée'!$F$12)),'Feuille de Donnée'!$F$17,IF(U98&lt;$H98*(1-'Feuille de Donnée'!$E$12),'Feuille de Donnée'!$F$18,'Feuille de Donnée'!$F$16))&amp;""&amp;IF(AND(V98&gt;=$I98*(1-'Feuille de Donnée'!$E$27),V98&lt;=$I98*(1+'Feuille de Donnée'!$F$27)),'Feuille de Donnée'!$F$32,IF(V98&lt;$I98*(1-'Feuille de Donnée'!$E$27),'Feuille de Donnée'!$F$33,'Feuille de Donnée'!$F$31)))))</f>
        <v/>
      </c>
      <c r="AB98" s="151"/>
      <c r="AC98" s="110"/>
      <c r="AD98" s="28"/>
      <c r="AE98" s="28"/>
      <c r="AF98" s="28" t="str">
        <f t="shared" si="45"/>
        <v/>
      </c>
      <c r="AG98" s="128" t="str">
        <f t="shared" si="46"/>
        <v/>
      </c>
      <c r="AH98" s="128" t="str">
        <f t="shared" si="47"/>
        <v/>
      </c>
      <c r="AI98" s="28" t="str">
        <f>IF(AND(ISBLANK(AK98),AJ98=""),"",1+MAX(AI$18:AI97))</f>
        <v/>
      </c>
      <c r="AJ98" s="150" t="str">
        <f>IF(OR(AF98="",AF98=0,$J98="",$J98=0,NOT(ISNUMBER($J98)),NOT(ISNUMBER(AF98))),IF(AND($G98&lt;&gt;"",AND(OR(ISNUMBER(AF98),AF98=""),AND(ISNUMBER($J98),$J98&gt;0))),'Feuille de Donnée'!$K$13,""),IF(AF98&lt;$J$165*'Feuille de Donnée'!$I$9,"Négligeable",(IF(AND(AD98&gt;=$H98*(1-'Feuille de Donnée'!$E$12),AD98&lt;=$H98*(1+'Feuille de Donnée'!$F$12)),'Feuille de Donnée'!$F$17,IF(AD98&lt;$H98*(1-'Feuille de Donnée'!$E$12),'Feuille de Donnée'!$F$18,'Feuille de Donnée'!$F$16))&amp;""&amp;IF(AND(AE98&gt;=$I98*(1-'Feuille de Donnée'!$E$27),AE98&lt;=$I98*(1+'Feuille de Donnée'!$F$27)),'Feuille de Donnée'!$F$32,IF(AE98&lt;$I98*(1-'Feuille de Donnée'!$E$27),'Feuille de Donnée'!$F$33,'Feuille de Donnée'!$F$31)))))</f>
        <v/>
      </c>
      <c r="AK98" s="151"/>
      <c r="AL98" s="110"/>
      <c r="AM98" s="28"/>
      <c r="AN98" s="28"/>
      <c r="AO98" s="28" t="str">
        <f t="shared" si="48"/>
        <v/>
      </c>
      <c r="AP98" s="128" t="str">
        <f t="shared" si="49"/>
        <v/>
      </c>
      <c r="AQ98" s="128" t="str">
        <f t="shared" si="50"/>
        <v/>
      </c>
      <c r="AR98" s="28" t="str">
        <f>IF(AND(ISBLANK(AT98),AS98=""),"",1+MAX(AR$18:AR97))</f>
        <v/>
      </c>
      <c r="AS98" s="150" t="str">
        <f>IF(OR(AO98="",AO98=0,$J98="",$J98=0,NOT(ISNUMBER($J98)),NOT(ISNUMBER(AO98))),IF(AND($G98&lt;&gt;"",AND(OR(ISNUMBER(AO98),AO98=""),AND(ISNUMBER($J98),$J98&gt;0))),'Feuille de Donnée'!$K$13,""),IF(AO98&lt;$J$165*'Feuille de Donnée'!$I$9,"Négligeable",(IF(AND(AM98&gt;=$H98*(1-'Feuille de Donnée'!$E$12),AM98&lt;=$H98*(1+'Feuille de Donnée'!$F$12)),'Feuille de Donnée'!$F$17,IF(AM98&lt;$H98*(1-'Feuille de Donnée'!$E$12),'Feuille de Donnée'!$F$18,'Feuille de Donnée'!$F$16))&amp;""&amp;IF(AND(AN98&gt;=$I98*(1-'Feuille de Donnée'!$E$27),AN98&lt;=$I98*(1+'Feuille de Donnée'!$F$27)),'Feuille de Donnée'!$F$32,IF(AN98&lt;$I98*(1-'Feuille de Donnée'!$E$27),'Feuille de Donnée'!$F$33,'Feuille de Donnée'!$F$31)))))</f>
        <v/>
      </c>
      <c r="AT98" s="151"/>
      <c r="AU98" s="110"/>
      <c r="AV98" s="28"/>
      <c r="AW98" s="28"/>
      <c r="AX98" s="28" t="str">
        <f t="shared" si="51"/>
        <v/>
      </c>
      <c r="AY98" s="128" t="str">
        <f t="shared" si="52"/>
        <v/>
      </c>
      <c r="AZ98" s="128" t="str">
        <f t="shared" si="53"/>
        <v/>
      </c>
      <c r="BA98" s="28" t="str">
        <f>IF(AND(ISBLANK(BC98),BB98=""),"",1+MAX(BA$18:BA97))</f>
        <v/>
      </c>
      <c r="BB98" s="150" t="str">
        <f>IF(OR(AX98="",AX98=0,$J98="",$J98=0,NOT(ISNUMBER($J98)),NOT(ISNUMBER(AX98))),IF(AND($G98&lt;&gt;"",AND(OR(ISNUMBER(AX98),AX98=""),AND(ISNUMBER($J98),$J98&gt;0))),'Feuille de Donnée'!$K$13,""),IF(AX98&lt;$J$165*'Feuille de Donnée'!$I$9,"Négligeable",(IF(AND(AV98&gt;=$H98*(1-'Feuille de Donnée'!$E$12),AV98&lt;=$H98*(1+'Feuille de Donnée'!$F$12)),'Feuille de Donnée'!$F$17,IF(AV98&lt;$H98*(1-'Feuille de Donnée'!$E$12),'Feuille de Donnée'!$F$18,'Feuille de Donnée'!$F$16))&amp;""&amp;IF(AND(AW98&gt;=$I98*(1-'Feuille de Donnée'!$E$27),AW98&lt;=$I98*(1+'Feuille de Donnée'!$F$27)),'Feuille de Donnée'!$F$32,IF(AW98&lt;$I98*(1-'Feuille de Donnée'!$E$27),'Feuille de Donnée'!$F$33,'Feuille de Donnée'!$F$31)))))</f>
        <v/>
      </c>
      <c r="BC98" s="151"/>
      <c r="BD98" s="110"/>
      <c r="BE98" s="28"/>
      <c r="BF98" s="28"/>
      <c r="BG98" s="28" t="str">
        <f t="shared" si="54"/>
        <v/>
      </c>
      <c r="BH98" s="128" t="str">
        <f t="shared" si="55"/>
        <v/>
      </c>
      <c r="BI98" s="128" t="str">
        <f t="shared" si="56"/>
        <v/>
      </c>
      <c r="BJ98" s="28" t="str">
        <f>IF(AND(ISBLANK(BL98),BK98=""),"",1+MAX(BJ$18:BJ97))</f>
        <v/>
      </c>
      <c r="BK98" s="150" t="str">
        <f>IF(OR(BG98="",BG98=0,$J98="",$J98=0,NOT(ISNUMBER($J98)),NOT(ISNUMBER(BG98))),IF(AND($G98&lt;&gt;"",AND(OR(ISNUMBER(BG98),BG98=""),AND(ISNUMBER($J98),$J98&gt;0))),'Feuille de Donnée'!$K$13,""),IF(BG98&lt;$J$165*'Feuille de Donnée'!$I$9,"Négligeable",(IF(AND(BE98&gt;=$H98*(1-'Feuille de Donnée'!$E$12),BE98&lt;=$H98*(1+'Feuille de Donnée'!$F$12)),'Feuille de Donnée'!$F$17,IF(BE98&lt;$H98*(1-'Feuille de Donnée'!$E$12),'Feuille de Donnée'!$F$18,'Feuille de Donnée'!$F$16))&amp;""&amp;IF(AND(BF98&gt;=$I98*(1-'Feuille de Donnée'!$E$27),BF98&lt;=$I98*(1+'Feuille de Donnée'!$F$27)),'Feuille de Donnée'!$F$32,IF(BF98&lt;$I98*(1-'Feuille de Donnée'!$E$27),'Feuille de Donnée'!$F$33,'Feuille de Donnée'!$F$31)))))</f>
        <v/>
      </c>
      <c r="BL98" s="151"/>
      <c r="BM98" s="153"/>
    </row>
    <row r="99" spans="1:65" s="7" customFormat="1" x14ac:dyDescent="0.3">
      <c r="A99" s="24"/>
      <c r="B99" s="25"/>
      <c r="C99" s="25"/>
      <c r="D99" s="25"/>
      <c r="E99" s="25"/>
      <c r="F99" s="25"/>
      <c r="G99" s="23"/>
      <c r="H99" s="26"/>
      <c r="I99" s="27"/>
      <c r="J99" s="109" t="str">
        <f t="shared" si="38"/>
        <v/>
      </c>
      <c r="K99" s="110"/>
      <c r="L99" s="28"/>
      <c r="M99" s="28"/>
      <c r="N99" s="28" t="str">
        <f t="shared" si="39"/>
        <v/>
      </c>
      <c r="O99" s="128" t="str">
        <f t="shared" si="40"/>
        <v/>
      </c>
      <c r="P99" s="128" t="str">
        <f t="shared" si="41"/>
        <v/>
      </c>
      <c r="Q99" s="28" t="str">
        <f>IF(AND(ISBLANK(S99),R99=""),"",1+MAX(Q$18:Q98))</f>
        <v/>
      </c>
      <c r="R99" s="150" t="str">
        <f>IF(OR(N99="",N99=0,$J99="",$J99=0,NOT(ISNUMBER($J99)),NOT(ISNUMBER(N99))),IF(AND($G99&lt;&gt;"",AND(OR(ISNUMBER(N99),N99=""),AND(ISNUMBER($J99),$J99&gt;0))),'Feuille de Donnée'!$K$13,""),IF(N99&lt;$J$165*'Feuille de Donnée'!$I$9,"Négligeable",(IF(AND(L99&gt;=$H99*(1-'Feuille de Donnée'!$E$12),L99&lt;=$H99*(1+'Feuille de Donnée'!$F$12)),'Feuille de Donnée'!$F$17,IF(L99&lt;$H99*(1-'Feuille de Donnée'!$E$12),'Feuille de Donnée'!$F$18,'Feuille de Donnée'!$F$16))&amp;""&amp;IF(AND(M99&gt;=$I99*(1-'Feuille de Donnée'!$E$27),M99&lt;=$I99*(1+'Feuille de Donnée'!$F$27)),'Feuille de Donnée'!$F$32,IF(M99&lt;$I99*(1-'Feuille de Donnée'!$E$27),'Feuille de Donnée'!$F$33,'Feuille de Donnée'!$F$31)))))</f>
        <v/>
      </c>
      <c r="S99" s="151"/>
      <c r="T99" s="110"/>
      <c r="U99" s="28"/>
      <c r="V99" s="28"/>
      <c r="W99" s="28" t="str">
        <f t="shared" si="42"/>
        <v/>
      </c>
      <c r="X99" s="128" t="str">
        <f t="shared" si="43"/>
        <v/>
      </c>
      <c r="Y99" s="128" t="str">
        <f t="shared" si="44"/>
        <v/>
      </c>
      <c r="Z99" s="28" t="str">
        <f>IF(AND(ISBLANK(AB99),AA99=""),"",1+MAX(Z$18:Z98))</f>
        <v/>
      </c>
      <c r="AA99" s="150" t="str">
        <f>IF(OR(W99="",W99=0,$J99="",$J99=0,NOT(ISNUMBER($J99)),NOT(ISNUMBER(W99))),IF(AND($G99&lt;&gt;"",AND(OR(ISNUMBER(W99),W99=""),AND(ISNUMBER($J99),$J99&gt;0))),'Feuille de Donnée'!$K$13,""),IF(W99&lt;$J$165*'Feuille de Donnée'!$I$9,"Négligeable",(IF(AND(U99&gt;=$H99*(1-'Feuille de Donnée'!$E$12),U99&lt;=$H99*(1+'Feuille de Donnée'!$F$12)),'Feuille de Donnée'!$F$17,IF(U99&lt;$H99*(1-'Feuille de Donnée'!$E$12),'Feuille de Donnée'!$F$18,'Feuille de Donnée'!$F$16))&amp;""&amp;IF(AND(V99&gt;=$I99*(1-'Feuille de Donnée'!$E$27),V99&lt;=$I99*(1+'Feuille de Donnée'!$F$27)),'Feuille de Donnée'!$F$32,IF(V99&lt;$I99*(1-'Feuille de Donnée'!$E$27),'Feuille de Donnée'!$F$33,'Feuille de Donnée'!$F$31)))))</f>
        <v/>
      </c>
      <c r="AB99" s="151"/>
      <c r="AC99" s="110"/>
      <c r="AD99" s="28"/>
      <c r="AE99" s="28"/>
      <c r="AF99" s="28" t="str">
        <f t="shared" si="45"/>
        <v/>
      </c>
      <c r="AG99" s="128" t="str">
        <f t="shared" si="46"/>
        <v/>
      </c>
      <c r="AH99" s="128" t="str">
        <f t="shared" si="47"/>
        <v/>
      </c>
      <c r="AI99" s="28" t="str">
        <f>IF(AND(ISBLANK(AK99),AJ99=""),"",1+MAX(AI$18:AI98))</f>
        <v/>
      </c>
      <c r="AJ99" s="150" t="str">
        <f>IF(OR(AF99="",AF99=0,$J99="",$J99=0,NOT(ISNUMBER($J99)),NOT(ISNUMBER(AF99))),IF(AND($G99&lt;&gt;"",AND(OR(ISNUMBER(AF99),AF99=""),AND(ISNUMBER($J99),$J99&gt;0))),'Feuille de Donnée'!$K$13,""),IF(AF99&lt;$J$165*'Feuille de Donnée'!$I$9,"Négligeable",(IF(AND(AD99&gt;=$H99*(1-'Feuille de Donnée'!$E$12),AD99&lt;=$H99*(1+'Feuille de Donnée'!$F$12)),'Feuille de Donnée'!$F$17,IF(AD99&lt;$H99*(1-'Feuille de Donnée'!$E$12),'Feuille de Donnée'!$F$18,'Feuille de Donnée'!$F$16))&amp;""&amp;IF(AND(AE99&gt;=$I99*(1-'Feuille de Donnée'!$E$27),AE99&lt;=$I99*(1+'Feuille de Donnée'!$F$27)),'Feuille de Donnée'!$F$32,IF(AE99&lt;$I99*(1-'Feuille de Donnée'!$E$27),'Feuille de Donnée'!$F$33,'Feuille de Donnée'!$F$31)))))</f>
        <v/>
      </c>
      <c r="AK99" s="151"/>
      <c r="AL99" s="110"/>
      <c r="AM99" s="28"/>
      <c r="AN99" s="28"/>
      <c r="AO99" s="28" t="str">
        <f t="shared" si="48"/>
        <v/>
      </c>
      <c r="AP99" s="128" t="str">
        <f t="shared" si="49"/>
        <v/>
      </c>
      <c r="AQ99" s="128" t="str">
        <f t="shared" si="50"/>
        <v/>
      </c>
      <c r="AR99" s="28" t="str">
        <f>IF(AND(ISBLANK(AT99),AS99=""),"",1+MAX(AR$18:AR98))</f>
        <v/>
      </c>
      <c r="AS99" s="150" t="str">
        <f>IF(OR(AO99="",AO99=0,$J99="",$J99=0,NOT(ISNUMBER($J99)),NOT(ISNUMBER(AO99))),IF(AND($G99&lt;&gt;"",AND(OR(ISNUMBER(AO99),AO99=""),AND(ISNUMBER($J99),$J99&gt;0))),'Feuille de Donnée'!$K$13,""),IF(AO99&lt;$J$165*'Feuille de Donnée'!$I$9,"Négligeable",(IF(AND(AM99&gt;=$H99*(1-'Feuille de Donnée'!$E$12),AM99&lt;=$H99*(1+'Feuille de Donnée'!$F$12)),'Feuille de Donnée'!$F$17,IF(AM99&lt;$H99*(1-'Feuille de Donnée'!$E$12),'Feuille de Donnée'!$F$18,'Feuille de Donnée'!$F$16))&amp;""&amp;IF(AND(AN99&gt;=$I99*(1-'Feuille de Donnée'!$E$27),AN99&lt;=$I99*(1+'Feuille de Donnée'!$F$27)),'Feuille de Donnée'!$F$32,IF(AN99&lt;$I99*(1-'Feuille de Donnée'!$E$27),'Feuille de Donnée'!$F$33,'Feuille de Donnée'!$F$31)))))</f>
        <v/>
      </c>
      <c r="AT99" s="151"/>
      <c r="AU99" s="110"/>
      <c r="AV99" s="28"/>
      <c r="AW99" s="28"/>
      <c r="AX99" s="28" t="str">
        <f t="shared" si="51"/>
        <v/>
      </c>
      <c r="AY99" s="128" t="str">
        <f t="shared" si="52"/>
        <v/>
      </c>
      <c r="AZ99" s="128" t="str">
        <f t="shared" si="53"/>
        <v/>
      </c>
      <c r="BA99" s="28" t="str">
        <f>IF(AND(ISBLANK(BC99),BB99=""),"",1+MAX(BA$18:BA98))</f>
        <v/>
      </c>
      <c r="BB99" s="150" t="str">
        <f>IF(OR(AX99="",AX99=0,$J99="",$J99=0,NOT(ISNUMBER($J99)),NOT(ISNUMBER(AX99))),IF(AND($G99&lt;&gt;"",AND(OR(ISNUMBER(AX99),AX99=""),AND(ISNUMBER($J99),$J99&gt;0))),'Feuille de Donnée'!$K$13,""),IF(AX99&lt;$J$165*'Feuille de Donnée'!$I$9,"Négligeable",(IF(AND(AV99&gt;=$H99*(1-'Feuille de Donnée'!$E$12),AV99&lt;=$H99*(1+'Feuille de Donnée'!$F$12)),'Feuille de Donnée'!$F$17,IF(AV99&lt;$H99*(1-'Feuille de Donnée'!$E$12),'Feuille de Donnée'!$F$18,'Feuille de Donnée'!$F$16))&amp;""&amp;IF(AND(AW99&gt;=$I99*(1-'Feuille de Donnée'!$E$27),AW99&lt;=$I99*(1+'Feuille de Donnée'!$F$27)),'Feuille de Donnée'!$F$32,IF(AW99&lt;$I99*(1-'Feuille de Donnée'!$E$27),'Feuille de Donnée'!$F$33,'Feuille de Donnée'!$F$31)))))</f>
        <v/>
      </c>
      <c r="BC99" s="151"/>
      <c r="BD99" s="110"/>
      <c r="BE99" s="28"/>
      <c r="BF99" s="28"/>
      <c r="BG99" s="28" t="str">
        <f t="shared" si="54"/>
        <v/>
      </c>
      <c r="BH99" s="128" t="str">
        <f t="shared" si="55"/>
        <v/>
      </c>
      <c r="BI99" s="128" t="str">
        <f t="shared" si="56"/>
        <v/>
      </c>
      <c r="BJ99" s="28" t="str">
        <f>IF(AND(ISBLANK(BL99),BK99=""),"",1+MAX(BJ$18:BJ98))</f>
        <v/>
      </c>
      <c r="BK99" s="150" t="str">
        <f>IF(OR(BG99="",BG99=0,$J99="",$J99=0,NOT(ISNUMBER($J99)),NOT(ISNUMBER(BG99))),IF(AND($G99&lt;&gt;"",AND(OR(ISNUMBER(BG99),BG99=""),AND(ISNUMBER($J99),$J99&gt;0))),'Feuille de Donnée'!$K$13,""),IF(BG99&lt;$J$165*'Feuille de Donnée'!$I$9,"Négligeable",(IF(AND(BE99&gt;=$H99*(1-'Feuille de Donnée'!$E$12),BE99&lt;=$H99*(1+'Feuille de Donnée'!$F$12)),'Feuille de Donnée'!$F$17,IF(BE99&lt;$H99*(1-'Feuille de Donnée'!$E$12),'Feuille de Donnée'!$F$18,'Feuille de Donnée'!$F$16))&amp;""&amp;IF(AND(BF99&gt;=$I99*(1-'Feuille de Donnée'!$E$27),BF99&lt;=$I99*(1+'Feuille de Donnée'!$F$27)),'Feuille de Donnée'!$F$32,IF(BF99&lt;$I99*(1-'Feuille de Donnée'!$E$27),'Feuille de Donnée'!$F$33,'Feuille de Donnée'!$F$31)))))</f>
        <v/>
      </c>
      <c r="BL99" s="151"/>
      <c r="BM99" s="153"/>
    </row>
    <row r="100" spans="1:65" s="7" customFormat="1" x14ac:dyDescent="0.3">
      <c r="A100" s="24"/>
      <c r="B100" s="25"/>
      <c r="C100" s="25"/>
      <c r="D100" s="25"/>
      <c r="E100" s="25"/>
      <c r="F100" s="25"/>
      <c r="G100" s="23"/>
      <c r="H100" s="26"/>
      <c r="I100" s="27"/>
      <c r="J100" s="109" t="str">
        <f t="shared" si="38"/>
        <v/>
      </c>
      <c r="K100" s="110"/>
      <c r="L100" s="28"/>
      <c r="M100" s="28"/>
      <c r="N100" s="28" t="str">
        <f t="shared" si="39"/>
        <v/>
      </c>
      <c r="O100" s="128" t="str">
        <f t="shared" si="40"/>
        <v/>
      </c>
      <c r="P100" s="128" t="str">
        <f t="shared" si="41"/>
        <v/>
      </c>
      <c r="Q100" s="28" t="str">
        <f>IF(AND(ISBLANK(S100),R100=""),"",1+MAX(Q$18:Q99))</f>
        <v/>
      </c>
      <c r="R100" s="150" t="str">
        <f>IF(OR(N100="",N100=0,$J100="",$J100=0,NOT(ISNUMBER($J100)),NOT(ISNUMBER(N100))),IF(AND($G100&lt;&gt;"",AND(OR(ISNUMBER(N100),N100=""),AND(ISNUMBER($J100),$J100&gt;0))),'Feuille de Donnée'!$K$13,""),IF(N100&lt;$J$165*'Feuille de Donnée'!$I$9,"Négligeable",(IF(AND(L100&gt;=$H100*(1-'Feuille de Donnée'!$E$12),L100&lt;=$H100*(1+'Feuille de Donnée'!$F$12)),'Feuille de Donnée'!$F$17,IF(L100&lt;$H100*(1-'Feuille de Donnée'!$E$12),'Feuille de Donnée'!$F$18,'Feuille de Donnée'!$F$16))&amp;""&amp;IF(AND(M100&gt;=$I100*(1-'Feuille de Donnée'!$E$27),M100&lt;=$I100*(1+'Feuille de Donnée'!$F$27)),'Feuille de Donnée'!$F$32,IF(M100&lt;$I100*(1-'Feuille de Donnée'!$E$27),'Feuille de Donnée'!$F$33,'Feuille de Donnée'!$F$31)))))</f>
        <v/>
      </c>
      <c r="S100" s="151"/>
      <c r="T100" s="110"/>
      <c r="U100" s="28"/>
      <c r="V100" s="28"/>
      <c r="W100" s="28" t="str">
        <f t="shared" si="42"/>
        <v/>
      </c>
      <c r="X100" s="128" t="str">
        <f t="shared" si="43"/>
        <v/>
      </c>
      <c r="Y100" s="128" t="str">
        <f t="shared" si="44"/>
        <v/>
      </c>
      <c r="Z100" s="28" t="str">
        <f>IF(AND(ISBLANK(AB100),AA100=""),"",1+MAX(Z$18:Z99))</f>
        <v/>
      </c>
      <c r="AA100" s="150" t="str">
        <f>IF(OR(W100="",W100=0,$J100="",$J100=0,NOT(ISNUMBER($J100)),NOT(ISNUMBER(W100))),IF(AND($G100&lt;&gt;"",AND(OR(ISNUMBER(W100),W100=""),AND(ISNUMBER($J100),$J100&gt;0))),'Feuille de Donnée'!$K$13,""),IF(W100&lt;$J$165*'Feuille de Donnée'!$I$9,"Négligeable",(IF(AND(U100&gt;=$H100*(1-'Feuille de Donnée'!$E$12),U100&lt;=$H100*(1+'Feuille de Donnée'!$F$12)),'Feuille de Donnée'!$F$17,IF(U100&lt;$H100*(1-'Feuille de Donnée'!$E$12),'Feuille de Donnée'!$F$18,'Feuille de Donnée'!$F$16))&amp;""&amp;IF(AND(V100&gt;=$I100*(1-'Feuille de Donnée'!$E$27),V100&lt;=$I100*(1+'Feuille de Donnée'!$F$27)),'Feuille de Donnée'!$F$32,IF(V100&lt;$I100*(1-'Feuille de Donnée'!$E$27),'Feuille de Donnée'!$F$33,'Feuille de Donnée'!$F$31)))))</f>
        <v/>
      </c>
      <c r="AB100" s="151"/>
      <c r="AC100" s="110"/>
      <c r="AD100" s="28"/>
      <c r="AE100" s="28"/>
      <c r="AF100" s="28" t="str">
        <f t="shared" si="45"/>
        <v/>
      </c>
      <c r="AG100" s="128" t="str">
        <f t="shared" si="46"/>
        <v/>
      </c>
      <c r="AH100" s="128" t="str">
        <f t="shared" si="47"/>
        <v/>
      </c>
      <c r="AI100" s="28" t="str">
        <f>IF(AND(ISBLANK(AK100),AJ100=""),"",1+MAX(AI$18:AI99))</f>
        <v/>
      </c>
      <c r="AJ100" s="150" t="str">
        <f>IF(OR(AF100="",AF100=0,$J100="",$J100=0,NOT(ISNUMBER($J100)),NOT(ISNUMBER(AF100))),IF(AND($G100&lt;&gt;"",AND(OR(ISNUMBER(AF100),AF100=""),AND(ISNUMBER($J100),$J100&gt;0))),'Feuille de Donnée'!$K$13,""),IF(AF100&lt;$J$165*'Feuille de Donnée'!$I$9,"Négligeable",(IF(AND(AD100&gt;=$H100*(1-'Feuille de Donnée'!$E$12),AD100&lt;=$H100*(1+'Feuille de Donnée'!$F$12)),'Feuille de Donnée'!$F$17,IF(AD100&lt;$H100*(1-'Feuille de Donnée'!$E$12),'Feuille de Donnée'!$F$18,'Feuille de Donnée'!$F$16))&amp;""&amp;IF(AND(AE100&gt;=$I100*(1-'Feuille de Donnée'!$E$27),AE100&lt;=$I100*(1+'Feuille de Donnée'!$F$27)),'Feuille de Donnée'!$F$32,IF(AE100&lt;$I100*(1-'Feuille de Donnée'!$E$27),'Feuille de Donnée'!$F$33,'Feuille de Donnée'!$F$31)))))</f>
        <v/>
      </c>
      <c r="AK100" s="151"/>
      <c r="AL100" s="110"/>
      <c r="AM100" s="28"/>
      <c r="AN100" s="28"/>
      <c r="AO100" s="28" t="str">
        <f t="shared" si="48"/>
        <v/>
      </c>
      <c r="AP100" s="128" t="str">
        <f t="shared" si="49"/>
        <v/>
      </c>
      <c r="AQ100" s="128" t="str">
        <f t="shared" si="50"/>
        <v/>
      </c>
      <c r="AR100" s="28" t="str">
        <f>IF(AND(ISBLANK(AT100),AS100=""),"",1+MAX(AR$18:AR99))</f>
        <v/>
      </c>
      <c r="AS100" s="150" t="str">
        <f>IF(OR(AO100="",AO100=0,$J100="",$J100=0,NOT(ISNUMBER($J100)),NOT(ISNUMBER(AO100))),IF(AND($G100&lt;&gt;"",AND(OR(ISNUMBER(AO100),AO100=""),AND(ISNUMBER($J100),$J100&gt;0))),'Feuille de Donnée'!$K$13,""),IF(AO100&lt;$J$165*'Feuille de Donnée'!$I$9,"Négligeable",(IF(AND(AM100&gt;=$H100*(1-'Feuille de Donnée'!$E$12),AM100&lt;=$H100*(1+'Feuille de Donnée'!$F$12)),'Feuille de Donnée'!$F$17,IF(AM100&lt;$H100*(1-'Feuille de Donnée'!$E$12),'Feuille de Donnée'!$F$18,'Feuille de Donnée'!$F$16))&amp;""&amp;IF(AND(AN100&gt;=$I100*(1-'Feuille de Donnée'!$E$27),AN100&lt;=$I100*(1+'Feuille de Donnée'!$F$27)),'Feuille de Donnée'!$F$32,IF(AN100&lt;$I100*(1-'Feuille de Donnée'!$E$27),'Feuille de Donnée'!$F$33,'Feuille de Donnée'!$F$31)))))</f>
        <v/>
      </c>
      <c r="AT100" s="151"/>
      <c r="AU100" s="110"/>
      <c r="AV100" s="28"/>
      <c r="AW100" s="28"/>
      <c r="AX100" s="28" t="str">
        <f t="shared" si="51"/>
        <v/>
      </c>
      <c r="AY100" s="128" t="str">
        <f t="shared" si="52"/>
        <v/>
      </c>
      <c r="AZ100" s="128" t="str">
        <f t="shared" si="53"/>
        <v/>
      </c>
      <c r="BA100" s="28" t="str">
        <f>IF(AND(ISBLANK(BC100),BB100=""),"",1+MAX(BA$18:BA99))</f>
        <v/>
      </c>
      <c r="BB100" s="150" t="str">
        <f>IF(OR(AX100="",AX100=0,$J100="",$J100=0,NOT(ISNUMBER($J100)),NOT(ISNUMBER(AX100))),IF(AND($G100&lt;&gt;"",AND(OR(ISNUMBER(AX100),AX100=""),AND(ISNUMBER($J100),$J100&gt;0))),'Feuille de Donnée'!$K$13,""),IF(AX100&lt;$J$165*'Feuille de Donnée'!$I$9,"Négligeable",(IF(AND(AV100&gt;=$H100*(1-'Feuille de Donnée'!$E$12),AV100&lt;=$H100*(1+'Feuille de Donnée'!$F$12)),'Feuille de Donnée'!$F$17,IF(AV100&lt;$H100*(1-'Feuille de Donnée'!$E$12),'Feuille de Donnée'!$F$18,'Feuille de Donnée'!$F$16))&amp;""&amp;IF(AND(AW100&gt;=$I100*(1-'Feuille de Donnée'!$E$27),AW100&lt;=$I100*(1+'Feuille de Donnée'!$F$27)),'Feuille de Donnée'!$F$32,IF(AW100&lt;$I100*(1-'Feuille de Donnée'!$E$27),'Feuille de Donnée'!$F$33,'Feuille de Donnée'!$F$31)))))</f>
        <v/>
      </c>
      <c r="BC100" s="151"/>
      <c r="BD100" s="110"/>
      <c r="BE100" s="28"/>
      <c r="BF100" s="28"/>
      <c r="BG100" s="28" t="str">
        <f t="shared" si="54"/>
        <v/>
      </c>
      <c r="BH100" s="128" t="str">
        <f t="shared" si="55"/>
        <v/>
      </c>
      <c r="BI100" s="128" t="str">
        <f t="shared" si="56"/>
        <v/>
      </c>
      <c r="BJ100" s="28" t="str">
        <f>IF(AND(ISBLANK(BL100),BK100=""),"",1+MAX(BJ$18:BJ99))</f>
        <v/>
      </c>
      <c r="BK100" s="150" t="str">
        <f>IF(OR(BG100="",BG100=0,$J100="",$J100=0,NOT(ISNUMBER($J100)),NOT(ISNUMBER(BG100))),IF(AND($G100&lt;&gt;"",AND(OR(ISNUMBER(BG100),BG100=""),AND(ISNUMBER($J100),$J100&gt;0))),'Feuille de Donnée'!$K$13,""),IF(BG100&lt;$J$165*'Feuille de Donnée'!$I$9,"Négligeable",(IF(AND(BE100&gt;=$H100*(1-'Feuille de Donnée'!$E$12),BE100&lt;=$H100*(1+'Feuille de Donnée'!$F$12)),'Feuille de Donnée'!$F$17,IF(BE100&lt;$H100*(1-'Feuille de Donnée'!$E$12),'Feuille de Donnée'!$F$18,'Feuille de Donnée'!$F$16))&amp;""&amp;IF(AND(BF100&gt;=$I100*(1-'Feuille de Donnée'!$E$27),BF100&lt;=$I100*(1+'Feuille de Donnée'!$F$27)),'Feuille de Donnée'!$F$32,IF(BF100&lt;$I100*(1-'Feuille de Donnée'!$E$27),'Feuille de Donnée'!$F$33,'Feuille de Donnée'!$F$31)))))</f>
        <v/>
      </c>
      <c r="BL100" s="151"/>
      <c r="BM100" s="153"/>
    </row>
    <row r="101" spans="1:65" s="7" customFormat="1" x14ac:dyDescent="0.3">
      <c r="A101" s="24"/>
      <c r="B101" s="25"/>
      <c r="C101" s="25"/>
      <c r="D101" s="25"/>
      <c r="E101" s="25"/>
      <c r="F101" s="25"/>
      <c r="G101" s="23"/>
      <c r="H101" s="26"/>
      <c r="I101" s="27"/>
      <c r="J101" s="109" t="str">
        <f t="shared" si="38"/>
        <v/>
      </c>
      <c r="K101" s="110"/>
      <c r="L101" s="28"/>
      <c r="M101" s="28"/>
      <c r="N101" s="28" t="str">
        <f t="shared" si="39"/>
        <v/>
      </c>
      <c r="O101" s="128" t="str">
        <f t="shared" si="40"/>
        <v/>
      </c>
      <c r="P101" s="128" t="str">
        <f t="shared" si="41"/>
        <v/>
      </c>
      <c r="Q101" s="28" t="str">
        <f>IF(AND(ISBLANK(S101),R101=""),"",1+MAX(Q$18:Q100))</f>
        <v/>
      </c>
      <c r="R101" s="150" t="str">
        <f>IF(OR(N101="",N101=0,$J101="",$J101=0,NOT(ISNUMBER($J101)),NOT(ISNUMBER(N101))),IF(AND($G101&lt;&gt;"",AND(OR(ISNUMBER(N101),N101=""),AND(ISNUMBER($J101),$J101&gt;0))),'Feuille de Donnée'!$K$13,""),IF(N101&lt;$J$165*'Feuille de Donnée'!$I$9,"Négligeable",(IF(AND(L101&gt;=$H101*(1-'Feuille de Donnée'!$E$12),L101&lt;=$H101*(1+'Feuille de Donnée'!$F$12)),'Feuille de Donnée'!$F$17,IF(L101&lt;$H101*(1-'Feuille de Donnée'!$E$12),'Feuille de Donnée'!$F$18,'Feuille de Donnée'!$F$16))&amp;""&amp;IF(AND(M101&gt;=$I101*(1-'Feuille de Donnée'!$E$27),M101&lt;=$I101*(1+'Feuille de Donnée'!$F$27)),'Feuille de Donnée'!$F$32,IF(M101&lt;$I101*(1-'Feuille de Donnée'!$E$27),'Feuille de Donnée'!$F$33,'Feuille de Donnée'!$F$31)))))</f>
        <v/>
      </c>
      <c r="S101" s="151"/>
      <c r="T101" s="110"/>
      <c r="U101" s="28"/>
      <c r="V101" s="28"/>
      <c r="W101" s="28" t="str">
        <f t="shared" si="42"/>
        <v/>
      </c>
      <c r="X101" s="128" t="str">
        <f t="shared" si="43"/>
        <v/>
      </c>
      <c r="Y101" s="128" t="str">
        <f t="shared" si="44"/>
        <v/>
      </c>
      <c r="Z101" s="28" t="str">
        <f>IF(AND(ISBLANK(AB101),AA101=""),"",1+MAX(Z$18:Z100))</f>
        <v/>
      </c>
      <c r="AA101" s="150" t="str">
        <f>IF(OR(W101="",W101=0,$J101="",$J101=0,NOT(ISNUMBER($J101)),NOT(ISNUMBER(W101))),IF(AND($G101&lt;&gt;"",AND(OR(ISNUMBER(W101),W101=""),AND(ISNUMBER($J101),$J101&gt;0))),'Feuille de Donnée'!$K$13,""),IF(W101&lt;$J$165*'Feuille de Donnée'!$I$9,"Négligeable",(IF(AND(U101&gt;=$H101*(1-'Feuille de Donnée'!$E$12),U101&lt;=$H101*(1+'Feuille de Donnée'!$F$12)),'Feuille de Donnée'!$F$17,IF(U101&lt;$H101*(1-'Feuille de Donnée'!$E$12),'Feuille de Donnée'!$F$18,'Feuille de Donnée'!$F$16))&amp;""&amp;IF(AND(V101&gt;=$I101*(1-'Feuille de Donnée'!$E$27),V101&lt;=$I101*(1+'Feuille de Donnée'!$F$27)),'Feuille de Donnée'!$F$32,IF(V101&lt;$I101*(1-'Feuille de Donnée'!$E$27),'Feuille de Donnée'!$F$33,'Feuille de Donnée'!$F$31)))))</f>
        <v/>
      </c>
      <c r="AB101" s="151"/>
      <c r="AC101" s="110"/>
      <c r="AD101" s="28"/>
      <c r="AE101" s="28"/>
      <c r="AF101" s="28" t="str">
        <f t="shared" si="45"/>
        <v/>
      </c>
      <c r="AG101" s="128" t="str">
        <f t="shared" si="46"/>
        <v/>
      </c>
      <c r="AH101" s="128" t="str">
        <f t="shared" si="47"/>
        <v/>
      </c>
      <c r="AI101" s="28" t="str">
        <f>IF(AND(ISBLANK(AK101),AJ101=""),"",1+MAX(AI$18:AI100))</f>
        <v/>
      </c>
      <c r="AJ101" s="150" t="str">
        <f>IF(OR(AF101="",AF101=0,$J101="",$J101=0,NOT(ISNUMBER($J101)),NOT(ISNUMBER(AF101))),IF(AND($G101&lt;&gt;"",AND(OR(ISNUMBER(AF101),AF101=""),AND(ISNUMBER($J101),$J101&gt;0))),'Feuille de Donnée'!$K$13,""),IF(AF101&lt;$J$165*'Feuille de Donnée'!$I$9,"Négligeable",(IF(AND(AD101&gt;=$H101*(1-'Feuille de Donnée'!$E$12),AD101&lt;=$H101*(1+'Feuille de Donnée'!$F$12)),'Feuille de Donnée'!$F$17,IF(AD101&lt;$H101*(1-'Feuille de Donnée'!$E$12),'Feuille de Donnée'!$F$18,'Feuille de Donnée'!$F$16))&amp;""&amp;IF(AND(AE101&gt;=$I101*(1-'Feuille de Donnée'!$E$27),AE101&lt;=$I101*(1+'Feuille de Donnée'!$F$27)),'Feuille de Donnée'!$F$32,IF(AE101&lt;$I101*(1-'Feuille de Donnée'!$E$27),'Feuille de Donnée'!$F$33,'Feuille de Donnée'!$F$31)))))</f>
        <v/>
      </c>
      <c r="AK101" s="151"/>
      <c r="AL101" s="110"/>
      <c r="AM101" s="28"/>
      <c r="AN101" s="28"/>
      <c r="AO101" s="28" t="str">
        <f t="shared" si="48"/>
        <v/>
      </c>
      <c r="AP101" s="128" t="str">
        <f t="shared" si="49"/>
        <v/>
      </c>
      <c r="AQ101" s="128" t="str">
        <f t="shared" si="50"/>
        <v/>
      </c>
      <c r="AR101" s="28" t="str">
        <f>IF(AND(ISBLANK(AT101),AS101=""),"",1+MAX(AR$18:AR100))</f>
        <v/>
      </c>
      <c r="AS101" s="150" t="str">
        <f>IF(OR(AO101="",AO101=0,$J101="",$J101=0,NOT(ISNUMBER($J101)),NOT(ISNUMBER(AO101))),IF(AND($G101&lt;&gt;"",AND(OR(ISNUMBER(AO101),AO101=""),AND(ISNUMBER($J101),$J101&gt;0))),'Feuille de Donnée'!$K$13,""),IF(AO101&lt;$J$165*'Feuille de Donnée'!$I$9,"Négligeable",(IF(AND(AM101&gt;=$H101*(1-'Feuille de Donnée'!$E$12),AM101&lt;=$H101*(1+'Feuille de Donnée'!$F$12)),'Feuille de Donnée'!$F$17,IF(AM101&lt;$H101*(1-'Feuille de Donnée'!$E$12),'Feuille de Donnée'!$F$18,'Feuille de Donnée'!$F$16))&amp;""&amp;IF(AND(AN101&gt;=$I101*(1-'Feuille de Donnée'!$E$27),AN101&lt;=$I101*(1+'Feuille de Donnée'!$F$27)),'Feuille de Donnée'!$F$32,IF(AN101&lt;$I101*(1-'Feuille de Donnée'!$E$27),'Feuille de Donnée'!$F$33,'Feuille de Donnée'!$F$31)))))</f>
        <v/>
      </c>
      <c r="AT101" s="151"/>
      <c r="AU101" s="110"/>
      <c r="AV101" s="28"/>
      <c r="AW101" s="28"/>
      <c r="AX101" s="28" t="str">
        <f t="shared" si="51"/>
        <v/>
      </c>
      <c r="AY101" s="128" t="str">
        <f t="shared" si="52"/>
        <v/>
      </c>
      <c r="AZ101" s="128" t="str">
        <f t="shared" si="53"/>
        <v/>
      </c>
      <c r="BA101" s="28" t="str">
        <f>IF(AND(ISBLANK(BC101),BB101=""),"",1+MAX(BA$18:BA100))</f>
        <v/>
      </c>
      <c r="BB101" s="150" t="str">
        <f>IF(OR(AX101="",AX101=0,$J101="",$J101=0,NOT(ISNUMBER($J101)),NOT(ISNUMBER(AX101))),IF(AND($G101&lt;&gt;"",AND(OR(ISNUMBER(AX101),AX101=""),AND(ISNUMBER($J101),$J101&gt;0))),'Feuille de Donnée'!$K$13,""),IF(AX101&lt;$J$165*'Feuille de Donnée'!$I$9,"Négligeable",(IF(AND(AV101&gt;=$H101*(1-'Feuille de Donnée'!$E$12),AV101&lt;=$H101*(1+'Feuille de Donnée'!$F$12)),'Feuille de Donnée'!$F$17,IF(AV101&lt;$H101*(1-'Feuille de Donnée'!$E$12),'Feuille de Donnée'!$F$18,'Feuille de Donnée'!$F$16))&amp;""&amp;IF(AND(AW101&gt;=$I101*(1-'Feuille de Donnée'!$E$27),AW101&lt;=$I101*(1+'Feuille de Donnée'!$F$27)),'Feuille de Donnée'!$F$32,IF(AW101&lt;$I101*(1-'Feuille de Donnée'!$E$27),'Feuille de Donnée'!$F$33,'Feuille de Donnée'!$F$31)))))</f>
        <v/>
      </c>
      <c r="BC101" s="151"/>
      <c r="BD101" s="110"/>
      <c r="BE101" s="28"/>
      <c r="BF101" s="28"/>
      <c r="BG101" s="28" t="str">
        <f t="shared" si="54"/>
        <v/>
      </c>
      <c r="BH101" s="128" t="str">
        <f t="shared" si="55"/>
        <v/>
      </c>
      <c r="BI101" s="128" t="str">
        <f t="shared" si="56"/>
        <v/>
      </c>
      <c r="BJ101" s="28" t="str">
        <f>IF(AND(ISBLANK(BL101),BK101=""),"",1+MAX(BJ$18:BJ100))</f>
        <v/>
      </c>
      <c r="BK101" s="150" t="str">
        <f>IF(OR(BG101="",BG101=0,$J101="",$J101=0,NOT(ISNUMBER($J101)),NOT(ISNUMBER(BG101))),IF(AND($G101&lt;&gt;"",AND(OR(ISNUMBER(BG101),BG101=""),AND(ISNUMBER($J101),$J101&gt;0))),'Feuille de Donnée'!$K$13,""),IF(BG101&lt;$J$165*'Feuille de Donnée'!$I$9,"Négligeable",(IF(AND(BE101&gt;=$H101*(1-'Feuille de Donnée'!$E$12),BE101&lt;=$H101*(1+'Feuille de Donnée'!$F$12)),'Feuille de Donnée'!$F$17,IF(BE101&lt;$H101*(1-'Feuille de Donnée'!$E$12),'Feuille de Donnée'!$F$18,'Feuille de Donnée'!$F$16))&amp;""&amp;IF(AND(BF101&gt;=$I101*(1-'Feuille de Donnée'!$E$27),BF101&lt;=$I101*(1+'Feuille de Donnée'!$F$27)),'Feuille de Donnée'!$F$32,IF(BF101&lt;$I101*(1-'Feuille de Donnée'!$E$27),'Feuille de Donnée'!$F$33,'Feuille de Donnée'!$F$31)))))</f>
        <v/>
      </c>
      <c r="BL101" s="151"/>
      <c r="BM101" s="153"/>
    </row>
    <row r="102" spans="1:65" s="7" customFormat="1" x14ac:dyDescent="0.3">
      <c r="A102" s="24"/>
      <c r="B102" s="25"/>
      <c r="C102" s="25"/>
      <c r="D102" s="25"/>
      <c r="E102" s="25"/>
      <c r="F102" s="25"/>
      <c r="G102" s="23"/>
      <c r="H102" s="26"/>
      <c r="I102" s="27"/>
      <c r="J102" s="109" t="str">
        <f t="shared" si="38"/>
        <v/>
      </c>
      <c r="K102" s="110"/>
      <c r="L102" s="28"/>
      <c r="M102" s="28"/>
      <c r="N102" s="28" t="str">
        <f t="shared" si="39"/>
        <v/>
      </c>
      <c r="O102" s="128" t="str">
        <f t="shared" si="40"/>
        <v/>
      </c>
      <c r="P102" s="128" t="str">
        <f t="shared" si="41"/>
        <v/>
      </c>
      <c r="Q102" s="28" t="str">
        <f>IF(AND(ISBLANK(S102),R102=""),"",1+MAX(Q$18:Q101))</f>
        <v/>
      </c>
      <c r="R102" s="150" t="str">
        <f>IF(OR(N102="",N102=0,$J102="",$J102=0,NOT(ISNUMBER($J102)),NOT(ISNUMBER(N102))),IF(AND($G102&lt;&gt;"",AND(OR(ISNUMBER(N102),N102=""),AND(ISNUMBER($J102),$J102&gt;0))),'Feuille de Donnée'!$K$13,""),IF(N102&lt;$J$165*'Feuille de Donnée'!$I$9,"Négligeable",(IF(AND(L102&gt;=$H102*(1-'Feuille de Donnée'!$E$12),L102&lt;=$H102*(1+'Feuille de Donnée'!$F$12)),'Feuille de Donnée'!$F$17,IF(L102&lt;$H102*(1-'Feuille de Donnée'!$E$12),'Feuille de Donnée'!$F$18,'Feuille de Donnée'!$F$16))&amp;""&amp;IF(AND(M102&gt;=$I102*(1-'Feuille de Donnée'!$E$27),M102&lt;=$I102*(1+'Feuille de Donnée'!$F$27)),'Feuille de Donnée'!$F$32,IF(M102&lt;$I102*(1-'Feuille de Donnée'!$E$27),'Feuille de Donnée'!$F$33,'Feuille de Donnée'!$F$31)))))</f>
        <v/>
      </c>
      <c r="S102" s="151"/>
      <c r="T102" s="110"/>
      <c r="U102" s="28"/>
      <c r="V102" s="28"/>
      <c r="W102" s="28" t="str">
        <f t="shared" si="42"/>
        <v/>
      </c>
      <c r="X102" s="128" t="str">
        <f t="shared" si="43"/>
        <v/>
      </c>
      <c r="Y102" s="128" t="str">
        <f t="shared" si="44"/>
        <v/>
      </c>
      <c r="Z102" s="28" t="str">
        <f>IF(AND(ISBLANK(AB102),AA102=""),"",1+MAX(Z$18:Z101))</f>
        <v/>
      </c>
      <c r="AA102" s="150" t="str">
        <f>IF(OR(W102="",W102=0,$J102="",$J102=0,NOT(ISNUMBER($J102)),NOT(ISNUMBER(W102))),IF(AND($G102&lt;&gt;"",AND(OR(ISNUMBER(W102),W102=""),AND(ISNUMBER($J102),$J102&gt;0))),'Feuille de Donnée'!$K$13,""),IF(W102&lt;$J$165*'Feuille de Donnée'!$I$9,"Négligeable",(IF(AND(U102&gt;=$H102*(1-'Feuille de Donnée'!$E$12),U102&lt;=$H102*(1+'Feuille de Donnée'!$F$12)),'Feuille de Donnée'!$F$17,IF(U102&lt;$H102*(1-'Feuille de Donnée'!$E$12),'Feuille de Donnée'!$F$18,'Feuille de Donnée'!$F$16))&amp;""&amp;IF(AND(V102&gt;=$I102*(1-'Feuille de Donnée'!$E$27),V102&lt;=$I102*(1+'Feuille de Donnée'!$F$27)),'Feuille de Donnée'!$F$32,IF(V102&lt;$I102*(1-'Feuille de Donnée'!$E$27),'Feuille de Donnée'!$F$33,'Feuille de Donnée'!$F$31)))))</f>
        <v/>
      </c>
      <c r="AB102" s="151"/>
      <c r="AC102" s="110"/>
      <c r="AD102" s="28"/>
      <c r="AE102" s="28"/>
      <c r="AF102" s="28" t="str">
        <f t="shared" si="45"/>
        <v/>
      </c>
      <c r="AG102" s="128" t="str">
        <f t="shared" si="46"/>
        <v/>
      </c>
      <c r="AH102" s="128" t="str">
        <f t="shared" si="47"/>
        <v/>
      </c>
      <c r="AI102" s="28" t="str">
        <f>IF(AND(ISBLANK(AK102),AJ102=""),"",1+MAX(AI$18:AI101))</f>
        <v/>
      </c>
      <c r="AJ102" s="150" t="str">
        <f>IF(OR(AF102="",AF102=0,$J102="",$J102=0,NOT(ISNUMBER($J102)),NOT(ISNUMBER(AF102))),IF(AND($G102&lt;&gt;"",AND(OR(ISNUMBER(AF102),AF102=""),AND(ISNUMBER($J102),$J102&gt;0))),'Feuille de Donnée'!$K$13,""),IF(AF102&lt;$J$165*'Feuille de Donnée'!$I$9,"Négligeable",(IF(AND(AD102&gt;=$H102*(1-'Feuille de Donnée'!$E$12),AD102&lt;=$H102*(1+'Feuille de Donnée'!$F$12)),'Feuille de Donnée'!$F$17,IF(AD102&lt;$H102*(1-'Feuille de Donnée'!$E$12),'Feuille de Donnée'!$F$18,'Feuille de Donnée'!$F$16))&amp;""&amp;IF(AND(AE102&gt;=$I102*(1-'Feuille de Donnée'!$E$27),AE102&lt;=$I102*(1+'Feuille de Donnée'!$F$27)),'Feuille de Donnée'!$F$32,IF(AE102&lt;$I102*(1-'Feuille de Donnée'!$E$27),'Feuille de Donnée'!$F$33,'Feuille de Donnée'!$F$31)))))</f>
        <v/>
      </c>
      <c r="AK102" s="151"/>
      <c r="AL102" s="110"/>
      <c r="AM102" s="28"/>
      <c r="AN102" s="28"/>
      <c r="AO102" s="28" t="str">
        <f t="shared" si="48"/>
        <v/>
      </c>
      <c r="AP102" s="128" t="str">
        <f t="shared" si="49"/>
        <v/>
      </c>
      <c r="AQ102" s="128" t="str">
        <f t="shared" si="50"/>
        <v/>
      </c>
      <c r="AR102" s="28" t="str">
        <f>IF(AND(ISBLANK(AT102),AS102=""),"",1+MAX(AR$18:AR101))</f>
        <v/>
      </c>
      <c r="AS102" s="150" t="str">
        <f>IF(OR(AO102="",AO102=0,$J102="",$J102=0,NOT(ISNUMBER($J102)),NOT(ISNUMBER(AO102))),IF(AND($G102&lt;&gt;"",AND(OR(ISNUMBER(AO102),AO102=""),AND(ISNUMBER($J102),$J102&gt;0))),'Feuille de Donnée'!$K$13,""),IF(AO102&lt;$J$165*'Feuille de Donnée'!$I$9,"Négligeable",(IF(AND(AM102&gt;=$H102*(1-'Feuille de Donnée'!$E$12),AM102&lt;=$H102*(1+'Feuille de Donnée'!$F$12)),'Feuille de Donnée'!$F$17,IF(AM102&lt;$H102*(1-'Feuille de Donnée'!$E$12),'Feuille de Donnée'!$F$18,'Feuille de Donnée'!$F$16))&amp;""&amp;IF(AND(AN102&gt;=$I102*(1-'Feuille de Donnée'!$E$27),AN102&lt;=$I102*(1+'Feuille de Donnée'!$F$27)),'Feuille de Donnée'!$F$32,IF(AN102&lt;$I102*(1-'Feuille de Donnée'!$E$27),'Feuille de Donnée'!$F$33,'Feuille de Donnée'!$F$31)))))</f>
        <v/>
      </c>
      <c r="AT102" s="151"/>
      <c r="AU102" s="110"/>
      <c r="AV102" s="28"/>
      <c r="AW102" s="28"/>
      <c r="AX102" s="28" t="str">
        <f t="shared" si="51"/>
        <v/>
      </c>
      <c r="AY102" s="128" t="str">
        <f t="shared" si="52"/>
        <v/>
      </c>
      <c r="AZ102" s="128" t="str">
        <f t="shared" si="53"/>
        <v/>
      </c>
      <c r="BA102" s="28" t="str">
        <f>IF(AND(ISBLANK(BC102),BB102=""),"",1+MAX(BA$18:BA101))</f>
        <v/>
      </c>
      <c r="BB102" s="150" t="str">
        <f>IF(OR(AX102="",AX102=0,$J102="",$J102=0,NOT(ISNUMBER($J102)),NOT(ISNUMBER(AX102))),IF(AND($G102&lt;&gt;"",AND(OR(ISNUMBER(AX102),AX102=""),AND(ISNUMBER($J102),$J102&gt;0))),'Feuille de Donnée'!$K$13,""),IF(AX102&lt;$J$165*'Feuille de Donnée'!$I$9,"Négligeable",(IF(AND(AV102&gt;=$H102*(1-'Feuille de Donnée'!$E$12),AV102&lt;=$H102*(1+'Feuille de Donnée'!$F$12)),'Feuille de Donnée'!$F$17,IF(AV102&lt;$H102*(1-'Feuille de Donnée'!$E$12),'Feuille de Donnée'!$F$18,'Feuille de Donnée'!$F$16))&amp;""&amp;IF(AND(AW102&gt;=$I102*(1-'Feuille de Donnée'!$E$27),AW102&lt;=$I102*(1+'Feuille de Donnée'!$F$27)),'Feuille de Donnée'!$F$32,IF(AW102&lt;$I102*(1-'Feuille de Donnée'!$E$27),'Feuille de Donnée'!$F$33,'Feuille de Donnée'!$F$31)))))</f>
        <v/>
      </c>
      <c r="BC102" s="151"/>
      <c r="BD102" s="110"/>
      <c r="BE102" s="28"/>
      <c r="BF102" s="28"/>
      <c r="BG102" s="28" t="str">
        <f t="shared" si="54"/>
        <v/>
      </c>
      <c r="BH102" s="128" t="str">
        <f t="shared" si="55"/>
        <v/>
      </c>
      <c r="BI102" s="128" t="str">
        <f t="shared" si="56"/>
        <v/>
      </c>
      <c r="BJ102" s="28" t="str">
        <f>IF(AND(ISBLANK(BL102),BK102=""),"",1+MAX(BJ$18:BJ101))</f>
        <v/>
      </c>
      <c r="BK102" s="150" t="str">
        <f>IF(OR(BG102="",BG102=0,$J102="",$J102=0,NOT(ISNUMBER($J102)),NOT(ISNUMBER(BG102))),IF(AND($G102&lt;&gt;"",AND(OR(ISNUMBER(BG102),BG102=""),AND(ISNUMBER($J102),$J102&gt;0))),'Feuille de Donnée'!$K$13,""),IF(BG102&lt;$J$165*'Feuille de Donnée'!$I$9,"Négligeable",(IF(AND(BE102&gt;=$H102*(1-'Feuille de Donnée'!$E$12),BE102&lt;=$H102*(1+'Feuille de Donnée'!$F$12)),'Feuille de Donnée'!$F$17,IF(BE102&lt;$H102*(1-'Feuille de Donnée'!$E$12),'Feuille de Donnée'!$F$18,'Feuille de Donnée'!$F$16))&amp;""&amp;IF(AND(BF102&gt;=$I102*(1-'Feuille de Donnée'!$E$27),BF102&lt;=$I102*(1+'Feuille de Donnée'!$F$27)),'Feuille de Donnée'!$F$32,IF(BF102&lt;$I102*(1-'Feuille de Donnée'!$E$27),'Feuille de Donnée'!$F$33,'Feuille de Donnée'!$F$31)))))</f>
        <v/>
      </c>
      <c r="BL102" s="151"/>
      <c r="BM102" s="153"/>
    </row>
    <row r="103" spans="1:65" s="7" customFormat="1" x14ac:dyDescent="0.3">
      <c r="A103" s="24"/>
      <c r="B103" s="25"/>
      <c r="C103" s="25"/>
      <c r="D103" s="25"/>
      <c r="E103" s="25"/>
      <c r="F103" s="25"/>
      <c r="G103" s="23"/>
      <c r="H103" s="26"/>
      <c r="I103" s="27"/>
      <c r="J103" s="109" t="str">
        <f t="shared" si="38"/>
        <v/>
      </c>
      <c r="K103" s="110"/>
      <c r="L103" s="28"/>
      <c r="M103" s="28"/>
      <c r="N103" s="28" t="str">
        <f t="shared" si="39"/>
        <v/>
      </c>
      <c r="O103" s="128" t="str">
        <f t="shared" si="40"/>
        <v/>
      </c>
      <c r="P103" s="128" t="str">
        <f t="shared" si="41"/>
        <v/>
      </c>
      <c r="Q103" s="28" t="str">
        <f>IF(AND(ISBLANK(S103),R103=""),"",1+MAX(Q$18:Q102))</f>
        <v/>
      </c>
      <c r="R103" s="150" t="str">
        <f>IF(OR(N103="",N103=0,$J103="",$J103=0,NOT(ISNUMBER($J103)),NOT(ISNUMBER(N103))),IF(AND($G103&lt;&gt;"",AND(OR(ISNUMBER(N103),N103=""),AND(ISNUMBER($J103),$J103&gt;0))),'Feuille de Donnée'!$K$13,""),IF(N103&lt;$J$165*'Feuille de Donnée'!$I$9,"Négligeable",(IF(AND(L103&gt;=$H103*(1-'Feuille de Donnée'!$E$12),L103&lt;=$H103*(1+'Feuille de Donnée'!$F$12)),'Feuille de Donnée'!$F$17,IF(L103&lt;$H103*(1-'Feuille de Donnée'!$E$12),'Feuille de Donnée'!$F$18,'Feuille de Donnée'!$F$16))&amp;""&amp;IF(AND(M103&gt;=$I103*(1-'Feuille de Donnée'!$E$27),M103&lt;=$I103*(1+'Feuille de Donnée'!$F$27)),'Feuille de Donnée'!$F$32,IF(M103&lt;$I103*(1-'Feuille de Donnée'!$E$27),'Feuille de Donnée'!$F$33,'Feuille de Donnée'!$F$31)))))</f>
        <v/>
      </c>
      <c r="S103" s="151"/>
      <c r="T103" s="110"/>
      <c r="U103" s="28"/>
      <c r="V103" s="28"/>
      <c r="W103" s="28" t="str">
        <f t="shared" si="42"/>
        <v/>
      </c>
      <c r="X103" s="128" t="str">
        <f t="shared" si="43"/>
        <v/>
      </c>
      <c r="Y103" s="128" t="str">
        <f t="shared" si="44"/>
        <v/>
      </c>
      <c r="Z103" s="28" t="str">
        <f>IF(AND(ISBLANK(AB103),AA103=""),"",1+MAX(Z$18:Z102))</f>
        <v/>
      </c>
      <c r="AA103" s="150" t="str">
        <f>IF(OR(W103="",W103=0,$J103="",$J103=0,NOT(ISNUMBER($J103)),NOT(ISNUMBER(W103))),IF(AND($G103&lt;&gt;"",AND(OR(ISNUMBER(W103),W103=""),AND(ISNUMBER($J103),$J103&gt;0))),'Feuille de Donnée'!$K$13,""),IF(W103&lt;$J$165*'Feuille de Donnée'!$I$9,"Négligeable",(IF(AND(U103&gt;=$H103*(1-'Feuille de Donnée'!$E$12),U103&lt;=$H103*(1+'Feuille de Donnée'!$F$12)),'Feuille de Donnée'!$F$17,IF(U103&lt;$H103*(1-'Feuille de Donnée'!$E$12),'Feuille de Donnée'!$F$18,'Feuille de Donnée'!$F$16))&amp;""&amp;IF(AND(V103&gt;=$I103*(1-'Feuille de Donnée'!$E$27),V103&lt;=$I103*(1+'Feuille de Donnée'!$F$27)),'Feuille de Donnée'!$F$32,IF(V103&lt;$I103*(1-'Feuille de Donnée'!$E$27),'Feuille de Donnée'!$F$33,'Feuille de Donnée'!$F$31)))))</f>
        <v/>
      </c>
      <c r="AB103" s="151"/>
      <c r="AC103" s="110"/>
      <c r="AD103" s="28"/>
      <c r="AE103" s="28"/>
      <c r="AF103" s="28" t="str">
        <f t="shared" si="45"/>
        <v/>
      </c>
      <c r="AG103" s="128" t="str">
        <f t="shared" si="46"/>
        <v/>
      </c>
      <c r="AH103" s="128" t="str">
        <f t="shared" si="47"/>
        <v/>
      </c>
      <c r="AI103" s="28" t="str">
        <f>IF(AND(ISBLANK(AK103),AJ103=""),"",1+MAX(AI$18:AI102))</f>
        <v/>
      </c>
      <c r="AJ103" s="150" t="str">
        <f>IF(OR(AF103="",AF103=0,$J103="",$J103=0,NOT(ISNUMBER($J103)),NOT(ISNUMBER(AF103))),IF(AND($G103&lt;&gt;"",AND(OR(ISNUMBER(AF103),AF103=""),AND(ISNUMBER($J103),$J103&gt;0))),'Feuille de Donnée'!$K$13,""),IF(AF103&lt;$J$165*'Feuille de Donnée'!$I$9,"Négligeable",(IF(AND(AD103&gt;=$H103*(1-'Feuille de Donnée'!$E$12),AD103&lt;=$H103*(1+'Feuille de Donnée'!$F$12)),'Feuille de Donnée'!$F$17,IF(AD103&lt;$H103*(1-'Feuille de Donnée'!$E$12),'Feuille de Donnée'!$F$18,'Feuille de Donnée'!$F$16))&amp;""&amp;IF(AND(AE103&gt;=$I103*(1-'Feuille de Donnée'!$E$27),AE103&lt;=$I103*(1+'Feuille de Donnée'!$F$27)),'Feuille de Donnée'!$F$32,IF(AE103&lt;$I103*(1-'Feuille de Donnée'!$E$27),'Feuille de Donnée'!$F$33,'Feuille de Donnée'!$F$31)))))</f>
        <v/>
      </c>
      <c r="AK103" s="151"/>
      <c r="AL103" s="110"/>
      <c r="AM103" s="28"/>
      <c r="AN103" s="28"/>
      <c r="AO103" s="28" t="str">
        <f t="shared" si="48"/>
        <v/>
      </c>
      <c r="AP103" s="128" t="str">
        <f t="shared" si="49"/>
        <v/>
      </c>
      <c r="AQ103" s="128" t="str">
        <f t="shared" si="50"/>
        <v/>
      </c>
      <c r="AR103" s="28" t="str">
        <f>IF(AND(ISBLANK(AT103),AS103=""),"",1+MAX(AR$18:AR102))</f>
        <v/>
      </c>
      <c r="AS103" s="150" t="str">
        <f>IF(OR(AO103="",AO103=0,$J103="",$J103=0,NOT(ISNUMBER($J103)),NOT(ISNUMBER(AO103))),IF(AND($G103&lt;&gt;"",AND(OR(ISNUMBER(AO103),AO103=""),AND(ISNUMBER($J103),$J103&gt;0))),'Feuille de Donnée'!$K$13,""),IF(AO103&lt;$J$165*'Feuille de Donnée'!$I$9,"Négligeable",(IF(AND(AM103&gt;=$H103*(1-'Feuille de Donnée'!$E$12),AM103&lt;=$H103*(1+'Feuille de Donnée'!$F$12)),'Feuille de Donnée'!$F$17,IF(AM103&lt;$H103*(1-'Feuille de Donnée'!$E$12),'Feuille de Donnée'!$F$18,'Feuille de Donnée'!$F$16))&amp;""&amp;IF(AND(AN103&gt;=$I103*(1-'Feuille de Donnée'!$E$27),AN103&lt;=$I103*(1+'Feuille de Donnée'!$F$27)),'Feuille de Donnée'!$F$32,IF(AN103&lt;$I103*(1-'Feuille de Donnée'!$E$27),'Feuille de Donnée'!$F$33,'Feuille de Donnée'!$F$31)))))</f>
        <v/>
      </c>
      <c r="AT103" s="151"/>
      <c r="AU103" s="110"/>
      <c r="AV103" s="28"/>
      <c r="AW103" s="28"/>
      <c r="AX103" s="28" t="str">
        <f t="shared" si="51"/>
        <v/>
      </c>
      <c r="AY103" s="128" t="str">
        <f t="shared" si="52"/>
        <v/>
      </c>
      <c r="AZ103" s="128" t="str">
        <f t="shared" si="53"/>
        <v/>
      </c>
      <c r="BA103" s="28" t="str">
        <f>IF(AND(ISBLANK(BC103),BB103=""),"",1+MAX(BA$18:BA102))</f>
        <v/>
      </c>
      <c r="BB103" s="150" t="str">
        <f>IF(OR(AX103="",AX103=0,$J103="",$J103=0,NOT(ISNUMBER($J103)),NOT(ISNUMBER(AX103))),IF(AND($G103&lt;&gt;"",AND(OR(ISNUMBER(AX103),AX103=""),AND(ISNUMBER($J103),$J103&gt;0))),'Feuille de Donnée'!$K$13,""),IF(AX103&lt;$J$165*'Feuille de Donnée'!$I$9,"Négligeable",(IF(AND(AV103&gt;=$H103*(1-'Feuille de Donnée'!$E$12),AV103&lt;=$H103*(1+'Feuille de Donnée'!$F$12)),'Feuille de Donnée'!$F$17,IF(AV103&lt;$H103*(1-'Feuille de Donnée'!$E$12),'Feuille de Donnée'!$F$18,'Feuille de Donnée'!$F$16))&amp;""&amp;IF(AND(AW103&gt;=$I103*(1-'Feuille de Donnée'!$E$27),AW103&lt;=$I103*(1+'Feuille de Donnée'!$F$27)),'Feuille de Donnée'!$F$32,IF(AW103&lt;$I103*(1-'Feuille de Donnée'!$E$27),'Feuille de Donnée'!$F$33,'Feuille de Donnée'!$F$31)))))</f>
        <v/>
      </c>
      <c r="BC103" s="151"/>
      <c r="BD103" s="110"/>
      <c r="BE103" s="28"/>
      <c r="BF103" s="28"/>
      <c r="BG103" s="28" t="str">
        <f t="shared" si="54"/>
        <v/>
      </c>
      <c r="BH103" s="128" t="str">
        <f t="shared" si="55"/>
        <v/>
      </c>
      <c r="BI103" s="128" t="str">
        <f t="shared" si="56"/>
        <v/>
      </c>
      <c r="BJ103" s="28" t="str">
        <f>IF(AND(ISBLANK(BL103),BK103=""),"",1+MAX(BJ$18:BJ102))</f>
        <v/>
      </c>
      <c r="BK103" s="150" t="str">
        <f>IF(OR(BG103="",BG103=0,$J103="",$J103=0,NOT(ISNUMBER($J103)),NOT(ISNUMBER(BG103))),IF(AND($G103&lt;&gt;"",AND(OR(ISNUMBER(BG103),BG103=""),AND(ISNUMBER($J103),$J103&gt;0))),'Feuille de Donnée'!$K$13,""),IF(BG103&lt;$J$165*'Feuille de Donnée'!$I$9,"Négligeable",(IF(AND(BE103&gt;=$H103*(1-'Feuille de Donnée'!$E$12),BE103&lt;=$H103*(1+'Feuille de Donnée'!$F$12)),'Feuille de Donnée'!$F$17,IF(BE103&lt;$H103*(1-'Feuille de Donnée'!$E$12),'Feuille de Donnée'!$F$18,'Feuille de Donnée'!$F$16))&amp;""&amp;IF(AND(BF103&gt;=$I103*(1-'Feuille de Donnée'!$E$27),BF103&lt;=$I103*(1+'Feuille de Donnée'!$F$27)),'Feuille de Donnée'!$F$32,IF(BF103&lt;$I103*(1-'Feuille de Donnée'!$E$27),'Feuille de Donnée'!$F$33,'Feuille de Donnée'!$F$31)))))</f>
        <v/>
      </c>
      <c r="BL103" s="151"/>
      <c r="BM103" s="153"/>
    </row>
    <row r="104" spans="1:65" s="7" customFormat="1" x14ac:dyDescent="0.3">
      <c r="A104" s="24"/>
      <c r="B104" s="25"/>
      <c r="C104" s="25"/>
      <c r="D104" s="25"/>
      <c r="E104" s="25"/>
      <c r="F104" s="25"/>
      <c r="G104" s="23"/>
      <c r="H104" s="26"/>
      <c r="I104" s="27"/>
      <c r="J104" s="109" t="str">
        <f t="shared" si="38"/>
        <v/>
      </c>
      <c r="K104" s="110"/>
      <c r="L104" s="28"/>
      <c r="M104" s="28"/>
      <c r="N104" s="28" t="str">
        <f t="shared" si="39"/>
        <v/>
      </c>
      <c r="O104" s="128" t="str">
        <f t="shared" si="40"/>
        <v/>
      </c>
      <c r="P104" s="128" t="str">
        <f t="shared" si="41"/>
        <v/>
      </c>
      <c r="Q104" s="28" t="str">
        <f>IF(AND(ISBLANK(S104),R104=""),"",1+MAX(Q$18:Q103))</f>
        <v/>
      </c>
      <c r="R104" s="150" t="str">
        <f>IF(OR(N104="",N104=0,$J104="",$J104=0,NOT(ISNUMBER($J104)),NOT(ISNUMBER(N104))),IF(AND($G104&lt;&gt;"",AND(OR(ISNUMBER(N104),N104=""),AND(ISNUMBER($J104),$J104&gt;0))),'Feuille de Donnée'!$K$13,""),IF(N104&lt;$J$165*'Feuille de Donnée'!$I$9,"Négligeable",(IF(AND(L104&gt;=$H104*(1-'Feuille de Donnée'!$E$12),L104&lt;=$H104*(1+'Feuille de Donnée'!$F$12)),'Feuille de Donnée'!$F$17,IF(L104&lt;$H104*(1-'Feuille de Donnée'!$E$12),'Feuille de Donnée'!$F$18,'Feuille de Donnée'!$F$16))&amp;""&amp;IF(AND(M104&gt;=$I104*(1-'Feuille de Donnée'!$E$27),M104&lt;=$I104*(1+'Feuille de Donnée'!$F$27)),'Feuille de Donnée'!$F$32,IF(M104&lt;$I104*(1-'Feuille de Donnée'!$E$27),'Feuille de Donnée'!$F$33,'Feuille de Donnée'!$F$31)))))</f>
        <v/>
      </c>
      <c r="S104" s="151"/>
      <c r="T104" s="110"/>
      <c r="U104" s="28"/>
      <c r="V104" s="28"/>
      <c r="W104" s="28" t="str">
        <f t="shared" si="42"/>
        <v/>
      </c>
      <c r="X104" s="128" t="str">
        <f t="shared" si="43"/>
        <v/>
      </c>
      <c r="Y104" s="128" t="str">
        <f t="shared" si="44"/>
        <v/>
      </c>
      <c r="Z104" s="28" t="str">
        <f>IF(AND(ISBLANK(AB104),AA104=""),"",1+MAX(Z$18:Z103))</f>
        <v/>
      </c>
      <c r="AA104" s="150" t="str">
        <f>IF(OR(W104="",W104=0,$J104="",$J104=0,NOT(ISNUMBER($J104)),NOT(ISNUMBER(W104))),IF(AND($G104&lt;&gt;"",AND(OR(ISNUMBER(W104),W104=""),AND(ISNUMBER($J104),$J104&gt;0))),'Feuille de Donnée'!$K$13,""),IF(W104&lt;$J$165*'Feuille de Donnée'!$I$9,"Négligeable",(IF(AND(U104&gt;=$H104*(1-'Feuille de Donnée'!$E$12),U104&lt;=$H104*(1+'Feuille de Donnée'!$F$12)),'Feuille de Donnée'!$F$17,IF(U104&lt;$H104*(1-'Feuille de Donnée'!$E$12),'Feuille de Donnée'!$F$18,'Feuille de Donnée'!$F$16))&amp;""&amp;IF(AND(V104&gt;=$I104*(1-'Feuille de Donnée'!$E$27),V104&lt;=$I104*(1+'Feuille de Donnée'!$F$27)),'Feuille de Donnée'!$F$32,IF(V104&lt;$I104*(1-'Feuille de Donnée'!$E$27),'Feuille de Donnée'!$F$33,'Feuille de Donnée'!$F$31)))))</f>
        <v/>
      </c>
      <c r="AB104" s="151"/>
      <c r="AC104" s="110"/>
      <c r="AD104" s="28"/>
      <c r="AE104" s="28"/>
      <c r="AF104" s="28" t="str">
        <f t="shared" si="45"/>
        <v/>
      </c>
      <c r="AG104" s="128" t="str">
        <f t="shared" si="46"/>
        <v/>
      </c>
      <c r="AH104" s="128" t="str">
        <f t="shared" si="47"/>
        <v/>
      </c>
      <c r="AI104" s="28" t="str">
        <f>IF(AND(ISBLANK(AK104),AJ104=""),"",1+MAX(AI$18:AI103))</f>
        <v/>
      </c>
      <c r="AJ104" s="150" t="str">
        <f>IF(OR(AF104="",AF104=0,$J104="",$J104=0,NOT(ISNUMBER($J104)),NOT(ISNUMBER(AF104))),IF(AND($G104&lt;&gt;"",AND(OR(ISNUMBER(AF104),AF104=""),AND(ISNUMBER($J104),$J104&gt;0))),'Feuille de Donnée'!$K$13,""),IF(AF104&lt;$J$165*'Feuille de Donnée'!$I$9,"Négligeable",(IF(AND(AD104&gt;=$H104*(1-'Feuille de Donnée'!$E$12),AD104&lt;=$H104*(1+'Feuille de Donnée'!$F$12)),'Feuille de Donnée'!$F$17,IF(AD104&lt;$H104*(1-'Feuille de Donnée'!$E$12),'Feuille de Donnée'!$F$18,'Feuille de Donnée'!$F$16))&amp;""&amp;IF(AND(AE104&gt;=$I104*(1-'Feuille de Donnée'!$E$27),AE104&lt;=$I104*(1+'Feuille de Donnée'!$F$27)),'Feuille de Donnée'!$F$32,IF(AE104&lt;$I104*(1-'Feuille de Donnée'!$E$27),'Feuille de Donnée'!$F$33,'Feuille de Donnée'!$F$31)))))</f>
        <v/>
      </c>
      <c r="AK104" s="151"/>
      <c r="AL104" s="110"/>
      <c r="AM104" s="28"/>
      <c r="AN104" s="28"/>
      <c r="AO104" s="28" t="str">
        <f t="shared" si="48"/>
        <v/>
      </c>
      <c r="AP104" s="128" t="str">
        <f t="shared" si="49"/>
        <v/>
      </c>
      <c r="AQ104" s="128" t="str">
        <f t="shared" si="50"/>
        <v/>
      </c>
      <c r="AR104" s="28" t="str">
        <f>IF(AND(ISBLANK(AT104),AS104=""),"",1+MAX(AR$18:AR103))</f>
        <v/>
      </c>
      <c r="AS104" s="150" t="str">
        <f>IF(OR(AO104="",AO104=0,$J104="",$J104=0,NOT(ISNUMBER($J104)),NOT(ISNUMBER(AO104))),IF(AND($G104&lt;&gt;"",AND(OR(ISNUMBER(AO104),AO104=""),AND(ISNUMBER($J104),$J104&gt;0))),'Feuille de Donnée'!$K$13,""),IF(AO104&lt;$J$165*'Feuille de Donnée'!$I$9,"Négligeable",(IF(AND(AM104&gt;=$H104*(1-'Feuille de Donnée'!$E$12),AM104&lt;=$H104*(1+'Feuille de Donnée'!$F$12)),'Feuille de Donnée'!$F$17,IF(AM104&lt;$H104*(1-'Feuille de Donnée'!$E$12),'Feuille de Donnée'!$F$18,'Feuille de Donnée'!$F$16))&amp;""&amp;IF(AND(AN104&gt;=$I104*(1-'Feuille de Donnée'!$E$27),AN104&lt;=$I104*(1+'Feuille de Donnée'!$F$27)),'Feuille de Donnée'!$F$32,IF(AN104&lt;$I104*(1-'Feuille de Donnée'!$E$27),'Feuille de Donnée'!$F$33,'Feuille de Donnée'!$F$31)))))</f>
        <v/>
      </c>
      <c r="AT104" s="151"/>
      <c r="AU104" s="110"/>
      <c r="AV104" s="28"/>
      <c r="AW104" s="28"/>
      <c r="AX104" s="28" t="str">
        <f t="shared" si="51"/>
        <v/>
      </c>
      <c r="AY104" s="128" t="str">
        <f t="shared" si="52"/>
        <v/>
      </c>
      <c r="AZ104" s="128" t="str">
        <f t="shared" si="53"/>
        <v/>
      </c>
      <c r="BA104" s="28" t="str">
        <f>IF(AND(ISBLANK(BC104),BB104=""),"",1+MAX(BA$18:BA103))</f>
        <v/>
      </c>
      <c r="BB104" s="150" t="str">
        <f>IF(OR(AX104="",AX104=0,$J104="",$J104=0,NOT(ISNUMBER($J104)),NOT(ISNUMBER(AX104))),IF(AND($G104&lt;&gt;"",AND(OR(ISNUMBER(AX104),AX104=""),AND(ISNUMBER($J104),$J104&gt;0))),'Feuille de Donnée'!$K$13,""),IF(AX104&lt;$J$165*'Feuille de Donnée'!$I$9,"Négligeable",(IF(AND(AV104&gt;=$H104*(1-'Feuille de Donnée'!$E$12),AV104&lt;=$H104*(1+'Feuille de Donnée'!$F$12)),'Feuille de Donnée'!$F$17,IF(AV104&lt;$H104*(1-'Feuille de Donnée'!$E$12),'Feuille de Donnée'!$F$18,'Feuille de Donnée'!$F$16))&amp;""&amp;IF(AND(AW104&gt;=$I104*(1-'Feuille de Donnée'!$E$27),AW104&lt;=$I104*(1+'Feuille de Donnée'!$F$27)),'Feuille de Donnée'!$F$32,IF(AW104&lt;$I104*(1-'Feuille de Donnée'!$E$27),'Feuille de Donnée'!$F$33,'Feuille de Donnée'!$F$31)))))</f>
        <v/>
      </c>
      <c r="BC104" s="151"/>
      <c r="BD104" s="110"/>
      <c r="BE104" s="28"/>
      <c r="BF104" s="28"/>
      <c r="BG104" s="28" t="str">
        <f t="shared" si="54"/>
        <v/>
      </c>
      <c r="BH104" s="128" t="str">
        <f t="shared" si="55"/>
        <v/>
      </c>
      <c r="BI104" s="128" t="str">
        <f t="shared" si="56"/>
        <v/>
      </c>
      <c r="BJ104" s="28" t="str">
        <f>IF(AND(ISBLANK(BL104),BK104=""),"",1+MAX(BJ$18:BJ103))</f>
        <v/>
      </c>
      <c r="BK104" s="150" t="str">
        <f>IF(OR(BG104="",BG104=0,$J104="",$J104=0,NOT(ISNUMBER($J104)),NOT(ISNUMBER(BG104))),IF(AND($G104&lt;&gt;"",AND(OR(ISNUMBER(BG104),BG104=""),AND(ISNUMBER($J104),$J104&gt;0))),'Feuille de Donnée'!$K$13,""),IF(BG104&lt;$J$165*'Feuille de Donnée'!$I$9,"Négligeable",(IF(AND(BE104&gt;=$H104*(1-'Feuille de Donnée'!$E$12),BE104&lt;=$H104*(1+'Feuille de Donnée'!$F$12)),'Feuille de Donnée'!$F$17,IF(BE104&lt;$H104*(1-'Feuille de Donnée'!$E$12),'Feuille de Donnée'!$F$18,'Feuille de Donnée'!$F$16))&amp;""&amp;IF(AND(BF104&gt;=$I104*(1-'Feuille de Donnée'!$E$27),BF104&lt;=$I104*(1+'Feuille de Donnée'!$F$27)),'Feuille de Donnée'!$F$32,IF(BF104&lt;$I104*(1-'Feuille de Donnée'!$E$27),'Feuille de Donnée'!$F$33,'Feuille de Donnée'!$F$31)))))</f>
        <v/>
      </c>
      <c r="BL104" s="151"/>
      <c r="BM104" s="153"/>
    </row>
    <row r="105" spans="1:65" s="7" customFormat="1" x14ac:dyDescent="0.3">
      <c r="A105" s="24"/>
      <c r="B105" s="25"/>
      <c r="C105" s="25"/>
      <c r="D105" s="25"/>
      <c r="E105" s="25"/>
      <c r="F105" s="25"/>
      <c r="G105" s="23"/>
      <c r="H105" s="26"/>
      <c r="I105" s="27"/>
      <c r="J105" s="109" t="str">
        <f t="shared" si="38"/>
        <v/>
      </c>
      <c r="K105" s="110"/>
      <c r="L105" s="28"/>
      <c r="M105" s="28"/>
      <c r="N105" s="28" t="str">
        <f t="shared" si="39"/>
        <v/>
      </c>
      <c r="O105" s="128" t="str">
        <f t="shared" si="40"/>
        <v/>
      </c>
      <c r="P105" s="128" t="str">
        <f t="shared" si="41"/>
        <v/>
      </c>
      <c r="Q105" s="28" t="str">
        <f>IF(AND(ISBLANK(S105),R105=""),"",1+MAX(Q$18:Q104))</f>
        <v/>
      </c>
      <c r="R105" s="150" t="str">
        <f>IF(OR(N105="",N105=0,$J105="",$J105=0,NOT(ISNUMBER($J105)),NOT(ISNUMBER(N105))),IF(AND($G105&lt;&gt;"",AND(OR(ISNUMBER(N105),N105=""),AND(ISNUMBER($J105),$J105&gt;0))),'Feuille de Donnée'!$K$13,""),IF(N105&lt;$J$165*'Feuille de Donnée'!$I$9,"Négligeable",(IF(AND(L105&gt;=$H105*(1-'Feuille de Donnée'!$E$12),L105&lt;=$H105*(1+'Feuille de Donnée'!$F$12)),'Feuille de Donnée'!$F$17,IF(L105&lt;$H105*(1-'Feuille de Donnée'!$E$12),'Feuille de Donnée'!$F$18,'Feuille de Donnée'!$F$16))&amp;""&amp;IF(AND(M105&gt;=$I105*(1-'Feuille de Donnée'!$E$27),M105&lt;=$I105*(1+'Feuille de Donnée'!$F$27)),'Feuille de Donnée'!$F$32,IF(M105&lt;$I105*(1-'Feuille de Donnée'!$E$27),'Feuille de Donnée'!$F$33,'Feuille de Donnée'!$F$31)))))</f>
        <v/>
      </c>
      <c r="S105" s="151"/>
      <c r="T105" s="110"/>
      <c r="U105" s="28"/>
      <c r="V105" s="28"/>
      <c r="W105" s="28" t="str">
        <f t="shared" si="42"/>
        <v/>
      </c>
      <c r="X105" s="128" t="str">
        <f t="shared" si="43"/>
        <v/>
      </c>
      <c r="Y105" s="128" t="str">
        <f t="shared" si="44"/>
        <v/>
      </c>
      <c r="Z105" s="28" t="str">
        <f>IF(AND(ISBLANK(AB105),AA105=""),"",1+MAX(Z$18:Z104))</f>
        <v/>
      </c>
      <c r="AA105" s="150" t="str">
        <f>IF(OR(W105="",W105=0,$J105="",$J105=0,NOT(ISNUMBER($J105)),NOT(ISNUMBER(W105))),IF(AND($G105&lt;&gt;"",AND(OR(ISNUMBER(W105),W105=""),AND(ISNUMBER($J105),$J105&gt;0))),'Feuille de Donnée'!$K$13,""),IF(W105&lt;$J$165*'Feuille de Donnée'!$I$9,"Négligeable",(IF(AND(U105&gt;=$H105*(1-'Feuille de Donnée'!$E$12),U105&lt;=$H105*(1+'Feuille de Donnée'!$F$12)),'Feuille de Donnée'!$F$17,IF(U105&lt;$H105*(1-'Feuille de Donnée'!$E$12),'Feuille de Donnée'!$F$18,'Feuille de Donnée'!$F$16))&amp;""&amp;IF(AND(V105&gt;=$I105*(1-'Feuille de Donnée'!$E$27),V105&lt;=$I105*(1+'Feuille de Donnée'!$F$27)),'Feuille de Donnée'!$F$32,IF(V105&lt;$I105*(1-'Feuille de Donnée'!$E$27),'Feuille de Donnée'!$F$33,'Feuille de Donnée'!$F$31)))))</f>
        <v/>
      </c>
      <c r="AB105" s="151"/>
      <c r="AC105" s="110"/>
      <c r="AD105" s="28"/>
      <c r="AE105" s="28"/>
      <c r="AF105" s="28" t="str">
        <f t="shared" si="45"/>
        <v/>
      </c>
      <c r="AG105" s="128" t="str">
        <f t="shared" si="46"/>
        <v/>
      </c>
      <c r="AH105" s="128" t="str">
        <f t="shared" si="47"/>
        <v/>
      </c>
      <c r="AI105" s="28" t="str">
        <f>IF(AND(ISBLANK(AK105),AJ105=""),"",1+MAX(AI$18:AI104))</f>
        <v/>
      </c>
      <c r="AJ105" s="150" t="str">
        <f>IF(OR(AF105="",AF105=0,$J105="",$J105=0,NOT(ISNUMBER($J105)),NOT(ISNUMBER(AF105))),IF(AND($G105&lt;&gt;"",AND(OR(ISNUMBER(AF105),AF105=""),AND(ISNUMBER($J105),$J105&gt;0))),'Feuille de Donnée'!$K$13,""),IF(AF105&lt;$J$165*'Feuille de Donnée'!$I$9,"Négligeable",(IF(AND(AD105&gt;=$H105*(1-'Feuille de Donnée'!$E$12),AD105&lt;=$H105*(1+'Feuille de Donnée'!$F$12)),'Feuille de Donnée'!$F$17,IF(AD105&lt;$H105*(1-'Feuille de Donnée'!$E$12),'Feuille de Donnée'!$F$18,'Feuille de Donnée'!$F$16))&amp;""&amp;IF(AND(AE105&gt;=$I105*(1-'Feuille de Donnée'!$E$27),AE105&lt;=$I105*(1+'Feuille de Donnée'!$F$27)),'Feuille de Donnée'!$F$32,IF(AE105&lt;$I105*(1-'Feuille de Donnée'!$E$27),'Feuille de Donnée'!$F$33,'Feuille de Donnée'!$F$31)))))</f>
        <v/>
      </c>
      <c r="AK105" s="151"/>
      <c r="AL105" s="110"/>
      <c r="AM105" s="28"/>
      <c r="AN105" s="28"/>
      <c r="AO105" s="28" t="str">
        <f t="shared" si="48"/>
        <v/>
      </c>
      <c r="AP105" s="128" t="str">
        <f t="shared" si="49"/>
        <v/>
      </c>
      <c r="AQ105" s="128" t="str">
        <f t="shared" si="50"/>
        <v/>
      </c>
      <c r="AR105" s="28" t="str">
        <f>IF(AND(ISBLANK(AT105),AS105=""),"",1+MAX(AR$18:AR104))</f>
        <v/>
      </c>
      <c r="AS105" s="150" t="str">
        <f>IF(OR(AO105="",AO105=0,$J105="",$J105=0,NOT(ISNUMBER($J105)),NOT(ISNUMBER(AO105))),IF(AND($G105&lt;&gt;"",AND(OR(ISNUMBER(AO105),AO105=""),AND(ISNUMBER($J105),$J105&gt;0))),'Feuille de Donnée'!$K$13,""),IF(AO105&lt;$J$165*'Feuille de Donnée'!$I$9,"Négligeable",(IF(AND(AM105&gt;=$H105*(1-'Feuille de Donnée'!$E$12),AM105&lt;=$H105*(1+'Feuille de Donnée'!$F$12)),'Feuille de Donnée'!$F$17,IF(AM105&lt;$H105*(1-'Feuille de Donnée'!$E$12),'Feuille de Donnée'!$F$18,'Feuille de Donnée'!$F$16))&amp;""&amp;IF(AND(AN105&gt;=$I105*(1-'Feuille de Donnée'!$E$27),AN105&lt;=$I105*(1+'Feuille de Donnée'!$F$27)),'Feuille de Donnée'!$F$32,IF(AN105&lt;$I105*(1-'Feuille de Donnée'!$E$27),'Feuille de Donnée'!$F$33,'Feuille de Donnée'!$F$31)))))</f>
        <v/>
      </c>
      <c r="AT105" s="151"/>
      <c r="AU105" s="110"/>
      <c r="AV105" s="28"/>
      <c r="AW105" s="28"/>
      <c r="AX105" s="28" t="str">
        <f t="shared" si="51"/>
        <v/>
      </c>
      <c r="AY105" s="128" t="str">
        <f t="shared" si="52"/>
        <v/>
      </c>
      <c r="AZ105" s="128" t="str">
        <f t="shared" si="53"/>
        <v/>
      </c>
      <c r="BA105" s="28" t="str">
        <f>IF(AND(ISBLANK(BC105),BB105=""),"",1+MAX(BA$18:BA104))</f>
        <v/>
      </c>
      <c r="BB105" s="150" t="str">
        <f>IF(OR(AX105="",AX105=0,$J105="",$J105=0,NOT(ISNUMBER($J105)),NOT(ISNUMBER(AX105))),IF(AND($G105&lt;&gt;"",AND(OR(ISNUMBER(AX105),AX105=""),AND(ISNUMBER($J105),$J105&gt;0))),'Feuille de Donnée'!$K$13,""),IF(AX105&lt;$J$165*'Feuille de Donnée'!$I$9,"Négligeable",(IF(AND(AV105&gt;=$H105*(1-'Feuille de Donnée'!$E$12),AV105&lt;=$H105*(1+'Feuille de Donnée'!$F$12)),'Feuille de Donnée'!$F$17,IF(AV105&lt;$H105*(1-'Feuille de Donnée'!$E$12),'Feuille de Donnée'!$F$18,'Feuille de Donnée'!$F$16))&amp;""&amp;IF(AND(AW105&gt;=$I105*(1-'Feuille de Donnée'!$E$27),AW105&lt;=$I105*(1+'Feuille de Donnée'!$F$27)),'Feuille de Donnée'!$F$32,IF(AW105&lt;$I105*(1-'Feuille de Donnée'!$E$27),'Feuille de Donnée'!$F$33,'Feuille de Donnée'!$F$31)))))</f>
        <v/>
      </c>
      <c r="BC105" s="151"/>
      <c r="BD105" s="110"/>
      <c r="BE105" s="28"/>
      <c r="BF105" s="28"/>
      <c r="BG105" s="28" t="str">
        <f t="shared" si="54"/>
        <v/>
      </c>
      <c r="BH105" s="128" t="str">
        <f t="shared" si="55"/>
        <v/>
      </c>
      <c r="BI105" s="128" t="str">
        <f t="shared" si="56"/>
        <v/>
      </c>
      <c r="BJ105" s="28" t="str">
        <f>IF(AND(ISBLANK(BL105),BK105=""),"",1+MAX(BJ$18:BJ104))</f>
        <v/>
      </c>
      <c r="BK105" s="150" t="str">
        <f>IF(OR(BG105="",BG105=0,$J105="",$J105=0,NOT(ISNUMBER($J105)),NOT(ISNUMBER(BG105))),IF(AND($G105&lt;&gt;"",AND(OR(ISNUMBER(BG105),BG105=""),AND(ISNUMBER($J105),$J105&gt;0))),'Feuille de Donnée'!$K$13,""),IF(BG105&lt;$J$165*'Feuille de Donnée'!$I$9,"Négligeable",(IF(AND(BE105&gt;=$H105*(1-'Feuille de Donnée'!$E$12),BE105&lt;=$H105*(1+'Feuille de Donnée'!$F$12)),'Feuille de Donnée'!$F$17,IF(BE105&lt;$H105*(1-'Feuille de Donnée'!$E$12),'Feuille de Donnée'!$F$18,'Feuille de Donnée'!$F$16))&amp;""&amp;IF(AND(BF105&gt;=$I105*(1-'Feuille de Donnée'!$E$27),BF105&lt;=$I105*(1+'Feuille de Donnée'!$F$27)),'Feuille de Donnée'!$F$32,IF(BF105&lt;$I105*(1-'Feuille de Donnée'!$E$27),'Feuille de Donnée'!$F$33,'Feuille de Donnée'!$F$31)))))</f>
        <v/>
      </c>
      <c r="BL105" s="151"/>
      <c r="BM105" s="153"/>
    </row>
    <row r="106" spans="1:65" s="7" customFormat="1" x14ac:dyDescent="0.3">
      <c r="A106" s="24"/>
      <c r="B106" s="25"/>
      <c r="C106" s="25"/>
      <c r="D106" s="25"/>
      <c r="E106" s="25"/>
      <c r="F106" s="25"/>
      <c r="G106" s="23"/>
      <c r="H106" s="26"/>
      <c r="I106" s="27"/>
      <c r="J106" s="109" t="str">
        <f t="shared" si="38"/>
        <v/>
      </c>
      <c r="K106" s="110"/>
      <c r="L106" s="28"/>
      <c r="M106" s="28"/>
      <c r="N106" s="28" t="str">
        <f t="shared" si="39"/>
        <v/>
      </c>
      <c r="O106" s="128" t="str">
        <f t="shared" si="40"/>
        <v/>
      </c>
      <c r="P106" s="128" t="str">
        <f t="shared" si="41"/>
        <v/>
      </c>
      <c r="Q106" s="28" t="str">
        <f>IF(AND(ISBLANK(S106),R106=""),"",1+MAX(Q$18:Q105))</f>
        <v/>
      </c>
      <c r="R106" s="150" t="str">
        <f>IF(OR(N106="",N106=0,$J106="",$J106=0,NOT(ISNUMBER($J106)),NOT(ISNUMBER(N106))),IF(AND($G106&lt;&gt;"",AND(OR(ISNUMBER(N106),N106=""),AND(ISNUMBER($J106),$J106&gt;0))),'Feuille de Donnée'!$K$13,""),IF(N106&lt;$J$165*'Feuille de Donnée'!$I$9,"Négligeable",(IF(AND(L106&gt;=$H106*(1-'Feuille de Donnée'!$E$12),L106&lt;=$H106*(1+'Feuille de Donnée'!$F$12)),'Feuille de Donnée'!$F$17,IF(L106&lt;$H106*(1-'Feuille de Donnée'!$E$12),'Feuille de Donnée'!$F$18,'Feuille de Donnée'!$F$16))&amp;""&amp;IF(AND(M106&gt;=$I106*(1-'Feuille de Donnée'!$E$27),M106&lt;=$I106*(1+'Feuille de Donnée'!$F$27)),'Feuille de Donnée'!$F$32,IF(M106&lt;$I106*(1-'Feuille de Donnée'!$E$27),'Feuille de Donnée'!$F$33,'Feuille de Donnée'!$F$31)))))</f>
        <v/>
      </c>
      <c r="S106" s="151"/>
      <c r="T106" s="110"/>
      <c r="U106" s="28"/>
      <c r="V106" s="28"/>
      <c r="W106" s="28" t="str">
        <f t="shared" si="42"/>
        <v/>
      </c>
      <c r="X106" s="128" t="str">
        <f t="shared" si="43"/>
        <v/>
      </c>
      <c r="Y106" s="128" t="str">
        <f t="shared" si="44"/>
        <v/>
      </c>
      <c r="Z106" s="28" t="str">
        <f>IF(AND(ISBLANK(AB106),AA106=""),"",1+MAX(Z$18:Z105))</f>
        <v/>
      </c>
      <c r="AA106" s="150" t="str">
        <f>IF(OR(W106="",W106=0,$J106="",$J106=0,NOT(ISNUMBER($J106)),NOT(ISNUMBER(W106))),IF(AND($G106&lt;&gt;"",AND(OR(ISNUMBER(W106),W106=""),AND(ISNUMBER($J106),$J106&gt;0))),'Feuille de Donnée'!$K$13,""),IF(W106&lt;$J$165*'Feuille de Donnée'!$I$9,"Négligeable",(IF(AND(U106&gt;=$H106*(1-'Feuille de Donnée'!$E$12),U106&lt;=$H106*(1+'Feuille de Donnée'!$F$12)),'Feuille de Donnée'!$F$17,IF(U106&lt;$H106*(1-'Feuille de Donnée'!$E$12),'Feuille de Donnée'!$F$18,'Feuille de Donnée'!$F$16))&amp;""&amp;IF(AND(V106&gt;=$I106*(1-'Feuille de Donnée'!$E$27),V106&lt;=$I106*(1+'Feuille de Donnée'!$F$27)),'Feuille de Donnée'!$F$32,IF(V106&lt;$I106*(1-'Feuille de Donnée'!$E$27),'Feuille de Donnée'!$F$33,'Feuille de Donnée'!$F$31)))))</f>
        <v/>
      </c>
      <c r="AB106" s="151"/>
      <c r="AC106" s="110"/>
      <c r="AD106" s="28"/>
      <c r="AE106" s="28"/>
      <c r="AF106" s="28" t="str">
        <f t="shared" si="45"/>
        <v/>
      </c>
      <c r="AG106" s="128" t="str">
        <f t="shared" si="46"/>
        <v/>
      </c>
      <c r="AH106" s="128" t="str">
        <f t="shared" si="47"/>
        <v/>
      </c>
      <c r="AI106" s="28" t="str">
        <f>IF(AND(ISBLANK(AK106),AJ106=""),"",1+MAX(AI$18:AI105))</f>
        <v/>
      </c>
      <c r="AJ106" s="150" t="str">
        <f>IF(OR(AF106="",AF106=0,$J106="",$J106=0,NOT(ISNUMBER($J106)),NOT(ISNUMBER(AF106))),IF(AND($G106&lt;&gt;"",AND(OR(ISNUMBER(AF106),AF106=""),AND(ISNUMBER($J106),$J106&gt;0))),'Feuille de Donnée'!$K$13,""),IF(AF106&lt;$J$165*'Feuille de Donnée'!$I$9,"Négligeable",(IF(AND(AD106&gt;=$H106*(1-'Feuille de Donnée'!$E$12),AD106&lt;=$H106*(1+'Feuille de Donnée'!$F$12)),'Feuille de Donnée'!$F$17,IF(AD106&lt;$H106*(1-'Feuille de Donnée'!$E$12),'Feuille de Donnée'!$F$18,'Feuille de Donnée'!$F$16))&amp;""&amp;IF(AND(AE106&gt;=$I106*(1-'Feuille de Donnée'!$E$27),AE106&lt;=$I106*(1+'Feuille de Donnée'!$F$27)),'Feuille de Donnée'!$F$32,IF(AE106&lt;$I106*(1-'Feuille de Donnée'!$E$27),'Feuille de Donnée'!$F$33,'Feuille de Donnée'!$F$31)))))</f>
        <v/>
      </c>
      <c r="AK106" s="151"/>
      <c r="AL106" s="110"/>
      <c r="AM106" s="28"/>
      <c r="AN106" s="28"/>
      <c r="AO106" s="28" t="str">
        <f t="shared" si="48"/>
        <v/>
      </c>
      <c r="AP106" s="128" t="str">
        <f t="shared" si="49"/>
        <v/>
      </c>
      <c r="AQ106" s="128" t="str">
        <f t="shared" si="50"/>
        <v/>
      </c>
      <c r="AR106" s="28" t="str">
        <f>IF(AND(ISBLANK(AT106),AS106=""),"",1+MAX(AR$18:AR105))</f>
        <v/>
      </c>
      <c r="AS106" s="150" t="str">
        <f>IF(OR(AO106="",AO106=0,$J106="",$J106=0,NOT(ISNUMBER($J106)),NOT(ISNUMBER(AO106))),IF(AND($G106&lt;&gt;"",AND(OR(ISNUMBER(AO106),AO106=""),AND(ISNUMBER($J106),$J106&gt;0))),'Feuille de Donnée'!$K$13,""),IF(AO106&lt;$J$165*'Feuille de Donnée'!$I$9,"Négligeable",(IF(AND(AM106&gt;=$H106*(1-'Feuille de Donnée'!$E$12),AM106&lt;=$H106*(1+'Feuille de Donnée'!$F$12)),'Feuille de Donnée'!$F$17,IF(AM106&lt;$H106*(1-'Feuille de Donnée'!$E$12),'Feuille de Donnée'!$F$18,'Feuille de Donnée'!$F$16))&amp;""&amp;IF(AND(AN106&gt;=$I106*(1-'Feuille de Donnée'!$E$27),AN106&lt;=$I106*(1+'Feuille de Donnée'!$F$27)),'Feuille de Donnée'!$F$32,IF(AN106&lt;$I106*(1-'Feuille de Donnée'!$E$27),'Feuille de Donnée'!$F$33,'Feuille de Donnée'!$F$31)))))</f>
        <v/>
      </c>
      <c r="AT106" s="151"/>
      <c r="AU106" s="110"/>
      <c r="AV106" s="28"/>
      <c r="AW106" s="28"/>
      <c r="AX106" s="28" t="str">
        <f t="shared" si="51"/>
        <v/>
      </c>
      <c r="AY106" s="128" t="str">
        <f t="shared" si="52"/>
        <v/>
      </c>
      <c r="AZ106" s="128" t="str">
        <f t="shared" si="53"/>
        <v/>
      </c>
      <c r="BA106" s="28" t="str">
        <f>IF(AND(ISBLANK(BC106),BB106=""),"",1+MAX(BA$18:BA105))</f>
        <v/>
      </c>
      <c r="BB106" s="150" t="str">
        <f>IF(OR(AX106="",AX106=0,$J106="",$J106=0,NOT(ISNUMBER($J106)),NOT(ISNUMBER(AX106))),IF(AND($G106&lt;&gt;"",AND(OR(ISNUMBER(AX106),AX106=""),AND(ISNUMBER($J106),$J106&gt;0))),'Feuille de Donnée'!$K$13,""),IF(AX106&lt;$J$165*'Feuille de Donnée'!$I$9,"Négligeable",(IF(AND(AV106&gt;=$H106*(1-'Feuille de Donnée'!$E$12),AV106&lt;=$H106*(1+'Feuille de Donnée'!$F$12)),'Feuille de Donnée'!$F$17,IF(AV106&lt;$H106*(1-'Feuille de Donnée'!$E$12),'Feuille de Donnée'!$F$18,'Feuille de Donnée'!$F$16))&amp;""&amp;IF(AND(AW106&gt;=$I106*(1-'Feuille de Donnée'!$E$27),AW106&lt;=$I106*(1+'Feuille de Donnée'!$F$27)),'Feuille de Donnée'!$F$32,IF(AW106&lt;$I106*(1-'Feuille de Donnée'!$E$27),'Feuille de Donnée'!$F$33,'Feuille de Donnée'!$F$31)))))</f>
        <v/>
      </c>
      <c r="BC106" s="151"/>
      <c r="BD106" s="110"/>
      <c r="BE106" s="28"/>
      <c r="BF106" s="28"/>
      <c r="BG106" s="28" t="str">
        <f t="shared" si="54"/>
        <v/>
      </c>
      <c r="BH106" s="128" t="str">
        <f t="shared" si="55"/>
        <v/>
      </c>
      <c r="BI106" s="128" t="str">
        <f t="shared" si="56"/>
        <v/>
      </c>
      <c r="BJ106" s="28" t="str">
        <f>IF(AND(ISBLANK(BL106),BK106=""),"",1+MAX(BJ$18:BJ105))</f>
        <v/>
      </c>
      <c r="BK106" s="150" t="str">
        <f>IF(OR(BG106="",BG106=0,$J106="",$J106=0,NOT(ISNUMBER($J106)),NOT(ISNUMBER(BG106))),IF(AND($G106&lt;&gt;"",AND(OR(ISNUMBER(BG106),BG106=""),AND(ISNUMBER($J106),$J106&gt;0))),'Feuille de Donnée'!$K$13,""),IF(BG106&lt;$J$165*'Feuille de Donnée'!$I$9,"Négligeable",(IF(AND(BE106&gt;=$H106*(1-'Feuille de Donnée'!$E$12),BE106&lt;=$H106*(1+'Feuille de Donnée'!$F$12)),'Feuille de Donnée'!$F$17,IF(BE106&lt;$H106*(1-'Feuille de Donnée'!$E$12),'Feuille de Donnée'!$F$18,'Feuille de Donnée'!$F$16))&amp;""&amp;IF(AND(BF106&gt;=$I106*(1-'Feuille de Donnée'!$E$27),BF106&lt;=$I106*(1+'Feuille de Donnée'!$F$27)),'Feuille de Donnée'!$F$32,IF(BF106&lt;$I106*(1-'Feuille de Donnée'!$E$27),'Feuille de Donnée'!$F$33,'Feuille de Donnée'!$F$31)))))</f>
        <v/>
      </c>
      <c r="BL106" s="151"/>
      <c r="BM106" s="153"/>
    </row>
    <row r="107" spans="1:65" s="7" customFormat="1" x14ac:dyDescent="0.3">
      <c r="A107" s="24"/>
      <c r="B107" s="25"/>
      <c r="C107" s="25"/>
      <c r="D107" s="25"/>
      <c r="E107" s="25"/>
      <c r="F107" s="25"/>
      <c r="G107" s="23"/>
      <c r="H107" s="26"/>
      <c r="I107" s="27"/>
      <c r="J107" s="109" t="str">
        <f t="shared" si="38"/>
        <v/>
      </c>
      <c r="K107" s="110"/>
      <c r="L107" s="28"/>
      <c r="M107" s="28"/>
      <c r="N107" s="28" t="str">
        <f t="shared" si="39"/>
        <v/>
      </c>
      <c r="O107" s="128" t="str">
        <f t="shared" si="40"/>
        <v/>
      </c>
      <c r="P107" s="128" t="str">
        <f t="shared" si="41"/>
        <v/>
      </c>
      <c r="Q107" s="28" t="str">
        <f>IF(AND(ISBLANK(S107),R107=""),"",1+MAX(Q$18:Q106))</f>
        <v/>
      </c>
      <c r="R107" s="150" t="str">
        <f>IF(OR(N107="",N107=0,$J107="",$J107=0,NOT(ISNUMBER($J107)),NOT(ISNUMBER(N107))),IF(AND($G107&lt;&gt;"",AND(OR(ISNUMBER(N107),N107=""),AND(ISNUMBER($J107),$J107&gt;0))),'Feuille de Donnée'!$K$13,""),IF(N107&lt;$J$165*'Feuille de Donnée'!$I$9,"Négligeable",(IF(AND(L107&gt;=$H107*(1-'Feuille de Donnée'!$E$12),L107&lt;=$H107*(1+'Feuille de Donnée'!$F$12)),'Feuille de Donnée'!$F$17,IF(L107&lt;$H107*(1-'Feuille de Donnée'!$E$12),'Feuille de Donnée'!$F$18,'Feuille de Donnée'!$F$16))&amp;""&amp;IF(AND(M107&gt;=$I107*(1-'Feuille de Donnée'!$E$27),M107&lt;=$I107*(1+'Feuille de Donnée'!$F$27)),'Feuille de Donnée'!$F$32,IF(M107&lt;$I107*(1-'Feuille de Donnée'!$E$27),'Feuille de Donnée'!$F$33,'Feuille de Donnée'!$F$31)))))</f>
        <v/>
      </c>
      <c r="S107" s="151"/>
      <c r="T107" s="110"/>
      <c r="U107" s="28"/>
      <c r="V107" s="28"/>
      <c r="W107" s="28" t="str">
        <f t="shared" si="42"/>
        <v/>
      </c>
      <c r="X107" s="128" t="str">
        <f t="shared" si="43"/>
        <v/>
      </c>
      <c r="Y107" s="128" t="str">
        <f t="shared" si="44"/>
        <v/>
      </c>
      <c r="Z107" s="28" t="str">
        <f>IF(AND(ISBLANK(AB107),AA107=""),"",1+MAX(Z$18:Z106))</f>
        <v/>
      </c>
      <c r="AA107" s="150" t="str">
        <f>IF(OR(W107="",W107=0,$J107="",$J107=0,NOT(ISNUMBER($J107)),NOT(ISNUMBER(W107))),IF(AND($G107&lt;&gt;"",AND(OR(ISNUMBER(W107),W107=""),AND(ISNUMBER($J107),$J107&gt;0))),'Feuille de Donnée'!$K$13,""),IF(W107&lt;$J$165*'Feuille de Donnée'!$I$9,"Négligeable",(IF(AND(U107&gt;=$H107*(1-'Feuille de Donnée'!$E$12),U107&lt;=$H107*(1+'Feuille de Donnée'!$F$12)),'Feuille de Donnée'!$F$17,IF(U107&lt;$H107*(1-'Feuille de Donnée'!$E$12),'Feuille de Donnée'!$F$18,'Feuille de Donnée'!$F$16))&amp;""&amp;IF(AND(V107&gt;=$I107*(1-'Feuille de Donnée'!$E$27),V107&lt;=$I107*(1+'Feuille de Donnée'!$F$27)),'Feuille de Donnée'!$F$32,IF(V107&lt;$I107*(1-'Feuille de Donnée'!$E$27),'Feuille de Donnée'!$F$33,'Feuille de Donnée'!$F$31)))))</f>
        <v/>
      </c>
      <c r="AB107" s="151"/>
      <c r="AC107" s="110"/>
      <c r="AD107" s="28"/>
      <c r="AE107" s="28"/>
      <c r="AF107" s="28" t="str">
        <f t="shared" si="45"/>
        <v/>
      </c>
      <c r="AG107" s="128" t="str">
        <f t="shared" si="46"/>
        <v/>
      </c>
      <c r="AH107" s="128" t="str">
        <f t="shared" si="47"/>
        <v/>
      </c>
      <c r="AI107" s="28" t="str">
        <f>IF(AND(ISBLANK(AK107),AJ107=""),"",1+MAX(AI$18:AI106))</f>
        <v/>
      </c>
      <c r="AJ107" s="150" t="str">
        <f>IF(OR(AF107="",AF107=0,$J107="",$J107=0,NOT(ISNUMBER($J107)),NOT(ISNUMBER(AF107))),IF(AND($G107&lt;&gt;"",AND(OR(ISNUMBER(AF107),AF107=""),AND(ISNUMBER($J107),$J107&gt;0))),'Feuille de Donnée'!$K$13,""),IF(AF107&lt;$J$165*'Feuille de Donnée'!$I$9,"Négligeable",(IF(AND(AD107&gt;=$H107*(1-'Feuille de Donnée'!$E$12),AD107&lt;=$H107*(1+'Feuille de Donnée'!$F$12)),'Feuille de Donnée'!$F$17,IF(AD107&lt;$H107*(1-'Feuille de Donnée'!$E$12),'Feuille de Donnée'!$F$18,'Feuille de Donnée'!$F$16))&amp;""&amp;IF(AND(AE107&gt;=$I107*(1-'Feuille de Donnée'!$E$27),AE107&lt;=$I107*(1+'Feuille de Donnée'!$F$27)),'Feuille de Donnée'!$F$32,IF(AE107&lt;$I107*(1-'Feuille de Donnée'!$E$27),'Feuille de Donnée'!$F$33,'Feuille de Donnée'!$F$31)))))</f>
        <v/>
      </c>
      <c r="AK107" s="151"/>
      <c r="AL107" s="110"/>
      <c r="AM107" s="28"/>
      <c r="AN107" s="28"/>
      <c r="AO107" s="28" t="str">
        <f t="shared" si="48"/>
        <v/>
      </c>
      <c r="AP107" s="128" t="str">
        <f t="shared" si="49"/>
        <v/>
      </c>
      <c r="AQ107" s="128" t="str">
        <f t="shared" si="50"/>
        <v/>
      </c>
      <c r="AR107" s="28" t="str">
        <f>IF(AND(ISBLANK(AT107),AS107=""),"",1+MAX(AR$18:AR106))</f>
        <v/>
      </c>
      <c r="AS107" s="150" t="str">
        <f>IF(OR(AO107="",AO107=0,$J107="",$J107=0,NOT(ISNUMBER($J107)),NOT(ISNUMBER(AO107))),IF(AND($G107&lt;&gt;"",AND(OR(ISNUMBER(AO107),AO107=""),AND(ISNUMBER($J107),$J107&gt;0))),'Feuille de Donnée'!$K$13,""),IF(AO107&lt;$J$165*'Feuille de Donnée'!$I$9,"Négligeable",(IF(AND(AM107&gt;=$H107*(1-'Feuille de Donnée'!$E$12),AM107&lt;=$H107*(1+'Feuille de Donnée'!$F$12)),'Feuille de Donnée'!$F$17,IF(AM107&lt;$H107*(1-'Feuille de Donnée'!$E$12),'Feuille de Donnée'!$F$18,'Feuille de Donnée'!$F$16))&amp;""&amp;IF(AND(AN107&gt;=$I107*(1-'Feuille de Donnée'!$E$27),AN107&lt;=$I107*(1+'Feuille de Donnée'!$F$27)),'Feuille de Donnée'!$F$32,IF(AN107&lt;$I107*(1-'Feuille de Donnée'!$E$27),'Feuille de Donnée'!$F$33,'Feuille de Donnée'!$F$31)))))</f>
        <v/>
      </c>
      <c r="AT107" s="151"/>
      <c r="AU107" s="110"/>
      <c r="AV107" s="28"/>
      <c r="AW107" s="28"/>
      <c r="AX107" s="28" t="str">
        <f t="shared" si="51"/>
        <v/>
      </c>
      <c r="AY107" s="128" t="str">
        <f t="shared" si="52"/>
        <v/>
      </c>
      <c r="AZ107" s="128" t="str">
        <f t="shared" si="53"/>
        <v/>
      </c>
      <c r="BA107" s="28" t="str">
        <f>IF(AND(ISBLANK(BC107),BB107=""),"",1+MAX(BA$18:BA106))</f>
        <v/>
      </c>
      <c r="BB107" s="150" t="str">
        <f>IF(OR(AX107="",AX107=0,$J107="",$J107=0,NOT(ISNUMBER($J107)),NOT(ISNUMBER(AX107))),IF(AND($G107&lt;&gt;"",AND(OR(ISNUMBER(AX107),AX107=""),AND(ISNUMBER($J107),$J107&gt;0))),'Feuille de Donnée'!$K$13,""),IF(AX107&lt;$J$165*'Feuille de Donnée'!$I$9,"Négligeable",(IF(AND(AV107&gt;=$H107*(1-'Feuille de Donnée'!$E$12),AV107&lt;=$H107*(1+'Feuille de Donnée'!$F$12)),'Feuille de Donnée'!$F$17,IF(AV107&lt;$H107*(1-'Feuille de Donnée'!$E$12),'Feuille de Donnée'!$F$18,'Feuille de Donnée'!$F$16))&amp;""&amp;IF(AND(AW107&gt;=$I107*(1-'Feuille de Donnée'!$E$27),AW107&lt;=$I107*(1+'Feuille de Donnée'!$F$27)),'Feuille de Donnée'!$F$32,IF(AW107&lt;$I107*(1-'Feuille de Donnée'!$E$27),'Feuille de Donnée'!$F$33,'Feuille de Donnée'!$F$31)))))</f>
        <v/>
      </c>
      <c r="BC107" s="151"/>
      <c r="BD107" s="110"/>
      <c r="BE107" s="28"/>
      <c r="BF107" s="28"/>
      <c r="BG107" s="28" t="str">
        <f t="shared" si="54"/>
        <v/>
      </c>
      <c r="BH107" s="128" t="str">
        <f t="shared" si="55"/>
        <v/>
      </c>
      <c r="BI107" s="128" t="str">
        <f t="shared" si="56"/>
        <v/>
      </c>
      <c r="BJ107" s="28" t="str">
        <f>IF(AND(ISBLANK(BL107),BK107=""),"",1+MAX(BJ$18:BJ106))</f>
        <v/>
      </c>
      <c r="BK107" s="150" t="str">
        <f>IF(OR(BG107="",BG107=0,$J107="",$J107=0,NOT(ISNUMBER($J107)),NOT(ISNUMBER(BG107))),IF(AND($G107&lt;&gt;"",AND(OR(ISNUMBER(BG107),BG107=""),AND(ISNUMBER($J107),$J107&gt;0))),'Feuille de Donnée'!$K$13,""),IF(BG107&lt;$J$165*'Feuille de Donnée'!$I$9,"Négligeable",(IF(AND(BE107&gt;=$H107*(1-'Feuille de Donnée'!$E$12),BE107&lt;=$H107*(1+'Feuille de Donnée'!$F$12)),'Feuille de Donnée'!$F$17,IF(BE107&lt;$H107*(1-'Feuille de Donnée'!$E$12),'Feuille de Donnée'!$F$18,'Feuille de Donnée'!$F$16))&amp;""&amp;IF(AND(BF107&gt;=$I107*(1-'Feuille de Donnée'!$E$27),BF107&lt;=$I107*(1+'Feuille de Donnée'!$F$27)),'Feuille de Donnée'!$F$32,IF(BF107&lt;$I107*(1-'Feuille de Donnée'!$E$27),'Feuille de Donnée'!$F$33,'Feuille de Donnée'!$F$31)))))</f>
        <v/>
      </c>
      <c r="BL107" s="151"/>
      <c r="BM107" s="153"/>
    </row>
    <row r="108" spans="1:65" s="7" customFormat="1" x14ac:dyDescent="0.3">
      <c r="A108" s="24"/>
      <c r="B108" s="25"/>
      <c r="C108" s="25"/>
      <c r="D108" s="25"/>
      <c r="E108" s="25"/>
      <c r="F108" s="25"/>
      <c r="G108" s="23"/>
      <c r="H108" s="26"/>
      <c r="I108" s="27"/>
      <c r="J108" s="109" t="str">
        <f t="shared" si="38"/>
        <v/>
      </c>
      <c r="K108" s="110"/>
      <c r="L108" s="28"/>
      <c r="M108" s="28"/>
      <c r="N108" s="28" t="str">
        <f t="shared" si="39"/>
        <v/>
      </c>
      <c r="O108" s="128" t="str">
        <f t="shared" si="40"/>
        <v/>
      </c>
      <c r="P108" s="128" t="str">
        <f t="shared" si="41"/>
        <v/>
      </c>
      <c r="Q108" s="28" t="str">
        <f>IF(AND(ISBLANK(S108),R108=""),"",1+MAX(Q$18:Q107))</f>
        <v/>
      </c>
      <c r="R108" s="150" t="str">
        <f>IF(OR(N108="",N108=0,$J108="",$J108=0,NOT(ISNUMBER($J108)),NOT(ISNUMBER(N108))),IF(AND($G108&lt;&gt;"",AND(OR(ISNUMBER(N108),N108=""),AND(ISNUMBER($J108),$J108&gt;0))),'Feuille de Donnée'!$K$13,""),IF(N108&lt;$J$165*'Feuille de Donnée'!$I$9,"Négligeable",(IF(AND(L108&gt;=$H108*(1-'Feuille de Donnée'!$E$12),L108&lt;=$H108*(1+'Feuille de Donnée'!$F$12)),'Feuille de Donnée'!$F$17,IF(L108&lt;$H108*(1-'Feuille de Donnée'!$E$12),'Feuille de Donnée'!$F$18,'Feuille de Donnée'!$F$16))&amp;""&amp;IF(AND(M108&gt;=$I108*(1-'Feuille de Donnée'!$E$27),M108&lt;=$I108*(1+'Feuille de Donnée'!$F$27)),'Feuille de Donnée'!$F$32,IF(M108&lt;$I108*(1-'Feuille de Donnée'!$E$27),'Feuille de Donnée'!$F$33,'Feuille de Donnée'!$F$31)))))</f>
        <v/>
      </c>
      <c r="S108" s="151"/>
      <c r="T108" s="110"/>
      <c r="U108" s="28"/>
      <c r="V108" s="28"/>
      <c r="W108" s="28" t="str">
        <f t="shared" si="42"/>
        <v/>
      </c>
      <c r="X108" s="128" t="str">
        <f t="shared" si="43"/>
        <v/>
      </c>
      <c r="Y108" s="128" t="str">
        <f t="shared" si="44"/>
        <v/>
      </c>
      <c r="Z108" s="28" t="str">
        <f>IF(AND(ISBLANK(AB108),AA108=""),"",1+MAX(Z$18:Z107))</f>
        <v/>
      </c>
      <c r="AA108" s="150" t="str">
        <f>IF(OR(W108="",W108=0,$J108="",$J108=0,NOT(ISNUMBER($J108)),NOT(ISNUMBER(W108))),IF(AND($G108&lt;&gt;"",AND(OR(ISNUMBER(W108),W108=""),AND(ISNUMBER($J108),$J108&gt;0))),'Feuille de Donnée'!$K$13,""),IF(W108&lt;$J$165*'Feuille de Donnée'!$I$9,"Négligeable",(IF(AND(U108&gt;=$H108*(1-'Feuille de Donnée'!$E$12),U108&lt;=$H108*(1+'Feuille de Donnée'!$F$12)),'Feuille de Donnée'!$F$17,IF(U108&lt;$H108*(1-'Feuille de Donnée'!$E$12),'Feuille de Donnée'!$F$18,'Feuille de Donnée'!$F$16))&amp;""&amp;IF(AND(V108&gt;=$I108*(1-'Feuille de Donnée'!$E$27),V108&lt;=$I108*(1+'Feuille de Donnée'!$F$27)),'Feuille de Donnée'!$F$32,IF(V108&lt;$I108*(1-'Feuille de Donnée'!$E$27),'Feuille de Donnée'!$F$33,'Feuille de Donnée'!$F$31)))))</f>
        <v/>
      </c>
      <c r="AB108" s="151"/>
      <c r="AC108" s="110"/>
      <c r="AD108" s="28"/>
      <c r="AE108" s="28"/>
      <c r="AF108" s="28" t="str">
        <f t="shared" si="45"/>
        <v/>
      </c>
      <c r="AG108" s="128" t="str">
        <f t="shared" si="46"/>
        <v/>
      </c>
      <c r="AH108" s="128" t="str">
        <f t="shared" si="47"/>
        <v/>
      </c>
      <c r="AI108" s="28" t="str">
        <f>IF(AND(ISBLANK(AK108),AJ108=""),"",1+MAX(AI$18:AI107))</f>
        <v/>
      </c>
      <c r="AJ108" s="150" t="str">
        <f>IF(OR(AF108="",AF108=0,$J108="",$J108=0,NOT(ISNUMBER($J108)),NOT(ISNUMBER(AF108))),IF(AND($G108&lt;&gt;"",AND(OR(ISNUMBER(AF108),AF108=""),AND(ISNUMBER($J108),$J108&gt;0))),'Feuille de Donnée'!$K$13,""),IF(AF108&lt;$J$165*'Feuille de Donnée'!$I$9,"Négligeable",(IF(AND(AD108&gt;=$H108*(1-'Feuille de Donnée'!$E$12),AD108&lt;=$H108*(1+'Feuille de Donnée'!$F$12)),'Feuille de Donnée'!$F$17,IF(AD108&lt;$H108*(1-'Feuille de Donnée'!$E$12),'Feuille de Donnée'!$F$18,'Feuille de Donnée'!$F$16))&amp;""&amp;IF(AND(AE108&gt;=$I108*(1-'Feuille de Donnée'!$E$27),AE108&lt;=$I108*(1+'Feuille de Donnée'!$F$27)),'Feuille de Donnée'!$F$32,IF(AE108&lt;$I108*(1-'Feuille de Donnée'!$E$27),'Feuille de Donnée'!$F$33,'Feuille de Donnée'!$F$31)))))</f>
        <v/>
      </c>
      <c r="AK108" s="151"/>
      <c r="AL108" s="110"/>
      <c r="AM108" s="28"/>
      <c r="AN108" s="28"/>
      <c r="AO108" s="28" t="str">
        <f t="shared" si="48"/>
        <v/>
      </c>
      <c r="AP108" s="128" t="str">
        <f t="shared" si="49"/>
        <v/>
      </c>
      <c r="AQ108" s="128" t="str">
        <f t="shared" si="50"/>
        <v/>
      </c>
      <c r="AR108" s="28" t="str">
        <f>IF(AND(ISBLANK(AT108),AS108=""),"",1+MAX(AR$18:AR107))</f>
        <v/>
      </c>
      <c r="AS108" s="150" t="str">
        <f>IF(OR(AO108="",AO108=0,$J108="",$J108=0,NOT(ISNUMBER($J108)),NOT(ISNUMBER(AO108))),IF(AND($G108&lt;&gt;"",AND(OR(ISNUMBER(AO108),AO108=""),AND(ISNUMBER($J108),$J108&gt;0))),'Feuille de Donnée'!$K$13,""),IF(AO108&lt;$J$165*'Feuille de Donnée'!$I$9,"Négligeable",(IF(AND(AM108&gt;=$H108*(1-'Feuille de Donnée'!$E$12),AM108&lt;=$H108*(1+'Feuille de Donnée'!$F$12)),'Feuille de Donnée'!$F$17,IF(AM108&lt;$H108*(1-'Feuille de Donnée'!$E$12),'Feuille de Donnée'!$F$18,'Feuille de Donnée'!$F$16))&amp;""&amp;IF(AND(AN108&gt;=$I108*(1-'Feuille de Donnée'!$E$27),AN108&lt;=$I108*(1+'Feuille de Donnée'!$F$27)),'Feuille de Donnée'!$F$32,IF(AN108&lt;$I108*(1-'Feuille de Donnée'!$E$27),'Feuille de Donnée'!$F$33,'Feuille de Donnée'!$F$31)))))</f>
        <v/>
      </c>
      <c r="AT108" s="151"/>
      <c r="AU108" s="110"/>
      <c r="AV108" s="28"/>
      <c r="AW108" s="28"/>
      <c r="AX108" s="28" t="str">
        <f t="shared" si="51"/>
        <v/>
      </c>
      <c r="AY108" s="128" t="str">
        <f t="shared" si="52"/>
        <v/>
      </c>
      <c r="AZ108" s="128" t="str">
        <f t="shared" si="53"/>
        <v/>
      </c>
      <c r="BA108" s="28" t="str">
        <f>IF(AND(ISBLANK(BC108),BB108=""),"",1+MAX(BA$18:BA107))</f>
        <v/>
      </c>
      <c r="BB108" s="150" t="str">
        <f>IF(OR(AX108="",AX108=0,$J108="",$J108=0,NOT(ISNUMBER($J108)),NOT(ISNUMBER(AX108))),IF(AND($G108&lt;&gt;"",AND(OR(ISNUMBER(AX108),AX108=""),AND(ISNUMBER($J108),$J108&gt;0))),'Feuille de Donnée'!$K$13,""),IF(AX108&lt;$J$165*'Feuille de Donnée'!$I$9,"Négligeable",(IF(AND(AV108&gt;=$H108*(1-'Feuille de Donnée'!$E$12),AV108&lt;=$H108*(1+'Feuille de Donnée'!$F$12)),'Feuille de Donnée'!$F$17,IF(AV108&lt;$H108*(1-'Feuille de Donnée'!$E$12),'Feuille de Donnée'!$F$18,'Feuille de Donnée'!$F$16))&amp;""&amp;IF(AND(AW108&gt;=$I108*(1-'Feuille de Donnée'!$E$27),AW108&lt;=$I108*(1+'Feuille de Donnée'!$F$27)),'Feuille de Donnée'!$F$32,IF(AW108&lt;$I108*(1-'Feuille de Donnée'!$E$27),'Feuille de Donnée'!$F$33,'Feuille de Donnée'!$F$31)))))</f>
        <v/>
      </c>
      <c r="BC108" s="151"/>
      <c r="BD108" s="110"/>
      <c r="BE108" s="28"/>
      <c r="BF108" s="28"/>
      <c r="BG108" s="28" t="str">
        <f t="shared" si="54"/>
        <v/>
      </c>
      <c r="BH108" s="128" t="str">
        <f t="shared" si="55"/>
        <v/>
      </c>
      <c r="BI108" s="128" t="str">
        <f t="shared" si="56"/>
        <v/>
      </c>
      <c r="BJ108" s="28" t="str">
        <f>IF(AND(ISBLANK(BL108),BK108=""),"",1+MAX(BJ$18:BJ107))</f>
        <v/>
      </c>
      <c r="BK108" s="150" t="str">
        <f>IF(OR(BG108="",BG108=0,$J108="",$J108=0,NOT(ISNUMBER($J108)),NOT(ISNUMBER(BG108))),IF(AND($G108&lt;&gt;"",AND(OR(ISNUMBER(BG108),BG108=""),AND(ISNUMBER($J108),$J108&gt;0))),'Feuille de Donnée'!$K$13,""),IF(BG108&lt;$J$165*'Feuille de Donnée'!$I$9,"Négligeable",(IF(AND(BE108&gt;=$H108*(1-'Feuille de Donnée'!$E$12),BE108&lt;=$H108*(1+'Feuille de Donnée'!$F$12)),'Feuille de Donnée'!$F$17,IF(BE108&lt;$H108*(1-'Feuille de Donnée'!$E$12),'Feuille de Donnée'!$F$18,'Feuille de Donnée'!$F$16))&amp;""&amp;IF(AND(BF108&gt;=$I108*(1-'Feuille de Donnée'!$E$27),BF108&lt;=$I108*(1+'Feuille de Donnée'!$F$27)),'Feuille de Donnée'!$F$32,IF(BF108&lt;$I108*(1-'Feuille de Donnée'!$E$27),'Feuille de Donnée'!$F$33,'Feuille de Donnée'!$F$31)))))</f>
        <v/>
      </c>
      <c r="BL108" s="151"/>
      <c r="BM108" s="153"/>
    </row>
    <row r="109" spans="1:65" s="7" customFormat="1" x14ac:dyDescent="0.3">
      <c r="A109" s="24"/>
      <c r="B109" s="25"/>
      <c r="C109" s="25"/>
      <c r="D109" s="25"/>
      <c r="E109" s="25"/>
      <c r="F109" s="25"/>
      <c r="G109" s="23"/>
      <c r="H109" s="26"/>
      <c r="I109" s="27"/>
      <c r="J109" s="109" t="str">
        <f t="shared" si="38"/>
        <v/>
      </c>
      <c r="K109" s="110"/>
      <c r="L109" s="28"/>
      <c r="M109" s="28"/>
      <c r="N109" s="28" t="str">
        <f t="shared" si="39"/>
        <v/>
      </c>
      <c r="O109" s="128" t="str">
        <f t="shared" si="40"/>
        <v/>
      </c>
      <c r="P109" s="128" t="str">
        <f t="shared" si="41"/>
        <v/>
      </c>
      <c r="Q109" s="28" t="str">
        <f>IF(AND(ISBLANK(S109),R109=""),"",1+MAX(Q$18:Q108))</f>
        <v/>
      </c>
      <c r="R109" s="150" t="str">
        <f>IF(OR(N109="",N109=0,$J109="",$J109=0,NOT(ISNUMBER($J109)),NOT(ISNUMBER(N109))),IF(AND($G109&lt;&gt;"",AND(OR(ISNUMBER(N109),N109=""),AND(ISNUMBER($J109),$J109&gt;0))),'Feuille de Donnée'!$K$13,""),IF(N109&lt;$J$165*'Feuille de Donnée'!$I$9,"Négligeable",(IF(AND(L109&gt;=$H109*(1-'Feuille de Donnée'!$E$12),L109&lt;=$H109*(1+'Feuille de Donnée'!$F$12)),'Feuille de Donnée'!$F$17,IF(L109&lt;$H109*(1-'Feuille de Donnée'!$E$12),'Feuille de Donnée'!$F$18,'Feuille de Donnée'!$F$16))&amp;""&amp;IF(AND(M109&gt;=$I109*(1-'Feuille de Donnée'!$E$27),M109&lt;=$I109*(1+'Feuille de Donnée'!$F$27)),'Feuille de Donnée'!$F$32,IF(M109&lt;$I109*(1-'Feuille de Donnée'!$E$27),'Feuille de Donnée'!$F$33,'Feuille de Donnée'!$F$31)))))</f>
        <v/>
      </c>
      <c r="S109" s="151"/>
      <c r="T109" s="110"/>
      <c r="U109" s="28"/>
      <c r="V109" s="28"/>
      <c r="W109" s="28" t="str">
        <f t="shared" si="42"/>
        <v/>
      </c>
      <c r="X109" s="128" t="str">
        <f t="shared" si="43"/>
        <v/>
      </c>
      <c r="Y109" s="128" t="str">
        <f t="shared" si="44"/>
        <v/>
      </c>
      <c r="Z109" s="28" t="str">
        <f>IF(AND(ISBLANK(AB109),AA109=""),"",1+MAX(Z$18:Z108))</f>
        <v/>
      </c>
      <c r="AA109" s="150" t="str">
        <f>IF(OR(W109="",W109=0,$J109="",$J109=0,NOT(ISNUMBER($J109)),NOT(ISNUMBER(W109))),IF(AND($G109&lt;&gt;"",AND(OR(ISNUMBER(W109),W109=""),AND(ISNUMBER($J109),$J109&gt;0))),'Feuille de Donnée'!$K$13,""),IF(W109&lt;$J$165*'Feuille de Donnée'!$I$9,"Négligeable",(IF(AND(U109&gt;=$H109*(1-'Feuille de Donnée'!$E$12),U109&lt;=$H109*(1+'Feuille de Donnée'!$F$12)),'Feuille de Donnée'!$F$17,IF(U109&lt;$H109*(1-'Feuille de Donnée'!$E$12),'Feuille de Donnée'!$F$18,'Feuille de Donnée'!$F$16))&amp;""&amp;IF(AND(V109&gt;=$I109*(1-'Feuille de Donnée'!$E$27),V109&lt;=$I109*(1+'Feuille de Donnée'!$F$27)),'Feuille de Donnée'!$F$32,IF(V109&lt;$I109*(1-'Feuille de Donnée'!$E$27),'Feuille de Donnée'!$F$33,'Feuille de Donnée'!$F$31)))))</f>
        <v/>
      </c>
      <c r="AB109" s="151"/>
      <c r="AC109" s="110"/>
      <c r="AD109" s="28"/>
      <c r="AE109" s="28"/>
      <c r="AF109" s="28" t="str">
        <f t="shared" si="45"/>
        <v/>
      </c>
      <c r="AG109" s="128" t="str">
        <f t="shared" si="46"/>
        <v/>
      </c>
      <c r="AH109" s="128" t="str">
        <f t="shared" si="47"/>
        <v/>
      </c>
      <c r="AI109" s="28" t="str">
        <f>IF(AND(ISBLANK(AK109),AJ109=""),"",1+MAX(AI$18:AI108))</f>
        <v/>
      </c>
      <c r="AJ109" s="150" t="str">
        <f>IF(OR(AF109="",AF109=0,$J109="",$J109=0,NOT(ISNUMBER($J109)),NOT(ISNUMBER(AF109))),IF(AND($G109&lt;&gt;"",AND(OR(ISNUMBER(AF109),AF109=""),AND(ISNUMBER($J109),$J109&gt;0))),'Feuille de Donnée'!$K$13,""),IF(AF109&lt;$J$165*'Feuille de Donnée'!$I$9,"Négligeable",(IF(AND(AD109&gt;=$H109*(1-'Feuille de Donnée'!$E$12),AD109&lt;=$H109*(1+'Feuille de Donnée'!$F$12)),'Feuille de Donnée'!$F$17,IF(AD109&lt;$H109*(1-'Feuille de Donnée'!$E$12),'Feuille de Donnée'!$F$18,'Feuille de Donnée'!$F$16))&amp;""&amp;IF(AND(AE109&gt;=$I109*(1-'Feuille de Donnée'!$E$27),AE109&lt;=$I109*(1+'Feuille de Donnée'!$F$27)),'Feuille de Donnée'!$F$32,IF(AE109&lt;$I109*(1-'Feuille de Donnée'!$E$27),'Feuille de Donnée'!$F$33,'Feuille de Donnée'!$F$31)))))</f>
        <v/>
      </c>
      <c r="AK109" s="151"/>
      <c r="AL109" s="110"/>
      <c r="AM109" s="28"/>
      <c r="AN109" s="28"/>
      <c r="AO109" s="28" t="str">
        <f t="shared" si="48"/>
        <v/>
      </c>
      <c r="AP109" s="128" t="str">
        <f t="shared" si="49"/>
        <v/>
      </c>
      <c r="AQ109" s="128" t="str">
        <f t="shared" si="50"/>
        <v/>
      </c>
      <c r="AR109" s="28" t="str">
        <f>IF(AND(ISBLANK(AT109),AS109=""),"",1+MAX(AR$18:AR108))</f>
        <v/>
      </c>
      <c r="AS109" s="150" t="str">
        <f>IF(OR(AO109="",AO109=0,$J109="",$J109=0,NOT(ISNUMBER($J109)),NOT(ISNUMBER(AO109))),IF(AND($G109&lt;&gt;"",AND(OR(ISNUMBER(AO109),AO109=""),AND(ISNUMBER($J109),$J109&gt;0))),'Feuille de Donnée'!$K$13,""),IF(AO109&lt;$J$165*'Feuille de Donnée'!$I$9,"Négligeable",(IF(AND(AM109&gt;=$H109*(1-'Feuille de Donnée'!$E$12),AM109&lt;=$H109*(1+'Feuille de Donnée'!$F$12)),'Feuille de Donnée'!$F$17,IF(AM109&lt;$H109*(1-'Feuille de Donnée'!$E$12),'Feuille de Donnée'!$F$18,'Feuille de Donnée'!$F$16))&amp;""&amp;IF(AND(AN109&gt;=$I109*(1-'Feuille de Donnée'!$E$27),AN109&lt;=$I109*(1+'Feuille de Donnée'!$F$27)),'Feuille de Donnée'!$F$32,IF(AN109&lt;$I109*(1-'Feuille de Donnée'!$E$27),'Feuille de Donnée'!$F$33,'Feuille de Donnée'!$F$31)))))</f>
        <v/>
      </c>
      <c r="AT109" s="151"/>
      <c r="AU109" s="110"/>
      <c r="AV109" s="28"/>
      <c r="AW109" s="28"/>
      <c r="AX109" s="28" t="str">
        <f t="shared" si="51"/>
        <v/>
      </c>
      <c r="AY109" s="128" t="str">
        <f t="shared" si="52"/>
        <v/>
      </c>
      <c r="AZ109" s="128" t="str">
        <f t="shared" si="53"/>
        <v/>
      </c>
      <c r="BA109" s="28" t="str">
        <f>IF(AND(ISBLANK(BC109),BB109=""),"",1+MAX(BA$18:BA108))</f>
        <v/>
      </c>
      <c r="BB109" s="150" t="str">
        <f>IF(OR(AX109="",AX109=0,$J109="",$J109=0,NOT(ISNUMBER($J109)),NOT(ISNUMBER(AX109))),IF(AND($G109&lt;&gt;"",AND(OR(ISNUMBER(AX109),AX109=""),AND(ISNUMBER($J109),$J109&gt;0))),'Feuille de Donnée'!$K$13,""),IF(AX109&lt;$J$165*'Feuille de Donnée'!$I$9,"Négligeable",(IF(AND(AV109&gt;=$H109*(1-'Feuille de Donnée'!$E$12),AV109&lt;=$H109*(1+'Feuille de Donnée'!$F$12)),'Feuille de Donnée'!$F$17,IF(AV109&lt;$H109*(1-'Feuille de Donnée'!$E$12),'Feuille de Donnée'!$F$18,'Feuille de Donnée'!$F$16))&amp;""&amp;IF(AND(AW109&gt;=$I109*(1-'Feuille de Donnée'!$E$27),AW109&lt;=$I109*(1+'Feuille de Donnée'!$F$27)),'Feuille de Donnée'!$F$32,IF(AW109&lt;$I109*(1-'Feuille de Donnée'!$E$27),'Feuille de Donnée'!$F$33,'Feuille de Donnée'!$F$31)))))</f>
        <v/>
      </c>
      <c r="BC109" s="151"/>
      <c r="BD109" s="110"/>
      <c r="BE109" s="28"/>
      <c r="BF109" s="28"/>
      <c r="BG109" s="28" t="str">
        <f t="shared" si="54"/>
        <v/>
      </c>
      <c r="BH109" s="128" t="str">
        <f t="shared" si="55"/>
        <v/>
      </c>
      <c r="BI109" s="128" t="str">
        <f t="shared" si="56"/>
        <v/>
      </c>
      <c r="BJ109" s="28" t="str">
        <f>IF(AND(ISBLANK(BL109),BK109=""),"",1+MAX(BJ$18:BJ108))</f>
        <v/>
      </c>
      <c r="BK109" s="150" t="str">
        <f>IF(OR(BG109="",BG109=0,$J109="",$J109=0,NOT(ISNUMBER($J109)),NOT(ISNUMBER(BG109))),IF(AND($G109&lt;&gt;"",AND(OR(ISNUMBER(BG109),BG109=""),AND(ISNUMBER($J109),$J109&gt;0))),'Feuille de Donnée'!$K$13,""),IF(BG109&lt;$J$165*'Feuille de Donnée'!$I$9,"Négligeable",(IF(AND(BE109&gt;=$H109*(1-'Feuille de Donnée'!$E$12),BE109&lt;=$H109*(1+'Feuille de Donnée'!$F$12)),'Feuille de Donnée'!$F$17,IF(BE109&lt;$H109*(1-'Feuille de Donnée'!$E$12),'Feuille de Donnée'!$F$18,'Feuille de Donnée'!$F$16))&amp;""&amp;IF(AND(BF109&gt;=$I109*(1-'Feuille de Donnée'!$E$27),BF109&lt;=$I109*(1+'Feuille de Donnée'!$F$27)),'Feuille de Donnée'!$F$32,IF(BF109&lt;$I109*(1-'Feuille de Donnée'!$E$27),'Feuille de Donnée'!$F$33,'Feuille de Donnée'!$F$31)))))</f>
        <v/>
      </c>
      <c r="BL109" s="151"/>
      <c r="BM109" s="153"/>
    </row>
    <row r="110" spans="1:65" s="7" customFormat="1" x14ac:dyDescent="0.3">
      <c r="A110" s="24"/>
      <c r="B110" s="25"/>
      <c r="C110" s="25"/>
      <c r="D110" s="25"/>
      <c r="E110" s="25"/>
      <c r="F110" s="25"/>
      <c r="G110" s="23"/>
      <c r="H110" s="26"/>
      <c r="I110" s="27"/>
      <c r="J110" s="109" t="str">
        <f t="shared" si="38"/>
        <v/>
      </c>
      <c r="K110" s="110"/>
      <c r="L110" s="28"/>
      <c r="M110" s="28"/>
      <c r="N110" s="28" t="str">
        <f t="shared" si="39"/>
        <v/>
      </c>
      <c r="O110" s="128" t="str">
        <f t="shared" si="40"/>
        <v/>
      </c>
      <c r="P110" s="128" t="str">
        <f t="shared" si="41"/>
        <v/>
      </c>
      <c r="Q110" s="28" t="str">
        <f>IF(AND(ISBLANK(S110),R110=""),"",1+MAX(Q$18:Q109))</f>
        <v/>
      </c>
      <c r="R110" s="150" t="str">
        <f>IF(OR(N110="",N110=0,$J110="",$J110=0,NOT(ISNUMBER($J110)),NOT(ISNUMBER(N110))),IF(AND($G110&lt;&gt;"",AND(OR(ISNUMBER(N110),N110=""),AND(ISNUMBER($J110),$J110&gt;0))),'Feuille de Donnée'!$K$13,""),IF(N110&lt;$J$165*'Feuille de Donnée'!$I$9,"Négligeable",(IF(AND(L110&gt;=$H110*(1-'Feuille de Donnée'!$E$12),L110&lt;=$H110*(1+'Feuille de Donnée'!$F$12)),'Feuille de Donnée'!$F$17,IF(L110&lt;$H110*(1-'Feuille de Donnée'!$E$12),'Feuille de Donnée'!$F$18,'Feuille de Donnée'!$F$16))&amp;""&amp;IF(AND(M110&gt;=$I110*(1-'Feuille de Donnée'!$E$27),M110&lt;=$I110*(1+'Feuille de Donnée'!$F$27)),'Feuille de Donnée'!$F$32,IF(M110&lt;$I110*(1-'Feuille de Donnée'!$E$27),'Feuille de Donnée'!$F$33,'Feuille de Donnée'!$F$31)))))</f>
        <v/>
      </c>
      <c r="S110" s="151"/>
      <c r="T110" s="110"/>
      <c r="U110" s="28"/>
      <c r="V110" s="28"/>
      <c r="W110" s="28" t="str">
        <f t="shared" si="42"/>
        <v/>
      </c>
      <c r="X110" s="128" t="str">
        <f t="shared" si="43"/>
        <v/>
      </c>
      <c r="Y110" s="128" t="str">
        <f t="shared" si="44"/>
        <v/>
      </c>
      <c r="Z110" s="28" t="str">
        <f>IF(AND(ISBLANK(AB110),AA110=""),"",1+MAX(Z$18:Z109))</f>
        <v/>
      </c>
      <c r="AA110" s="150" t="str">
        <f>IF(OR(W110="",W110=0,$J110="",$J110=0,NOT(ISNUMBER($J110)),NOT(ISNUMBER(W110))),IF(AND($G110&lt;&gt;"",AND(OR(ISNUMBER(W110),W110=""),AND(ISNUMBER($J110),$J110&gt;0))),'Feuille de Donnée'!$K$13,""),IF(W110&lt;$J$165*'Feuille de Donnée'!$I$9,"Négligeable",(IF(AND(U110&gt;=$H110*(1-'Feuille de Donnée'!$E$12),U110&lt;=$H110*(1+'Feuille de Donnée'!$F$12)),'Feuille de Donnée'!$F$17,IF(U110&lt;$H110*(1-'Feuille de Donnée'!$E$12),'Feuille de Donnée'!$F$18,'Feuille de Donnée'!$F$16))&amp;""&amp;IF(AND(V110&gt;=$I110*(1-'Feuille de Donnée'!$E$27),V110&lt;=$I110*(1+'Feuille de Donnée'!$F$27)),'Feuille de Donnée'!$F$32,IF(V110&lt;$I110*(1-'Feuille de Donnée'!$E$27),'Feuille de Donnée'!$F$33,'Feuille de Donnée'!$F$31)))))</f>
        <v/>
      </c>
      <c r="AB110" s="151"/>
      <c r="AC110" s="110"/>
      <c r="AD110" s="28"/>
      <c r="AE110" s="28"/>
      <c r="AF110" s="28" t="str">
        <f t="shared" si="45"/>
        <v/>
      </c>
      <c r="AG110" s="128" t="str">
        <f t="shared" si="46"/>
        <v/>
      </c>
      <c r="AH110" s="128" t="str">
        <f t="shared" si="47"/>
        <v/>
      </c>
      <c r="AI110" s="28" t="str">
        <f>IF(AND(ISBLANK(AK110),AJ110=""),"",1+MAX(AI$18:AI109))</f>
        <v/>
      </c>
      <c r="AJ110" s="150" t="str">
        <f>IF(OR(AF110="",AF110=0,$J110="",$J110=0,NOT(ISNUMBER($J110)),NOT(ISNUMBER(AF110))),IF(AND($G110&lt;&gt;"",AND(OR(ISNUMBER(AF110),AF110=""),AND(ISNUMBER($J110),$J110&gt;0))),'Feuille de Donnée'!$K$13,""),IF(AF110&lt;$J$165*'Feuille de Donnée'!$I$9,"Négligeable",(IF(AND(AD110&gt;=$H110*(1-'Feuille de Donnée'!$E$12),AD110&lt;=$H110*(1+'Feuille de Donnée'!$F$12)),'Feuille de Donnée'!$F$17,IF(AD110&lt;$H110*(1-'Feuille de Donnée'!$E$12),'Feuille de Donnée'!$F$18,'Feuille de Donnée'!$F$16))&amp;""&amp;IF(AND(AE110&gt;=$I110*(1-'Feuille de Donnée'!$E$27),AE110&lt;=$I110*(1+'Feuille de Donnée'!$F$27)),'Feuille de Donnée'!$F$32,IF(AE110&lt;$I110*(1-'Feuille de Donnée'!$E$27),'Feuille de Donnée'!$F$33,'Feuille de Donnée'!$F$31)))))</f>
        <v/>
      </c>
      <c r="AK110" s="151"/>
      <c r="AL110" s="110"/>
      <c r="AM110" s="28"/>
      <c r="AN110" s="28"/>
      <c r="AO110" s="28" t="str">
        <f t="shared" si="48"/>
        <v/>
      </c>
      <c r="AP110" s="128" t="str">
        <f t="shared" si="49"/>
        <v/>
      </c>
      <c r="AQ110" s="128" t="str">
        <f t="shared" si="50"/>
        <v/>
      </c>
      <c r="AR110" s="28" t="str">
        <f>IF(AND(ISBLANK(AT110),AS110=""),"",1+MAX(AR$18:AR109))</f>
        <v/>
      </c>
      <c r="AS110" s="150" t="str">
        <f>IF(OR(AO110="",AO110=0,$J110="",$J110=0,NOT(ISNUMBER($J110)),NOT(ISNUMBER(AO110))),IF(AND($G110&lt;&gt;"",AND(OR(ISNUMBER(AO110),AO110=""),AND(ISNUMBER($J110),$J110&gt;0))),'Feuille de Donnée'!$K$13,""),IF(AO110&lt;$J$165*'Feuille de Donnée'!$I$9,"Négligeable",(IF(AND(AM110&gt;=$H110*(1-'Feuille de Donnée'!$E$12),AM110&lt;=$H110*(1+'Feuille de Donnée'!$F$12)),'Feuille de Donnée'!$F$17,IF(AM110&lt;$H110*(1-'Feuille de Donnée'!$E$12),'Feuille de Donnée'!$F$18,'Feuille de Donnée'!$F$16))&amp;""&amp;IF(AND(AN110&gt;=$I110*(1-'Feuille de Donnée'!$E$27),AN110&lt;=$I110*(1+'Feuille de Donnée'!$F$27)),'Feuille de Donnée'!$F$32,IF(AN110&lt;$I110*(1-'Feuille de Donnée'!$E$27),'Feuille de Donnée'!$F$33,'Feuille de Donnée'!$F$31)))))</f>
        <v/>
      </c>
      <c r="AT110" s="151"/>
      <c r="AU110" s="110"/>
      <c r="AV110" s="28"/>
      <c r="AW110" s="28"/>
      <c r="AX110" s="28" t="str">
        <f t="shared" si="51"/>
        <v/>
      </c>
      <c r="AY110" s="128" t="str">
        <f t="shared" si="52"/>
        <v/>
      </c>
      <c r="AZ110" s="128" t="str">
        <f t="shared" si="53"/>
        <v/>
      </c>
      <c r="BA110" s="28" t="str">
        <f>IF(AND(ISBLANK(BC110),BB110=""),"",1+MAX(BA$18:BA109))</f>
        <v/>
      </c>
      <c r="BB110" s="150" t="str">
        <f>IF(OR(AX110="",AX110=0,$J110="",$J110=0,NOT(ISNUMBER($J110)),NOT(ISNUMBER(AX110))),IF(AND($G110&lt;&gt;"",AND(OR(ISNUMBER(AX110),AX110=""),AND(ISNUMBER($J110),$J110&gt;0))),'Feuille de Donnée'!$K$13,""),IF(AX110&lt;$J$165*'Feuille de Donnée'!$I$9,"Négligeable",(IF(AND(AV110&gt;=$H110*(1-'Feuille de Donnée'!$E$12),AV110&lt;=$H110*(1+'Feuille de Donnée'!$F$12)),'Feuille de Donnée'!$F$17,IF(AV110&lt;$H110*(1-'Feuille de Donnée'!$E$12),'Feuille de Donnée'!$F$18,'Feuille de Donnée'!$F$16))&amp;""&amp;IF(AND(AW110&gt;=$I110*(1-'Feuille de Donnée'!$E$27),AW110&lt;=$I110*(1+'Feuille de Donnée'!$F$27)),'Feuille de Donnée'!$F$32,IF(AW110&lt;$I110*(1-'Feuille de Donnée'!$E$27),'Feuille de Donnée'!$F$33,'Feuille de Donnée'!$F$31)))))</f>
        <v/>
      </c>
      <c r="BC110" s="151"/>
      <c r="BD110" s="110"/>
      <c r="BE110" s="28"/>
      <c r="BF110" s="28"/>
      <c r="BG110" s="28" t="str">
        <f t="shared" si="54"/>
        <v/>
      </c>
      <c r="BH110" s="128" t="str">
        <f t="shared" si="55"/>
        <v/>
      </c>
      <c r="BI110" s="128" t="str">
        <f t="shared" si="56"/>
        <v/>
      </c>
      <c r="BJ110" s="28" t="str">
        <f>IF(AND(ISBLANK(BL110),BK110=""),"",1+MAX(BJ$18:BJ109))</f>
        <v/>
      </c>
      <c r="BK110" s="150" t="str">
        <f>IF(OR(BG110="",BG110=0,$J110="",$J110=0,NOT(ISNUMBER($J110)),NOT(ISNUMBER(BG110))),IF(AND($G110&lt;&gt;"",AND(OR(ISNUMBER(BG110),BG110=""),AND(ISNUMBER($J110),$J110&gt;0))),'Feuille de Donnée'!$K$13,""),IF(BG110&lt;$J$165*'Feuille de Donnée'!$I$9,"Négligeable",(IF(AND(BE110&gt;=$H110*(1-'Feuille de Donnée'!$E$12),BE110&lt;=$H110*(1+'Feuille de Donnée'!$F$12)),'Feuille de Donnée'!$F$17,IF(BE110&lt;$H110*(1-'Feuille de Donnée'!$E$12),'Feuille de Donnée'!$F$18,'Feuille de Donnée'!$F$16))&amp;""&amp;IF(AND(BF110&gt;=$I110*(1-'Feuille de Donnée'!$E$27),BF110&lt;=$I110*(1+'Feuille de Donnée'!$F$27)),'Feuille de Donnée'!$F$32,IF(BF110&lt;$I110*(1-'Feuille de Donnée'!$E$27),'Feuille de Donnée'!$F$33,'Feuille de Donnée'!$F$31)))))</f>
        <v/>
      </c>
      <c r="BL110" s="151"/>
      <c r="BM110" s="153"/>
    </row>
    <row r="111" spans="1:65" s="7" customFormat="1" x14ac:dyDescent="0.3">
      <c r="A111" s="24"/>
      <c r="B111" s="25"/>
      <c r="C111" s="25"/>
      <c r="D111" s="25"/>
      <c r="E111" s="25"/>
      <c r="F111" s="25"/>
      <c r="G111" s="23"/>
      <c r="H111" s="26"/>
      <c r="I111" s="27"/>
      <c r="J111" s="109" t="str">
        <f t="shared" si="38"/>
        <v/>
      </c>
      <c r="K111" s="110"/>
      <c r="L111" s="28"/>
      <c r="M111" s="28"/>
      <c r="N111" s="28" t="str">
        <f t="shared" si="39"/>
        <v/>
      </c>
      <c r="O111" s="128" t="str">
        <f t="shared" si="40"/>
        <v/>
      </c>
      <c r="P111" s="128" t="str">
        <f t="shared" si="41"/>
        <v/>
      </c>
      <c r="Q111" s="28" t="str">
        <f>IF(AND(ISBLANK(S111),R111=""),"",1+MAX(Q$18:Q110))</f>
        <v/>
      </c>
      <c r="R111" s="150" t="str">
        <f>IF(OR(N111="",N111=0,$J111="",$J111=0,NOT(ISNUMBER($J111)),NOT(ISNUMBER(N111))),IF(AND($G111&lt;&gt;"",AND(OR(ISNUMBER(N111),N111=""),AND(ISNUMBER($J111),$J111&gt;0))),'Feuille de Donnée'!$K$13,""),IF(N111&lt;$J$165*'Feuille de Donnée'!$I$9,"Négligeable",(IF(AND(L111&gt;=$H111*(1-'Feuille de Donnée'!$E$12),L111&lt;=$H111*(1+'Feuille de Donnée'!$F$12)),'Feuille de Donnée'!$F$17,IF(L111&lt;$H111*(1-'Feuille de Donnée'!$E$12),'Feuille de Donnée'!$F$18,'Feuille de Donnée'!$F$16))&amp;""&amp;IF(AND(M111&gt;=$I111*(1-'Feuille de Donnée'!$E$27),M111&lt;=$I111*(1+'Feuille de Donnée'!$F$27)),'Feuille de Donnée'!$F$32,IF(M111&lt;$I111*(1-'Feuille de Donnée'!$E$27),'Feuille de Donnée'!$F$33,'Feuille de Donnée'!$F$31)))))</f>
        <v/>
      </c>
      <c r="S111" s="151"/>
      <c r="T111" s="110"/>
      <c r="U111" s="28"/>
      <c r="V111" s="28"/>
      <c r="W111" s="28" t="str">
        <f t="shared" si="42"/>
        <v/>
      </c>
      <c r="X111" s="128" t="str">
        <f t="shared" si="43"/>
        <v/>
      </c>
      <c r="Y111" s="128" t="str">
        <f t="shared" si="44"/>
        <v/>
      </c>
      <c r="Z111" s="28" t="str">
        <f>IF(AND(ISBLANK(AB111),AA111=""),"",1+MAX(Z$18:Z110))</f>
        <v/>
      </c>
      <c r="AA111" s="150" t="str">
        <f>IF(OR(W111="",W111=0,$J111="",$J111=0,NOT(ISNUMBER($J111)),NOT(ISNUMBER(W111))),IF(AND($G111&lt;&gt;"",AND(OR(ISNUMBER(W111),W111=""),AND(ISNUMBER($J111),$J111&gt;0))),'Feuille de Donnée'!$K$13,""),IF(W111&lt;$J$165*'Feuille de Donnée'!$I$9,"Négligeable",(IF(AND(U111&gt;=$H111*(1-'Feuille de Donnée'!$E$12),U111&lt;=$H111*(1+'Feuille de Donnée'!$F$12)),'Feuille de Donnée'!$F$17,IF(U111&lt;$H111*(1-'Feuille de Donnée'!$E$12),'Feuille de Donnée'!$F$18,'Feuille de Donnée'!$F$16))&amp;""&amp;IF(AND(V111&gt;=$I111*(1-'Feuille de Donnée'!$E$27),V111&lt;=$I111*(1+'Feuille de Donnée'!$F$27)),'Feuille de Donnée'!$F$32,IF(V111&lt;$I111*(1-'Feuille de Donnée'!$E$27),'Feuille de Donnée'!$F$33,'Feuille de Donnée'!$F$31)))))</f>
        <v/>
      </c>
      <c r="AB111" s="151"/>
      <c r="AC111" s="110"/>
      <c r="AD111" s="28"/>
      <c r="AE111" s="28"/>
      <c r="AF111" s="28" t="str">
        <f t="shared" si="45"/>
        <v/>
      </c>
      <c r="AG111" s="128" t="str">
        <f t="shared" si="46"/>
        <v/>
      </c>
      <c r="AH111" s="128" t="str">
        <f t="shared" si="47"/>
        <v/>
      </c>
      <c r="AI111" s="28" t="str">
        <f>IF(AND(ISBLANK(AK111),AJ111=""),"",1+MAX(AI$18:AI110))</f>
        <v/>
      </c>
      <c r="AJ111" s="150" t="str">
        <f>IF(OR(AF111="",AF111=0,$J111="",$J111=0,NOT(ISNUMBER($J111)),NOT(ISNUMBER(AF111))),IF(AND($G111&lt;&gt;"",AND(OR(ISNUMBER(AF111),AF111=""),AND(ISNUMBER($J111),$J111&gt;0))),'Feuille de Donnée'!$K$13,""),IF(AF111&lt;$J$165*'Feuille de Donnée'!$I$9,"Négligeable",(IF(AND(AD111&gt;=$H111*(1-'Feuille de Donnée'!$E$12),AD111&lt;=$H111*(1+'Feuille de Donnée'!$F$12)),'Feuille de Donnée'!$F$17,IF(AD111&lt;$H111*(1-'Feuille de Donnée'!$E$12),'Feuille de Donnée'!$F$18,'Feuille de Donnée'!$F$16))&amp;""&amp;IF(AND(AE111&gt;=$I111*(1-'Feuille de Donnée'!$E$27),AE111&lt;=$I111*(1+'Feuille de Donnée'!$F$27)),'Feuille de Donnée'!$F$32,IF(AE111&lt;$I111*(1-'Feuille de Donnée'!$E$27),'Feuille de Donnée'!$F$33,'Feuille de Donnée'!$F$31)))))</f>
        <v/>
      </c>
      <c r="AK111" s="151"/>
      <c r="AL111" s="110"/>
      <c r="AM111" s="28"/>
      <c r="AN111" s="28"/>
      <c r="AO111" s="28" t="str">
        <f t="shared" si="48"/>
        <v/>
      </c>
      <c r="AP111" s="128" t="str">
        <f t="shared" si="49"/>
        <v/>
      </c>
      <c r="AQ111" s="128" t="str">
        <f t="shared" si="50"/>
        <v/>
      </c>
      <c r="AR111" s="28" t="str">
        <f>IF(AND(ISBLANK(AT111),AS111=""),"",1+MAX(AR$18:AR110))</f>
        <v/>
      </c>
      <c r="AS111" s="150" t="str">
        <f>IF(OR(AO111="",AO111=0,$J111="",$J111=0,NOT(ISNUMBER($J111)),NOT(ISNUMBER(AO111))),IF(AND($G111&lt;&gt;"",AND(OR(ISNUMBER(AO111),AO111=""),AND(ISNUMBER($J111),$J111&gt;0))),'Feuille de Donnée'!$K$13,""),IF(AO111&lt;$J$165*'Feuille de Donnée'!$I$9,"Négligeable",(IF(AND(AM111&gt;=$H111*(1-'Feuille de Donnée'!$E$12),AM111&lt;=$H111*(1+'Feuille de Donnée'!$F$12)),'Feuille de Donnée'!$F$17,IF(AM111&lt;$H111*(1-'Feuille de Donnée'!$E$12),'Feuille de Donnée'!$F$18,'Feuille de Donnée'!$F$16))&amp;""&amp;IF(AND(AN111&gt;=$I111*(1-'Feuille de Donnée'!$E$27),AN111&lt;=$I111*(1+'Feuille de Donnée'!$F$27)),'Feuille de Donnée'!$F$32,IF(AN111&lt;$I111*(1-'Feuille de Donnée'!$E$27),'Feuille de Donnée'!$F$33,'Feuille de Donnée'!$F$31)))))</f>
        <v/>
      </c>
      <c r="AT111" s="151"/>
      <c r="AU111" s="110"/>
      <c r="AV111" s="28"/>
      <c r="AW111" s="28"/>
      <c r="AX111" s="28" t="str">
        <f t="shared" si="51"/>
        <v/>
      </c>
      <c r="AY111" s="128" t="str">
        <f t="shared" si="52"/>
        <v/>
      </c>
      <c r="AZ111" s="128" t="str">
        <f t="shared" si="53"/>
        <v/>
      </c>
      <c r="BA111" s="28" t="str">
        <f>IF(AND(ISBLANK(BC111),BB111=""),"",1+MAX(BA$18:BA110))</f>
        <v/>
      </c>
      <c r="BB111" s="150" t="str">
        <f>IF(OR(AX111="",AX111=0,$J111="",$J111=0,NOT(ISNUMBER($J111)),NOT(ISNUMBER(AX111))),IF(AND($G111&lt;&gt;"",AND(OR(ISNUMBER(AX111),AX111=""),AND(ISNUMBER($J111),$J111&gt;0))),'Feuille de Donnée'!$K$13,""),IF(AX111&lt;$J$165*'Feuille de Donnée'!$I$9,"Négligeable",(IF(AND(AV111&gt;=$H111*(1-'Feuille de Donnée'!$E$12),AV111&lt;=$H111*(1+'Feuille de Donnée'!$F$12)),'Feuille de Donnée'!$F$17,IF(AV111&lt;$H111*(1-'Feuille de Donnée'!$E$12),'Feuille de Donnée'!$F$18,'Feuille de Donnée'!$F$16))&amp;""&amp;IF(AND(AW111&gt;=$I111*(1-'Feuille de Donnée'!$E$27),AW111&lt;=$I111*(1+'Feuille de Donnée'!$F$27)),'Feuille de Donnée'!$F$32,IF(AW111&lt;$I111*(1-'Feuille de Donnée'!$E$27),'Feuille de Donnée'!$F$33,'Feuille de Donnée'!$F$31)))))</f>
        <v/>
      </c>
      <c r="BC111" s="151"/>
      <c r="BD111" s="110"/>
      <c r="BE111" s="28"/>
      <c r="BF111" s="28"/>
      <c r="BG111" s="28" t="str">
        <f t="shared" si="54"/>
        <v/>
      </c>
      <c r="BH111" s="128" t="str">
        <f t="shared" si="55"/>
        <v/>
      </c>
      <c r="BI111" s="128" t="str">
        <f t="shared" si="56"/>
        <v/>
      </c>
      <c r="BJ111" s="28" t="str">
        <f>IF(AND(ISBLANK(BL111),BK111=""),"",1+MAX(BJ$18:BJ110))</f>
        <v/>
      </c>
      <c r="BK111" s="150" t="str">
        <f>IF(OR(BG111="",BG111=0,$J111="",$J111=0,NOT(ISNUMBER($J111)),NOT(ISNUMBER(BG111))),IF(AND($G111&lt;&gt;"",AND(OR(ISNUMBER(BG111),BG111=""),AND(ISNUMBER($J111),$J111&gt;0))),'Feuille de Donnée'!$K$13,""),IF(BG111&lt;$J$165*'Feuille de Donnée'!$I$9,"Négligeable",(IF(AND(BE111&gt;=$H111*(1-'Feuille de Donnée'!$E$12),BE111&lt;=$H111*(1+'Feuille de Donnée'!$F$12)),'Feuille de Donnée'!$F$17,IF(BE111&lt;$H111*(1-'Feuille de Donnée'!$E$12),'Feuille de Donnée'!$F$18,'Feuille de Donnée'!$F$16))&amp;""&amp;IF(AND(BF111&gt;=$I111*(1-'Feuille de Donnée'!$E$27),BF111&lt;=$I111*(1+'Feuille de Donnée'!$F$27)),'Feuille de Donnée'!$F$32,IF(BF111&lt;$I111*(1-'Feuille de Donnée'!$E$27),'Feuille de Donnée'!$F$33,'Feuille de Donnée'!$F$31)))))</f>
        <v/>
      </c>
      <c r="BL111" s="151"/>
      <c r="BM111" s="153"/>
    </row>
    <row r="112" spans="1:65" s="7" customFormat="1" x14ac:dyDescent="0.3">
      <c r="A112" s="24"/>
      <c r="B112" s="25"/>
      <c r="C112" s="25"/>
      <c r="D112" s="25"/>
      <c r="E112" s="25"/>
      <c r="F112" s="25"/>
      <c r="G112" s="23"/>
      <c r="H112" s="26"/>
      <c r="I112" s="27"/>
      <c r="J112" s="109" t="str">
        <f t="shared" si="38"/>
        <v/>
      </c>
      <c r="K112" s="110"/>
      <c r="L112" s="28"/>
      <c r="M112" s="28"/>
      <c r="N112" s="28" t="str">
        <f t="shared" si="39"/>
        <v/>
      </c>
      <c r="O112" s="128" t="str">
        <f t="shared" si="40"/>
        <v/>
      </c>
      <c r="P112" s="128" t="str">
        <f t="shared" si="41"/>
        <v/>
      </c>
      <c r="Q112" s="28" t="str">
        <f>IF(AND(ISBLANK(S112),R112=""),"",1+MAX(Q$18:Q111))</f>
        <v/>
      </c>
      <c r="R112" s="150" t="str">
        <f>IF(OR(N112="",N112=0,$J112="",$J112=0,NOT(ISNUMBER($J112)),NOT(ISNUMBER(N112))),IF(AND($G112&lt;&gt;"",AND(OR(ISNUMBER(N112),N112=""),AND(ISNUMBER($J112),$J112&gt;0))),'Feuille de Donnée'!$K$13,""),IF(N112&lt;$J$165*'Feuille de Donnée'!$I$9,"Négligeable",(IF(AND(L112&gt;=$H112*(1-'Feuille de Donnée'!$E$12),L112&lt;=$H112*(1+'Feuille de Donnée'!$F$12)),'Feuille de Donnée'!$F$17,IF(L112&lt;$H112*(1-'Feuille de Donnée'!$E$12),'Feuille de Donnée'!$F$18,'Feuille de Donnée'!$F$16))&amp;""&amp;IF(AND(M112&gt;=$I112*(1-'Feuille de Donnée'!$E$27),M112&lt;=$I112*(1+'Feuille de Donnée'!$F$27)),'Feuille de Donnée'!$F$32,IF(M112&lt;$I112*(1-'Feuille de Donnée'!$E$27),'Feuille de Donnée'!$F$33,'Feuille de Donnée'!$F$31)))))</f>
        <v/>
      </c>
      <c r="S112" s="151"/>
      <c r="T112" s="110"/>
      <c r="U112" s="28"/>
      <c r="V112" s="28"/>
      <c r="W112" s="28" t="str">
        <f t="shared" si="42"/>
        <v/>
      </c>
      <c r="X112" s="128" t="str">
        <f t="shared" si="43"/>
        <v/>
      </c>
      <c r="Y112" s="128" t="str">
        <f t="shared" si="44"/>
        <v/>
      </c>
      <c r="Z112" s="28" t="str">
        <f>IF(AND(ISBLANK(AB112),AA112=""),"",1+MAX(Z$18:Z111))</f>
        <v/>
      </c>
      <c r="AA112" s="150" t="str">
        <f>IF(OR(W112="",W112=0,$J112="",$J112=0,NOT(ISNUMBER($J112)),NOT(ISNUMBER(W112))),IF(AND($G112&lt;&gt;"",AND(OR(ISNUMBER(W112),W112=""),AND(ISNUMBER($J112),$J112&gt;0))),'Feuille de Donnée'!$K$13,""),IF(W112&lt;$J$165*'Feuille de Donnée'!$I$9,"Négligeable",(IF(AND(U112&gt;=$H112*(1-'Feuille de Donnée'!$E$12),U112&lt;=$H112*(1+'Feuille de Donnée'!$F$12)),'Feuille de Donnée'!$F$17,IF(U112&lt;$H112*(1-'Feuille de Donnée'!$E$12),'Feuille de Donnée'!$F$18,'Feuille de Donnée'!$F$16))&amp;""&amp;IF(AND(V112&gt;=$I112*(1-'Feuille de Donnée'!$E$27),V112&lt;=$I112*(1+'Feuille de Donnée'!$F$27)),'Feuille de Donnée'!$F$32,IF(V112&lt;$I112*(1-'Feuille de Donnée'!$E$27),'Feuille de Donnée'!$F$33,'Feuille de Donnée'!$F$31)))))</f>
        <v/>
      </c>
      <c r="AB112" s="151"/>
      <c r="AC112" s="110"/>
      <c r="AD112" s="28"/>
      <c r="AE112" s="28"/>
      <c r="AF112" s="28" t="str">
        <f t="shared" si="45"/>
        <v/>
      </c>
      <c r="AG112" s="128" t="str">
        <f t="shared" si="46"/>
        <v/>
      </c>
      <c r="AH112" s="128" t="str">
        <f t="shared" si="47"/>
        <v/>
      </c>
      <c r="AI112" s="28" t="str">
        <f>IF(AND(ISBLANK(AK112),AJ112=""),"",1+MAX(AI$18:AI111))</f>
        <v/>
      </c>
      <c r="AJ112" s="150" t="str">
        <f>IF(OR(AF112="",AF112=0,$J112="",$J112=0,NOT(ISNUMBER($J112)),NOT(ISNUMBER(AF112))),IF(AND($G112&lt;&gt;"",AND(OR(ISNUMBER(AF112),AF112=""),AND(ISNUMBER($J112),$J112&gt;0))),'Feuille de Donnée'!$K$13,""),IF(AF112&lt;$J$165*'Feuille de Donnée'!$I$9,"Négligeable",(IF(AND(AD112&gt;=$H112*(1-'Feuille de Donnée'!$E$12),AD112&lt;=$H112*(1+'Feuille de Donnée'!$F$12)),'Feuille de Donnée'!$F$17,IF(AD112&lt;$H112*(1-'Feuille de Donnée'!$E$12),'Feuille de Donnée'!$F$18,'Feuille de Donnée'!$F$16))&amp;""&amp;IF(AND(AE112&gt;=$I112*(1-'Feuille de Donnée'!$E$27),AE112&lt;=$I112*(1+'Feuille de Donnée'!$F$27)),'Feuille de Donnée'!$F$32,IF(AE112&lt;$I112*(1-'Feuille de Donnée'!$E$27),'Feuille de Donnée'!$F$33,'Feuille de Donnée'!$F$31)))))</f>
        <v/>
      </c>
      <c r="AK112" s="151"/>
      <c r="AL112" s="110"/>
      <c r="AM112" s="28"/>
      <c r="AN112" s="28"/>
      <c r="AO112" s="28" t="str">
        <f t="shared" si="48"/>
        <v/>
      </c>
      <c r="AP112" s="128" t="str">
        <f t="shared" si="49"/>
        <v/>
      </c>
      <c r="AQ112" s="128" t="str">
        <f t="shared" si="50"/>
        <v/>
      </c>
      <c r="AR112" s="28" t="str">
        <f>IF(AND(ISBLANK(AT112),AS112=""),"",1+MAX(AR$18:AR111))</f>
        <v/>
      </c>
      <c r="AS112" s="150" t="str">
        <f>IF(OR(AO112="",AO112=0,$J112="",$J112=0,NOT(ISNUMBER($J112)),NOT(ISNUMBER(AO112))),IF(AND($G112&lt;&gt;"",AND(OR(ISNUMBER(AO112),AO112=""),AND(ISNUMBER($J112),$J112&gt;0))),'Feuille de Donnée'!$K$13,""),IF(AO112&lt;$J$165*'Feuille de Donnée'!$I$9,"Négligeable",(IF(AND(AM112&gt;=$H112*(1-'Feuille de Donnée'!$E$12),AM112&lt;=$H112*(1+'Feuille de Donnée'!$F$12)),'Feuille de Donnée'!$F$17,IF(AM112&lt;$H112*(1-'Feuille de Donnée'!$E$12),'Feuille de Donnée'!$F$18,'Feuille de Donnée'!$F$16))&amp;""&amp;IF(AND(AN112&gt;=$I112*(1-'Feuille de Donnée'!$E$27),AN112&lt;=$I112*(1+'Feuille de Donnée'!$F$27)),'Feuille de Donnée'!$F$32,IF(AN112&lt;$I112*(1-'Feuille de Donnée'!$E$27),'Feuille de Donnée'!$F$33,'Feuille de Donnée'!$F$31)))))</f>
        <v/>
      </c>
      <c r="AT112" s="151"/>
      <c r="AU112" s="110"/>
      <c r="AV112" s="28"/>
      <c r="AW112" s="28"/>
      <c r="AX112" s="28" t="str">
        <f t="shared" si="51"/>
        <v/>
      </c>
      <c r="AY112" s="128" t="str">
        <f t="shared" si="52"/>
        <v/>
      </c>
      <c r="AZ112" s="128" t="str">
        <f t="shared" si="53"/>
        <v/>
      </c>
      <c r="BA112" s="28" t="str">
        <f>IF(AND(ISBLANK(BC112),BB112=""),"",1+MAX(BA$18:BA111))</f>
        <v/>
      </c>
      <c r="BB112" s="150" t="str">
        <f>IF(OR(AX112="",AX112=0,$J112="",$J112=0,NOT(ISNUMBER($J112)),NOT(ISNUMBER(AX112))),IF(AND($G112&lt;&gt;"",AND(OR(ISNUMBER(AX112),AX112=""),AND(ISNUMBER($J112),$J112&gt;0))),'Feuille de Donnée'!$K$13,""),IF(AX112&lt;$J$165*'Feuille de Donnée'!$I$9,"Négligeable",(IF(AND(AV112&gt;=$H112*(1-'Feuille de Donnée'!$E$12),AV112&lt;=$H112*(1+'Feuille de Donnée'!$F$12)),'Feuille de Donnée'!$F$17,IF(AV112&lt;$H112*(1-'Feuille de Donnée'!$E$12),'Feuille de Donnée'!$F$18,'Feuille de Donnée'!$F$16))&amp;""&amp;IF(AND(AW112&gt;=$I112*(1-'Feuille de Donnée'!$E$27),AW112&lt;=$I112*(1+'Feuille de Donnée'!$F$27)),'Feuille de Donnée'!$F$32,IF(AW112&lt;$I112*(1-'Feuille de Donnée'!$E$27),'Feuille de Donnée'!$F$33,'Feuille de Donnée'!$F$31)))))</f>
        <v/>
      </c>
      <c r="BC112" s="151"/>
      <c r="BD112" s="110"/>
      <c r="BE112" s="28"/>
      <c r="BF112" s="28"/>
      <c r="BG112" s="28" t="str">
        <f t="shared" si="54"/>
        <v/>
      </c>
      <c r="BH112" s="128" t="str">
        <f t="shared" si="55"/>
        <v/>
      </c>
      <c r="BI112" s="128" t="str">
        <f t="shared" si="56"/>
        <v/>
      </c>
      <c r="BJ112" s="28" t="str">
        <f>IF(AND(ISBLANK(BL112),BK112=""),"",1+MAX(BJ$18:BJ111))</f>
        <v/>
      </c>
      <c r="BK112" s="150" t="str">
        <f>IF(OR(BG112="",BG112=0,$J112="",$J112=0,NOT(ISNUMBER($J112)),NOT(ISNUMBER(BG112))),IF(AND($G112&lt;&gt;"",AND(OR(ISNUMBER(BG112),BG112=""),AND(ISNUMBER($J112),$J112&gt;0))),'Feuille de Donnée'!$K$13,""),IF(BG112&lt;$J$165*'Feuille de Donnée'!$I$9,"Négligeable",(IF(AND(BE112&gt;=$H112*(1-'Feuille de Donnée'!$E$12),BE112&lt;=$H112*(1+'Feuille de Donnée'!$F$12)),'Feuille de Donnée'!$F$17,IF(BE112&lt;$H112*(1-'Feuille de Donnée'!$E$12),'Feuille de Donnée'!$F$18,'Feuille de Donnée'!$F$16))&amp;""&amp;IF(AND(BF112&gt;=$I112*(1-'Feuille de Donnée'!$E$27),BF112&lt;=$I112*(1+'Feuille de Donnée'!$F$27)),'Feuille de Donnée'!$F$32,IF(BF112&lt;$I112*(1-'Feuille de Donnée'!$E$27),'Feuille de Donnée'!$F$33,'Feuille de Donnée'!$F$31)))))</f>
        <v/>
      </c>
      <c r="BL112" s="151"/>
      <c r="BM112" s="153"/>
    </row>
    <row r="113" spans="1:65" s="7" customFormat="1" x14ac:dyDescent="0.3">
      <c r="A113" s="24"/>
      <c r="B113" s="25"/>
      <c r="C113" s="25"/>
      <c r="D113" s="25"/>
      <c r="E113" s="25"/>
      <c r="F113" s="25"/>
      <c r="G113" s="23"/>
      <c r="H113" s="26"/>
      <c r="I113" s="27"/>
      <c r="J113" s="109" t="str">
        <f t="shared" si="38"/>
        <v/>
      </c>
      <c r="K113" s="110"/>
      <c r="L113" s="28"/>
      <c r="M113" s="28"/>
      <c r="N113" s="28" t="str">
        <f t="shared" si="39"/>
        <v/>
      </c>
      <c r="O113" s="128" t="str">
        <f t="shared" si="40"/>
        <v/>
      </c>
      <c r="P113" s="128" t="str">
        <f t="shared" si="41"/>
        <v/>
      </c>
      <c r="Q113" s="28" t="str">
        <f>IF(AND(ISBLANK(S113),R113=""),"",1+MAX(Q$18:Q112))</f>
        <v/>
      </c>
      <c r="R113" s="150" t="str">
        <f>IF(OR(N113="",N113=0,$J113="",$J113=0,NOT(ISNUMBER($J113)),NOT(ISNUMBER(N113))),IF(AND($G113&lt;&gt;"",AND(OR(ISNUMBER(N113),N113=""),AND(ISNUMBER($J113),$J113&gt;0))),'Feuille de Donnée'!$K$13,""),IF(N113&lt;$J$165*'Feuille de Donnée'!$I$9,"Négligeable",(IF(AND(L113&gt;=$H113*(1-'Feuille de Donnée'!$E$12),L113&lt;=$H113*(1+'Feuille de Donnée'!$F$12)),'Feuille de Donnée'!$F$17,IF(L113&lt;$H113*(1-'Feuille de Donnée'!$E$12),'Feuille de Donnée'!$F$18,'Feuille de Donnée'!$F$16))&amp;""&amp;IF(AND(M113&gt;=$I113*(1-'Feuille de Donnée'!$E$27),M113&lt;=$I113*(1+'Feuille de Donnée'!$F$27)),'Feuille de Donnée'!$F$32,IF(M113&lt;$I113*(1-'Feuille de Donnée'!$E$27),'Feuille de Donnée'!$F$33,'Feuille de Donnée'!$F$31)))))</f>
        <v/>
      </c>
      <c r="S113" s="151"/>
      <c r="T113" s="110"/>
      <c r="U113" s="28"/>
      <c r="V113" s="28"/>
      <c r="W113" s="28" t="str">
        <f t="shared" si="42"/>
        <v/>
      </c>
      <c r="X113" s="128" t="str">
        <f t="shared" si="43"/>
        <v/>
      </c>
      <c r="Y113" s="128" t="str">
        <f t="shared" si="44"/>
        <v/>
      </c>
      <c r="Z113" s="28" t="str">
        <f>IF(AND(ISBLANK(AB113),AA113=""),"",1+MAX(Z$18:Z112))</f>
        <v/>
      </c>
      <c r="AA113" s="150" t="str">
        <f>IF(OR(W113="",W113=0,$J113="",$J113=0,NOT(ISNUMBER($J113)),NOT(ISNUMBER(W113))),IF(AND($G113&lt;&gt;"",AND(OR(ISNUMBER(W113),W113=""),AND(ISNUMBER($J113),$J113&gt;0))),'Feuille de Donnée'!$K$13,""),IF(W113&lt;$J$165*'Feuille de Donnée'!$I$9,"Négligeable",(IF(AND(U113&gt;=$H113*(1-'Feuille de Donnée'!$E$12),U113&lt;=$H113*(1+'Feuille de Donnée'!$F$12)),'Feuille de Donnée'!$F$17,IF(U113&lt;$H113*(1-'Feuille de Donnée'!$E$12),'Feuille de Donnée'!$F$18,'Feuille de Donnée'!$F$16))&amp;""&amp;IF(AND(V113&gt;=$I113*(1-'Feuille de Donnée'!$E$27),V113&lt;=$I113*(1+'Feuille de Donnée'!$F$27)),'Feuille de Donnée'!$F$32,IF(V113&lt;$I113*(1-'Feuille de Donnée'!$E$27),'Feuille de Donnée'!$F$33,'Feuille de Donnée'!$F$31)))))</f>
        <v/>
      </c>
      <c r="AB113" s="151"/>
      <c r="AC113" s="110"/>
      <c r="AD113" s="28"/>
      <c r="AE113" s="28"/>
      <c r="AF113" s="28" t="str">
        <f t="shared" si="45"/>
        <v/>
      </c>
      <c r="AG113" s="128" t="str">
        <f t="shared" si="46"/>
        <v/>
      </c>
      <c r="AH113" s="128" t="str">
        <f t="shared" si="47"/>
        <v/>
      </c>
      <c r="AI113" s="28" t="str">
        <f>IF(AND(ISBLANK(AK113),AJ113=""),"",1+MAX(AI$18:AI112))</f>
        <v/>
      </c>
      <c r="AJ113" s="150" t="str">
        <f>IF(OR(AF113="",AF113=0,$J113="",$J113=0,NOT(ISNUMBER($J113)),NOT(ISNUMBER(AF113))),IF(AND($G113&lt;&gt;"",AND(OR(ISNUMBER(AF113),AF113=""),AND(ISNUMBER($J113),$J113&gt;0))),'Feuille de Donnée'!$K$13,""),IF(AF113&lt;$J$165*'Feuille de Donnée'!$I$9,"Négligeable",(IF(AND(AD113&gt;=$H113*(1-'Feuille de Donnée'!$E$12),AD113&lt;=$H113*(1+'Feuille de Donnée'!$F$12)),'Feuille de Donnée'!$F$17,IF(AD113&lt;$H113*(1-'Feuille de Donnée'!$E$12),'Feuille de Donnée'!$F$18,'Feuille de Donnée'!$F$16))&amp;""&amp;IF(AND(AE113&gt;=$I113*(1-'Feuille de Donnée'!$E$27),AE113&lt;=$I113*(1+'Feuille de Donnée'!$F$27)),'Feuille de Donnée'!$F$32,IF(AE113&lt;$I113*(1-'Feuille de Donnée'!$E$27),'Feuille de Donnée'!$F$33,'Feuille de Donnée'!$F$31)))))</f>
        <v/>
      </c>
      <c r="AK113" s="151"/>
      <c r="AL113" s="110"/>
      <c r="AM113" s="28"/>
      <c r="AN113" s="28"/>
      <c r="AO113" s="28" t="str">
        <f t="shared" si="48"/>
        <v/>
      </c>
      <c r="AP113" s="128" t="str">
        <f t="shared" si="49"/>
        <v/>
      </c>
      <c r="AQ113" s="128" t="str">
        <f t="shared" si="50"/>
        <v/>
      </c>
      <c r="AR113" s="28" t="str">
        <f>IF(AND(ISBLANK(AT113),AS113=""),"",1+MAX(AR$18:AR112))</f>
        <v/>
      </c>
      <c r="AS113" s="150" t="str">
        <f>IF(OR(AO113="",AO113=0,$J113="",$J113=0,NOT(ISNUMBER($J113)),NOT(ISNUMBER(AO113))),IF(AND($G113&lt;&gt;"",AND(OR(ISNUMBER(AO113),AO113=""),AND(ISNUMBER($J113),$J113&gt;0))),'Feuille de Donnée'!$K$13,""),IF(AO113&lt;$J$165*'Feuille de Donnée'!$I$9,"Négligeable",(IF(AND(AM113&gt;=$H113*(1-'Feuille de Donnée'!$E$12),AM113&lt;=$H113*(1+'Feuille de Donnée'!$F$12)),'Feuille de Donnée'!$F$17,IF(AM113&lt;$H113*(1-'Feuille de Donnée'!$E$12),'Feuille de Donnée'!$F$18,'Feuille de Donnée'!$F$16))&amp;""&amp;IF(AND(AN113&gt;=$I113*(1-'Feuille de Donnée'!$E$27),AN113&lt;=$I113*(1+'Feuille de Donnée'!$F$27)),'Feuille de Donnée'!$F$32,IF(AN113&lt;$I113*(1-'Feuille de Donnée'!$E$27),'Feuille de Donnée'!$F$33,'Feuille de Donnée'!$F$31)))))</f>
        <v/>
      </c>
      <c r="AT113" s="151"/>
      <c r="AU113" s="110"/>
      <c r="AV113" s="28"/>
      <c r="AW113" s="28"/>
      <c r="AX113" s="28" t="str">
        <f t="shared" si="51"/>
        <v/>
      </c>
      <c r="AY113" s="128" t="str">
        <f t="shared" si="52"/>
        <v/>
      </c>
      <c r="AZ113" s="128" t="str">
        <f t="shared" si="53"/>
        <v/>
      </c>
      <c r="BA113" s="28" t="str">
        <f>IF(AND(ISBLANK(BC113),BB113=""),"",1+MAX(BA$18:BA112))</f>
        <v/>
      </c>
      <c r="BB113" s="150" t="str">
        <f>IF(OR(AX113="",AX113=0,$J113="",$J113=0,NOT(ISNUMBER($J113)),NOT(ISNUMBER(AX113))),IF(AND($G113&lt;&gt;"",AND(OR(ISNUMBER(AX113),AX113=""),AND(ISNUMBER($J113),$J113&gt;0))),'Feuille de Donnée'!$K$13,""),IF(AX113&lt;$J$165*'Feuille de Donnée'!$I$9,"Négligeable",(IF(AND(AV113&gt;=$H113*(1-'Feuille de Donnée'!$E$12),AV113&lt;=$H113*(1+'Feuille de Donnée'!$F$12)),'Feuille de Donnée'!$F$17,IF(AV113&lt;$H113*(1-'Feuille de Donnée'!$E$12),'Feuille de Donnée'!$F$18,'Feuille de Donnée'!$F$16))&amp;""&amp;IF(AND(AW113&gt;=$I113*(1-'Feuille de Donnée'!$E$27),AW113&lt;=$I113*(1+'Feuille de Donnée'!$F$27)),'Feuille de Donnée'!$F$32,IF(AW113&lt;$I113*(1-'Feuille de Donnée'!$E$27),'Feuille de Donnée'!$F$33,'Feuille de Donnée'!$F$31)))))</f>
        <v/>
      </c>
      <c r="BC113" s="151"/>
      <c r="BD113" s="110"/>
      <c r="BE113" s="28"/>
      <c r="BF113" s="28"/>
      <c r="BG113" s="28" t="str">
        <f t="shared" si="54"/>
        <v/>
      </c>
      <c r="BH113" s="128" t="str">
        <f t="shared" si="55"/>
        <v/>
      </c>
      <c r="BI113" s="128" t="str">
        <f t="shared" si="56"/>
        <v/>
      </c>
      <c r="BJ113" s="28" t="str">
        <f>IF(AND(ISBLANK(BL113),BK113=""),"",1+MAX(BJ$18:BJ112))</f>
        <v/>
      </c>
      <c r="BK113" s="150" t="str">
        <f>IF(OR(BG113="",BG113=0,$J113="",$J113=0,NOT(ISNUMBER($J113)),NOT(ISNUMBER(BG113))),IF(AND($G113&lt;&gt;"",AND(OR(ISNUMBER(BG113),BG113=""),AND(ISNUMBER($J113),$J113&gt;0))),'Feuille de Donnée'!$K$13,""),IF(BG113&lt;$J$165*'Feuille de Donnée'!$I$9,"Négligeable",(IF(AND(BE113&gt;=$H113*(1-'Feuille de Donnée'!$E$12),BE113&lt;=$H113*(1+'Feuille de Donnée'!$F$12)),'Feuille de Donnée'!$F$17,IF(BE113&lt;$H113*(1-'Feuille de Donnée'!$E$12),'Feuille de Donnée'!$F$18,'Feuille de Donnée'!$F$16))&amp;""&amp;IF(AND(BF113&gt;=$I113*(1-'Feuille de Donnée'!$E$27),BF113&lt;=$I113*(1+'Feuille de Donnée'!$F$27)),'Feuille de Donnée'!$F$32,IF(BF113&lt;$I113*(1-'Feuille de Donnée'!$E$27),'Feuille de Donnée'!$F$33,'Feuille de Donnée'!$F$31)))))</f>
        <v/>
      </c>
      <c r="BL113" s="151"/>
      <c r="BM113" s="153"/>
    </row>
    <row r="114" spans="1:65" s="7" customFormat="1" x14ac:dyDescent="0.3">
      <c r="A114" s="24"/>
      <c r="B114" s="25"/>
      <c r="C114" s="25"/>
      <c r="D114" s="25"/>
      <c r="E114" s="25"/>
      <c r="F114" s="25"/>
      <c r="G114" s="23"/>
      <c r="H114" s="26"/>
      <c r="I114" s="27"/>
      <c r="J114" s="109" t="str">
        <f t="shared" si="38"/>
        <v/>
      </c>
      <c r="K114" s="110"/>
      <c r="L114" s="28"/>
      <c r="M114" s="28"/>
      <c r="N114" s="28" t="str">
        <f t="shared" si="39"/>
        <v/>
      </c>
      <c r="O114" s="128" t="str">
        <f t="shared" si="40"/>
        <v/>
      </c>
      <c r="P114" s="128" t="str">
        <f t="shared" si="41"/>
        <v/>
      </c>
      <c r="Q114" s="28" t="str">
        <f>IF(AND(ISBLANK(S114),R114=""),"",1+MAX(Q$18:Q113))</f>
        <v/>
      </c>
      <c r="R114" s="150" t="str">
        <f>IF(OR(N114="",N114=0,$J114="",$J114=0,NOT(ISNUMBER($J114)),NOT(ISNUMBER(N114))),IF(AND($G114&lt;&gt;"",AND(OR(ISNUMBER(N114),N114=""),AND(ISNUMBER($J114),$J114&gt;0))),'Feuille de Donnée'!$K$13,""),IF(N114&lt;$J$165*'Feuille de Donnée'!$I$9,"Négligeable",(IF(AND(L114&gt;=$H114*(1-'Feuille de Donnée'!$E$12),L114&lt;=$H114*(1+'Feuille de Donnée'!$F$12)),'Feuille de Donnée'!$F$17,IF(L114&lt;$H114*(1-'Feuille de Donnée'!$E$12),'Feuille de Donnée'!$F$18,'Feuille de Donnée'!$F$16))&amp;""&amp;IF(AND(M114&gt;=$I114*(1-'Feuille de Donnée'!$E$27),M114&lt;=$I114*(1+'Feuille de Donnée'!$F$27)),'Feuille de Donnée'!$F$32,IF(M114&lt;$I114*(1-'Feuille de Donnée'!$E$27),'Feuille de Donnée'!$F$33,'Feuille de Donnée'!$F$31)))))</f>
        <v/>
      </c>
      <c r="S114" s="151"/>
      <c r="T114" s="110"/>
      <c r="U114" s="28"/>
      <c r="V114" s="28"/>
      <c r="W114" s="28" t="str">
        <f t="shared" si="42"/>
        <v/>
      </c>
      <c r="X114" s="128" t="str">
        <f t="shared" si="43"/>
        <v/>
      </c>
      <c r="Y114" s="128" t="str">
        <f t="shared" si="44"/>
        <v/>
      </c>
      <c r="Z114" s="28" t="str">
        <f>IF(AND(ISBLANK(AB114),AA114=""),"",1+MAX(Z$18:Z113))</f>
        <v/>
      </c>
      <c r="AA114" s="150" t="str">
        <f>IF(OR(W114="",W114=0,$J114="",$J114=0,NOT(ISNUMBER($J114)),NOT(ISNUMBER(W114))),IF(AND($G114&lt;&gt;"",AND(OR(ISNUMBER(W114),W114=""),AND(ISNUMBER($J114),$J114&gt;0))),'Feuille de Donnée'!$K$13,""),IF(W114&lt;$J$165*'Feuille de Donnée'!$I$9,"Négligeable",(IF(AND(U114&gt;=$H114*(1-'Feuille de Donnée'!$E$12),U114&lt;=$H114*(1+'Feuille de Donnée'!$F$12)),'Feuille de Donnée'!$F$17,IF(U114&lt;$H114*(1-'Feuille de Donnée'!$E$12),'Feuille de Donnée'!$F$18,'Feuille de Donnée'!$F$16))&amp;""&amp;IF(AND(V114&gt;=$I114*(1-'Feuille de Donnée'!$E$27),V114&lt;=$I114*(1+'Feuille de Donnée'!$F$27)),'Feuille de Donnée'!$F$32,IF(V114&lt;$I114*(1-'Feuille de Donnée'!$E$27),'Feuille de Donnée'!$F$33,'Feuille de Donnée'!$F$31)))))</f>
        <v/>
      </c>
      <c r="AB114" s="151"/>
      <c r="AC114" s="110"/>
      <c r="AD114" s="28"/>
      <c r="AE114" s="28"/>
      <c r="AF114" s="28" t="str">
        <f t="shared" si="45"/>
        <v/>
      </c>
      <c r="AG114" s="128" t="str">
        <f t="shared" si="46"/>
        <v/>
      </c>
      <c r="AH114" s="128" t="str">
        <f t="shared" si="47"/>
        <v/>
      </c>
      <c r="AI114" s="28" t="str">
        <f>IF(AND(ISBLANK(AK114),AJ114=""),"",1+MAX(AI$18:AI113))</f>
        <v/>
      </c>
      <c r="AJ114" s="150" t="str">
        <f>IF(OR(AF114="",AF114=0,$J114="",$J114=0,NOT(ISNUMBER($J114)),NOT(ISNUMBER(AF114))),IF(AND($G114&lt;&gt;"",AND(OR(ISNUMBER(AF114),AF114=""),AND(ISNUMBER($J114),$J114&gt;0))),'Feuille de Donnée'!$K$13,""),IF(AF114&lt;$J$165*'Feuille de Donnée'!$I$9,"Négligeable",(IF(AND(AD114&gt;=$H114*(1-'Feuille de Donnée'!$E$12),AD114&lt;=$H114*(1+'Feuille de Donnée'!$F$12)),'Feuille de Donnée'!$F$17,IF(AD114&lt;$H114*(1-'Feuille de Donnée'!$E$12),'Feuille de Donnée'!$F$18,'Feuille de Donnée'!$F$16))&amp;""&amp;IF(AND(AE114&gt;=$I114*(1-'Feuille de Donnée'!$E$27),AE114&lt;=$I114*(1+'Feuille de Donnée'!$F$27)),'Feuille de Donnée'!$F$32,IF(AE114&lt;$I114*(1-'Feuille de Donnée'!$E$27),'Feuille de Donnée'!$F$33,'Feuille de Donnée'!$F$31)))))</f>
        <v/>
      </c>
      <c r="AK114" s="151"/>
      <c r="AL114" s="110"/>
      <c r="AM114" s="28"/>
      <c r="AN114" s="28"/>
      <c r="AO114" s="28" t="str">
        <f t="shared" si="48"/>
        <v/>
      </c>
      <c r="AP114" s="128" t="str">
        <f t="shared" si="49"/>
        <v/>
      </c>
      <c r="AQ114" s="128" t="str">
        <f t="shared" si="50"/>
        <v/>
      </c>
      <c r="AR114" s="28" t="str">
        <f>IF(AND(ISBLANK(AT114),AS114=""),"",1+MAX(AR$18:AR113))</f>
        <v/>
      </c>
      <c r="AS114" s="150" t="str">
        <f>IF(OR(AO114="",AO114=0,$J114="",$J114=0,NOT(ISNUMBER($J114)),NOT(ISNUMBER(AO114))),IF(AND($G114&lt;&gt;"",AND(OR(ISNUMBER(AO114),AO114=""),AND(ISNUMBER($J114),$J114&gt;0))),'Feuille de Donnée'!$K$13,""),IF(AO114&lt;$J$165*'Feuille de Donnée'!$I$9,"Négligeable",(IF(AND(AM114&gt;=$H114*(1-'Feuille de Donnée'!$E$12),AM114&lt;=$H114*(1+'Feuille de Donnée'!$F$12)),'Feuille de Donnée'!$F$17,IF(AM114&lt;$H114*(1-'Feuille de Donnée'!$E$12),'Feuille de Donnée'!$F$18,'Feuille de Donnée'!$F$16))&amp;""&amp;IF(AND(AN114&gt;=$I114*(1-'Feuille de Donnée'!$E$27),AN114&lt;=$I114*(1+'Feuille de Donnée'!$F$27)),'Feuille de Donnée'!$F$32,IF(AN114&lt;$I114*(1-'Feuille de Donnée'!$E$27),'Feuille de Donnée'!$F$33,'Feuille de Donnée'!$F$31)))))</f>
        <v/>
      </c>
      <c r="AT114" s="151"/>
      <c r="AU114" s="110"/>
      <c r="AV114" s="28"/>
      <c r="AW114" s="28"/>
      <c r="AX114" s="28" t="str">
        <f t="shared" si="51"/>
        <v/>
      </c>
      <c r="AY114" s="128" t="str">
        <f t="shared" si="52"/>
        <v/>
      </c>
      <c r="AZ114" s="128" t="str">
        <f t="shared" si="53"/>
        <v/>
      </c>
      <c r="BA114" s="28" t="str">
        <f>IF(AND(ISBLANK(BC114),BB114=""),"",1+MAX(BA$18:BA113))</f>
        <v/>
      </c>
      <c r="BB114" s="150" t="str">
        <f>IF(OR(AX114="",AX114=0,$J114="",$J114=0,NOT(ISNUMBER($J114)),NOT(ISNUMBER(AX114))),IF(AND($G114&lt;&gt;"",AND(OR(ISNUMBER(AX114),AX114=""),AND(ISNUMBER($J114),$J114&gt;0))),'Feuille de Donnée'!$K$13,""),IF(AX114&lt;$J$165*'Feuille de Donnée'!$I$9,"Négligeable",(IF(AND(AV114&gt;=$H114*(1-'Feuille de Donnée'!$E$12),AV114&lt;=$H114*(1+'Feuille de Donnée'!$F$12)),'Feuille de Donnée'!$F$17,IF(AV114&lt;$H114*(1-'Feuille de Donnée'!$E$12),'Feuille de Donnée'!$F$18,'Feuille de Donnée'!$F$16))&amp;""&amp;IF(AND(AW114&gt;=$I114*(1-'Feuille de Donnée'!$E$27),AW114&lt;=$I114*(1+'Feuille de Donnée'!$F$27)),'Feuille de Donnée'!$F$32,IF(AW114&lt;$I114*(1-'Feuille de Donnée'!$E$27),'Feuille de Donnée'!$F$33,'Feuille de Donnée'!$F$31)))))</f>
        <v/>
      </c>
      <c r="BC114" s="151"/>
      <c r="BD114" s="110"/>
      <c r="BE114" s="28"/>
      <c r="BF114" s="28"/>
      <c r="BG114" s="28" t="str">
        <f t="shared" si="54"/>
        <v/>
      </c>
      <c r="BH114" s="128" t="str">
        <f t="shared" si="55"/>
        <v/>
      </c>
      <c r="BI114" s="128" t="str">
        <f t="shared" si="56"/>
        <v/>
      </c>
      <c r="BJ114" s="28" t="str">
        <f>IF(AND(ISBLANK(BL114),BK114=""),"",1+MAX(BJ$18:BJ113))</f>
        <v/>
      </c>
      <c r="BK114" s="150" t="str">
        <f>IF(OR(BG114="",BG114=0,$J114="",$J114=0,NOT(ISNUMBER($J114)),NOT(ISNUMBER(BG114))),IF(AND($G114&lt;&gt;"",AND(OR(ISNUMBER(BG114),BG114=""),AND(ISNUMBER($J114),$J114&gt;0))),'Feuille de Donnée'!$K$13,""),IF(BG114&lt;$J$165*'Feuille de Donnée'!$I$9,"Négligeable",(IF(AND(BE114&gt;=$H114*(1-'Feuille de Donnée'!$E$12),BE114&lt;=$H114*(1+'Feuille de Donnée'!$F$12)),'Feuille de Donnée'!$F$17,IF(BE114&lt;$H114*(1-'Feuille de Donnée'!$E$12),'Feuille de Donnée'!$F$18,'Feuille de Donnée'!$F$16))&amp;""&amp;IF(AND(BF114&gt;=$I114*(1-'Feuille de Donnée'!$E$27),BF114&lt;=$I114*(1+'Feuille de Donnée'!$F$27)),'Feuille de Donnée'!$F$32,IF(BF114&lt;$I114*(1-'Feuille de Donnée'!$E$27),'Feuille de Donnée'!$F$33,'Feuille de Donnée'!$F$31)))))</f>
        <v/>
      </c>
      <c r="BL114" s="151"/>
      <c r="BM114" s="153"/>
    </row>
    <row r="115" spans="1:65" s="7" customFormat="1" x14ac:dyDescent="0.3">
      <c r="A115" s="24"/>
      <c r="B115" s="25"/>
      <c r="C115" s="25"/>
      <c r="D115" s="25"/>
      <c r="E115" s="25"/>
      <c r="F115" s="25"/>
      <c r="G115" s="23"/>
      <c r="H115" s="26"/>
      <c r="I115" s="27"/>
      <c r="J115" s="109" t="str">
        <f t="shared" si="38"/>
        <v/>
      </c>
      <c r="K115" s="110"/>
      <c r="L115" s="28"/>
      <c r="M115" s="28"/>
      <c r="N115" s="28" t="str">
        <f t="shared" si="39"/>
        <v/>
      </c>
      <c r="O115" s="128" t="str">
        <f t="shared" si="40"/>
        <v/>
      </c>
      <c r="P115" s="128" t="str">
        <f t="shared" si="41"/>
        <v/>
      </c>
      <c r="Q115" s="28" t="str">
        <f>IF(AND(ISBLANK(S115),R115=""),"",1+MAX(Q$18:Q114))</f>
        <v/>
      </c>
      <c r="R115" s="150" t="str">
        <f>IF(OR(N115="",N115=0,$J115="",$J115=0,NOT(ISNUMBER($J115)),NOT(ISNUMBER(N115))),IF(AND($G115&lt;&gt;"",AND(OR(ISNUMBER(N115),N115=""),AND(ISNUMBER($J115),$J115&gt;0))),'Feuille de Donnée'!$K$13,""),IF(N115&lt;$J$165*'Feuille de Donnée'!$I$9,"Négligeable",(IF(AND(L115&gt;=$H115*(1-'Feuille de Donnée'!$E$12),L115&lt;=$H115*(1+'Feuille de Donnée'!$F$12)),'Feuille de Donnée'!$F$17,IF(L115&lt;$H115*(1-'Feuille de Donnée'!$E$12),'Feuille de Donnée'!$F$18,'Feuille de Donnée'!$F$16))&amp;""&amp;IF(AND(M115&gt;=$I115*(1-'Feuille de Donnée'!$E$27),M115&lt;=$I115*(1+'Feuille de Donnée'!$F$27)),'Feuille de Donnée'!$F$32,IF(M115&lt;$I115*(1-'Feuille de Donnée'!$E$27),'Feuille de Donnée'!$F$33,'Feuille de Donnée'!$F$31)))))</f>
        <v/>
      </c>
      <c r="S115" s="151"/>
      <c r="T115" s="110"/>
      <c r="U115" s="28"/>
      <c r="V115" s="28"/>
      <c r="W115" s="28" t="str">
        <f t="shared" si="42"/>
        <v/>
      </c>
      <c r="X115" s="128" t="str">
        <f t="shared" si="43"/>
        <v/>
      </c>
      <c r="Y115" s="128" t="str">
        <f t="shared" si="44"/>
        <v/>
      </c>
      <c r="Z115" s="28" t="str">
        <f>IF(AND(ISBLANK(AB115),AA115=""),"",1+MAX(Z$18:Z114))</f>
        <v/>
      </c>
      <c r="AA115" s="150" t="str">
        <f>IF(OR(W115="",W115=0,$J115="",$J115=0,NOT(ISNUMBER($J115)),NOT(ISNUMBER(W115))),IF(AND($G115&lt;&gt;"",AND(OR(ISNUMBER(W115),W115=""),AND(ISNUMBER($J115),$J115&gt;0))),'Feuille de Donnée'!$K$13,""),IF(W115&lt;$J$165*'Feuille de Donnée'!$I$9,"Négligeable",(IF(AND(U115&gt;=$H115*(1-'Feuille de Donnée'!$E$12),U115&lt;=$H115*(1+'Feuille de Donnée'!$F$12)),'Feuille de Donnée'!$F$17,IF(U115&lt;$H115*(1-'Feuille de Donnée'!$E$12),'Feuille de Donnée'!$F$18,'Feuille de Donnée'!$F$16))&amp;""&amp;IF(AND(V115&gt;=$I115*(1-'Feuille de Donnée'!$E$27),V115&lt;=$I115*(1+'Feuille de Donnée'!$F$27)),'Feuille de Donnée'!$F$32,IF(V115&lt;$I115*(1-'Feuille de Donnée'!$E$27),'Feuille de Donnée'!$F$33,'Feuille de Donnée'!$F$31)))))</f>
        <v/>
      </c>
      <c r="AB115" s="151"/>
      <c r="AC115" s="110"/>
      <c r="AD115" s="28"/>
      <c r="AE115" s="28"/>
      <c r="AF115" s="28" t="str">
        <f t="shared" si="45"/>
        <v/>
      </c>
      <c r="AG115" s="128" t="str">
        <f t="shared" si="46"/>
        <v/>
      </c>
      <c r="AH115" s="128" t="str">
        <f t="shared" si="47"/>
        <v/>
      </c>
      <c r="AI115" s="28" t="str">
        <f>IF(AND(ISBLANK(AK115),AJ115=""),"",1+MAX(AI$18:AI114))</f>
        <v/>
      </c>
      <c r="AJ115" s="150" t="str">
        <f>IF(OR(AF115="",AF115=0,$J115="",$J115=0,NOT(ISNUMBER($J115)),NOT(ISNUMBER(AF115))),IF(AND($G115&lt;&gt;"",AND(OR(ISNUMBER(AF115),AF115=""),AND(ISNUMBER($J115),$J115&gt;0))),'Feuille de Donnée'!$K$13,""),IF(AF115&lt;$J$165*'Feuille de Donnée'!$I$9,"Négligeable",(IF(AND(AD115&gt;=$H115*(1-'Feuille de Donnée'!$E$12),AD115&lt;=$H115*(1+'Feuille de Donnée'!$F$12)),'Feuille de Donnée'!$F$17,IF(AD115&lt;$H115*(1-'Feuille de Donnée'!$E$12),'Feuille de Donnée'!$F$18,'Feuille de Donnée'!$F$16))&amp;""&amp;IF(AND(AE115&gt;=$I115*(1-'Feuille de Donnée'!$E$27),AE115&lt;=$I115*(1+'Feuille de Donnée'!$F$27)),'Feuille de Donnée'!$F$32,IF(AE115&lt;$I115*(1-'Feuille de Donnée'!$E$27),'Feuille de Donnée'!$F$33,'Feuille de Donnée'!$F$31)))))</f>
        <v/>
      </c>
      <c r="AK115" s="151"/>
      <c r="AL115" s="110"/>
      <c r="AM115" s="28"/>
      <c r="AN115" s="28"/>
      <c r="AO115" s="28" t="str">
        <f t="shared" si="48"/>
        <v/>
      </c>
      <c r="AP115" s="128" t="str">
        <f t="shared" si="49"/>
        <v/>
      </c>
      <c r="AQ115" s="128" t="str">
        <f t="shared" si="50"/>
        <v/>
      </c>
      <c r="AR115" s="28" t="str">
        <f>IF(AND(ISBLANK(AT115),AS115=""),"",1+MAX(AR$18:AR114))</f>
        <v/>
      </c>
      <c r="AS115" s="150" t="str">
        <f>IF(OR(AO115="",AO115=0,$J115="",$J115=0,NOT(ISNUMBER($J115)),NOT(ISNUMBER(AO115))),IF(AND($G115&lt;&gt;"",AND(OR(ISNUMBER(AO115),AO115=""),AND(ISNUMBER($J115),$J115&gt;0))),'Feuille de Donnée'!$K$13,""),IF(AO115&lt;$J$165*'Feuille de Donnée'!$I$9,"Négligeable",(IF(AND(AM115&gt;=$H115*(1-'Feuille de Donnée'!$E$12),AM115&lt;=$H115*(1+'Feuille de Donnée'!$F$12)),'Feuille de Donnée'!$F$17,IF(AM115&lt;$H115*(1-'Feuille de Donnée'!$E$12),'Feuille de Donnée'!$F$18,'Feuille de Donnée'!$F$16))&amp;""&amp;IF(AND(AN115&gt;=$I115*(1-'Feuille de Donnée'!$E$27),AN115&lt;=$I115*(1+'Feuille de Donnée'!$F$27)),'Feuille de Donnée'!$F$32,IF(AN115&lt;$I115*(1-'Feuille de Donnée'!$E$27),'Feuille de Donnée'!$F$33,'Feuille de Donnée'!$F$31)))))</f>
        <v/>
      </c>
      <c r="AT115" s="151"/>
      <c r="AU115" s="110"/>
      <c r="AV115" s="28"/>
      <c r="AW115" s="28"/>
      <c r="AX115" s="28" t="str">
        <f t="shared" si="51"/>
        <v/>
      </c>
      <c r="AY115" s="128" t="str">
        <f t="shared" si="52"/>
        <v/>
      </c>
      <c r="AZ115" s="128" t="str">
        <f t="shared" si="53"/>
        <v/>
      </c>
      <c r="BA115" s="28" t="str">
        <f>IF(AND(ISBLANK(BC115),BB115=""),"",1+MAX(BA$18:BA114))</f>
        <v/>
      </c>
      <c r="BB115" s="150" t="str">
        <f>IF(OR(AX115="",AX115=0,$J115="",$J115=0,NOT(ISNUMBER($J115)),NOT(ISNUMBER(AX115))),IF(AND($G115&lt;&gt;"",AND(OR(ISNUMBER(AX115),AX115=""),AND(ISNUMBER($J115),$J115&gt;0))),'Feuille de Donnée'!$K$13,""),IF(AX115&lt;$J$165*'Feuille de Donnée'!$I$9,"Négligeable",(IF(AND(AV115&gt;=$H115*(1-'Feuille de Donnée'!$E$12),AV115&lt;=$H115*(1+'Feuille de Donnée'!$F$12)),'Feuille de Donnée'!$F$17,IF(AV115&lt;$H115*(1-'Feuille de Donnée'!$E$12),'Feuille de Donnée'!$F$18,'Feuille de Donnée'!$F$16))&amp;""&amp;IF(AND(AW115&gt;=$I115*(1-'Feuille de Donnée'!$E$27),AW115&lt;=$I115*(1+'Feuille de Donnée'!$F$27)),'Feuille de Donnée'!$F$32,IF(AW115&lt;$I115*(1-'Feuille de Donnée'!$E$27),'Feuille de Donnée'!$F$33,'Feuille de Donnée'!$F$31)))))</f>
        <v/>
      </c>
      <c r="BC115" s="151"/>
      <c r="BD115" s="110"/>
      <c r="BE115" s="28"/>
      <c r="BF115" s="28"/>
      <c r="BG115" s="28" t="str">
        <f t="shared" si="54"/>
        <v/>
      </c>
      <c r="BH115" s="128" t="str">
        <f t="shared" si="55"/>
        <v/>
      </c>
      <c r="BI115" s="128" t="str">
        <f t="shared" si="56"/>
        <v/>
      </c>
      <c r="BJ115" s="28" t="str">
        <f>IF(AND(ISBLANK(BL115),BK115=""),"",1+MAX(BJ$18:BJ114))</f>
        <v/>
      </c>
      <c r="BK115" s="150" t="str">
        <f>IF(OR(BG115="",BG115=0,$J115="",$J115=0,NOT(ISNUMBER($J115)),NOT(ISNUMBER(BG115))),IF(AND($G115&lt;&gt;"",AND(OR(ISNUMBER(BG115),BG115=""),AND(ISNUMBER($J115),$J115&gt;0))),'Feuille de Donnée'!$K$13,""),IF(BG115&lt;$J$165*'Feuille de Donnée'!$I$9,"Négligeable",(IF(AND(BE115&gt;=$H115*(1-'Feuille de Donnée'!$E$12),BE115&lt;=$H115*(1+'Feuille de Donnée'!$F$12)),'Feuille de Donnée'!$F$17,IF(BE115&lt;$H115*(1-'Feuille de Donnée'!$E$12),'Feuille de Donnée'!$F$18,'Feuille de Donnée'!$F$16))&amp;""&amp;IF(AND(BF115&gt;=$I115*(1-'Feuille de Donnée'!$E$27),BF115&lt;=$I115*(1+'Feuille de Donnée'!$F$27)),'Feuille de Donnée'!$F$32,IF(BF115&lt;$I115*(1-'Feuille de Donnée'!$E$27),'Feuille de Donnée'!$F$33,'Feuille de Donnée'!$F$31)))))</f>
        <v/>
      </c>
      <c r="BL115" s="151"/>
      <c r="BM115" s="153"/>
    </row>
    <row r="116" spans="1:65" s="7" customFormat="1" x14ac:dyDescent="0.3">
      <c r="A116" s="24"/>
      <c r="B116" s="25"/>
      <c r="C116" s="25"/>
      <c r="D116" s="25"/>
      <c r="E116" s="25"/>
      <c r="F116" s="25"/>
      <c r="G116" s="23"/>
      <c r="H116" s="26"/>
      <c r="I116" s="27"/>
      <c r="J116" s="109" t="str">
        <f t="shared" si="38"/>
        <v/>
      </c>
      <c r="K116" s="110"/>
      <c r="L116" s="28"/>
      <c r="M116" s="28"/>
      <c r="N116" s="28" t="str">
        <f t="shared" si="39"/>
        <v/>
      </c>
      <c r="O116" s="128" t="str">
        <f t="shared" si="40"/>
        <v/>
      </c>
      <c r="P116" s="128" t="str">
        <f t="shared" si="41"/>
        <v/>
      </c>
      <c r="Q116" s="28" t="str">
        <f>IF(AND(ISBLANK(S116),R116=""),"",1+MAX(Q$18:Q115))</f>
        <v/>
      </c>
      <c r="R116" s="150" t="str">
        <f>IF(OR(N116="",N116=0,$J116="",$J116=0,NOT(ISNUMBER($J116)),NOT(ISNUMBER(N116))),IF(AND($G116&lt;&gt;"",AND(OR(ISNUMBER(N116),N116=""),AND(ISNUMBER($J116),$J116&gt;0))),'Feuille de Donnée'!$K$13,""),IF(N116&lt;$J$165*'Feuille de Donnée'!$I$9,"Négligeable",(IF(AND(L116&gt;=$H116*(1-'Feuille de Donnée'!$E$12),L116&lt;=$H116*(1+'Feuille de Donnée'!$F$12)),'Feuille de Donnée'!$F$17,IF(L116&lt;$H116*(1-'Feuille de Donnée'!$E$12),'Feuille de Donnée'!$F$18,'Feuille de Donnée'!$F$16))&amp;""&amp;IF(AND(M116&gt;=$I116*(1-'Feuille de Donnée'!$E$27),M116&lt;=$I116*(1+'Feuille de Donnée'!$F$27)),'Feuille de Donnée'!$F$32,IF(M116&lt;$I116*(1-'Feuille de Donnée'!$E$27),'Feuille de Donnée'!$F$33,'Feuille de Donnée'!$F$31)))))</f>
        <v/>
      </c>
      <c r="S116" s="151"/>
      <c r="T116" s="110"/>
      <c r="U116" s="28"/>
      <c r="V116" s="28"/>
      <c r="W116" s="28" t="str">
        <f t="shared" si="42"/>
        <v/>
      </c>
      <c r="X116" s="128" t="str">
        <f t="shared" si="43"/>
        <v/>
      </c>
      <c r="Y116" s="128" t="str">
        <f t="shared" si="44"/>
        <v/>
      </c>
      <c r="Z116" s="28" t="str">
        <f>IF(AND(ISBLANK(AB116),AA116=""),"",1+MAX(Z$18:Z115))</f>
        <v/>
      </c>
      <c r="AA116" s="150" t="str">
        <f>IF(OR(W116="",W116=0,$J116="",$J116=0,NOT(ISNUMBER($J116)),NOT(ISNUMBER(W116))),IF(AND($G116&lt;&gt;"",AND(OR(ISNUMBER(W116),W116=""),AND(ISNUMBER($J116),$J116&gt;0))),'Feuille de Donnée'!$K$13,""),IF(W116&lt;$J$165*'Feuille de Donnée'!$I$9,"Négligeable",(IF(AND(U116&gt;=$H116*(1-'Feuille de Donnée'!$E$12),U116&lt;=$H116*(1+'Feuille de Donnée'!$F$12)),'Feuille de Donnée'!$F$17,IF(U116&lt;$H116*(1-'Feuille de Donnée'!$E$12),'Feuille de Donnée'!$F$18,'Feuille de Donnée'!$F$16))&amp;""&amp;IF(AND(V116&gt;=$I116*(1-'Feuille de Donnée'!$E$27),V116&lt;=$I116*(1+'Feuille de Donnée'!$F$27)),'Feuille de Donnée'!$F$32,IF(V116&lt;$I116*(1-'Feuille de Donnée'!$E$27),'Feuille de Donnée'!$F$33,'Feuille de Donnée'!$F$31)))))</f>
        <v/>
      </c>
      <c r="AB116" s="151"/>
      <c r="AC116" s="110"/>
      <c r="AD116" s="28"/>
      <c r="AE116" s="28"/>
      <c r="AF116" s="28" t="str">
        <f t="shared" si="45"/>
        <v/>
      </c>
      <c r="AG116" s="128" t="str">
        <f t="shared" si="46"/>
        <v/>
      </c>
      <c r="AH116" s="128" t="str">
        <f t="shared" si="47"/>
        <v/>
      </c>
      <c r="AI116" s="28" t="str">
        <f>IF(AND(ISBLANK(AK116),AJ116=""),"",1+MAX(AI$18:AI115))</f>
        <v/>
      </c>
      <c r="AJ116" s="150" t="str">
        <f>IF(OR(AF116="",AF116=0,$J116="",$J116=0,NOT(ISNUMBER($J116)),NOT(ISNUMBER(AF116))),IF(AND($G116&lt;&gt;"",AND(OR(ISNUMBER(AF116),AF116=""),AND(ISNUMBER($J116),$J116&gt;0))),'Feuille de Donnée'!$K$13,""),IF(AF116&lt;$J$165*'Feuille de Donnée'!$I$9,"Négligeable",(IF(AND(AD116&gt;=$H116*(1-'Feuille de Donnée'!$E$12),AD116&lt;=$H116*(1+'Feuille de Donnée'!$F$12)),'Feuille de Donnée'!$F$17,IF(AD116&lt;$H116*(1-'Feuille de Donnée'!$E$12),'Feuille de Donnée'!$F$18,'Feuille de Donnée'!$F$16))&amp;""&amp;IF(AND(AE116&gt;=$I116*(1-'Feuille de Donnée'!$E$27),AE116&lt;=$I116*(1+'Feuille de Donnée'!$F$27)),'Feuille de Donnée'!$F$32,IF(AE116&lt;$I116*(1-'Feuille de Donnée'!$E$27),'Feuille de Donnée'!$F$33,'Feuille de Donnée'!$F$31)))))</f>
        <v/>
      </c>
      <c r="AK116" s="151"/>
      <c r="AL116" s="110"/>
      <c r="AM116" s="28"/>
      <c r="AN116" s="28"/>
      <c r="AO116" s="28" t="str">
        <f t="shared" si="48"/>
        <v/>
      </c>
      <c r="AP116" s="128" t="str">
        <f t="shared" si="49"/>
        <v/>
      </c>
      <c r="AQ116" s="128" t="str">
        <f t="shared" si="50"/>
        <v/>
      </c>
      <c r="AR116" s="28" t="str">
        <f>IF(AND(ISBLANK(AT116),AS116=""),"",1+MAX(AR$18:AR115))</f>
        <v/>
      </c>
      <c r="AS116" s="150" t="str">
        <f>IF(OR(AO116="",AO116=0,$J116="",$J116=0,NOT(ISNUMBER($J116)),NOT(ISNUMBER(AO116))),IF(AND($G116&lt;&gt;"",AND(OR(ISNUMBER(AO116),AO116=""),AND(ISNUMBER($J116),$J116&gt;0))),'Feuille de Donnée'!$K$13,""),IF(AO116&lt;$J$165*'Feuille de Donnée'!$I$9,"Négligeable",(IF(AND(AM116&gt;=$H116*(1-'Feuille de Donnée'!$E$12),AM116&lt;=$H116*(1+'Feuille de Donnée'!$F$12)),'Feuille de Donnée'!$F$17,IF(AM116&lt;$H116*(1-'Feuille de Donnée'!$E$12),'Feuille de Donnée'!$F$18,'Feuille de Donnée'!$F$16))&amp;""&amp;IF(AND(AN116&gt;=$I116*(1-'Feuille de Donnée'!$E$27),AN116&lt;=$I116*(1+'Feuille de Donnée'!$F$27)),'Feuille de Donnée'!$F$32,IF(AN116&lt;$I116*(1-'Feuille de Donnée'!$E$27),'Feuille de Donnée'!$F$33,'Feuille de Donnée'!$F$31)))))</f>
        <v/>
      </c>
      <c r="AT116" s="151"/>
      <c r="AU116" s="110"/>
      <c r="AV116" s="28"/>
      <c r="AW116" s="28"/>
      <c r="AX116" s="28" t="str">
        <f t="shared" si="51"/>
        <v/>
      </c>
      <c r="AY116" s="128" t="str">
        <f t="shared" si="52"/>
        <v/>
      </c>
      <c r="AZ116" s="128" t="str">
        <f t="shared" si="53"/>
        <v/>
      </c>
      <c r="BA116" s="28" t="str">
        <f>IF(AND(ISBLANK(BC116),BB116=""),"",1+MAX(BA$18:BA115))</f>
        <v/>
      </c>
      <c r="BB116" s="150" t="str">
        <f>IF(OR(AX116="",AX116=0,$J116="",$J116=0,NOT(ISNUMBER($J116)),NOT(ISNUMBER(AX116))),IF(AND($G116&lt;&gt;"",AND(OR(ISNUMBER(AX116),AX116=""),AND(ISNUMBER($J116),$J116&gt;0))),'Feuille de Donnée'!$K$13,""),IF(AX116&lt;$J$165*'Feuille de Donnée'!$I$9,"Négligeable",(IF(AND(AV116&gt;=$H116*(1-'Feuille de Donnée'!$E$12),AV116&lt;=$H116*(1+'Feuille de Donnée'!$F$12)),'Feuille de Donnée'!$F$17,IF(AV116&lt;$H116*(1-'Feuille de Donnée'!$E$12),'Feuille de Donnée'!$F$18,'Feuille de Donnée'!$F$16))&amp;""&amp;IF(AND(AW116&gt;=$I116*(1-'Feuille de Donnée'!$E$27),AW116&lt;=$I116*(1+'Feuille de Donnée'!$F$27)),'Feuille de Donnée'!$F$32,IF(AW116&lt;$I116*(1-'Feuille de Donnée'!$E$27),'Feuille de Donnée'!$F$33,'Feuille de Donnée'!$F$31)))))</f>
        <v/>
      </c>
      <c r="BC116" s="151"/>
      <c r="BD116" s="110"/>
      <c r="BE116" s="28"/>
      <c r="BF116" s="28"/>
      <c r="BG116" s="28" t="str">
        <f t="shared" si="54"/>
        <v/>
      </c>
      <c r="BH116" s="128" t="str">
        <f t="shared" si="55"/>
        <v/>
      </c>
      <c r="BI116" s="128" t="str">
        <f t="shared" si="56"/>
        <v/>
      </c>
      <c r="BJ116" s="28" t="str">
        <f>IF(AND(ISBLANK(BL116),BK116=""),"",1+MAX(BJ$18:BJ115))</f>
        <v/>
      </c>
      <c r="BK116" s="150" t="str">
        <f>IF(OR(BG116="",BG116=0,$J116="",$J116=0,NOT(ISNUMBER($J116)),NOT(ISNUMBER(BG116))),IF(AND($G116&lt;&gt;"",AND(OR(ISNUMBER(BG116),BG116=""),AND(ISNUMBER($J116),$J116&gt;0))),'Feuille de Donnée'!$K$13,""),IF(BG116&lt;$J$165*'Feuille de Donnée'!$I$9,"Négligeable",(IF(AND(BE116&gt;=$H116*(1-'Feuille de Donnée'!$E$12),BE116&lt;=$H116*(1+'Feuille de Donnée'!$F$12)),'Feuille de Donnée'!$F$17,IF(BE116&lt;$H116*(1-'Feuille de Donnée'!$E$12),'Feuille de Donnée'!$F$18,'Feuille de Donnée'!$F$16))&amp;""&amp;IF(AND(BF116&gt;=$I116*(1-'Feuille de Donnée'!$E$27),BF116&lt;=$I116*(1+'Feuille de Donnée'!$F$27)),'Feuille de Donnée'!$F$32,IF(BF116&lt;$I116*(1-'Feuille de Donnée'!$E$27),'Feuille de Donnée'!$F$33,'Feuille de Donnée'!$F$31)))))</f>
        <v/>
      </c>
      <c r="BL116" s="151"/>
      <c r="BM116" s="153"/>
    </row>
    <row r="117" spans="1:65" s="7" customFormat="1" x14ac:dyDescent="0.3">
      <c r="A117" s="24"/>
      <c r="B117" s="25"/>
      <c r="C117" s="25"/>
      <c r="D117" s="25"/>
      <c r="E117" s="25"/>
      <c r="F117" s="25"/>
      <c r="G117" s="23"/>
      <c r="H117" s="26"/>
      <c r="I117" s="27"/>
      <c r="J117" s="109" t="str">
        <f t="shared" si="38"/>
        <v/>
      </c>
      <c r="K117" s="110"/>
      <c r="L117" s="28"/>
      <c r="M117" s="28"/>
      <c r="N117" s="28" t="str">
        <f t="shared" si="39"/>
        <v/>
      </c>
      <c r="O117" s="128" t="str">
        <f t="shared" si="40"/>
        <v/>
      </c>
      <c r="P117" s="128" t="str">
        <f t="shared" si="41"/>
        <v/>
      </c>
      <c r="Q117" s="28" t="str">
        <f>IF(AND(ISBLANK(S117),R117=""),"",1+MAX(Q$18:Q116))</f>
        <v/>
      </c>
      <c r="R117" s="150" t="str">
        <f>IF(OR(N117="",N117=0,$J117="",$J117=0,NOT(ISNUMBER($J117)),NOT(ISNUMBER(N117))),IF(AND($G117&lt;&gt;"",AND(OR(ISNUMBER(N117),N117=""),AND(ISNUMBER($J117),$J117&gt;0))),'Feuille de Donnée'!$K$13,""),IF(N117&lt;$J$165*'Feuille de Donnée'!$I$9,"Négligeable",(IF(AND(L117&gt;=$H117*(1-'Feuille de Donnée'!$E$12),L117&lt;=$H117*(1+'Feuille de Donnée'!$F$12)),'Feuille de Donnée'!$F$17,IF(L117&lt;$H117*(1-'Feuille de Donnée'!$E$12),'Feuille de Donnée'!$F$18,'Feuille de Donnée'!$F$16))&amp;""&amp;IF(AND(M117&gt;=$I117*(1-'Feuille de Donnée'!$E$27),M117&lt;=$I117*(1+'Feuille de Donnée'!$F$27)),'Feuille de Donnée'!$F$32,IF(M117&lt;$I117*(1-'Feuille de Donnée'!$E$27),'Feuille de Donnée'!$F$33,'Feuille de Donnée'!$F$31)))))</f>
        <v/>
      </c>
      <c r="S117" s="151"/>
      <c r="T117" s="110"/>
      <c r="U117" s="28"/>
      <c r="V117" s="28"/>
      <c r="W117" s="28" t="str">
        <f t="shared" si="42"/>
        <v/>
      </c>
      <c r="X117" s="128" t="str">
        <f t="shared" si="43"/>
        <v/>
      </c>
      <c r="Y117" s="128" t="str">
        <f t="shared" si="44"/>
        <v/>
      </c>
      <c r="Z117" s="28" t="str">
        <f>IF(AND(ISBLANK(AB117),AA117=""),"",1+MAX(Z$18:Z116))</f>
        <v/>
      </c>
      <c r="AA117" s="150" t="str">
        <f>IF(OR(W117="",W117=0,$J117="",$J117=0,NOT(ISNUMBER($J117)),NOT(ISNUMBER(W117))),IF(AND($G117&lt;&gt;"",AND(OR(ISNUMBER(W117),W117=""),AND(ISNUMBER($J117),$J117&gt;0))),'Feuille de Donnée'!$K$13,""),IF(W117&lt;$J$165*'Feuille de Donnée'!$I$9,"Négligeable",(IF(AND(U117&gt;=$H117*(1-'Feuille de Donnée'!$E$12),U117&lt;=$H117*(1+'Feuille de Donnée'!$F$12)),'Feuille de Donnée'!$F$17,IF(U117&lt;$H117*(1-'Feuille de Donnée'!$E$12),'Feuille de Donnée'!$F$18,'Feuille de Donnée'!$F$16))&amp;""&amp;IF(AND(V117&gt;=$I117*(1-'Feuille de Donnée'!$E$27),V117&lt;=$I117*(1+'Feuille de Donnée'!$F$27)),'Feuille de Donnée'!$F$32,IF(V117&lt;$I117*(1-'Feuille de Donnée'!$E$27),'Feuille de Donnée'!$F$33,'Feuille de Donnée'!$F$31)))))</f>
        <v/>
      </c>
      <c r="AB117" s="151"/>
      <c r="AC117" s="110"/>
      <c r="AD117" s="28"/>
      <c r="AE117" s="28"/>
      <c r="AF117" s="28" t="str">
        <f t="shared" si="45"/>
        <v/>
      </c>
      <c r="AG117" s="128" t="str">
        <f t="shared" si="46"/>
        <v/>
      </c>
      <c r="AH117" s="128" t="str">
        <f t="shared" si="47"/>
        <v/>
      </c>
      <c r="AI117" s="28" t="str">
        <f>IF(AND(ISBLANK(AK117),AJ117=""),"",1+MAX(AI$18:AI116))</f>
        <v/>
      </c>
      <c r="AJ117" s="150" t="str">
        <f>IF(OR(AF117="",AF117=0,$J117="",$J117=0,NOT(ISNUMBER($J117)),NOT(ISNUMBER(AF117))),IF(AND($G117&lt;&gt;"",AND(OR(ISNUMBER(AF117),AF117=""),AND(ISNUMBER($J117),$J117&gt;0))),'Feuille de Donnée'!$K$13,""),IF(AF117&lt;$J$165*'Feuille de Donnée'!$I$9,"Négligeable",(IF(AND(AD117&gt;=$H117*(1-'Feuille de Donnée'!$E$12),AD117&lt;=$H117*(1+'Feuille de Donnée'!$F$12)),'Feuille de Donnée'!$F$17,IF(AD117&lt;$H117*(1-'Feuille de Donnée'!$E$12),'Feuille de Donnée'!$F$18,'Feuille de Donnée'!$F$16))&amp;""&amp;IF(AND(AE117&gt;=$I117*(1-'Feuille de Donnée'!$E$27),AE117&lt;=$I117*(1+'Feuille de Donnée'!$F$27)),'Feuille de Donnée'!$F$32,IF(AE117&lt;$I117*(1-'Feuille de Donnée'!$E$27),'Feuille de Donnée'!$F$33,'Feuille de Donnée'!$F$31)))))</f>
        <v/>
      </c>
      <c r="AK117" s="151"/>
      <c r="AL117" s="110"/>
      <c r="AM117" s="28"/>
      <c r="AN117" s="28"/>
      <c r="AO117" s="28" t="str">
        <f t="shared" si="48"/>
        <v/>
      </c>
      <c r="AP117" s="128" t="str">
        <f t="shared" si="49"/>
        <v/>
      </c>
      <c r="AQ117" s="128" t="str">
        <f t="shared" si="50"/>
        <v/>
      </c>
      <c r="AR117" s="28" t="str">
        <f>IF(AND(ISBLANK(AT117),AS117=""),"",1+MAX(AR$18:AR116))</f>
        <v/>
      </c>
      <c r="AS117" s="150" t="str">
        <f>IF(OR(AO117="",AO117=0,$J117="",$J117=0,NOT(ISNUMBER($J117)),NOT(ISNUMBER(AO117))),IF(AND($G117&lt;&gt;"",AND(OR(ISNUMBER(AO117),AO117=""),AND(ISNUMBER($J117),$J117&gt;0))),'Feuille de Donnée'!$K$13,""),IF(AO117&lt;$J$165*'Feuille de Donnée'!$I$9,"Négligeable",(IF(AND(AM117&gt;=$H117*(1-'Feuille de Donnée'!$E$12),AM117&lt;=$H117*(1+'Feuille de Donnée'!$F$12)),'Feuille de Donnée'!$F$17,IF(AM117&lt;$H117*(1-'Feuille de Donnée'!$E$12),'Feuille de Donnée'!$F$18,'Feuille de Donnée'!$F$16))&amp;""&amp;IF(AND(AN117&gt;=$I117*(1-'Feuille de Donnée'!$E$27),AN117&lt;=$I117*(1+'Feuille de Donnée'!$F$27)),'Feuille de Donnée'!$F$32,IF(AN117&lt;$I117*(1-'Feuille de Donnée'!$E$27),'Feuille de Donnée'!$F$33,'Feuille de Donnée'!$F$31)))))</f>
        <v/>
      </c>
      <c r="AT117" s="151"/>
      <c r="AU117" s="110"/>
      <c r="AV117" s="28"/>
      <c r="AW117" s="28"/>
      <c r="AX117" s="28" t="str">
        <f t="shared" si="51"/>
        <v/>
      </c>
      <c r="AY117" s="128" t="str">
        <f t="shared" si="52"/>
        <v/>
      </c>
      <c r="AZ117" s="128" t="str">
        <f t="shared" si="53"/>
        <v/>
      </c>
      <c r="BA117" s="28" t="str">
        <f>IF(AND(ISBLANK(BC117),BB117=""),"",1+MAX(BA$18:BA116))</f>
        <v/>
      </c>
      <c r="BB117" s="150" t="str">
        <f>IF(OR(AX117="",AX117=0,$J117="",$J117=0,NOT(ISNUMBER($J117)),NOT(ISNUMBER(AX117))),IF(AND($G117&lt;&gt;"",AND(OR(ISNUMBER(AX117),AX117=""),AND(ISNUMBER($J117),$J117&gt;0))),'Feuille de Donnée'!$K$13,""),IF(AX117&lt;$J$165*'Feuille de Donnée'!$I$9,"Négligeable",(IF(AND(AV117&gt;=$H117*(1-'Feuille de Donnée'!$E$12),AV117&lt;=$H117*(1+'Feuille de Donnée'!$F$12)),'Feuille de Donnée'!$F$17,IF(AV117&lt;$H117*(1-'Feuille de Donnée'!$E$12),'Feuille de Donnée'!$F$18,'Feuille de Donnée'!$F$16))&amp;""&amp;IF(AND(AW117&gt;=$I117*(1-'Feuille de Donnée'!$E$27),AW117&lt;=$I117*(1+'Feuille de Donnée'!$F$27)),'Feuille de Donnée'!$F$32,IF(AW117&lt;$I117*(1-'Feuille de Donnée'!$E$27),'Feuille de Donnée'!$F$33,'Feuille de Donnée'!$F$31)))))</f>
        <v/>
      </c>
      <c r="BC117" s="151"/>
      <c r="BD117" s="110"/>
      <c r="BE117" s="28"/>
      <c r="BF117" s="28"/>
      <c r="BG117" s="28" t="str">
        <f t="shared" si="54"/>
        <v/>
      </c>
      <c r="BH117" s="128" t="str">
        <f t="shared" si="55"/>
        <v/>
      </c>
      <c r="BI117" s="128" t="str">
        <f t="shared" si="56"/>
        <v/>
      </c>
      <c r="BJ117" s="28" t="str">
        <f>IF(AND(ISBLANK(BL117),BK117=""),"",1+MAX(BJ$18:BJ116))</f>
        <v/>
      </c>
      <c r="BK117" s="150" t="str">
        <f>IF(OR(BG117="",BG117=0,$J117="",$J117=0,NOT(ISNUMBER($J117)),NOT(ISNUMBER(BG117))),IF(AND($G117&lt;&gt;"",AND(OR(ISNUMBER(BG117),BG117=""),AND(ISNUMBER($J117),$J117&gt;0))),'Feuille de Donnée'!$K$13,""),IF(BG117&lt;$J$165*'Feuille de Donnée'!$I$9,"Négligeable",(IF(AND(BE117&gt;=$H117*(1-'Feuille de Donnée'!$E$12),BE117&lt;=$H117*(1+'Feuille de Donnée'!$F$12)),'Feuille de Donnée'!$F$17,IF(BE117&lt;$H117*(1-'Feuille de Donnée'!$E$12),'Feuille de Donnée'!$F$18,'Feuille de Donnée'!$F$16))&amp;""&amp;IF(AND(BF117&gt;=$I117*(1-'Feuille de Donnée'!$E$27),BF117&lt;=$I117*(1+'Feuille de Donnée'!$F$27)),'Feuille de Donnée'!$F$32,IF(BF117&lt;$I117*(1-'Feuille de Donnée'!$E$27),'Feuille de Donnée'!$F$33,'Feuille de Donnée'!$F$31)))))</f>
        <v/>
      </c>
      <c r="BL117" s="151"/>
      <c r="BM117" s="153"/>
    </row>
    <row r="118" spans="1:65" s="7" customFormat="1" x14ac:dyDescent="0.3">
      <c r="A118" s="24"/>
      <c r="B118" s="25"/>
      <c r="C118" s="25"/>
      <c r="D118" s="25"/>
      <c r="E118" s="25"/>
      <c r="F118" s="25"/>
      <c r="G118" s="23"/>
      <c r="H118" s="26"/>
      <c r="I118" s="27"/>
      <c r="J118" s="109" t="str">
        <f t="shared" si="38"/>
        <v/>
      </c>
      <c r="K118" s="110"/>
      <c r="L118" s="28"/>
      <c r="M118" s="28"/>
      <c r="N118" s="28" t="str">
        <f t="shared" si="39"/>
        <v/>
      </c>
      <c r="O118" s="128" t="str">
        <f t="shared" si="40"/>
        <v/>
      </c>
      <c r="P118" s="128" t="str">
        <f t="shared" si="41"/>
        <v/>
      </c>
      <c r="Q118" s="28" t="str">
        <f>IF(AND(ISBLANK(S118),R118=""),"",1+MAX(Q$18:Q117))</f>
        <v/>
      </c>
      <c r="R118" s="150" t="str">
        <f>IF(OR(N118="",N118=0,$J118="",$J118=0,NOT(ISNUMBER($J118)),NOT(ISNUMBER(N118))),IF(AND($G118&lt;&gt;"",AND(OR(ISNUMBER(N118),N118=""),AND(ISNUMBER($J118),$J118&gt;0))),'Feuille de Donnée'!$K$13,""),IF(N118&lt;$J$165*'Feuille de Donnée'!$I$9,"Négligeable",(IF(AND(L118&gt;=$H118*(1-'Feuille de Donnée'!$E$12),L118&lt;=$H118*(1+'Feuille de Donnée'!$F$12)),'Feuille de Donnée'!$F$17,IF(L118&lt;$H118*(1-'Feuille de Donnée'!$E$12),'Feuille de Donnée'!$F$18,'Feuille de Donnée'!$F$16))&amp;""&amp;IF(AND(M118&gt;=$I118*(1-'Feuille de Donnée'!$E$27),M118&lt;=$I118*(1+'Feuille de Donnée'!$F$27)),'Feuille de Donnée'!$F$32,IF(M118&lt;$I118*(1-'Feuille de Donnée'!$E$27),'Feuille de Donnée'!$F$33,'Feuille de Donnée'!$F$31)))))</f>
        <v/>
      </c>
      <c r="S118" s="151"/>
      <c r="T118" s="110"/>
      <c r="U118" s="28"/>
      <c r="V118" s="28"/>
      <c r="W118" s="28" t="str">
        <f t="shared" si="42"/>
        <v/>
      </c>
      <c r="X118" s="128" t="str">
        <f t="shared" si="43"/>
        <v/>
      </c>
      <c r="Y118" s="128" t="str">
        <f t="shared" si="44"/>
        <v/>
      </c>
      <c r="Z118" s="28" t="str">
        <f>IF(AND(ISBLANK(AB118),AA118=""),"",1+MAX(Z$18:Z117))</f>
        <v/>
      </c>
      <c r="AA118" s="150" t="str">
        <f>IF(OR(W118="",W118=0,$J118="",$J118=0,NOT(ISNUMBER($J118)),NOT(ISNUMBER(W118))),IF(AND($G118&lt;&gt;"",AND(OR(ISNUMBER(W118),W118=""),AND(ISNUMBER($J118),$J118&gt;0))),'Feuille de Donnée'!$K$13,""),IF(W118&lt;$J$165*'Feuille de Donnée'!$I$9,"Négligeable",(IF(AND(U118&gt;=$H118*(1-'Feuille de Donnée'!$E$12),U118&lt;=$H118*(1+'Feuille de Donnée'!$F$12)),'Feuille de Donnée'!$F$17,IF(U118&lt;$H118*(1-'Feuille de Donnée'!$E$12),'Feuille de Donnée'!$F$18,'Feuille de Donnée'!$F$16))&amp;""&amp;IF(AND(V118&gt;=$I118*(1-'Feuille de Donnée'!$E$27),V118&lt;=$I118*(1+'Feuille de Donnée'!$F$27)),'Feuille de Donnée'!$F$32,IF(V118&lt;$I118*(1-'Feuille de Donnée'!$E$27),'Feuille de Donnée'!$F$33,'Feuille de Donnée'!$F$31)))))</f>
        <v/>
      </c>
      <c r="AB118" s="151"/>
      <c r="AC118" s="110"/>
      <c r="AD118" s="28"/>
      <c r="AE118" s="28"/>
      <c r="AF118" s="28" t="str">
        <f t="shared" si="45"/>
        <v/>
      </c>
      <c r="AG118" s="128" t="str">
        <f t="shared" si="46"/>
        <v/>
      </c>
      <c r="AH118" s="128" t="str">
        <f t="shared" si="47"/>
        <v/>
      </c>
      <c r="AI118" s="28" t="str">
        <f>IF(AND(ISBLANK(AK118),AJ118=""),"",1+MAX(AI$18:AI117))</f>
        <v/>
      </c>
      <c r="AJ118" s="150" t="str">
        <f>IF(OR(AF118="",AF118=0,$J118="",$J118=0,NOT(ISNUMBER($J118)),NOT(ISNUMBER(AF118))),IF(AND($G118&lt;&gt;"",AND(OR(ISNUMBER(AF118),AF118=""),AND(ISNUMBER($J118),$J118&gt;0))),'Feuille de Donnée'!$K$13,""),IF(AF118&lt;$J$165*'Feuille de Donnée'!$I$9,"Négligeable",(IF(AND(AD118&gt;=$H118*(1-'Feuille de Donnée'!$E$12),AD118&lt;=$H118*(1+'Feuille de Donnée'!$F$12)),'Feuille de Donnée'!$F$17,IF(AD118&lt;$H118*(1-'Feuille de Donnée'!$E$12),'Feuille de Donnée'!$F$18,'Feuille de Donnée'!$F$16))&amp;""&amp;IF(AND(AE118&gt;=$I118*(1-'Feuille de Donnée'!$E$27),AE118&lt;=$I118*(1+'Feuille de Donnée'!$F$27)),'Feuille de Donnée'!$F$32,IF(AE118&lt;$I118*(1-'Feuille de Donnée'!$E$27),'Feuille de Donnée'!$F$33,'Feuille de Donnée'!$F$31)))))</f>
        <v/>
      </c>
      <c r="AK118" s="151"/>
      <c r="AL118" s="110"/>
      <c r="AM118" s="28"/>
      <c r="AN118" s="28"/>
      <c r="AO118" s="28" t="str">
        <f t="shared" si="48"/>
        <v/>
      </c>
      <c r="AP118" s="128" t="str">
        <f t="shared" si="49"/>
        <v/>
      </c>
      <c r="AQ118" s="128" t="str">
        <f t="shared" si="50"/>
        <v/>
      </c>
      <c r="AR118" s="28" t="str">
        <f>IF(AND(ISBLANK(AT118),AS118=""),"",1+MAX(AR$18:AR117))</f>
        <v/>
      </c>
      <c r="AS118" s="150" t="str">
        <f>IF(OR(AO118="",AO118=0,$J118="",$J118=0,NOT(ISNUMBER($J118)),NOT(ISNUMBER(AO118))),IF(AND($G118&lt;&gt;"",AND(OR(ISNUMBER(AO118),AO118=""),AND(ISNUMBER($J118),$J118&gt;0))),'Feuille de Donnée'!$K$13,""),IF(AO118&lt;$J$165*'Feuille de Donnée'!$I$9,"Négligeable",(IF(AND(AM118&gt;=$H118*(1-'Feuille de Donnée'!$E$12),AM118&lt;=$H118*(1+'Feuille de Donnée'!$F$12)),'Feuille de Donnée'!$F$17,IF(AM118&lt;$H118*(1-'Feuille de Donnée'!$E$12),'Feuille de Donnée'!$F$18,'Feuille de Donnée'!$F$16))&amp;""&amp;IF(AND(AN118&gt;=$I118*(1-'Feuille de Donnée'!$E$27),AN118&lt;=$I118*(1+'Feuille de Donnée'!$F$27)),'Feuille de Donnée'!$F$32,IF(AN118&lt;$I118*(1-'Feuille de Donnée'!$E$27),'Feuille de Donnée'!$F$33,'Feuille de Donnée'!$F$31)))))</f>
        <v/>
      </c>
      <c r="AT118" s="151"/>
      <c r="AU118" s="110"/>
      <c r="AV118" s="28"/>
      <c r="AW118" s="28"/>
      <c r="AX118" s="28" t="str">
        <f t="shared" si="51"/>
        <v/>
      </c>
      <c r="AY118" s="128" t="str">
        <f t="shared" si="52"/>
        <v/>
      </c>
      <c r="AZ118" s="128" t="str">
        <f t="shared" si="53"/>
        <v/>
      </c>
      <c r="BA118" s="28" t="str">
        <f>IF(AND(ISBLANK(BC118),BB118=""),"",1+MAX(BA$18:BA117))</f>
        <v/>
      </c>
      <c r="BB118" s="150" t="str">
        <f>IF(OR(AX118="",AX118=0,$J118="",$J118=0,NOT(ISNUMBER($J118)),NOT(ISNUMBER(AX118))),IF(AND($G118&lt;&gt;"",AND(OR(ISNUMBER(AX118),AX118=""),AND(ISNUMBER($J118),$J118&gt;0))),'Feuille de Donnée'!$K$13,""),IF(AX118&lt;$J$165*'Feuille de Donnée'!$I$9,"Négligeable",(IF(AND(AV118&gt;=$H118*(1-'Feuille de Donnée'!$E$12),AV118&lt;=$H118*(1+'Feuille de Donnée'!$F$12)),'Feuille de Donnée'!$F$17,IF(AV118&lt;$H118*(1-'Feuille de Donnée'!$E$12),'Feuille de Donnée'!$F$18,'Feuille de Donnée'!$F$16))&amp;""&amp;IF(AND(AW118&gt;=$I118*(1-'Feuille de Donnée'!$E$27),AW118&lt;=$I118*(1+'Feuille de Donnée'!$F$27)),'Feuille de Donnée'!$F$32,IF(AW118&lt;$I118*(1-'Feuille de Donnée'!$E$27),'Feuille de Donnée'!$F$33,'Feuille de Donnée'!$F$31)))))</f>
        <v/>
      </c>
      <c r="BC118" s="151"/>
      <c r="BD118" s="110"/>
      <c r="BE118" s="28"/>
      <c r="BF118" s="28"/>
      <c r="BG118" s="28" t="str">
        <f t="shared" si="54"/>
        <v/>
      </c>
      <c r="BH118" s="128" t="str">
        <f t="shared" si="55"/>
        <v/>
      </c>
      <c r="BI118" s="128" t="str">
        <f t="shared" si="56"/>
        <v/>
      </c>
      <c r="BJ118" s="28" t="str">
        <f>IF(AND(ISBLANK(BL118),BK118=""),"",1+MAX(BJ$18:BJ117))</f>
        <v/>
      </c>
      <c r="BK118" s="150" t="str">
        <f>IF(OR(BG118="",BG118=0,$J118="",$J118=0,NOT(ISNUMBER($J118)),NOT(ISNUMBER(BG118))),IF(AND($G118&lt;&gt;"",AND(OR(ISNUMBER(BG118),BG118=""),AND(ISNUMBER($J118),$J118&gt;0))),'Feuille de Donnée'!$K$13,""),IF(BG118&lt;$J$165*'Feuille de Donnée'!$I$9,"Négligeable",(IF(AND(BE118&gt;=$H118*(1-'Feuille de Donnée'!$E$12),BE118&lt;=$H118*(1+'Feuille de Donnée'!$F$12)),'Feuille de Donnée'!$F$17,IF(BE118&lt;$H118*(1-'Feuille de Donnée'!$E$12),'Feuille de Donnée'!$F$18,'Feuille de Donnée'!$F$16))&amp;""&amp;IF(AND(BF118&gt;=$I118*(1-'Feuille de Donnée'!$E$27),BF118&lt;=$I118*(1+'Feuille de Donnée'!$F$27)),'Feuille de Donnée'!$F$32,IF(BF118&lt;$I118*(1-'Feuille de Donnée'!$E$27),'Feuille de Donnée'!$F$33,'Feuille de Donnée'!$F$31)))))</f>
        <v/>
      </c>
      <c r="BL118" s="151"/>
      <c r="BM118" s="153"/>
    </row>
    <row r="119" spans="1:65" s="7" customFormat="1" x14ac:dyDescent="0.3">
      <c r="A119" s="24"/>
      <c r="B119" s="25"/>
      <c r="C119" s="25"/>
      <c r="D119" s="25"/>
      <c r="E119" s="25"/>
      <c r="F119" s="25"/>
      <c r="G119" s="23"/>
      <c r="H119" s="26"/>
      <c r="I119" s="27"/>
      <c r="J119" s="109" t="str">
        <f t="shared" si="38"/>
        <v/>
      </c>
      <c r="K119" s="110"/>
      <c r="L119" s="28"/>
      <c r="M119" s="28"/>
      <c r="N119" s="28" t="str">
        <f t="shared" si="39"/>
        <v/>
      </c>
      <c r="O119" s="128" t="str">
        <f t="shared" si="40"/>
        <v/>
      </c>
      <c r="P119" s="128" t="str">
        <f t="shared" si="41"/>
        <v/>
      </c>
      <c r="Q119" s="28" t="str">
        <f>IF(AND(ISBLANK(S119),R119=""),"",1+MAX(Q$18:Q118))</f>
        <v/>
      </c>
      <c r="R119" s="150" t="str">
        <f>IF(OR(N119="",N119=0,$J119="",$J119=0,NOT(ISNUMBER($J119)),NOT(ISNUMBER(N119))),IF(AND($G119&lt;&gt;"",AND(OR(ISNUMBER(N119),N119=""),AND(ISNUMBER($J119),$J119&gt;0))),'Feuille de Donnée'!$K$13,""),IF(N119&lt;$J$165*'Feuille de Donnée'!$I$9,"Négligeable",(IF(AND(L119&gt;=$H119*(1-'Feuille de Donnée'!$E$12),L119&lt;=$H119*(1+'Feuille de Donnée'!$F$12)),'Feuille de Donnée'!$F$17,IF(L119&lt;$H119*(1-'Feuille de Donnée'!$E$12),'Feuille de Donnée'!$F$18,'Feuille de Donnée'!$F$16))&amp;""&amp;IF(AND(M119&gt;=$I119*(1-'Feuille de Donnée'!$E$27),M119&lt;=$I119*(1+'Feuille de Donnée'!$F$27)),'Feuille de Donnée'!$F$32,IF(M119&lt;$I119*(1-'Feuille de Donnée'!$E$27),'Feuille de Donnée'!$F$33,'Feuille de Donnée'!$F$31)))))</f>
        <v/>
      </c>
      <c r="S119" s="151"/>
      <c r="T119" s="110"/>
      <c r="U119" s="28"/>
      <c r="V119" s="28"/>
      <c r="W119" s="28" t="str">
        <f t="shared" si="42"/>
        <v/>
      </c>
      <c r="X119" s="128" t="str">
        <f t="shared" si="43"/>
        <v/>
      </c>
      <c r="Y119" s="128" t="str">
        <f t="shared" si="44"/>
        <v/>
      </c>
      <c r="Z119" s="28" t="str">
        <f>IF(AND(ISBLANK(AB119),AA119=""),"",1+MAX(Z$18:Z118))</f>
        <v/>
      </c>
      <c r="AA119" s="150" t="str">
        <f>IF(OR(W119="",W119=0,$J119="",$J119=0,NOT(ISNUMBER($J119)),NOT(ISNUMBER(W119))),IF(AND($G119&lt;&gt;"",AND(OR(ISNUMBER(W119),W119=""),AND(ISNUMBER($J119),$J119&gt;0))),'Feuille de Donnée'!$K$13,""),IF(W119&lt;$J$165*'Feuille de Donnée'!$I$9,"Négligeable",(IF(AND(U119&gt;=$H119*(1-'Feuille de Donnée'!$E$12),U119&lt;=$H119*(1+'Feuille de Donnée'!$F$12)),'Feuille de Donnée'!$F$17,IF(U119&lt;$H119*(1-'Feuille de Donnée'!$E$12),'Feuille de Donnée'!$F$18,'Feuille de Donnée'!$F$16))&amp;""&amp;IF(AND(V119&gt;=$I119*(1-'Feuille de Donnée'!$E$27),V119&lt;=$I119*(1+'Feuille de Donnée'!$F$27)),'Feuille de Donnée'!$F$32,IF(V119&lt;$I119*(1-'Feuille de Donnée'!$E$27),'Feuille de Donnée'!$F$33,'Feuille de Donnée'!$F$31)))))</f>
        <v/>
      </c>
      <c r="AB119" s="151"/>
      <c r="AC119" s="110"/>
      <c r="AD119" s="28"/>
      <c r="AE119" s="28"/>
      <c r="AF119" s="28" t="str">
        <f t="shared" si="45"/>
        <v/>
      </c>
      <c r="AG119" s="128" t="str">
        <f t="shared" si="46"/>
        <v/>
      </c>
      <c r="AH119" s="128" t="str">
        <f t="shared" si="47"/>
        <v/>
      </c>
      <c r="AI119" s="28" t="str">
        <f>IF(AND(ISBLANK(AK119),AJ119=""),"",1+MAX(AI$18:AI118))</f>
        <v/>
      </c>
      <c r="AJ119" s="150" t="str">
        <f>IF(OR(AF119="",AF119=0,$J119="",$J119=0,NOT(ISNUMBER($J119)),NOT(ISNUMBER(AF119))),IF(AND($G119&lt;&gt;"",AND(OR(ISNUMBER(AF119),AF119=""),AND(ISNUMBER($J119),$J119&gt;0))),'Feuille de Donnée'!$K$13,""),IF(AF119&lt;$J$165*'Feuille de Donnée'!$I$9,"Négligeable",(IF(AND(AD119&gt;=$H119*(1-'Feuille de Donnée'!$E$12),AD119&lt;=$H119*(1+'Feuille de Donnée'!$F$12)),'Feuille de Donnée'!$F$17,IF(AD119&lt;$H119*(1-'Feuille de Donnée'!$E$12),'Feuille de Donnée'!$F$18,'Feuille de Donnée'!$F$16))&amp;""&amp;IF(AND(AE119&gt;=$I119*(1-'Feuille de Donnée'!$E$27),AE119&lt;=$I119*(1+'Feuille de Donnée'!$F$27)),'Feuille de Donnée'!$F$32,IF(AE119&lt;$I119*(1-'Feuille de Donnée'!$E$27),'Feuille de Donnée'!$F$33,'Feuille de Donnée'!$F$31)))))</f>
        <v/>
      </c>
      <c r="AK119" s="151"/>
      <c r="AL119" s="110"/>
      <c r="AM119" s="28"/>
      <c r="AN119" s="28"/>
      <c r="AO119" s="28" t="str">
        <f t="shared" si="48"/>
        <v/>
      </c>
      <c r="AP119" s="128" t="str">
        <f t="shared" si="49"/>
        <v/>
      </c>
      <c r="AQ119" s="128" t="str">
        <f t="shared" si="50"/>
        <v/>
      </c>
      <c r="AR119" s="28" t="str">
        <f>IF(AND(ISBLANK(AT119),AS119=""),"",1+MAX(AR$18:AR118))</f>
        <v/>
      </c>
      <c r="AS119" s="150" t="str">
        <f>IF(OR(AO119="",AO119=0,$J119="",$J119=0,NOT(ISNUMBER($J119)),NOT(ISNUMBER(AO119))),IF(AND($G119&lt;&gt;"",AND(OR(ISNUMBER(AO119),AO119=""),AND(ISNUMBER($J119),$J119&gt;0))),'Feuille de Donnée'!$K$13,""),IF(AO119&lt;$J$165*'Feuille de Donnée'!$I$9,"Négligeable",(IF(AND(AM119&gt;=$H119*(1-'Feuille de Donnée'!$E$12),AM119&lt;=$H119*(1+'Feuille de Donnée'!$F$12)),'Feuille de Donnée'!$F$17,IF(AM119&lt;$H119*(1-'Feuille de Donnée'!$E$12),'Feuille de Donnée'!$F$18,'Feuille de Donnée'!$F$16))&amp;""&amp;IF(AND(AN119&gt;=$I119*(1-'Feuille de Donnée'!$E$27),AN119&lt;=$I119*(1+'Feuille de Donnée'!$F$27)),'Feuille de Donnée'!$F$32,IF(AN119&lt;$I119*(1-'Feuille de Donnée'!$E$27),'Feuille de Donnée'!$F$33,'Feuille de Donnée'!$F$31)))))</f>
        <v/>
      </c>
      <c r="AT119" s="151"/>
      <c r="AU119" s="110"/>
      <c r="AV119" s="28"/>
      <c r="AW119" s="28"/>
      <c r="AX119" s="28" t="str">
        <f t="shared" si="51"/>
        <v/>
      </c>
      <c r="AY119" s="128" t="str">
        <f t="shared" si="52"/>
        <v/>
      </c>
      <c r="AZ119" s="128" t="str">
        <f t="shared" si="53"/>
        <v/>
      </c>
      <c r="BA119" s="28" t="str">
        <f>IF(AND(ISBLANK(BC119),BB119=""),"",1+MAX(BA$18:BA118))</f>
        <v/>
      </c>
      <c r="BB119" s="150" t="str">
        <f>IF(OR(AX119="",AX119=0,$J119="",$J119=0,NOT(ISNUMBER($J119)),NOT(ISNUMBER(AX119))),IF(AND($G119&lt;&gt;"",AND(OR(ISNUMBER(AX119),AX119=""),AND(ISNUMBER($J119),$J119&gt;0))),'Feuille de Donnée'!$K$13,""),IF(AX119&lt;$J$165*'Feuille de Donnée'!$I$9,"Négligeable",(IF(AND(AV119&gt;=$H119*(1-'Feuille de Donnée'!$E$12),AV119&lt;=$H119*(1+'Feuille de Donnée'!$F$12)),'Feuille de Donnée'!$F$17,IF(AV119&lt;$H119*(1-'Feuille de Donnée'!$E$12),'Feuille de Donnée'!$F$18,'Feuille de Donnée'!$F$16))&amp;""&amp;IF(AND(AW119&gt;=$I119*(1-'Feuille de Donnée'!$E$27),AW119&lt;=$I119*(1+'Feuille de Donnée'!$F$27)),'Feuille de Donnée'!$F$32,IF(AW119&lt;$I119*(1-'Feuille de Donnée'!$E$27),'Feuille de Donnée'!$F$33,'Feuille de Donnée'!$F$31)))))</f>
        <v/>
      </c>
      <c r="BC119" s="151"/>
      <c r="BD119" s="110"/>
      <c r="BE119" s="28"/>
      <c r="BF119" s="28"/>
      <c r="BG119" s="28" t="str">
        <f t="shared" si="54"/>
        <v/>
      </c>
      <c r="BH119" s="128" t="str">
        <f t="shared" si="55"/>
        <v/>
      </c>
      <c r="BI119" s="128" t="str">
        <f t="shared" si="56"/>
        <v/>
      </c>
      <c r="BJ119" s="28" t="str">
        <f>IF(AND(ISBLANK(BL119),BK119=""),"",1+MAX(BJ$18:BJ118))</f>
        <v/>
      </c>
      <c r="BK119" s="150" t="str">
        <f>IF(OR(BG119="",BG119=0,$J119="",$J119=0,NOT(ISNUMBER($J119)),NOT(ISNUMBER(BG119))),IF(AND($G119&lt;&gt;"",AND(OR(ISNUMBER(BG119),BG119=""),AND(ISNUMBER($J119),$J119&gt;0))),'Feuille de Donnée'!$K$13,""),IF(BG119&lt;$J$165*'Feuille de Donnée'!$I$9,"Négligeable",(IF(AND(BE119&gt;=$H119*(1-'Feuille de Donnée'!$E$12),BE119&lt;=$H119*(1+'Feuille de Donnée'!$F$12)),'Feuille de Donnée'!$F$17,IF(BE119&lt;$H119*(1-'Feuille de Donnée'!$E$12),'Feuille de Donnée'!$F$18,'Feuille de Donnée'!$F$16))&amp;""&amp;IF(AND(BF119&gt;=$I119*(1-'Feuille de Donnée'!$E$27),BF119&lt;=$I119*(1+'Feuille de Donnée'!$F$27)),'Feuille de Donnée'!$F$32,IF(BF119&lt;$I119*(1-'Feuille de Donnée'!$E$27),'Feuille de Donnée'!$F$33,'Feuille de Donnée'!$F$31)))))</f>
        <v/>
      </c>
      <c r="BL119" s="151"/>
      <c r="BM119" s="153"/>
    </row>
    <row r="120" spans="1:65" s="7" customFormat="1" x14ac:dyDescent="0.3">
      <c r="A120" s="24"/>
      <c r="B120" s="25"/>
      <c r="C120" s="25"/>
      <c r="D120" s="25"/>
      <c r="E120" s="25"/>
      <c r="F120" s="25"/>
      <c r="G120" s="23"/>
      <c r="H120" s="26"/>
      <c r="I120" s="27"/>
      <c r="J120" s="109" t="str">
        <f t="shared" si="38"/>
        <v/>
      </c>
      <c r="K120" s="110"/>
      <c r="L120" s="28"/>
      <c r="M120" s="28"/>
      <c r="N120" s="28" t="str">
        <f t="shared" si="39"/>
        <v/>
      </c>
      <c r="O120" s="128" t="str">
        <f t="shared" si="40"/>
        <v/>
      </c>
      <c r="P120" s="128" t="str">
        <f t="shared" si="41"/>
        <v/>
      </c>
      <c r="Q120" s="28" t="str">
        <f>IF(AND(ISBLANK(S120),R120=""),"",1+MAX(Q$18:Q119))</f>
        <v/>
      </c>
      <c r="R120" s="150" t="str">
        <f>IF(OR(N120="",N120=0,$J120="",$J120=0,NOT(ISNUMBER($J120)),NOT(ISNUMBER(N120))),IF(AND($G120&lt;&gt;"",AND(OR(ISNUMBER(N120),N120=""),AND(ISNUMBER($J120),$J120&gt;0))),'Feuille de Donnée'!$K$13,""),IF(N120&lt;$J$165*'Feuille de Donnée'!$I$9,"Négligeable",(IF(AND(L120&gt;=$H120*(1-'Feuille de Donnée'!$E$12),L120&lt;=$H120*(1+'Feuille de Donnée'!$F$12)),'Feuille de Donnée'!$F$17,IF(L120&lt;$H120*(1-'Feuille de Donnée'!$E$12),'Feuille de Donnée'!$F$18,'Feuille de Donnée'!$F$16))&amp;""&amp;IF(AND(M120&gt;=$I120*(1-'Feuille de Donnée'!$E$27),M120&lt;=$I120*(1+'Feuille de Donnée'!$F$27)),'Feuille de Donnée'!$F$32,IF(M120&lt;$I120*(1-'Feuille de Donnée'!$E$27),'Feuille de Donnée'!$F$33,'Feuille de Donnée'!$F$31)))))</f>
        <v/>
      </c>
      <c r="S120" s="151"/>
      <c r="T120" s="110"/>
      <c r="U120" s="28"/>
      <c r="V120" s="28"/>
      <c r="W120" s="28" t="str">
        <f t="shared" si="42"/>
        <v/>
      </c>
      <c r="X120" s="128" t="str">
        <f t="shared" si="43"/>
        <v/>
      </c>
      <c r="Y120" s="128" t="str">
        <f t="shared" si="44"/>
        <v/>
      </c>
      <c r="Z120" s="28" t="str">
        <f>IF(AND(ISBLANK(AB120),AA120=""),"",1+MAX(Z$18:Z119))</f>
        <v/>
      </c>
      <c r="AA120" s="150" t="str">
        <f>IF(OR(W120="",W120=0,$J120="",$J120=0,NOT(ISNUMBER($J120)),NOT(ISNUMBER(W120))),IF(AND($G120&lt;&gt;"",AND(OR(ISNUMBER(W120),W120=""),AND(ISNUMBER($J120),$J120&gt;0))),'Feuille de Donnée'!$K$13,""),IF(W120&lt;$J$165*'Feuille de Donnée'!$I$9,"Négligeable",(IF(AND(U120&gt;=$H120*(1-'Feuille de Donnée'!$E$12),U120&lt;=$H120*(1+'Feuille de Donnée'!$F$12)),'Feuille de Donnée'!$F$17,IF(U120&lt;$H120*(1-'Feuille de Donnée'!$E$12),'Feuille de Donnée'!$F$18,'Feuille de Donnée'!$F$16))&amp;""&amp;IF(AND(V120&gt;=$I120*(1-'Feuille de Donnée'!$E$27),V120&lt;=$I120*(1+'Feuille de Donnée'!$F$27)),'Feuille de Donnée'!$F$32,IF(V120&lt;$I120*(1-'Feuille de Donnée'!$E$27),'Feuille de Donnée'!$F$33,'Feuille de Donnée'!$F$31)))))</f>
        <v/>
      </c>
      <c r="AB120" s="151"/>
      <c r="AC120" s="110"/>
      <c r="AD120" s="28"/>
      <c r="AE120" s="28"/>
      <c r="AF120" s="28" t="str">
        <f t="shared" si="45"/>
        <v/>
      </c>
      <c r="AG120" s="128" t="str">
        <f t="shared" si="46"/>
        <v/>
      </c>
      <c r="AH120" s="128" t="str">
        <f t="shared" si="47"/>
        <v/>
      </c>
      <c r="AI120" s="28" t="str">
        <f>IF(AND(ISBLANK(AK120),AJ120=""),"",1+MAX(AI$18:AI119))</f>
        <v/>
      </c>
      <c r="AJ120" s="150" t="str">
        <f>IF(OR(AF120="",AF120=0,$J120="",$J120=0,NOT(ISNUMBER($J120)),NOT(ISNUMBER(AF120))),IF(AND($G120&lt;&gt;"",AND(OR(ISNUMBER(AF120),AF120=""),AND(ISNUMBER($J120),$J120&gt;0))),'Feuille de Donnée'!$K$13,""),IF(AF120&lt;$J$165*'Feuille de Donnée'!$I$9,"Négligeable",(IF(AND(AD120&gt;=$H120*(1-'Feuille de Donnée'!$E$12),AD120&lt;=$H120*(1+'Feuille de Donnée'!$F$12)),'Feuille de Donnée'!$F$17,IF(AD120&lt;$H120*(1-'Feuille de Donnée'!$E$12),'Feuille de Donnée'!$F$18,'Feuille de Donnée'!$F$16))&amp;""&amp;IF(AND(AE120&gt;=$I120*(1-'Feuille de Donnée'!$E$27),AE120&lt;=$I120*(1+'Feuille de Donnée'!$F$27)),'Feuille de Donnée'!$F$32,IF(AE120&lt;$I120*(1-'Feuille de Donnée'!$E$27),'Feuille de Donnée'!$F$33,'Feuille de Donnée'!$F$31)))))</f>
        <v/>
      </c>
      <c r="AK120" s="151"/>
      <c r="AL120" s="110"/>
      <c r="AM120" s="28"/>
      <c r="AN120" s="28"/>
      <c r="AO120" s="28" t="str">
        <f t="shared" si="48"/>
        <v/>
      </c>
      <c r="AP120" s="128" t="str">
        <f t="shared" si="49"/>
        <v/>
      </c>
      <c r="AQ120" s="128" t="str">
        <f t="shared" si="50"/>
        <v/>
      </c>
      <c r="AR120" s="28" t="str">
        <f>IF(AND(ISBLANK(AT120),AS120=""),"",1+MAX(AR$18:AR119))</f>
        <v/>
      </c>
      <c r="AS120" s="150" t="str">
        <f>IF(OR(AO120="",AO120=0,$J120="",$J120=0,NOT(ISNUMBER($J120)),NOT(ISNUMBER(AO120))),IF(AND($G120&lt;&gt;"",AND(OR(ISNUMBER(AO120),AO120=""),AND(ISNUMBER($J120),$J120&gt;0))),'Feuille de Donnée'!$K$13,""),IF(AO120&lt;$J$165*'Feuille de Donnée'!$I$9,"Négligeable",(IF(AND(AM120&gt;=$H120*(1-'Feuille de Donnée'!$E$12),AM120&lt;=$H120*(1+'Feuille de Donnée'!$F$12)),'Feuille de Donnée'!$F$17,IF(AM120&lt;$H120*(1-'Feuille de Donnée'!$E$12),'Feuille de Donnée'!$F$18,'Feuille de Donnée'!$F$16))&amp;""&amp;IF(AND(AN120&gt;=$I120*(1-'Feuille de Donnée'!$E$27),AN120&lt;=$I120*(1+'Feuille de Donnée'!$F$27)),'Feuille de Donnée'!$F$32,IF(AN120&lt;$I120*(1-'Feuille de Donnée'!$E$27),'Feuille de Donnée'!$F$33,'Feuille de Donnée'!$F$31)))))</f>
        <v/>
      </c>
      <c r="AT120" s="151"/>
      <c r="AU120" s="110"/>
      <c r="AV120" s="28"/>
      <c r="AW120" s="28"/>
      <c r="AX120" s="28" t="str">
        <f t="shared" si="51"/>
        <v/>
      </c>
      <c r="AY120" s="128" t="str">
        <f t="shared" si="52"/>
        <v/>
      </c>
      <c r="AZ120" s="128" t="str">
        <f t="shared" si="53"/>
        <v/>
      </c>
      <c r="BA120" s="28" t="str">
        <f>IF(AND(ISBLANK(BC120),BB120=""),"",1+MAX(BA$18:BA119))</f>
        <v/>
      </c>
      <c r="BB120" s="150" t="str">
        <f>IF(OR(AX120="",AX120=0,$J120="",$J120=0,NOT(ISNUMBER($J120)),NOT(ISNUMBER(AX120))),IF(AND($G120&lt;&gt;"",AND(OR(ISNUMBER(AX120),AX120=""),AND(ISNUMBER($J120),$J120&gt;0))),'Feuille de Donnée'!$K$13,""),IF(AX120&lt;$J$165*'Feuille de Donnée'!$I$9,"Négligeable",(IF(AND(AV120&gt;=$H120*(1-'Feuille de Donnée'!$E$12),AV120&lt;=$H120*(1+'Feuille de Donnée'!$F$12)),'Feuille de Donnée'!$F$17,IF(AV120&lt;$H120*(1-'Feuille de Donnée'!$E$12),'Feuille de Donnée'!$F$18,'Feuille de Donnée'!$F$16))&amp;""&amp;IF(AND(AW120&gt;=$I120*(1-'Feuille de Donnée'!$E$27),AW120&lt;=$I120*(1+'Feuille de Donnée'!$F$27)),'Feuille de Donnée'!$F$32,IF(AW120&lt;$I120*(1-'Feuille de Donnée'!$E$27),'Feuille de Donnée'!$F$33,'Feuille de Donnée'!$F$31)))))</f>
        <v/>
      </c>
      <c r="BC120" s="151"/>
      <c r="BD120" s="110"/>
      <c r="BE120" s="28"/>
      <c r="BF120" s="28"/>
      <c r="BG120" s="28" t="str">
        <f t="shared" si="54"/>
        <v/>
      </c>
      <c r="BH120" s="128" t="str">
        <f t="shared" si="55"/>
        <v/>
      </c>
      <c r="BI120" s="128" t="str">
        <f t="shared" si="56"/>
        <v/>
      </c>
      <c r="BJ120" s="28" t="str">
        <f>IF(AND(ISBLANK(BL120),BK120=""),"",1+MAX(BJ$18:BJ119))</f>
        <v/>
      </c>
      <c r="BK120" s="150" t="str">
        <f>IF(OR(BG120="",BG120=0,$J120="",$J120=0,NOT(ISNUMBER($J120)),NOT(ISNUMBER(BG120))),IF(AND($G120&lt;&gt;"",AND(OR(ISNUMBER(BG120),BG120=""),AND(ISNUMBER($J120),$J120&gt;0))),'Feuille de Donnée'!$K$13,""),IF(BG120&lt;$J$165*'Feuille de Donnée'!$I$9,"Négligeable",(IF(AND(BE120&gt;=$H120*(1-'Feuille de Donnée'!$E$12),BE120&lt;=$H120*(1+'Feuille de Donnée'!$F$12)),'Feuille de Donnée'!$F$17,IF(BE120&lt;$H120*(1-'Feuille de Donnée'!$E$12),'Feuille de Donnée'!$F$18,'Feuille de Donnée'!$F$16))&amp;""&amp;IF(AND(BF120&gt;=$I120*(1-'Feuille de Donnée'!$E$27),BF120&lt;=$I120*(1+'Feuille de Donnée'!$F$27)),'Feuille de Donnée'!$F$32,IF(BF120&lt;$I120*(1-'Feuille de Donnée'!$E$27),'Feuille de Donnée'!$F$33,'Feuille de Donnée'!$F$31)))))</f>
        <v/>
      </c>
      <c r="BL120" s="151"/>
      <c r="BM120" s="153"/>
    </row>
    <row r="121" spans="1:65" s="7" customFormat="1" x14ac:dyDescent="0.3">
      <c r="A121" s="24"/>
      <c r="B121" s="25"/>
      <c r="C121" s="25"/>
      <c r="D121" s="25"/>
      <c r="E121" s="25"/>
      <c r="F121" s="25"/>
      <c r="G121" s="23"/>
      <c r="H121" s="26"/>
      <c r="I121" s="27"/>
      <c r="J121" s="109" t="str">
        <f t="shared" si="38"/>
        <v/>
      </c>
      <c r="K121" s="110"/>
      <c r="L121" s="28"/>
      <c r="M121" s="28"/>
      <c r="N121" s="28" t="str">
        <f t="shared" si="39"/>
        <v/>
      </c>
      <c r="O121" s="128" t="str">
        <f t="shared" si="40"/>
        <v/>
      </c>
      <c r="P121" s="128" t="str">
        <f t="shared" si="41"/>
        <v/>
      </c>
      <c r="Q121" s="28" t="str">
        <f>IF(AND(ISBLANK(S121),R121=""),"",1+MAX(Q$18:Q120))</f>
        <v/>
      </c>
      <c r="R121" s="150" t="str">
        <f>IF(OR(N121="",N121=0,$J121="",$J121=0,NOT(ISNUMBER($J121)),NOT(ISNUMBER(N121))),IF(AND($G121&lt;&gt;"",AND(OR(ISNUMBER(N121),N121=""),AND(ISNUMBER($J121),$J121&gt;0))),'Feuille de Donnée'!$K$13,""),IF(N121&lt;$J$165*'Feuille de Donnée'!$I$9,"Négligeable",(IF(AND(L121&gt;=$H121*(1-'Feuille de Donnée'!$E$12),L121&lt;=$H121*(1+'Feuille de Donnée'!$F$12)),'Feuille de Donnée'!$F$17,IF(L121&lt;$H121*(1-'Feuille de Donnée'!$E$12),'Feuille de Donnée'!$F$18,'Feuille de Donnée'!$F$16))&amp;""&amp;IF(AND(M121&gt;=$I121*(1-'Feuille de Donnée'!$E$27),M121&lt;=$I121*(1+'Feuille de Donnée'!$F$27)),'Feuille de Donnée'!$F$32,IF(M121&lt;$I121*(1-'Feuille de Donnée'!$E$27),'Feuille de Donnée'!$F$33,'Feuille de Donnée'!$F$31)))))</f>
        <v/>
      </c>
      <c r="S121" s="151"/>
      <c r="T121" s="110"/>
      <c r="U121" s="28"/>
      <c r="V121" s="28"/>
      <c r="W121" s="28" t="str">
        <f t="shared" si="42"/>
        <v/>
      </c>
      <c r="X121" s="128" t="str">
        <f t="shared" si="43"/>
        <v/>
      </c>
      <c r="Y121" s="128" t="str">
        <f t="shared" si="44"/>
        <v/>
      </c>
      <c r="Z121" s="28" t="str">
        <f>IF(AND(ISBLANK(AB121),AA121=""),"",1+MAX(Z$18:Z120))</f>
        <v/>
      </c>
      <c r="AA121" s="150" t="str">
        <f>IF(OR(W121="",W121=0,$J121="",$J121=0,NOT(ISNUMBER($J121)),NOT(ISNUMBER(W121))),IF(AND($G121&lt;&gt;"",AND(OR(ISNUMBER(W121),W121=""),AND(ISNUMBER($J121),$J121&gt;0))),'Feuille de Donnée'!$K$13,""),IF(W121&lt;$J$165*'Feuille de Donnée'!$I$9,"Négligeable",(IF(AND(U121&gt;=$H121*(1-'Feuille de Donnée'!$E$12),U121&lt;=$H121*(1+'Feuille de Donnée'!$F$12)),'Feuille de Donnée'!$F$17,IF(U121&lt;$H121*(1-'Feuille de Donnée'!$E$12),'Feuille de Donnée'!$F$18,'Feuille de Donnée'!$F$16))&amp;""&amp;IF(AND(V121&gt;=$I121*(1-'Feuille de Donnée'!$E$27),V121&lt;=$I121*(1+'Feuille de Donnée'!$F$27)),'Feuille de Donnée'!$F$32,IF(V121&lt;$I121*(1-'Feuille de Donnée'!$E$27),'Feuille de Donnée'!$F$33,'Feuille de Donnée'!$F$31)))))</f>
        <v/>
      </c>
      <c r="AB121" s="151"/>
      <c r="AC121" s="110"/>
      <c r="AD121" s="28"/>
      <c r="AE121" s="28"/>
      <c r="AF121" s="28" t="str">
        <f t="shared" si="45"/>
        <v/>
      </c>
      <c r="AG121" s="128" t="str">
        <f t="shared" si="46"/>
        <v/>
      </c>
      <c r="AH121" s="128" t="str">
        <f t="shared" si="47"/>
        <v/>
      </c>
      <c r="AI121" s="28" t="str">
        <f>IF(AND(ISBLANK(AK121),AJ121=""),"",1+MAX(AI$18:AI120))</f>
        <v/>
      </c>
      <c r="AJ121" s="150" t="str">
        <f>IF(OR(AF121="",AF121=0,$J121="",$J121=0,NOT(ISNUMBER($J121)),NOT(ISNUMBER(AF121))),IF(AND($G121&lt;&gt;"",AND(OR(ISNUMBER(AF121),AF121=""),AND(ISNUMBER($J121),$J121&gt;0))),'Feuille de Donnée'!$K$13,""),IF(AF121&lt;$J$165*'Feuille de Donnée'!$I$9,"Négligeable",(IF(AND(AD121&gt;=$H121*(1-'Feuille de Donnée'!$E$12),AD121&lt;=$H121*(1+'Feuille de Donnée'!$F$12)),'Feuille de Donnée'!$F$17,IF(AD121&lt;$H121*(1-'Feuille de Donnée'!$E$12),'Feuille de Donnée'!$F$18,'Feuille de Donnée'!$F$16))&amp;""&amp;IF(AND(AE121&gt;=$I121*(1-'Feuille de Donnée'!$E$27),AE121&lt;=$I121*(1+'Feuille de Donnée'!$F$27)),'Feuille de Donnée'!$F$32,IF(AE121&lt;$I121*(1-'Feuille de Donnée'!$E$27),'Feuille de Donnée'!$F$33,'Feuille de Donnée'!$F$31)))))</f>
        <v/>
      </c>
      <c r="AK121" s="151"/>
      <c r="AL121" s="110"/>
      <c r="AM121" s="28"/>
      <c r="AN121" s="28"/>
      <c r="AO121" s="28" t="str">
        <f t="shared" si="48"/>
        <v/>
      </c>
      <c r="AP121" s="128" t="str">
        <f t="shared" si="49"/>
        <v/>
      </c>
      <c r="AQ121" s="128" t="str">
        <f t="shared" si="50"/>
        <v/>
      </c>
      <c r="AR121" s="28" t="str">
        <f>IF(AND(ISBLANK(AT121),AS121=""),"",1+MAX(AR$18:AR120))</f>
        <v/>
      </c>
      <c r="AS121" s="150" t="str">
        <f>IF(OR(AO121="",AO121=0,$J121="",$J121=0,NOT(ISNUMBER($J121)),NOT(ISNUMBER(AO121))),IF(AND($G121&lt;&gt;"",AND(OR(ISNUMBER(AO121),AO121=""),AND(ISNUMBER($J121),$J121&gt;0))),'Feuille de Donnée'!$K$13,""),IF(AO121&lt;$J$165*'Feuille de Donnée'!$I$9,"Négligeable",(IF(AND(AM121&gt;=$H121*(1-'Feuille de Donnée'!$E$12),AM121&lt;=$H121*(1+'Feuille de Donnée'!$F$12)),'Feuille de Donnée'!$F$17,IF(AM121&lt;$H121*(1-'Feuille de Donnée'!$E$12),'Feuille de Donnée'!$F$18,'Feuille de Donnée'!$F$16))&amp;""&amp;IF(AND(AN121&gt;=$I121*(1-'Feuille de Donnée'!$E$27),AN121&lt;=$I121*(1+'Feuille de Donnée'!$F$27)),'Feuille de Donnée'!$F$32,IF(AN121&lt;$I121*(1-'Feuille de Donnée'!$E$27),'Feuille de Donnée'!$F$33,'Feuille de Donnée'!$F$31)))))</f>
        <v/>
      </c>
      <c r="AT121" s="151"/>
      <c r="AU121" s="110"/>
      <c r="AV121" s="28"/>
      <c r="AW121" s="28"/>
      <c r="AX121" s="28" t="str">
        <f t="shared" si="51"/>
        <v/>
      </c>
      <c r="AY121" s="128" t="str">
        <f t="shared" si="52"/>
        <v/>
      </c>
      <c r="AZ121" s="128" t="str">
        <f t="shared" si="53"/>
        <v/>
      </c>
      <c r="BA121" s="28" t="str">
        <f>IF(AND(ISBLANK(BC121),BB121=""),"",1+MAX(BA$18:BA120))</f>
        <v/>
      </c>
      <c r="BB121" s="150" t="str">
        <f>IF(OR(AX121="",AX121=0,$J121="",$J121=0,NOT(ISNUMBER($J121)),NOT(ISNUMBER(AX121))),IF(AND($G121&lt;&gt;"",AND(OR(ISNUMBER(AX121),AX121=""),AND(ISNUMBER($J121),$J121&gt;0))),'Feuille de Donnée'!$K$13,""),IF(AX121&lt;$J$165*'Feuille de Donnée'!$I$9,"Négligeable",(IF(AND(AV121&gt;=$H121*(1-'Feuille de Donnée'!$E$12),AV121&lt;=$H121*(1+'Feuille de Donnée'!$F$12)),'Feuille de Donnée'!$F$17,IF(AV121&lt;$H121*(1-'Feuille de Donnée'!$E$12),'Feuille de Donnée'!$F$18,'Feuille de Donnée'!$F$16))&amp;""&amp;IF(AND(AW121&gt;=$I121*(1-'Feuille de Donnée'!$E$27),AW121&lt;=$I121*(1+'Feuille de Donnée'!$F$27)),'Feuille de Donnée'!$F$32,IF(AW121&lt;$I121*(1-'Feuille de Donnée'!$E$27),'Feuille de Donnée'!$F$33,'Feuille de Donnée'!$F$31)))))</f>
        <v/>
      </c>
      <c r="BC121" s="151"/>
      <c r="BD121" s="110"/>
      <c r="BE121" s="28"/>
      <c r="BF121" s="28"/>
      <c r="BG121" s="28" t="str">
        <f t="shared" si="54"/>
        <v/>
      </c>
      <c r="BH121" s="128" t="str">
        <f t="shared" si="55"/>
        <v/>
      </c>
      <c r="BI121" s="128" t="str">
        <f t="shared" si="56"/>
        <v/>
      </c>
      <c r="BJ121" s="28" t="str">
        <f>IF(AND(ISBLANK(BL121),BK121=""),"",1+MAX(BJ$18:BJ120))</f>
        <v/>
      </c>
      <c r="BK121" s="150" t="str">
        <f>IF(OR(BG121="",BG121=0,$J121="",$J121=0,NOT(ISNUMBER($J121)),NOT(ISNUMBER(BG121))),IF(AND($G121&lt;&gt;"",AND(OR(ISNUMBER(BG121),BG121=""),AND(ISNUMBER($J121),$J121&gt;0))),'Feuille de Donnée'!$K$13,""),IF(BG121&lt;$J$165*'Feuille de Donnée'!$I$9,"Négligeable",(IF(AND(BE121&gt;=$H121*(1-'Feuille de Donnée'!$E$12),BE121&lt;=$H121*(1+'Feuille de Donnée'!$F$12)),'Feuille de Donnée'!$F$17,IF(BE121&lt;$H121*(1-'Feuille de Donnée'!$E$12),'Feuille de Donnée'!$F$18,'Feuille de Donnée'!$F$16))&amp;""&amp;IF(AND(BF121&gt;=$I121*(1-'Feuille de Donnée'!$E$27),BF121&lt;=$I121*(1+'Feuille de Donnée'!$F$27)),'Feuille de Donnée'!$F$32,IF(BF121&lt;$I121*(1-'Feuille de Donnée'!$E$27),'Feuille de Donnée'!$F$33,'Feuille de Donnée'!$F$31)))))</f>
        <v/>
      </c>
      <c r="BL121" s="151"/>
      <c r="BM121" s="153"/>
    </row>
    <row r="122" spans="1:65" s="7" customFormat="1" x14ac:dyDescent="0.3">
      <c r="A122" s="24"/>
      <c r="B122" s="25"/>
      <c r="C122" s="25"/>
      <c r="D122" s="25"/>
      <c r="E122" s="25"/>
      <c r="F122" s="25"/>
      <c r="G122" s="23"/>
      <c r="H122" s="26"/>
      <c r="I122" s="27"/>
      <c r="J122" s="109" t="str">
        <f t="shared" si="38"/>
        <v/>
      </c>
      <c r="K122" s="110"/>
      <c r="L122" s="28"/>
      <c r="M122" s="28"/>
      <c r="N122" s="28" t="str">
        <f t="shared" si="39"/>
        <v/>
      </c>
      <c r="O122" s="128" t="str">
        <f t="shared" si="40"/>
        <v/>
      </c>
      <c r="P122" s="128" t="str">
        <f t="shared" si="41"/>
        <v/>
      </c>
      <c r="Q122" s="28" t="str">
        <f>IF(AND(ISBLANK(S122),R122=""),"",1+MAX(Q$18:Q121))</f>
        <v/>
      </c>
      <c r="R122" s="150" t="str">
        <f>IF(OR(N122="",N122=0,$J122="",$J122=0,NOT(ISNUMBER($J122)),NOT(ISNUMBER(N122))),IF(AND($G122&lt;&gt;"",AND(OR(ISNUMBER(N122),N122=""),AND(ISNUMBER($J122),$J122&gt;0))),'Feuille de Donnée'!$K$13,""),IF(N122&lt;$J$165*'Feuille de Donnée'!$I$9,"Négligeable",(IF(AND(L122&gt;=$H122*(1-'Feuille de Donnée'!$E$12),L122&lt;=$H122*(1+'Feuille de Donnée'!$F$12)),'Feuille de Donnée'!$F$17,IF(L122&lt;$H122*(1-'Feuille de Donnée'!$E$12),'Feuille de Donnée'!$F$18,'Feuille de Donnée'!$F$16))&amp;""&amp;IF(AND(M122&gt;=$I122*(1-'Feuille de Donnée'!$E$27),M122&lt;=$I122*(1+'Feuille de Donnée'!$F$27)),'Feuille de Donnée'!$F$32,IF(M122&lt;$I122*(1-'Feuille de Donnée'!$E$27),'Feuille de Donnée'!$F$33,'Feuille de Donnée'!$F$31)))))</f>
        <v/>
      </c>
      <c r="S122" s="151"/>
      <c r="T122" s="110"/>
      <c r="U122" s="28"/>
      <c r="V122" s="28"/>
      <c r="W122" s="28" t="str">
        <f t="shared" si="42"/>
        <v/>
      </c>
      <c r="X122" s="128" t="str">
        <f t="shared" si="43"/>
        <v/>
      </c>
      <c r="Y122" s="128" t="str">
        <f t="shared" si="44"/>
        <v/>
      </c>
      <c r="Z122" s="28" t="str">
        <f>IF(AND(ISBLANK(AB122),AA122=""),"",1+MAX(Z$18:Z121))</f>
        <v/>
      </c>
      <c r="AA122" s="150" t="str">
        <f>IF(OR(W122="",W122=0,$J122="",$J122=0,NOT(ISNUMBER($J122)),NOT(ISNUMBER(W122))),IF(AND($G122&lt;&gt;"",AND(OR(ISNUMBER(W122),W122=""),AND(ISNUMBER($J122),$J122&gt;0))),'Feuille de Donnée'!$K$13,""),IF(W122&lt;$J$165*'Feuille de Donnée'!$I$9,"Négligeable",(IF(AND(U122&gt;=$H122*(1-'Feuille de Donnée'!$E$12),U122&lt;=$H122*(1+'Feuille de Donnée'!$F$12)),'Feuille de Donnée'!$F$17,IF(U122&lt;$H122*(1-'Feuille de Donnée'!$E$12),'Feuille de Donnée'!$F$18,'Feuille de Donnée'!$F$16))&amp;""&amp;IF(AND(V122&gt;=$I122*(1-'Feuille de Donnée'!$E$27),V122&lt;=$I122*(1+'Feuille de Donnée'!$F$27)),'Feuille de Donnée'!$F$32,IF(V122&lt;$I122*(1-'Feuille de Donnée'!$E$27),'Feuille de Donnée'!$F$33,'Feuille de Donnée'!$F$31)))))</f>
        <v/>
      </c>
      <c r="AB122" s="151"/>
      <c r="AC122" s="110"/>
      <c r="AD122" s="28"/>
      <c r="AE122" s="28"/>
      <c r="AF122" s="28" t="str">
        <f t="shared" si="45"/>
        <v/>
      </c>
      <c r="AG122" s="128" t="str">
        <f t="shared" si="46"/>
        <v/>
      </c>
      <c r="AH122" s="128" t="str">
        <f t="shared" si="47"/>
        <v/>
      </c>
      <c r="AI122" s="28" t="str">
        <f>IF(AND(ISBLANK(AK122),AJ122=""),"",1+MAX(AI$18:AI121))</f>
        <v/>
      </c>
      <c r="AJ122" s="150" t="str">
        <f>IF(OR(AF122="",AF122=0,$J122="",$J122=0,NOT(ISNUMBER($J122)),NOT(ISNUMBER(AF122))),IF(AND($G122&lt;&gt;"",AND(OR(ISNUMBER(AF122),AF122=""),AND(ISNUMBER($J122),$J122&gt;0))),'Feuille de Donnée'!$K$13,""),IF(AF122&lt;$J$165*'Feuille de Donnée'!$I$9,"Négligeable",(IF(AND(AD122&gt;=$H122*(1-'Feuille de Donnée'!$E$12),AD122&lt;=$H122*(1+'Feuille de Donnée'!$F$12)),'Feuille de Donnée'!$F$17,IF(AD122&lt;$H122*(1-'Feuille de Donnée'!$E$12),'Feuille de Donnée'!$F$18,'Feuille de Donnée'!$F$16))&amp;""&amp;IF(AND(AE122&gt;=$I122*(1-'Feuille de Donnée'!$E$27),AE122&lt;=$I122*(1+'Feuille de Donnée'!$F$27)),'Feuille de Donnée'!$F$32,IF(AE122&lt;$I122*(1-'Feuille de Donnée'!$E$27),'Feuille de Donnée'!$F$33,'Feuille de Donnée'!$F$31)))))</f>
        <v/>
      </c>
      <c r="AK122" s="151"/>
      <c r="AL122" s="110"/>
      <c r="AM122" s="28"/>
      <c r="AN122" s="28"/>
      <c r="AO122" s="28" t="str">
        <f t="shared" si="48"/>
        <v/>
      </c>
      <c r="AP122" s="128" t="str">
        <f t="shared" si="49"/>
        <v/>
      </c>
      <c r="AQ122" s="128" t="str">
        <f t="shared" si="50"/>
        <v/>
      </c>
      <c r="AR122" s="28" t="str">
        <f>IF(AND(ISBLANK(AT122),AS122=""),"",1+MAX(AR$18:AR121))</f>
        <v/>
      </c>
      <c r="AS122" s="150" t="str">
        <f>IF(OR(AO122="",AO122=0,$J122="",$J122=0,NOT(ISNUMBER($J122)),NOT(ISNUMBER(AO122))),IF(AND($G122&lt;&gt;"",AND(OR(ISNUMBER(AO122),AO122=""),AND(ISNUMBER($J122),$J122&gt;0))),'Feuille de Donnée'!$K$13,""),IF(AO122&lt;$J$165*'Feuille de Donnée'!$I$9,"Négligeable",(IF(AND(AM122&gt;=$H122*(1-'Feuille de Donnée'!$E$12),AM122&lt;=$H122*(1+'Feuille de Donnée'!$F$12)),'Feuille de Donnée'!$F$17,IF(AM122&lt;$H122*(1-'Feuille de Donnée'!$E$12),'Feuille de Donnée'!$F$18,'Feuille de Donnée'!$F$16))&amp;""&amp;IF(AND(AN122&gt;=$I122*(1-'Feuille de Donnée'!$E$27),AN122&lt;=$I122*(1+'Feuille de Donnée'!$F$27)),'Feuille de Donnée'!$F$32,IF(AN122&lt;$I122*(1-'Feuille de Donnée'!$E$27),'Feuille de Donnée'!$F$33,'Feuille de Donnée'!$F$31)))))</f>
        <v/>
      </c>
      <c r="AT122" s="151"/>
      <c r="AU122" s="110"/>
      <c r="AV122" s="28"/>
      <c r="AW122" s="28"/>
      <c r="AX122" s="28" t="str">
        <f t="shared" si="51"/>
        <v/>
      </c>
      <c r="AY122" s="128" t="str">
        <f t="shared" si="52"/>
        <v/>
      </c>
      <c r="AZ122" s="128" t="str">
        <f t="shared" si="53"/>
        <v/>
      </c>
      <c r="BA122" s="28" t="str">
        <f>IF(AND(ISBLANK(BC122),BB122=""),"",1+MAX(BA$18:BA121))</f>
        <v/>
      </c>
      <c r="BB122" s="150" t="str">
        <f>IF(OR(AX122="",AX122=0,$J122="",$J122=0,NOT(ISNUMBER($J122)),NOT(ISNUMBER(AX122))),IF(AND($G122&lt;&gt;"",AND(OR(ISNUMBER(AX122),AX122=""),AND(ISNUMBER($J122),$J122&gt;0))),'Feuille de Donnée'!$K$13,""),IF(AX122&lt;$J$165*'Feuille de Donnée'!$I$9,"Négligeable",(IF(AND(AV122&gt;=$H122*(1-'Feuille de Donnée'!$E$12),AV122&lt;=$H122*(1+'Feuille de Donnée'!$F$12)),'Feuille de Donnée'!$F$17,IF(AV122&lt;$H122*(1-'Feuille de Donnée'!$E$12),'Feuille de Donnée'!$F$18,'Feuille de Donnée'!$F$16))&amp;""&amp;IF(AND(AW122&gt;=$I122*(1-'Feuille de Donnée'!$E$27),AW122&lt;=$I122*(1+'Feuille de Donnée'!$F$27)),'Feuille de Donnée'!$F$32,IF(AW122&lt;$I122*(1-'Feuille de Donnée'!$E$27),'Feuille de Donnée'!$F$33,'Feuille de Donnée'!$F$31)))))</f>
        <v/>
      </c>
      <c r="BC122" s="151"/>
      <c r="BD122" s="110"/>
      <c r="BE122" s="28"/>
      <c r="BF122" s="28"/>
      <c r="BG122" s="28" t="str">
        <f t="shared" si="54"/>
        <v/>
      </c>
      <c r="BH122" s="128" t="str">
        <f t="shared" si="55"/>
        <v/>
      </c>
      <c r="BI122" s="128" t="str">
        <f t="shared" si="56"/>
        <v/>
      </c>
      <c r="BJ122" s="28" t="str">
        <f>IF(AND(ISBLANK(BL122),BK122=""),"",1+MAX(BJ$18:BJ121))</f>
        <v/>
      </c>
      <c r="BK122" s="150" t="str">
        <f>IF(OR(BG122="",BG122=0,$J122="",$J122=0,NOT(ISNUMBER($J122)),NOT(ISNUMBER(BG122))),IF(AND($G122&lt;&gt;"",AND(OR(ISNUMBER(BG122),BG122=""),AND(ISNUMBER($J122),$J122&gt;0))),'Feuille de Donnée'!$K$13,""),IF(BG122&lt;$J$165*'Feuille de Donnée'!$I$9,"Négligeable",(IF(AND(BE122&gt;=$H122*(1-'Feuille de Donnée'!$E$12),BE122&lt;=$H122*(1+'Feuille de Donnée'!$F$12)),'Feuille de Donnée'!$F$17,IF(BE122&lt;$H122*(1-'Feuille de Donnée'!$E$12),'Feuille de Donnée'!$F$18,'Feuille de Donnée'!$F$16))&amp;""&amp;IF(AND(BF122&gt;=$I122*(1-'Feuille de Donnée'!$E$27),BF122&lt;=$I122*(1+'Feuille de Donnée'!$F$27)),'Feuille de Donnée'!$F$32,IF(BF122&lt;$I122*(1-'Feuille de Donnée'!$E$27),'Feuille de Donnée'!$F$33,'Feuille de Donnée'!$F$31)))))</f>
        <v/>
      </c>
      <c r="BL122" s="151"/>
      <c r="BM122" s="153"/>
    </row>
    <row r="123" spans="1:65" s="7" customFormat="1" x14ac:dyDescent="0.3">
      <c r="A123" s="24"/>
      <c r="B123" s="25"/>
      <c r="C123" s="25"/>
      <c r="D123" s="25"/>
      <c r="E123" s="25"/>
      <c r="F123" s="25"/>
      <c r="G123" s="23"/>
      <c r="H123" s="26"/>
      <c r="I123" s="27"/>
      <c r="J123" s="109" t="str">
        <f t="shared" si="38"/>
        <v/>
      </c>
      <c r="K123" s="110"/>
      <c r="L123" s="28"/>
      <c r="M123" s="28"/>
      <c r="N123" s="28" t="str">
        <f t="shared" si="39"/>
        <v/>
      </c>
      <c r="O123" s="128" t="str">
        <f t="shared" si="40"/>
        <v/>
      </c>
      <c r="P123" s="128" t="str">
        <f t="shared" si="41"/>
        <v/>
      </c>
      <c r="Q123" s="28" t="str">
        <f>IF(AND(ISBLANK(S123),R123=""),"",1+MAX(Q$18:Q122))</f>
        <v/>
      </c>
      <c r="R123" s="150" t="str">
        <f>IF(OR(N123="",N123=0,$J123="",$J123=0,NOT(ISNUMBER($J123)),NOT(ISNUMBER(N123))),IF(AND($G123&lt;&gt;"",AND(OR(ISNUMBER(N123),N123=""),AND(ISNUMBER($J123),$J123&gt;0))),'Feuille de Donnée'!$K$13,""),IF(N123&lt;$J$165*'Feuille de Donnée'!$I$9,"Négligeable",(IF(AND(L123&gt;=$H123*(1-'Feuille de Donnée'!$E$12),L123&lt;=$H123*(1+'Feuille de Donnée'!$F$12)),'Feuille de Donnée'!$F$17,IF(L123&lt;$H123*(1-'Feuille de Donnée'!$E$12),'Feuille de Donnée'!$F$18,'Feuille de Donnée'!$F$16))&amp;""&amp;IF(AND(M123&gt;=$I123*(1-'Feuille de Donnée'!$E$27),M123&lt;=$I123*(1+'Feuille de Donnée'!$F$27)),'Feuille de Donnée'!$F$32,IF(M123&lt;$I123*(1-'Feuille de Donnée'!$E$27),'Feuille de Donnée'!$F$33,'Feuille de Donnée'!$F$31)))))</f>
        <v/>
      </c>
      <c r="S123" s="151"/>
      <c r="T123" s="110"/>
      <c r="U123" s="28"/>
      <c r="V123" s="28"/>
      <c r="W123" s="28" t="str">
        <f t="shared" si="42"/>
        <v/>
      </c>
      <c r="X123" s="128" t="str">
        <f t="shared" si="43"/>
        <v/>
      </c>
      <c r="Y123" s="128" t="str">
        <f t="shared" si="44"/>
        <v/>
      </c>
      <c r="Z123" s="28" t="str">
        <f>IF(AND(ISBLANK(AB123),AA123=""),"",1+MAX(Z$18:Z122))</f>
        <v/>
      </c>
      <c r="AA123" s="150" t="str">
        <f>IF(OR(W123="",W123=0,$J123="",$J123=0,NOT(ISNUMBER($J123)),NOT(ISNUMBER(W123))),IF(AND($G123&lt;&gt;"",AND(OR(ISNUMBER(W123),W123=""),AND(ISNUMBER($J123),$J123&gt;0))),'Feuille de Donnée'!$K$13,""),IF(W123&lt;$J$165*'Feuille de Donnée'!$I$9,"Négligeable",(IF(AND(U123&gt;=$H123*(1-'Feuille de Donnée'!$E$12),U123&lt;=$H123*(1+'Feuille de Donnée'!$F$12)),'Feuille de Donnée'!$F$17,IF(U123&lt;$H123*(1-'Feuille de Donnée'!$E$12),'Feuille de Donnée'!$F$18,'Feuille de Donnée'!$F$16))&amp;""&amp;IF(AND(V123&gt;=$I123*(1-'Feuille de Donnée'!$E$27),V123&lt;=$I123*(1+'Feuille de Donnée'!$F$27)),'Feuille de Donnée'!$F$32,IF(V123&lt;$I123*(1-'Feuille de Donnée'!$E$27),'Feuille de Donnée'!$F$33,'Feuille de Donnée'!$F$31)))))</f>
        <v/>
      </c>
      <c r="AB123" s="151"/>
      <c r="AC123" s="110"/>
      <c r="AD123" s="28"/>
      <c r="AE123" s="28"/>
      <c r="AF123" s="28" t="str">
        <f t="shared" si="45"/>
        <v/>
      </c>
      <c r="AG123" s="128" t="str">
        <f t="shared" si="46"/>
        <v/>
      </c>
      <c r="AH123" s="128" t="str">
        <f t="shared" si="47"/>
        <v/>
      </c>
      <c r="AI123" s="28" t="str">
        <f>IF(AND(ISBLANK(AK123),AJ123=""),"",1+MAX(AI$18:AI122))</f>
        <v/>
      </c>
      <c r="AJ123" s="150" t="str">
        <f>IF(OR(AF123="",AF123=0,$J123="",$J123=0,NOT(ISNUMBER($J123)),NOT(ISNUMBER(AF123))),IF(AND($G123&lt;&gt;"",AND(OR(ISNUMBER(AF123),AF123=""),AND(ISNUMBER($J123),$J123&gt;0))),'Feuille de Donnée'!$K$13,""),IF(AF123&lt;$J$165*'Feuille de Donnée'!$I$9,"Négligeable",(IF(AND(AD123&gt;=$H123*(1-'Feuille de Donnée'!$E$12),AD123&lt;=$H123*(1+'Feuille de Donnée'!$F$12)),'Feuille de Donnée'!$F$17,IF(AD123&lt;$H123*(1-'Feuille de Donnée'!$E$12),'Feuille de Donnée'!$F$18,'Feuille de Donnée'!$F$16))&amp;""&amp;IF(AND(AE123&gt;=$I123*(1-'Feuille de Donnée'!$E$27),AE123&lt;=$I123*(1+'Feuille de Donnée'!$F$27)),'Feuille de Donnée'!$F$32,IF(AE123&lt;$I123*(1-'Feuille de Donnée'!$E$27),'Feuille de Donnée'!$F$33,'Feuille de Donnée'!$F$31)))))</f>
        <v/>
      </c>
      <c r="AK123" s="151"/>
      <c r="AL123" s="110"/>
      <c r="AM123" s="28"/>
      <c r="AN123" s="28"/>
      <c r="AO123" s="28" t="str">
        <f t="shared" si="48"/>
        <v/>
      </c>
      <c r="AP123" s="128" t="str">
        <f t="shared" si="49"/>
        <v/>
      </c>
      <c r="AQ123" s="128" t="str">
        <f t="shared" si="50"/>
        <v/>
      </c>
      <c r="AR123" s="28" t="str">
        <f>IF(AND(ISBLANK(AT123),AS123=""),"",1+MAX(AR$18:AR122))</f>
        <v/>
      </c>
      <c r="AS123" s="150" t="str">
        <f>IF(OR(AO123="",AO123=0,$J123="",$J123=0,NOT(ISNUMBER($J123)),NOT(ISNUMBER(AO123))),IF(AND($G123&lt;&gt;"",AND(OR(ISNUMBER(AO123),AO123=""),AND(ISNUMBER($J123),$J123&gt;0))),'Feuille de Donnée'!$K$13,""),IF(AO123&lt;$J$165*'Feuille de Donnée'!$I$9,"Négligeable",(IF(AND(AM123&gt;=$H123*(1-'Feuille de Donnée'!$E$12),AM123&lt;=$H123*(1+'Feuille de Donnée'!$F$12)),'Feuille de Donnée'!$F$17,IF(AM123&lt;$H123*(1-'Feuille de Donnée'!$E$12),'Feuille de Donnée'!$F$18,'Feuille de Donnée'!$F$16))&amp;""&amp;IF(AND(AN123&gt;=$I123*(1-'Feuille de Donnée'!$E$27),AN123&lt;=$I123*(1+'Feuille de Donnée'!$F$27)),'Feuille de Donnée'!$F$32,IF(AN123&lt;$I123*(1-'Feuille de Donnée'!$E$27),'Feuille de Donnée'!$F$33,'Feuille de Donnée'!$F$31)))))</f>
        <v/>
      </c>
      <c r="AT123" s="151"/>
      <c r="AU123" s="110"/>
      <c r="AV123" s="28"/>
      <c r="AW123" s="28"/>
      <c r="AX123" s="28" t="str">
        <f t="shared" si="51"/>
        <v/>
      </c>
      <c r="AY123" s="128" t="str">
        <f t="shared" si="52"/>
        <v/>
      </c>
      <c r="AZ123" s="128" t="str">
        <f t="shared" si="53"/>
        <v/>
      </c>
      <c r="BA123" s="28" t="str">
        <f>IF(AND(ISBLANK(BC123),BB123=""),"",1+MAX(BA$18:BA122))</f>
        <v/>
      </c>
      <c r="BB123" s="150" t="str">
        <f>IF(OR(AX123="",AX123=0,$J123="",$J123=0,NOT(ISNUMBER($J123)),NOT(ISNUMBER(AX123))),IF(AND($G123&lt;&gt;"",AND(OR(ISNUMBER(AX123),AX123=""),AND(ISNUMBER($J123),$J123&gt;0))),'Feuille de Donnée'!$K$13,""),IF(AX123&lt;$J$165*'Feuille de Donnée'!$I$9,"Négligeable",(IF(AND(AV123&gt;=$H123*(1-'Feuille de Donnée'!$E$12),AV123&lt;=$H123*(1+'Feuille de Donnée'!$F$12)),'Feuille de Donnée'!$F$17,IF(AV123&lt;$H123*(1-'Feuille de Donnée'!$E$12),'Feuille de Donnée'!$F$18,'Feuille de Donnée'!$F$16))&amp;""&amp;IF(AND(AW123&gt;=$I123*(1-'Feuille de Donnée'!$E$27),AW123&lt;=$I123*(1+'Feuille de Donnée'!$F$27)),'Feuille de Donnée'!$F$32,IF(AW123&lt;$I123*(1-'Feuille de Donnée'!$E$27),'Feuille de Donnée'!$F$33,'Feuille de Donnée'!$F$31)))))</f>
        <v/>
      </c>
      <c r="BC123" s="151"/>
      <c r="BD123" s="110"/>
      <c r="BE123" s="28"/>
      <c r="BF123" s="28"/>
      <c r="BG123" s="28" t="str">
        <f t="shared" si="54"/>
        <v/>
      </c>
      <c r="BH123" s="128" t="str">
        <f t="shared" si="55"/>
        <v/>
      </c>
      <c r="BI123" s="128" t="str">
        <f t="shared" si="56"/>
        <v/>
      </c>
      <c r="BJ123" s="28" t="str">
        <f>IF(AND(ISBLANK(BL123),BK123=""),"",1+MAX(BJ$18:BJ122))</f>
        <v/>
      </c>
      <c r="BK123" s="150" t="str">
        <f>IF(OR(BG123="",BG123=0,$J123="",$J123=0,NOT(ISNUMBER($J123)),NOT(ISNUMBER(BG123))),IF(AND($G123&lt;&gt;"",AND(OR(ISNUMBER(BG123),BG123=""),AND(ISNUMBER($J123),$J123&gt;0))),'Feuille de Donnée'!$K$13,""),IF(BG123&lt;$J$165*'Feuille de Donnée'!$I$9,"Négligeable",(IF(AND(BE123&gt;=$H123*(1-'Feuille de Donnée'!$E$12),BE123&lt;=$H123*(1+'Feuille de Donnée'!$F$12)),'Feuille de Donnée'!$F$17,IF(BE123&lt;$H123*(1-'Feuille de Donnée'!$E$12),'Feuille de Donnée'!$F$18,'Feuille de Donnée'!$F$16))&amp;""&amp;IF(AND(BF123&gt;=$I123*(1-'Feuille de Donnée'!$E$27),BF123&lt;=$I123*(1+'Feuille de Donnée'!$F$27)),'Feuille de Donnée'!$F$32,IF(BF123&lt;$I123*(1-'Feuille de Donnée'!$E$27),'Feuille de Donnée'!$F$33,'Feuille de Donnée'!$F$31)))))</f>
        <v/>
      </c>
      <c r="BL123" s="151"/>
      <c r="BM123" s="153"/>
    </row>
    <row r="124" spans="1:65" s="7" customFormat="1" x14ac:dyDescent="0.3">
      <c r="A124" s="24"/>
      <c r="B124" s="25"/>
      <c r="C124" s="25"/>
      <c r="D124" s="25"/>
      <c r="E124" s="25"/>
      <c r="F124" s="25"/>
      <c r="G124" s="23"/>
      <c r="H124" s="26"/>
      <c r="I124" s="27"/>
      <c r="J124" s="109" t="str">
        <f t="shared" si="38"/>
        <v/>
      </c>
      <c r="K124" s="110"/>
      <c r="L124" s="28"/>
      <c r="M124" s="28"/>
      <c r="N124" s="28" t="str">
        <f t="shared" si="39"/>
        <v/>
      </c>
      <c r="O124" s="128" t="str">
        <f t="shared" si="40"/>
        <v/>
      </c>
      <c r="P124" s="128" t="str">
        <f t="shared" si="41"/>
        <v/>
      </c>
      <c r="Q124" s="28" t="str">
        <f>IF(AND(ISBLANK(S124),R124=""),"",1+MAX(Q$18:Q123))</f>
        <v/>
      </c>
      <c r="R124" s="150" t="str">
        <f>IF(OR(N124="",N124=0,$J124="",$J124=0,NOT(ISNUMBER($J124)),NOT(ISNUMBER(N124))),IF(AND($G124&lt;&gt;"",AND(OR(ISNUMBER(N124),N124=""),AND(ISNUMBER($J124),$J124&gt;0))),'Feuille de Donnée'!$K$13,""),IF(N124&lt;$J$165*'Feuille de Donnée'!$I$9,"Négligeable",(IF(AND(L124&gt;=$H124*(1-'Feuille de Donnée'!$E$12),L124&lt;=$H124*(1+'Feuille de Donnée'!$F$12)),'Feuille de Donnée'!$F$17,IF(L124&lt;$H124*(1-'Feuille de Donnée'!$E$12),'Feuille de Donnée'!$F$18,'Feuille de Donnée'!$F$16))&amp;""&amp;IF(AND(M124&gt;=$I124*(1-'Feuille de Donnée'!$E$27),M124&lt;=$I124*(1+'Feuille de Donnée'!$F$27)),'Feuille de Donnée'!$F$32,IF(M124&lt;$I124*(1-'Feuille de Donnée'!$E$27),'Feuille de Donnée'!$F$33,'Feuille de Donnée'!$F$31)))))</f>
        <v/>
      </c>
      <c r="S124" s="151"/>
      <c r="T124" s="110"/>
      <c r="U124" s="28"/>
      <c r="V124" s="28"/>
      <c r="W124" s="28" t="str">
        <f t="shared" si="42"/>
        <v/>
      </c>
      <c r="X124" s="128" t="str">
        <f t="shared" si="43"/>
        <v/>
      </c>
      <c r="Y124" s="128" t="str">
        <f t="shared" si="44"/>
        <v/>
      </c>
      <c r="Z124" s="28" t="str">
        <f>IF(AND(ISBLANK(AB124),AA124=""),"",1+MAX(Z$18:Z123))</f>
        <v/>
      </c>
      <c r="AA124" s="150" t="str">
        <f>IF(OR(W124="",W124=0,$J124="",$J124=0,NOT(ISNUMBER($J124)),NOT(ISNUMBER(W124))),IF(AND($G124&lt;&gt;"",AND(OR(ISNUMBER(W124),W124=""),AND(ISNUMBER($J124),$J124&gt;0))),'Feuille de Donnée'!$K$13,""),IF(W124&lt;$J$165*'Feuille de Donnée'!$I$9,"Négligeable",(IF(AND(U124&gt;=$H124*(1-'Feuille de Donnée'!$E$12),U124&lt;=$H124*(1+'Feuille de Donnée'!$F$12)),'Feuille de Donnée'!$F$17,IF(U124&lt;$H124*(1-'Feuille de Donnée'!$E$12),'Feuille de Donnée'!$F$18,'Feuille de Donnée'!$F$16))&amp;""&amp;IF(AND(V124&gt;=$I124*(1-'Feuille de Donnée'!$E$27),V124&lt;=$I124*(1+'Feuille de Donnée'!$F$27)),'Feuille de Donnée'!$F$32,IF(V124&lt;$I124*(1-'Feuille de Donnée'!$E$27),'Feuille de Donnée'!$F$33,'Feuille de Donnée'!$F$31)))))</f>
        <v/>
      </c>
      <c r="AB124" s="151"/>
      <c r="AC124" s="110"/>
      <c r="AD124" s="28"/>
      <c r="AE124" s="28"/>
      <c r="AF124" s="28" t="str">
        <f t="shared" si="45"/>
        <v/>
      </c>
      <c r="AG124" s="128" t="str">
        <f t="shared" si="46"/>
        <v/>
      </c>
      <c r="AH124" s="128" t="str">
        <f t="shared" si="47"/>
        <v/>
      </c>
      <c r="AI124" s="28" t="str">
        <f>IF(AND(ISBLANK(AK124),AJ124=""),"",1+MAX(AI$18:AI123))</f>
        <v/>
      </c>
      <c r="AJ124" s="150" t="str">
        <f>IF(OR(AF124="",AF124=0,$J124="",$J124=0,NOT(ISNUMBER($J124)),NOT(ISNUMBER(AF124))),IF(AND($G124&lt;&gt;"",AND(OR(ISNUMBER(AF124),AF124=""),AND(ISNUMBER($J124),$J124&gt;0))),'Feuille de Donnée'!$K$13,""),IF(AF124&lt;$J$165*'Feuille de Donnée'!$I$9,"Négligeable",(IF(AND(AD124&gt;=$H124*(1-'Feuille de Donnée'!$E$12),AD124&lt;=$H124*(1+'Feuille de Donnée'!$F$12)),'Feuille de Donnée'!$F$17,IF(AD124&lt;$H124*(1-'Feuille de Donnée'!$E$12),'Feuille de Donnée'!$F$18,'Feuille de Donnée'!$F$16))&amp;""&amp;IF(AND(AE124&gt;=$I124*(1-'Feuille de Donnée'!$E$27),AE124&lt;=$I124*(1+'Feuille de Donnée'!$F$27)),'Feuille de Donnée'!$F$32,IF(AE124&lt;$I124*(1-'Feuille de Donnée'!$E$27),'Feuille de Donnée'!$F$33,'Feuille de Donnée'!$F$31)))))</f>
        <v/>
      </c>
      <c r="AK124" s="151"/>
      <c r="AL124" s="110"/>
      <c r="AM124" s="28"/>
      <c r="AN124" s="28"/>
      <c r="AO124" s="28" t="str">
        <f t="shared" si="48"/>
        <v/>
      </c>
      <c r="AP124" s="128" t="str">
        <f t="shared" si="49"/>
        <v/>
      </c>
      <c r="AQ124" s="128" t="str">
        <f t="shared" si="50"/>
        <v/>
      </c>
      <c r="AR124" s="28" t="str">
        <f>IF(AND(ISBLANK(AT124),AS124=""),"",1+MAX(AR$18:AR123))</f>
        <v/>
      </c>
      <c r="AS124" s="150" t="str">
        <f>IF(OR(AO124="",AO124=0,$J124="",$J124=0,NOT(ISNUMBER($J124)),NOT(ISNUMBER(AO124))),IF(AND($G124&lt;&gt;"",AND(OR(ISNUMBER(AO124),AO124=""),AND(ISNUMBER($J124),$J124&gt;0))),'Feuille de Donnée'!$K$13,""),IF(AO124&lt;$J$165*'Feuille de Donnée'!$I$9,"Négligeable",(IF(AND(AM124&gt;=$H124*(1-'Feuille de Donnée'!$E$12),AM124&lt;=$H124*(1+'Feuille de Donnée'!$F$12)),'Feuille de Donnée'!$F$17,IF(AM124&lt;$H124*(1-'Feuille de Donnée'!$E$12),'Feuille de Donnée'!$F$18,'Feuille de Donnée'!$F$16))&amp;""&amp;IF(AND(AN124&gt;=$I124*(1-'Feuille de Donnée'!$E$27),AN124&lt;=$I124*(1+'Feuille de Donnée'!$F$27)),'Feuille de Donnée'!$F$32,IF(AN124&lt;$I124*(1-'Feuille de Donnée'!$E$27),'Feuille de Donnée'!$F$33,'Feuille de Donnée'!$F$31)))))</f>
        <v/>
      </c>
      <c r="AT124" s="151"/>
      <c r="AU124" s="110"/>
      <c r="AV124" s="28"/>
      <c r="AW124" s="28"/>
      <c r="AX124" s="28" t="str">
        <f t="shared" si="51"/>
        <v/>
      </c>
      <c r="AY124" s="128" t="str">
        <f t="shared" si="52"/>
        <v/>
      </c>
      <c r="AZ124" s="128" t="str">
        <f t="shared" si="53"/>
        <v/>
      </c>
      <c r="BA124" s="28" t="str">
        <f>IF(AND(ISBLANK(BC124),BB124=""),"",1+MAX(BA$18:BA123))</f>
        <v/>
      </c>
      <c r="BB124" s="150" t="str">
        <f>IF(OR(AX124="",AX124=0,$J124="",$J124=0,NOT(ISNUMBER($J124)),NOT(ISNUMBER(AX124))),IF(AND($G124&lt;&gt;"",AND(OR(ISNUMBER(AX124),AX124=""),AND(ISNUMBER($J124),$J124&gt;0))),'Feuille de Donnée'!$K$13,""),IF(AX124&lt;$J$165*'Feuille de Donnée'!$I$9,"Négligeable",(IF(AND(AV124&gt;=$H124*(1-'Feuille de Donnée'!$E$12),AV124&lt;=$H124*(1+'Feuille de Donnée'!$F$12)),'Feuille de Donnée'!$F$17,IF(AV124&lt;$H124*(1-'Feuille de Donnée'!$E$12),'Feuille de Donnée'!$F$18,'Feuille de Donnée'!$F$16))&amp;""&amp;IF(AND(AW124&gt;=$I124*(1-'Feuille de Donnée'!$E$27),AW124&lt;=$I124*(1+'Feuille de Donnée'!$F$27)),'Feuille de Donnée'!$F$32,IF(AW124&lt;$I124*(1-'Feuille de Donnée'!$E$27),'Feuille de Donnée'!$F$33,'Feuille de Donnée'!$F$31)))))</f>
        <v/>
      </c>
      <c r="BC124" s="151"/>
      <c r="BD124" s="110"/>
      <c r="BE124" s="28"/>
      <c r="BF124" s="28"/>
      <c r="BG124" s="28" t="str">
        <f t="shared" si="54"/>
        <v/>
      </c>
      <c r="BH124" s="128" t="str">
        <f t="shared" si="55"/>
        <v/>
      </c>
      <c r="BI124" s="128" t="str">
        <f t="shared" si="56"/>
        <v/>
      </c>
      <c r="BJ124" s="28" t="str">
        <f>IF(AND(ISBLANK(BL124),BK124=""),"",1+MAX(BJ$18:BJ123))</f>
        <v/>
      </c>
      <c r="BK124" s="150" t="str">
        <f>IF(OR(BG124="",BG124=0,$J124="",$J124=0,NOT(ISNUMBER($J124)),NOT(ISNUMBER(BG124))),IF(AND($G124&lt;&gt;"",AND(OR(ISNUMBER(BG124),BG124=""),AND(ISNUMBER($J124),$J124&gt;0))),'Feuille de Donnée'!$K$13,""),IF(BG124&lt;$J$165*'Feuille de Donnée'!$I$9,"Négligeable",(IF(AND(BE124&gt;=$H124*(1-'Feuille de Donnée'!$E$12),BE124&lt;=$H124*(1+'Feuille de Donnée'!$F$12)),'Feuille de Donnée'!$F$17,IF(BE124&lt;$H124*(1-'Feuille de Donnée'!$E$12),'Feuille de Donnée'!$F$18,'Feuille de Donnée'!$F$16))&amp;""&amp;IF(AND(BF124&gt;=$I124*(1-'Feuille de Donnée'!$E$27),BF124&lt;=$I124*(1+'Feuille de Donnée'!$F$27)),'Feuille de Donnée'!$F$32,IF(BF124&lt;$I124*(1-'Feuille de Donnée'!$E$27),'Feuille de Donnée'!$F$33,'Feuille de Donnée'!$F$31)))))</f>
        <v/>
      </c>
      <c r="BL124" s="151"/>
      <c r="BM124" s="153"/>
    </row>
    <row r="125" spans="1:65" s="7" customFormat="1" x14ac:dyDescent="0.3">
      <c r="A125" s="24"/>
      <c r="B125" s="25"/>
      <c r="C125" s="25"/>
      <c r="D125" s="25"/>
      <c r="E125" s="25"/>
      <c r="F125" s="25"/>
      <c r="G125" s="23"/>
      <c r="H125" s="26"/>
      <c r="I125" s="27"/>
      <c r="J125" s="109" t="str">
        <f t="shared" si="38"/>
        <v/>
      </c>
      <c r="K125" s="110"/>
      <c r="L125" s="28"/>
      <c r="M125" s="28"/>
      <c r="N125" s="28" t="str">
        <f t="shared" si="39"/>
        <v/>
      </c>
      <c r="O125" s="128" t="str">
        <f t="shared" si="40"/>
        <v/>
      </c>
      <c r="P125" s="128" t="str">
        <f t="shared" si="41"/>
        <v/>
      </c>
      <c r="Q125" s="28" t="str">
        <f>IF(AND(ISBLANK(S125),R125=""),"",1+MAX(Q$18:Q124))</f>
        <v/>
      </c>
      <c r="R125" s="150" t="str">
        <f>IF(OR(N125="",N125=0,$J125="",$J125=0,NOT(ISNUMBER($J125)),NOT(ISNUMBER(N125))),IF(AND($G125&lt;&gt;"",AND(OR(ISNUMBER(N125),N125=""),AND(ISNUMBER($J125),$J125&gt;0))),'Feuille de Donnée'!$K$13,""),IF(N125&lt;$J$165*'Feuille de Donnée'!$I$9,"Négligeable",(IF(AND(L125&gt;=$H125*(1-'Feuille de Donnée'!$E$12),L125&lt;=$H125*(1+'Feuille de Donnée'!$F$12)),'Feuille de Donnée'!$F$17,IF(L125&lt;$H125*(1-'Feuille de Donnée'!$E$12),'Feuille de Donnée'!$F$18,'Feuille de Donnée'!$F$16))&amp;""&amp;IF(AND(M125&gt;=$I125*(1-'Feuille de Donnée'!$E$27),M125&lt;=$I125*(1+'Feuille de Donnée'!$F$27)),'Feuille de Donnée'!$F$32,IF(M125&lt;$I125*(1-'Feuille de Donnée'!$E$27),'Feuille de Donnée'!$F$33,'Feuille de Donnée'!$F$31)))))</f>
        <v/>
      </c>
      <c r="S125" s="151"/>
      <c r="T125" s="110"/>
      <c r="U125" s="28"/>
      <c r="V125" s="28"/>
      <c r="W125" s="28" t="str">
        <f t="shared" si="42"/>
        <v/>
      </c>
      <c r="X125" s="128" t="str">
        <f t="shared" si="43"/>
        <v/>
      </c>
      <c r="Y125" s="128" t="str">
        <f t="shared" si="44"/>
        <v/>
      </c>
      <c r="Z125" s="28" t="str">
        <f>IF(AND(ISBLANK(AB125),AA125=""),"",1+MAX(Z$18:Z124))</f>
        <v/>
      </c>
      <c r="AA125" s="150" t="str">
        <f>IF(OR(W125="",W125=0,$J125="",$J125=0,NOT(ISNUMBER($J125)),NOT(ISNUMBER(W125))),IF(AND($G125&lt;&gt;"",AND(OR(ISNUMBER(W125),W125=""),AND(ISNUMBER($J125),$J125&gt;0))),'Feuille de Donnée'!$K$13,""),IF(W125&lt;$J$165*'Feuille de Donnée'!$I$9,"Négligeable",(IF(AND(U125&gt;=$H125*(1-'Feuille de Donnée'!$E$12),U125&lt;=$H125*(1+'Feuille de Donnée'!$F$12)),'Feuille de Donnée'!$F$17,IF(U125&lt;$H125*(1-'Feuille de Donnée'!$E$12),'Feuille de Donnée'!$F$18,'Feuille de Donnée'!$F$16))&amp;""&amp;IF(AND(V125&gt;=$I125*(1-'Feuille de Donnée'!$E$27),V125&lt;=$I125*(1+'Feuille de Donnée'!$F$27)),'Feuille de Donnée'!$F$32,IF(V125&lt;$I125*(1-'Feuille de Donnée'!$E$27),'Feuille de Donnée'!$F$33,'Feuille de Donnée'!$F$31)))))</f>
        <v/>
      </c>
      <c r="AB125" s="151"/>
      <c r="AC125" s="110"/>
      <c r="AD125" s="28"/>
      <c r="AE125" s="28"/>
      <c r="AF125" s="28" t="str">
        <f t="shared" si="45"/>
        <v/>
      </c>
      <c r="AG125" s="128" t="str">
        <f t="shared" si="46"/>
        <v/>
      </c>
      <c r="AH125" s="128" t="str">
        <f t="shared" si="47"/>
        <v/>
      </c>
      <c r="AI125" s="28" t="str">
        <f>IF(AND(ISBLANK(AK125),AJ125=""),"",1+MAX(AI$18:AI124))</f>
        <v/>
      </c>
      <c r="AJ125" s="150" t="str">
        <f>IF(OR(AF125="",AF125=0,$J125="",$J125=0,NOT(ISNUMBER($J125)),NOT(ISNUMBER(AF125))),IF(AND($G125&lt;&gt;"",AND(OR(ISNUMBER(AF125),AF125=""),AND(ISNUMBER($J125),$J125&gt;0))),'Feuille de Donnée'!$K$13,""),IF(AF125&lt;$J$165*'Feuille de Donnée'!$I$9,"Négligeable",(IF(AND(AD125&gt;=$H125*(1-'Feuille de Donnée'!$E$12),AD125&lt;=$H125*(1+'Feuille de Donnée'!$F$12)),'Feuille de Donnée'!$F$17,IF(AD125&lt;$H125*(1-'Feuille de Donnée'!$E$12),'Feuille de Donnée'!$F$18,'Feuille de Donnée'!$F$16))&amp;""&amp;IF(AND(AE125&gt;=$I125*(1-'Feuille de Donnée'!$E$27),AE125&lt;=$I125*(1+'Feuille de Donnée'!$F$27)),'Feuille de Donnée'!$F$32,IF(AE125&lt;$I125*(1-'Feuille de Donnée'!$E$27),'Feuille de Donnée'!$F$33,'Feuille de Donnée'!$F$31)))))</f>
        <v/>
      </c>
      <c r="AK125" s="151"/>
      <c r="AL125" s="110"/>
      <c r="AM125" s="28"/>
      <c r="AN125" s="28"/>
      <c r="AO125" s="28" t="str">
        <f t="shared" si="48"/>
        <v/>
      </c>
      <c r="AP125" s="128" t="str">
        <f t="shared" si="49"/>
        <v/>
      </c>
      <c r="AQ125" s="128" t="str">
        <f t="shared" si="50"/>
        <v/>
      </c>
      <c r="AR125" s="28" t="str">
        <f>IF(AND(ISBLANK(AT125),AS125=""),"",1+MAX(AR$18:AR124))</f>
        <v/>
      </c>
      <c r="AS125" s="150" t="str">
        <f>IF(OR(AO125="",AO125=0,$J125="",$J125=0,NOT(ISNUMBER($J125)),NOT(ISNUMBER(AO125))),IF(AND($G125&lt;&gt;"",AND(OR(ISNUMBER(AO125),AO125=""),AND(ISNUMBER($J125),$J125&gt;0))),'Feuille de Donnée'!$K$13,""),IF(AO125&lt;$J$165*'Feuille de Donnée'!$I$9,"Négligeable",(IF(AND(AM125&gt;=$H125*(1-'Feuille de Donnée'!$E$12),AM125&lt;=$H125*(1+'Feuille de Donnée'!$F$12)),'Feuille de Donnée'!$F$17,IF(AM125&lt;$H125*(1-'Feuille de Donnée'!$E$12),'Feuille de Donnée'!$F$18,'Feuille de Donnée'!$F$16))&amp;""&amp;IF(AND(AN125&gt;=$I125*(1-'Feuille de Donnée'!$E$27),AN125&lt;=$I125*(1+'Feuille de Donnée'!$F$27)),'Feuille de Donnée'!$F$32,IF(AN125&lt;$I125*(1-'Feuille de Donnée'!$E$27),'Feuille de Donnée'!$F$33,'Feuille de Donnée'!$F$31)))))</f>
        <v/>
      </c>
      <c r="AT125" s="151"/>
      <c r="AU125" s="110"/>
      <c r="AV125" s="28"/>
      <c r="AW125" s="28"/>
      <c r="AX125" s="28" t="str">
        <f t="shared" si="51"/>
        <v/>
      </c>
      <c r="AY125" s="128" t="str">
        <f t="shared" si="52"/>
        <v/>
      </c>
      <c r="AZ125" s="128" t="str">
        <f t="shared" si="53"/>
        <v/>
      </c>
      <c r="BA125" s="28" t="str">
        <f>IF(AND(ISBLANK(BC125),BB125=""),"",1+MAX(BA$18:BA124))</f>
        <v/>
      </c>
      <c r="BB125" s="150" t="str">
        <f>IF(OR(AX125="",AX125=0,$J125="",$J125=0,NOT(ISNUMBER($J125)),NOT(ISNUMBER(AX125))),IF(AND($G125&lt;&gt;"",AND(OR(ISNUMBER(AX125),AX125=""),AND(ISNUMBER($J125),$J125&gt;0))),'Feuille de Donnée'!$K$13,""),IF(AX125&lt;$J$165*'Feuille de Donnée'!$I$9,"Négligeable",(IF(AND(AV125&gt;=$H125*(1-'Feuille de Donnée'!$E$12),AV125&lt;=$H125*(1+'Feuille de Donnée'!$F$12)),'Feuille de Donnée'!$F$17,IF(AV125&lt;$H125*(1-'Feuille de Donnée'!$E$12),'Feuille de Donnée'!$F$18,'Feuille de Donnée'!$F$16))&amp;""&amp;IF(AND(AW125&gt;=$I125*(1-'Feuille de Donnée'!$E$27),AW125&lt;=$I125*(1+'Feuille de Donnée'!$F$27)),'Feuille de Donnée'!$F$32,IF(AW125&lt;$I125*(1-'Feuille de Donnée'!$E$27),'Feuille de Donnée'!$F$33,'Feuille de Donnée'!$F$31)))))</f>
        <v/>
      </c>
      <c r="BC125" s="151"/>
      <c r="BD125" s="110"/>
      <c r="BE125" s="28"/>
      <c r="BF125" s="28"/>
      <c r="BG125" s="28" t="str">
        <f t="shared" si="54"/>
        <v/>
      </c>
      <c r="BH125" s="128" t="str">
        <f t="shared" si="55"/>
        <v/>
      </c>
      <c r="BI125" s="128" t="str">
        <f t="shared" si="56"/>
        <v/>
      </c>
      <c r="BJ125" s="28" t="str">
        <f>IF(AND(ISBLANK(BL125),BK125=""),"",1+MAX(BJ$18:BJ124))</f>
        <v/>
      </c>
      <c r="BK125" s="150" t="str">
        <f>IF(OR(BG125="",BG125=0,$J125="",$J125=0,NOT(ISNUMBER($J125)),NOT(ISNUMBER(BG125))),IF(AND($G125&lt;&gt;"",AND(OR(ISNUMBER(BG125),BG125=""),AND(ISNUMBER($J125),$J125&gt;0))),'Feuille de Donnée'!$K$13,""),IF(BG125&lt;$J$165*'Feuille de Donnée'!$I$9,"Négligeable",(IF(AND(BE125&gt;=$H125*(1-'Feuille de Donnée'!$E$12),BE125&lt;=$H125*(1+'Feuille de Donnée'!$F$12)),'Feuille de Donnée'!$F$17,IF(BE125&lt;$H125*(1-'Feuille de Donnée'!$E$12),'Feuille de Donnée'!$F$18,'Feuille de Donnée'!$F$16))&amp;""&amp;IF(AND(BF125&gt;=$I125*(1-'Feuille de Donnée'!$E$27),BF125&lt;=$I125*(1+'Feuille de Donnée'!$F$27)),'Feuille de Donnée'!$F$32,IF(BF125&lt;$I125*(1-'Feuille de Donnée'!$E$27),'Feuille de Donnée'!$F$33,'Feuille de Donnée'!$F$31)))))</f>
        <v/>
      </c>
      <c r="BL125" s="151"/>
      <c r="BM125" s="153"/>
    </row>
    <row r="126" spans="1:65" s="7" customFormat="1" x14ac:dyDescent="0.3">
      <c r="A126" s="24"/>
      <c r="B126" s="25"/>
      <c r="C126" s="25"/>
      <c r="D126" s="25"/>
      <c r="E126" s="25"/>
      <c r="F126" s="25"/>
      <c r="G126" s="23"/>
      <c r="H126" s="26"/>
      <c r="I126" s="27"/>
      <c r="J126" s="109" t="str">
        <f t="shared" si="38"/>
        <v/>
      </c>
      <c r="K126" s="110"/>
      <c r="L126" s="28"/>
      <c r="M126" s="28"/>
      <c r="N126" s="28" t="str">
        <f t="shared" si="39"/>
        <v/>
      </c>
      <c r="O126" s="128" t="str">
        <f t="shared" si="40"/>
        <v/>
      </c>
      <c r="P126" s="128" t="str">
        <f t="shared" si="41"/>
        <v/>
      </c>
      <c r="Q126" s="28" t="str">
        <f>IF(AND(ISBLANK(S126),R126=""),"",1+MAX(Q$18:Q125))</f>
        <v/>
      </c>
      <c r="R126" s="150" t="str">
        <f>IF(OR(N126="",N126=0,$J126="",$J126=0,NOT(ISNUMBER($J126)),NOT(ISNUMBER(N126))),IF(AND($G126&lt;&gt;"",AND(OR(ISNUMBER(N126),N126=""),AND(ISNUMBER($J126),$J126&gt;0))),'Feuille de Donnée'!$K$13,""),IF(N126&lt;$J$165*'Feuille de Donnée'!$I$9,"Négligeable",(IF(AND(L126&gt;=$H126*(1-'Feuille de Donnée'!$E$12),L126&lt;=$H126*(1+'Feuille de Donnée'!$F$12)),'Feuille de Donnée'!$F$17,IF(L126&lt;$H126*(1-'Feuille de Donnée'!$E$12),'Feuille de Donnée'!$F$18,'Feuille de Donnée'!$F$16))&amp;""&amp;IF(AND(M126&gt;=$I126*(1-'Feuille de Donnée'!$E$27),M126&lt;=$I126*(1+'Feuille de Donnée'!$F$27)),'Feuille de Donnée'!$F$32,IF(M126&lt;$I126*(1-'Feuille de Donnée'!$E$27),'Feuille de Donnée'!$F$33,'Feuille de Donnée'!$F$31)))))</f>
        <v/>
      </c>
      <c r="S126" s="151"/>
      <c r="T126" s="110"/>
      <c r="U126" s="28"/>
      <c r="V126" s="28"/>
      <c r="W126" s="28" t="str">
        <f t="shared" si="42"/>
        <v/>
      </c>
      <c r="X126" s="128" t="str">
        <f t="shared" si="43"/>
        <v/>
      </c>
      <c r="Y126" s="128" t="str">
        <f t="shared" si="44"/>
        <v/>
      </c>
      <c r="Z126" s="28" t="str">
        <f>IF(AND(ISBLANK(AB126),AA126=""),"",1+MAX(Z$18:Z125))</f>
        <v/>
      </c>
      <c r="AA126" s="150" t="str">
        <f>IF(OR(W126="",W126=0,$J126="",$J126=0,NOT(ISNUMBER($J126)),NOT(ISNUMBER(W126))),IF(AND($G126&lt;&gt;"",AND(OR(ISNUMBER(W126),W126=""),AND(ISNUMBER($J126),$J126&gt;0))),'Feuille de Donnée'!$K$13,""),IF(W126&lt;$J$165*'Feuille de Donnée'!$I$9,"Négligeable",(IF(AND(U126&gt;=$H126*(1-'Feuille de Donnée'!$E$12),U126&lt;=$H126*(1+'Feuille de Donnée'!$F$12)),'Feuille de Donnée'!$F$17,IF(U126&lt;$H126*(1-'Feuille de Donnée'!$E$12),'Feuille de Donnée'!$F$18,'Feuille de Donnée'!$F$16))&amp;""&amp;IF(AND(V126&gt;=$I126*(1-'Feuille de Donnée'!$E$27),V126&lt;=$I126*(1+'Feuille de Donnée'!$F$27)),'Feuille de Donnée'!$F$32,IF(V126&lt;$I126*(1-'Feuille de Donnée'!$E$27),'Feuille de Donnée'!$F$33,'Feuille de Donnée'!$F$31)))))</f>
        <v/>
      </c>
      <c r="AB126" s="151"/>
      <c r="AC126" s="110"/>
      <c r="AD126" s="28"/>
      <c r="AE126" s="28"/>
      <c r="AF126" s="28" t="str">
        <f t="shared" si="45"/>
        <v/>
      </c>
      <c r="AG126" s="128" t="str">
        <f t="shared" si="46"/>
        <v/>
      </c>
      <c r="AH126" s="128" t="str">
        <f t="shared" si="47"/>
        <v/>
      </c>
      <c r="AI126" s="28" t="str">
        <f>IF(AND(ISBLANK(AK126),AJ126=""),"",1+MAX(AI$18:AI125))</f>
        <v/>
      </c>
      <c r="AJ126" s="150" t="str">
        <f>IF(OR(AF126="",AF126=0,$J126="",$J126=0,NOT(ISNUMBER($J126)),NOT(ISNUMBER(AF126))),IF(AND($G126&lt;&gt;"",AND(OR(ISNUMBER(AF126),AF126=""),AND(ISNUMBER($J126),$J126&gt;0))),'Feuille de Donnée'!$K$13,""),IF(AF126&lt;$J$165*'Feuille de Donnée'!$I$9,"Négligeable",(IF(AND(AD126&gt;=$H126*(1-'Feuille de Donnée'!$E$12),AD126&lt;=$H126*(1+'Feuille de Donnée'!$F$12)),'Feuille de Donnée'!$F$17,IF(AD126&lt;$H126*(1-'Feuille de Donnée'!$E$12),'Feuille de Donnée'!$F$18,'Feuille de Donnée'!$F$16))&amp;""&amp;IF(AND(AE126&gt;=$I126*(1-'Feuille de Donnée'!$E$27),AE126&lt;=$I126*(1+'Feuille de Donnée'!$F$27)),'Feuille de Donnée'!$F$32,IF(AE126&lt;$I126*(1-'Feuille de Donnée'!$E$27),'Feuille de Donnée'!$F$33,'Feuille de Donnée'!$F$31)))))</f>
        <v/>
      </c>
      <c r="AK126" s="151"/>
      <c r="AL126" s="110"/>
      <c r="AM126" s="28"/>
      <c r="AN126" s="28"/>
      <c r="AO126" s="28" t="str">
        <f t="shared" si="48"/>
        <v/>
      </c>
      <c r="AP126" s="128" t="str">
        <f t="shared" si="49"/>
        <v/>
      </c>
      <c r="AQ126" s="128" t="str">
        <f t="shared" si="50"/>
        <v/>
      </c>
      <c r="AR126" s="28" t="str">
        <f>IF(AND(ISBLANK(AT126),AS126=""),"",1+MAX(AR$18:AR125))</f>
        <v/>
      </c>
      <c r="AS126" s="150" t="str">
        <f>IF(OR(AO126="",AO126=0,$J126="",$J126=0,NOT(ISNUMBER($J126)),NOT(ISNUMBER(AO126))),IF(AND($G126&lt;&gt;"",AND(OR(ISNUMBER(AO126),AO126=""),AND(ISNUMBER($J126),$J126&gt;0))),'Feuille de Donnée'!$K$13,""),IF(AO126&lt;$J$165*'Feuille de Donnée'!$I$9,"Négligeable",(IF(AND(AM126&gt;=$H126*(1-'Feuille de Donnée'!$E$12),AM126&lt;=$H126*(1+'Feuille de Donnée'!$F$12)),'Feuille de Donnée'!$F$17,IF(AM126&lt;$H126*(1-'Feuille de Donnée'!$E$12),'Feuille de Donnée'!$F$18,'Feuille de Donnée'!$F$16))&amp;""&amp;IF(AND(AN126&gt;=$I126*(1-'Feuille de Donnée'!$E$27),AN126&lt;=$I126*(1+'Feuille de Donnée'!$F$27)),'Feuille de Donnée'!$F$32,IF(AN126&lt;$I126*(1-'Feuille de Donnée'!$E$27),'Feuille de Donnée'!$F$33,'Feuille de Donnée'!$F$31)))))</f>
        <v/>
      </c>
      <c r="AT126" s="151"/>
      <c r="AU126" s="110"/>
      <c r="AV126" s="28"/>
      <c r="AW126" s="28"/>
      <c r="AX126" s="28" t="str">
        <f t="shared" si="51"/>
        <v/>
      </c>
      <c r="AY126" s="128" t="str">
        <f t="shared" si="52"/>
        <v/>
      </c>
      <c r="AZ126" s="128" t="str">
        <f t="shared" si="53"/>
        <v/>
      </c>
      <c r="BA126" s="28" t="str">
        <f>IF(AND(ISBLANK(BC126),BB126=""),"",1+MAX(BA$18:BA125))</f>
        <v/>
      </c>
      <c r="BB126" s="150" t="str">
        <f>IF(OR(AX126="",AX126=0,$J126="",$J126=0,NOT(ISNUMBER($J126)),NOT(ISNUMBER(AX126))),IF(AND($G126&lt;&gt;"",AND(OR(ISNUMBER(AX126),AX126=""),AND(ISNUMBER($J126),$J126&gt;0))),'Feuille de Donnée'!$K$13,""),IF(AX126&lt;$J$165*'Feuille de Donnée'!$I$9,"Négligeable",(IF(AND(AV126&gt;=$H126*(1-'Feuille de Donnée'!$E$12),AV126&lt;=$H126*(1+'Feuille de Donnée'!$F$12)),'Feuille de Donnée'!$F$17,IF(AV126&lt;$H126*(1-'Feuille de Donnée'!$E$12),'Feuille de Donnée'!$F$18,'Feuille de Donnée'!$F$16))&amp;""&amp;IF(AND(AW126&gt;=$I126*(1-'Feuille de Donnée'!$E$27),AW126&lt;=$I126*(1+'Feuille de Donnée'!$F$27)),'Feuille de Donnée'!$F$32,IF(AW126&lt;$I126*(1-'Feuille de Donnée'!$E$27),'Feuille de Donnée'!$F$33,'Feuille de Donnée'!$F$31)))))</f>
        <v/>
      </c>
      <c r="BC126" s="151"/>
      <c r="BD126" s="110"/>
      <c r="BE126" s="28"/>
      <c r="BF126" s="28"/>
      <c r="BG126" s="28" t="str">
        <f t="shared" si="54"/>
        <v/>
      </c>
      <c r="BH126" s="128" t="str">
        <f t="shared" si="55"/>
        <v/>
      </c>
      <c r="BI126" s="128" t="str">
        <f t="shared" si="56"/>
        <v/>
      </c>
      <c r="BJ126" s="28" t="str">
        <f>IF(AND(ISBLANK(BL126),BK126=""),"",1+MAX(BJ$18:BJ125))</f>
        <v/>
      </c>
      <c r="BK126" s="150" t="str">
        <f>IF(OR(BG126="",BG126=0,$J126="",$J126=0,NOT(ISNUMBER($J126)),NOT(ISNUMBER(BG126))),IF(AND($G126&lt;&gt;"",AND(OR(ISNUMBER(BG126),BG126=""),AND(ISNUMBER($J126),$J126&gt;0))),'Feuille de Donnée'!$K$13,""),IF(BG126&lt;$J$165*'Feuille de Donnée'!$I$9,"Négligeable",(IF(AND(BE126&gt;=$H126*(1-'Feuille de Donnée'!$E$12),BE126&lt;=$H126*(1+'Feuille de Donnée'!$F$12)),'Feuille de Donnée'!$F$17,IF(BE126&lt;$H126*(1-'Feuille de Donnée'!$E$12),'Feuille de Donnée'!$F$18,'Feuille de Donnée'!$F$16))&amp;""&amp;IF(AND(BF126&gt;=$I126*(1-'Feuille de Donnée'!$E$27),BF126&lt;=$I126*(1+'Feuille de Donnée'!$F$27)),'Feuille de Donnée'!$F$32,IF(BF126&lt;$I126*(1-'Feuille de Donnée'!$E$27),'Feuille de Donnée'!$F$33,'Feuille de Donnée'!$F$31)))))</f>
        <v/>
      </c>
      <c r="BL126" s="151"/>
      <c r="BM126" s="153"/>
    </row>
    <row r="127" spans="1:65" s="7" customFormat="1" x14ac:dyDescent="0.3">
      <c r="A127" s="24"/>
      <c r="B127" s="25"/>
      <c r="C127" s="25"/>
      <c r="D127" s="25"/>
      <c r="E127" s="25"/>
      <c r="F127" s="25"/>
      <c r="G127" s="23"/>
      <c r="H127" s="26"/>
      <c r="I127" s="27"/>
      <c r="J127" s="109" t="str">
        <f t="shared" si="38"/>
        <v/>
      </c>
      <c r="K127" s="110"/>
      <c r="L127" s="28"/>
      <c r="M127" s="28"/>
      <c r="N127" s="28" t="str">
        <f t="shared" si="39"/>
        <v/>
      </c>
      <c r="O127" s="128" t="str">
        <f t="shared" si="40"/>
        <v/>
      </c>
      <c r="P127" s="128" t="str">
        <f t="shared" si="41"/>
        <v/>
      </c>
      <c r="Q127" s="28" t="str">
        <f>IF(AND(ISBLANK(S127),R127=""),"",1+MAX(Q$18:Q126))</f>
        <v/>
      </c>
      <c r="R127" s="150" t="str">
        <f>IF(OR(N127="",N127=0,$J127="",$J127=0,NOT(ISNUMBER($J127)),NOT(ISNUMBER(N127))),IF(AND($G127&lt;&gt;"",AND(OR(ISNUMBER(N127),N127=""),AND(ISNUMBER($J127),$J127&gt;0))),'Feuille de Donnée'!$K$13,""),IF(N127&lt;$J$165*'Feuille de Donnée'!$I$9,"Négligeable",(IF(AND(L127&gt;=$H127*(1-'Feuille de Donnée'!$E$12),L127&lt;=$H127*(1+'Feuille de Donnée'!$F$12)),'Feuille de Donnée'!$F$17,IF(L127&lt;$H127*(1-'Feuille de Donnée'!$E$12),'Feuille de Donnée'!$F$18,'Feuille de Donnée'!$F$16))&amp;""&amp;IF(AND(M127&gt;=$I127*(1-'Feuille de Donnée'!$E$27),M127&lt;=$I127*(1+'Feuille de Donnée'!$F$27)),'Feuille de Donnée'!$F$32,IF(M127&lt;$I127*(1-'Feuille de Donnée'!$E$27),'Feuille de Donnée'!$F$33,'Feuille de Donnée'!$F$31)))))</f>
        <v/>
      </c>
      <c r="S127" s="151"/>
      <c r="T127" s="110"/>
      <c r="U127" s="28"/>
      <c r="V127" s="28"/>
      <c r="W127" s="28" t="str">
        <f t="shared" si="42"/>
        <v/>
      </c>
      <c r="X127" s="128" t="str">
        <f t="shared" si="43"/>
        <v/>
      </c>
      <c r="Y127" s="128" t="str">
        <f t="shared" si="44"/>
        <v/>
      </c>
      <c r="Z127" s="28" t="str">
        <f>IF(AND(ISBLANK(AB127),AA127=""),"",1+MAX(Z$18:Z126))</f>
        <v/>
      </c>
      <c r="AA127" s="150" t="str">
        <f>IF(OR(W127="",W127=0,$J127="",$J127=0,NOT(ISNUMBER($J127)),NOT(ISNUMBER(W127))),IF(AND($G127&lt;&gt;"",AND(OR(ISNUMBER(W127),W127=""),AND(ISNUMBER($J127),$J127&gt;0))),'Feuille de Donnée'!$K$13,""),IF(W127&lt;$J$165*'Feuille de Donnée'!$I$9,"Négligeable",(IF(AND(U127&gt;=$H127*(1-'Feuille de Donnée'!$E$12),U127&lt;=$H127*(1+'Feuille de Donnée'!$F$12)),'Feuille de Donnée'!$F$17,IF(U127&lt;$H127*(1-'Feuille de Donnée'!$E$12),'Feuille de Donnée'!$F$18,'Feuille de Donnée'!$F$16))&amp;""&amp;IF(AND(V127&gt;=$I127*(1-'Feuille de Donnée'!$E$27),V127&lt;=$I127*(1+'Feuille de Donnée'!$F$27)),'Feuille de Donnée'!$F$32,IF(V127&lt;$I127*(1-'Feuille de Donnée'!$E$27),'Feuille de Donnée'!$F$33,'Feuille de Donnée'!$F$31)))))</f>
        <v/>
      </c>
      <c r="AB127" s="151"/>
      <c r="AC127" s="110"/>
      <c r="AD127" s="28"/>
      <c r="AE127" s="28"/>
      <c r="AF127" s="28" t="str">
        <f t="shared" si="45"/>
        <v/>
      </c>
      <c r="AG127" s="128" t="str">
        <f t="shared" si="46"/>
        <v/>
      </c>
      <c r="AH127" s="128" t="str">
        <f t="shared" si="47"/>
        <v/>
      </c>
      <c r="AI127" s="28" t="str">
        <f>IF(AND(ISBLANK(AK127),AJ127=""),"",1+MAX(AI$18:AI126))</f>
        <v/>
      </c>
      <c r="AJ127" s="150" t="str">
        <f>IF(OR(AF127="",AF127=0,$J127="",$J127=0,NOT(ISNUMBER($J127)),NOT(ISNUMBER(AF127))),IF(AND($G127&lt;&gt;"",AND(OR(ISNUMBER(AF127),AF127=""),AND(ISNUMBER($J127),$J127&gt;0))),'Feuille de Donnée'!$K$13,""),IF(AF127&lt;$J$165*'Feuille de Donnée'!$I$9,"Négligeable",(IF(AND(AD127&gt;=$H127*(1-'Feuille de Donnée'!$E$12),AD127&lt;=$H127*(1+'Feuille de Donnée'!$F$12)),'Feuille de Donnée'!$F$17,IF(AD127&lt;$H127*(1-'Feuille de Donnée'!$E$12),'Feuille de Donnée'!$F$18,'Feuille de Donnée'!$F$16))&amp;""&amp;IF(AND(AE127&gt;=$I127*(1-'Feuille de Donnée'!$E$27),AE127&lt;=$I127*(1+'Feuille de Donnée'!$F$27)),'Feuille de Donnée'!$F$32,IF(AE127&lt;$I127*(1-'Feuille de Donnée'!$E$27),'Feuille de Donnée'!$F$33,'Feuille de Donnée'!$F$31)))))</f>
        <v/>
      </c>
      <c r="AK127" s="151"/>
      <c r="AL127" s="110"/>
      <c r="AM127" s="28"/>
      <c r="AN127" s="28"/>
      <c r="AO127" s="28" t="str">
        <f t="shared" si="48"/>
        <v/>
      </c>
      <c r="AP127" s="128" t="str">
        <f t="shared" si="49"/>
        <v/>
      </c>
      <c r="AQ127" s="128" t="str">
        <f t="shared" si="50"/>
        <v/>
      </c>
      <c r="AR127" s="28" t="str">
        <f>IF(AND(ISBLANK(AT127),AS127=""),"",1+MAX(AR$18:AR126))</f>
        <v/>
      </c>
      <c r="AS127" s="150" t="str">
        <f>IF(OR(AO127="",AO127=0,$J127="",$J127=0,NOT(ISNUMBER($J127)),NOT(ISNUMBER(AO127))),IF(AND($G127&lt;&gt;"",AND(OR(ISNUMBER(AO127),AO127=""),AND(ISNUMBER($J127),$J127&gt;0))),'Feuille de Donnée'!$K$13,""),IF(AO127&lt;$J$165*'Feuille de Donnée'!$I$9,"Négligeable",(IF(AND(AM127&gt;=$H127*(1-'Feuille de Donnée'!$E$12),AM127&lt;=$H127*(1+'Feuille de Donnée'!$F$12)),'Feuille de Donnée'!$F$17,IF(AM127&lt;$H127*(1-'Feuille de Donnée'!$E$12),'Feuille de Donnée'!$F$18,'Feuille de Donnée'!$F$16))&amp;""&amp;IF(AND(AN127&gt;=$I127*(1-'Feuille de Donnée'!$E$27),AN127&lt;=$I127*(1+'Feuille de Donnée'!$F$27)),'Feuille de Donnée'!$F$32,IF(AN127&lt;$I127*(1-'Feuille de Donnée'!$E$27),'Feuille de Donnée'!$F$33,'Feuille de Donnée'!$F$31)))))</f>
        <v/>
      </c>
      <c r="AT127" s="151"/>
      <c r="AU127" s="110"/>
      <c r="AV127" s="28"/>
      <c r="AW127" s="28"/>
      <c r="AX127" s="28" t="str">
        <f t="shared" si="51"/>
        <v/>
      </c>
      <c r="AY127" s="128" t="str">
        <f t="shared" si="52"/>
        <v/>
      </c>
      <c r="AZ127" s="128" t="str">
        <f t="shared" si="53"/>
        <v/>
      </c>
      <c r="BA127" s="28" t="str">
        <f>IF(AND(ISBLANK(BC127),BB127=""),"",1+MAX(BA$18:BA126))</f>
        <v/>
      </c>
      <c r="BB127" s="150" t="str">
        <f>IF(OR(AX127="",AX127=0,$J127="",$J127=0,NOT(ISNUMBER($J127)),NOT(ISNUMBER(AX127))),IF(AND($G127&lt;&gt;"",AND(OR(ISNUMBER(AX127),AX127=""),AND(ISNUMBER($J127),$J127&gt;0))),'Feuille de Donnée'!$K$13,""),IF(AX127&lt;$J$165*'Feuille de Donnée'!$I$9,"Négligeable",(IF(AND(AV127&gt;=$H127*(1-'Feuille de Donnée'!$E$12),AV127&lt;=$H127*(1+'Feuille de Donnée'!$F$12)),'Feuille de Donnée'!$F$17,IF(AV127&lt;$H127*(1-'Feuille de Donnée'!$E$12),'Feuille de Donnée'!$F$18,'Feuille de Donnée'!$F$16))&amp;""&amp;IF(AND(AW127&gt;=$I127*(1-'Feuille de Donnée'!$E$27),AW127&lt;=$I127*(1+'Feuille de Donnée'!$F$27)),'Feuille de Donnée'!$F$32,IF(AW127&lt;$I127*(1-'Feuille de Donnée'!$E$27),'Feuille de Donnée'!$F$33,'Feuille de Donnée'!$F$31)))))</f>
        <v/>
      </c>
      <c r="BC127" s="151"/>
      <c r="BD127" s="110"/>
      <c r="BE127" s="28"/>
      <c r="BF127" s="28"/>
      <c r="BG127" s="28" t="str">
        <f t="shared" si="54"/>
        <v/>
      </c>
      <c r="BH127" s="128" t="str">
        <f t="shared" si="55"/>
        <v/>
      </c>
      <c r="BI127" s="128" t="str">
        <f t="shared" si="56"/>
        <v/>
      </c>
      <c r="BJ127" s="28" t="str">
        <f>IF(AND(ISBLANK(BL127),BK127=""),"",1+MAX(BJ$18:BJ126))</f>
        <v/>
      </c>
      <c r="BK127" s="150" t="str">
        <f>IF(OR(BG127="",BG127=0,$J127="",$J127=0,NOT(ISNUMBER($J127)),NOT(ISNUMBER(BG127))),IF(AND($G127&lt;&gt;"",AND(OR(ISNUMBER(BG127),BG127=""),AND(ISNUMBER($J127),$J127&gt;0))),'Feuille de Donnée'!$K$13,""),IF(BG127&lt;$J$165*'Feuille de Donnée'!$I$9,"Négligeable",(IF(AND(BE127&gt;=$H127*(1-'Feuille de Donnée'!$E$12),BE127&lt;=$H127*(1+'Feuille de Donnée'!$F$12)),'Feuille de Donnée'!$F$17,IF(BE127&lt;$H127*(1-'Feuille de Donnée'!$E$12),'Feuille de Donnée'!$F$18,'Feuille de Donnée'!$F$16))&amp;""&amp;IF(AND(BF127&gt;=$I127*(1-'Feuille de Donnée'!$E$27),BF127&lt;=$I127*(1+'Feuille de Donnée'!$F$27)),'Feuille de Donnée'!$F$32,IF(BF127&lt;$I127*(1-'Feuille de Donnée'!$E$27),'Feuille de Donnée'!$F$33,'Feuille de Donnée'!$F$31)))))</f>
        <v/>
      </c>
      <c r="BL127" s="151"/>
      <c r="BM127" s="153"/>
    </row>
    <row r="128" spans="1:65" s="7" customFormat="1" x14ac:dyDescent="0.3">
      <c r="A128" s="24"/>
      <c r="B128" s="25"/>
      <c r="C128" s="25"/>
      <c r="D128" s="25"/>
      <c r="E128" s="25"/>
      <c r="F128" s="25"/>
      <c r="G128" s="23"/>
      <c r="H128" s="26"/>
      <c r="I128" s="27"/>
      <c r="J128" s="109" t="str">
        <f t="shared" si="38"/>
        <v/>
      </c>
      <c r="K128" s="110"/>
      <c r="L128" s="28"/>
      <c r="M128" s="28"/>
      <c r="N128" s="28" t="str">
        <f t="shared" si="39"/>
        <v/>
      </c>
      <c r="O128" s="128" t="str">
        <f t="shared" si="40"/>
        <v/>
      </c>
      <c r="P128" s="128" t="str">
        <f t="shared" si="41"/>
        <v/>
      </c>
      <c r="Q128" s="28" t="str">
        <f>IF(AND(ISBLANK(S128),R128=""),"",1+MAX(Q$18:Q127))</f>
        <v/>
      </c>
      <c r="R128" s="150" t="str">
        <f>IF(OR(N128="",N128=0,$J128="",$J128=0,NOT(ISNUMBER($J128)),NOT(ISNUMBER(N128))),IF(AND($G128&lt;&gt;"",AND(OR(ISNUMBER(N128),N128=""),AND(ISNUMBER($J128),$J128&gt;0))),'Feuille de Donnée'!$K$13,""),IF(N128&lt;$J$165*'Feuille de Donnée'!$I$9,"Négligeable",(IF(AND(L128&gt;=$H128*(1-'Feuille de Donnée'!$E$12),L128&lt;=$H128*(1+'Feuille de Donnée'!$F$12)),'Feuille de Donnée'!$F$17,IF(L128&lt;$H128*(1-'Feuille de Donnée'!$E$12),'Feuille de Donnée'!$F$18,'Feuille de Donnée'!$F$16))&amp;""&amp;IF(AND(M128&gt;=$I128*(1-'Feuille de Donnée'!$E$27),M128&lt;=$I128*(1+'Feuille de Donnée'!$F$27)),'Feuille de Donnée'!$F$32,IF(M128&lt;$I128*(1-'Feuille de Donnée'!$E$27),'Feuille de Donnée'!$F$33,'Feuille de Donnée'!$F$31)))))</f>
        <v/>
      </c>
      <c r="S128" s="151"/>
      <c r="T128" s="110"/>
      <c r="U128" s="28"/>
      <c r="V128" s="28"/>
      <c r="W128" s="28" t="str">
        <f t="shared" si="42"/>
        <v/>
      </c>
      <c r="X128" s="128" t="str">
        <f t="shared" si="43"/>
        <v/>
      </c>
      <c r="Y128" s="128" t="str">
        <f t="shared" si="44"/>
        <v/>
      </c>
      <c r="Z128" s="28" t="str">
        <f>IF(AND(ISBLANK(AB128),AA128=""),"",1+MAX(Z$18:Z127))</f>
        <v/>
      </c>
      <c r="AA128" s="150" t="str">
        <f>IF(OR(W128="",W128=0,$J128="",$J128=0,NOT(ISNUMBER($J128)),NOT(ISNUMBER(W128))),IF(AND($G128&lt;&gt;"",AND(OR(ISNUMBER(W128),W128=""),AND(ISNUMBER($J128),$J128&gt;0))),'Feuille de Donnée'!$K$13,""),IF(W128&lt;$J$165*'Feuille de Donnée'!$I$9,"Négligeable",(IF(AND(U128&gt;=$H128*(1-'Feuille de Donnée'!$E$12),U128&lt;=$H128*(1+'Feuille de Donnée'!$F$12)),'Feuille de Donnée'!$F$17,IF(U128&lt;$H128*(1-'Feuille de Donnée'!$E$12),'Feuille de Donnée'!$F$18,'Feuille de Donnée'!$F$16))&amp;""&amp;IF(AND(V128&gt;=$I128*(1-'Feuille de Donnée'!$E$27),V128&lt;=$I128*(1+'Feuille de Donnée'!$F$27)),'Feuille de Donnée'!$F$32,IF(V128&lt;$I128*(1-'Feuille de Donnée'!$E$27),'Feuille de Donnée'!$F$33,'Feuille de Donnée'!$F$31)))))</f>
        <v/>
      </c>
      <c r="AB128" s="151"/>
      <c r="AC128" s="110"/>
      <c r="AD128" s="28"/>
      <c r="AE128" s="28"/>
      <c r="AF128" s="28" t="str">
        <f t="shared" si="45"/>
        <v/>
      </c>
      <c r="AG128" s="128" t="str">
        <f t="shared" si="46"/>
        <v/>
      </c>
      <c r="AH128" s="128" t="str">
        <f t="shared" si="47"/>
        <v/>
      </c>
      <c r="AI128" s="28" t="str">
        <f>IF(AND(ISBLANK(AK128),AJ128=""),"",1+MAX(AI$18:AI127))</f>
        <v/>
      </c>
      <c r="AJ128" s="150" t="str">
        <f>IF(OR(AF128="",AF128=0,$J128="",$J128=0,NOT(ISNUMBER($J128)),NOT(ISNUMBER(AF128))),IF(AND($G128&lt;&gt;"",AND(OR(ISNUMBER(AF128),AF128=""),AND(ISNUMBER($J128),$J128&gt;0))),'Feuille de Donnée'!$K$13,""),IF(AF128&lt;$J$165*'Feuille de Donnée'!$I$9,"Négligeable",(IF(AND(AD128&gt;=$H128*(1-'Feuille de Donnée'!$E$12),AD128&lt;=$H128*(1+'Feuille de Donnée'!$F$12)),'Feuille de Donnée'!$F$17,IF(AD128&lt;$H128*(1-'Feuille de Donnée'!$E$12),'Feuille de Donnée'!$F$18,'Feuille de Donnée'!$F$16))&amp;""&amp;IF(AND(AE128&gt;=$I128*(1-'Feuille de Donnée'!$E$27),AE128&lt;=$I128*(1+'Feuille de Donnée'!$F$27)),'Feuille de Donnée'!$F$32,IF(AE128&lt;$I128*(1-'Feuille de Donnée'!$E$27),'Feuille de Donnée'!$F$33,'Feuille de Donnée'!$F$31)))))</f>
        <v/>
      </c>
      <c r="AK128" s="151"/>
      <c r="AL128" s="110"/>
      <c r="AM128" s="28"/>
      <c r="AN128" s="28"/>
      <c r="AO128" s="28" t="str">
        <f t="shared" si="48"/>
        <v/>
      </c>
      <c r="AP128" s="128" t="str">
        <f t="shared" si="49"/>
        <v/>
      </c>
      <c r="AQ128" s="128" t="str">
        <f t="shared" si="50"/>
        <v/>
      </c>
      <c r="AR128" s="28" t="str">
        <f>IF(AND(ISBLANK(AT128),AS128=""),"",1+MAX(AR$18:AR127))</f>
        <v/>
      </c>
      <c r="AS128" s="150" t="str">
        <f>IF(OR(AO128="",AO128=0,$J128="",$J128=0,NOT(ISNUMBER($J128)),NOT(ISNUMBER(AO128))),IF(AND($G128&lt;&gt;"",AND(OR(ISNUMBER(AO128),AO128=""),AND(ISNUMBER($J128),$J128&gt;0))),'Feuille de Donnée'!$K$13,""),IF(AO128&lt;$J$165*'Feuille de Donnée'!$I$9,"Négligeable",(IF(AND(AM128&gt;=$H128*(1-'Feuille de Donnée'!$E$12),AM128&lt;=$H128*(1+'Feuille de Donnée'!$F$12)),'Feuille de Donnée'!$F$17,IF(AM128&lt;$H128*(1-'Feuille de Donnée'!$E$12),'Feuille de Donnée'!$F$18,'Feuille de Donnée'!$F$16))&amp;""&amp;IF(AND(AN128&gt;=$I128*(1-'Feuille de Donnée'!$E$27),AN128&lt;=$I128*(1+'Feuille de Donnée'!$F$27)),'Feuille de Donnée'!$F$32,IF(AN128&lt;$I128*(1-'Feuille de Donnée'!$E$27),'Feuille de Donnée'!$F$33,'Feuille de Donnée'!$F$31)))))</f>
        <v/>
      </c>
      <c r="AT128" s="151"/>
      <c r="AU128" s="110"/>
      <c r="AV128" s="28"/>
      <c r="AW128" s="28"/>
      <c r="AX128" s="28" t="str">
        <f t="shared" si="51"/>
        <v/>
      </c>
      <c r="AY128" s="128" t="str">
        <f t="shared" si="52"/>
        <v/>
      </c>
      <c r="AZ128" s="128" t="str">
        <f t="shared" si="53"/>
        <v/>
      </c>
      <c r="BA128" s="28" t="str">
        <f>IF(AND(ISBLANK(BC128),BB128=""),"",1+MAX(BA$18:BA127))</f>
        <v/>
      </c>
      <c r="BB128" s="150" t="str">
        <f>IF(OR(AX128="",AX128=0,$J128="",$J128=0,NOT(ISNUMBER($J128)),NOT(ISNUMBER(AX128))),IF(AND($G128&lt;&gt;"",AND(OR(ISNUMBER(AX128),AX128=""),AND(ISNUMBER($J128),$J128&gt;0))),'Feuille de Donnée'!$K$13,""),IF(AX128&lt;$J$165*'Feuille de Donnée'!$I$9,"Négligeable",(IF(AND(AV128&gt;=$H128*(1-'Feuille de Donnée'!$E$12),AV128&lt;=$H128*(1+'Feuille de Donnée'!$F$12)),'Feuille de Donnée'!$F$17,IF(AV128&lt;$H128*(1-'Feuille de Donnée'!$E$12),'Feuille de Donnée'!$F$18,'Feuille de Donnée'!$F$16))&amp;""&amp;IF(AND(AW128&gt;=$I128*(1-'Feuille de Donnée'!$E$27),AW128&lt;=$I128*(1+'Feuille de Donnée'!$F$27)),'Feuille de Donnée'!$F$32,IF(AW128&lt;$I128*(1-'Feuille de Donnée'!$E$27),'Feuille de Donnée'!$F$33,'Feuille de Donnée'!$F$31)))))</f>
        <v/>
      </c>
      <c r="BC128" s="151"/>
      <c r="BD128" s="110"/>
      <c r="BE128" s="28"/>
      <c r="BF128" s="28"/>
      <c r="BG128" s="28" t="str">
        <f t="shared" si="54"/>
        <v/>
      </c>
      <c r="BH128" s="128" t="str">
        <f t="shared" si="55"/>
        <v/>
      </c>
      <c r="BI128" s="128" t="str">
        <f t="shared" si="56"/>
        <v/>
      </c>
      <c r="BJ128" s="28" t="str">
        <f>IF(AND(ISBLANK(BL128),BK128=""),"",1+MAX(BJ$18:BJ127))</f>
        <v/>
      </c>
      <c r="BK128" s="150" t="str">
        <f>IF(OR(BG128="",BG128=0,$J128="",$J128=0,NOT(ISNUMBER($J128)),NOT(ISNUMBER(BG128))),IF(AND($G128&lt;&gt;"",AND(OR(ISNUMBER(BG128),BG128=""),AND(ISNUMBER($J128),$J128&gt;0))),'Feuille de Donnée'!$K$13,""),IF(BG128&lt;$J$165*'Feuille de Donnée'!$I$9,"Négligeable",(IF(AND(BE128&gt;=$H128*(1-'Feuille de Donnée'!$E$12),BE128&lt;=$H128*(1+'Feuille de Donnée'!$F$12)),'Feuille de Donnée'!$F$17,IF(BE128&lt;$H128*(1-'Feuille de Donnée'!$E$12),'Feuille de Donnée'!$F$18,'Feuille de Donnée'!$F$16))&amp;""&amp;IF(AND(BF128&gt;=$I128*(1-'Feuille de Donnée'!$E$27),BF128&lt;=$I128*(1+'Feuille de Donnée'!$F$27)),'Feuille de Donnée'!$F$32,IF(BF128&lt;$I128*(1-'Feuille de Donnée'!$E$27),'Feuille de Donnée'!$F$33,'Feuille de Donnée'!$F$31)))))</f>
        <v/>
      </c>
      <c r="BL128" s="151"/>
      <c r="BM128" s="153"/>
    </row>
    <row r="129" spans="1:65" s="7" customFormat="1" x14ac:dyDescent="0.3">
      <c r="A129" s="24"/>
      <c r="B129" s="25"/>
      <c r="C129" s="25"/>
      <c r="D129" s="25"/>
      <c r="E129" s="25"/>
      <c r="F129" s="25"/>
      <c r="G129" s="23"/>
      <c r="H129" s="26"/>
      <c r="I129" s="27"/>
      <c r="J129" s="109" t="str">
        <f t="shared" si="38"/>
        <v/>
      </c>
      <c r="K129" s="110"/>
      <c r="L129" s="28"/>
      <c r="M129" s="28"/>
      <c r="N129" s="28" t="str">
        <f t="shared" si="39"/>
        <v/>
      </c>
      <c r="O129" s="128" t="str">
        <f t="shared" si="40"/>
        <v/>
      </c>
      <c r="P129" s="128" t="str">
        <f t="shared" si="41"/>
        <v/>
      </c>
      <c r="Q129" s="28" t="str">
        <f>IF(AND(ISBLANK(S129),R129=""),"",1+MAX(Q$18:Q128))</f>
        <v/>
      </c>
      <c r="R129" s="150" t="str">
        <f>IF(OR(N129="",N129=0,$J129="",$J129=0,NOT(ISNUMBER($J129)),NOT(ISNUMBER(N129))),IF(AND($G129&lt;&gt;"",AND(OR(ISNUMBER(N129),N129=""),AND(ISNUMBER($J129),$J129&gt;0))),'Feuille de Donnée'!$K$13,""),IF(N129&lt;$J$165*'Feuille de Donnée'!$I$9,"Négligeable",(IF(AND(L129&gt;=$H129*(1-'Feuille de Donnée'!$E$12),L129&lt;=$H129*(1+'Feuille de Donnée'!$F$12)),'Feuille de Donnée'!$F$17,IF(L129&lt;$H129*(1-'Feuille de Donnée'!$E$12),'Feuille de Donnée'!$F$18,'Feuille de Donnée'!$F$16))&amp;""&amp;IF(AND(M129&gt;=$I129*(1-'Feuille de Donnée'!$E$27),M129&lt;=$I129*(1+'Feuille de Donnée'!$F$27)),'Feuille de Donnée'!$F$32,IF(M129&lt;$I129*(1-'Feuille de Donnée'!$E$27),'Feuille de Donnée'!$F$33,'Feuille de Donnée'!$F$31)))))</f>
        <v/>
      </c>
      <c r="S129" s="151"/>
      <c r="T129" s="110"/>
      <c r="U129" s="28"/>
      <c r="V129" s="28"/>
      <c r="W129" s="28" t="str">
        <f t="shared" si="42"/>
        <v/>
      </c>
      <c r="X129" s="128" t="str">
        <f t="shared" si="43"/>
        <v/>
      </c>
      <c r="Y129" s="128" t="str">
        <f t="shared" si="44"/>
        <v/>
      </c>
      <c r="Z129" s="28" t="str">
        <f>IF(AND(ISBLANK(AB129),AA129=""),"",1+MAX(Z$18:Z128))</f>
        <v/>
      </c>
      <c r="AA129" s="150" t="str">
        <f>IF(OR(W129="",W129=0,$J129="",$J129=0,NOT(ISNUMBER($J129)),NOT(ISNUMBER(W129))),IF(AND($G129&lt;&gt;"",AND(OR(ISNUMBER(W129),W129=""),AND(ISNUMBER($J129),$J129&gt;0))),'Feuille de Donnée'!$K$13,""),IF(W129&lt;$J$165*'Feuille de Donnée'!$I$9,"Négligeable",(IF(AND(U129&gt;=$H129*(1-'Feuille de Donnée'!$E$12),U129&lt;=$H129*(1+'Feuille de Donnée'!$F$12)),'Feuille de Donnée'!$F$17,IF(U129&lt;$H129*(1-'Feuille de Donnée'!$E$12),'Feuille de Donnée'!$F$18,'Feuille de Donnée'!$F$16))&amp;""&amp;IF(AND(V129&gt;=$I129*(1-'Feuille de Donnée'!$E$27),V129&lt;=$I129*(1+'Feuille de Donnée'!$F$27)),'Feuille de Donnée'!$F$32,IF(V129&lt;$I129*(1-'Feuille de Donnée'!$E$27),'Feuille de Donnée'!$F$33,'Feuille de Donnée'!$F$31)))))</f>
        <v/>
      </c>
      <c r="AB129" s="151"/>
      <c r="AC129" s="110"/>
      <c r="AD129" s="28"/>
      <c r="AE129" s="28"/>
      <c r="AF129" s="28" t="str">
        <f t="shared" si="45"/>
        <v/>
      </c>
      <c r="AG129" s="128" t="str">
        <f t="shared" si="46"/>
        <v/>
      </c>
      <c r="AH129" s="128" t="str">
        <f t="shared" si="47"/>
        <v/>
      </c>
      <c r="AI129" s="28" t="str">
        <f>IF(AND(ISBLANK(AK129),AJ129=""),"",1+MAX(AI$18:AI128))</f>
        <v/>
      </c>
      <c r="AJ129" s="150" t="str">
        <f>IF(OR(AF129="",AF129=0,$J129="",$J129=0,NOT(ISNUMBER($J129)),NOT(ISNUMBER(AF129))),IF(AND($G129&lt;&gt;"",AND(OR(ISNUMBER(AF129),AF129=""),AND(ISNUMBER($J129),$J129&gt;0))),'Feuille de Donnée'!$K$13,""),IF(AF129&lt;$J$165*'Feuille de Donnée'!$I$9,"Négligeable",(IF(AND(AD129&gt;=$H129*(1-'Feuille de Donnée'!$E$12),AD129&lt;=$H129*(1+'Feuille de Donnée'!$F$12)),'Feuille de Donnée'!$F$17,IF(AD129&lt;$H129*(1-'Feuille de Donnée'!$E$12),'Feuille de Donnée'!$F$18,'Feuille de Donnée'!$F$16))&amp;""&amp;IF(AND(AE129&gt;=$I129*(1-'Feuille de Donnée'!$E$27),AE129&lt;=$I129*(1+'Feuille de Donnée'!$F$27)),'Feuille de Donnée'!$F$32,IF(AE129&lt;$I129*(1-'Feuille de Donnée'!$E$27),'Feuille de Donnée'!$F$33,'Feuille de Donnée'!$F$31)))))</f>
        <v/>
      </c>
      <c r="AK129" s="151"/>
      <c r="AL129" s="110"/>
      <c r="AM129" s="28"/>
      <c r="AN129" s="28"/>
      <c r="AO129" s="28" t="str">
        <f t="shared" si="48"/>
        <v/>
      </c>
      <c r="AP129" s="128" t="str">
        <f t="shared" si="49"/>
        <v/>
      </c>
      <c r="AQ129" s="128" t="str">
        <f t="shared" si="50"/>
        <v/>
      </c>
      <c r="AR129" s="28" t="str">
        <f>IF(AND(ISBLANK(AT129),AS129=""),"",1+MAX(AR$18:AR128))</f>
        <v/>
      </c>
      <c r="AS129" s="150" t="str">
        <f>IF(OR(AO129="",AO129=0,$J129="",$J129=0,NOT(ISNUMBER($J129)),NOT(ISNUMBER(AO129))),IF(AND($G129&lt;&gt;"",AND(OR(ISNUMBER(AO129),AO129=""),AND(ISNUMBER($J129),$J129&gt;0))),'Feuille de Donnée'!$K$13,""),IF(AO129&lt;$J$165*'Feuille de Donnée'!$I$9,"Négligeable",(IF(AND(AM129&gt;=$H129*(1-'Feuille de Donnée'!$E$12),AM129&lt;=$H129*(1+'Feuille de Donnée'!$F$12)),'Feuille de Donnée'!$F$17,IF(AM129&lt;$H129*(1-'Feuille de Donnée'!$E$12),'Feuille de Donnée'!$F$18,'Feuille de Donnée'!$F$16))&amp;""&amp;IF(AND(AN129&gt;=$I129*(1-'Feuille de Donnée'!$E$27),AN129&lt;=$I129*(1+'Feuille de Donnée'!$F$27)),'Feuille de Donnée'!$F$32,IF(AN129&lt;$I129*(1-'Feuille de Donnée'!$E$27),'Feuille de Donnée'!$F$33,'Feuille de Donnée'!$F$31)))))</f>
        <v/>
      </c>
      <c r="AT129" s="151"/>
      <c r="AU129" s="110"/>
      <c r="AV129" s="28"/>
      <c r="AW129" s="28"/>
      <c r="AX129" s="28" t="str">
        <f t="shared" si="51"/>
        <v/>
      </c>
      <c r="AY129" s="128" t="str">
        <f t="shared" si="52"/>
        <v/>
      </c>
      <c r="AZ129" s="128" t="str">
        <f t="shared" si="53"/>
        <v/>
      </c>
      <c r="BA129" s="28" t="str">
        <f>IF(AND(ISBLANK(BC129),BB129=""),"",1+MAX(BA$18:BA128))</f>
        <v/>
      </c>
      <c r="BB129" s="150" t="str">
        <f>IF(OR(AX129="",AX129=0,$J129="",$J129=0,NOT(ISNUMBER($J129)),NOT(ISNUMBER(AX129))),IF(AND($G129&lt;&gt;"",AND(OR(ISNUMBER(AX129),AX129=""),AND(ISNUMBER($J129),$J129&gt;0))),'Feuille de Donnée'!$K$13,""),IF(AX129&lt;$J$165*'Feuille de Donnée'!$I$9,"Négligeable",(IF(AND(AV129&gt;=$H129*(1-'Feuille de Donnée'!$E$12),AV129&lt;=$H129*(1+'Feuille de Donnée'!$F$12)),'Feuille de Donnée'!$F$17,IF(AV129&lt;$H129*(1-'Feuille de Donnée'!$E$12),'Feuille de Donnée'!$F$18,'Feuille de Donnée'!$F$16))&amp;""&amp;IF(AND(AW129&gt;=$I129*(1-'Feuille de Donnée'!$E$27),AW129&lt;=$I129*(1+'Feuille de Donnée'!$F$27)),'Feuille de Donnée'!$F$32,IF(AW129&lt;$I129*(1-'Feuille de Donnée'!$E$27),'Feuille de Donnée'!$F$33,'Feuille de Donnée'!$F$31)))))</f>
        <v/>
      </c>
      <c r="BC129" s="151"/>
      <c r="BD129" s="110"/>
      <c r="BE129" s="28"/>
      <c r="BF129" s="28"/>
      <c r="BG129" s="28" t="str">
        <f t="shared" si="54"/>
        <v/>
      </c>
      <c r="BH129" s="128" t="str">
        <f t="shared" si="55"/>
        <v/>
      </c>
      <c r="BI129" s="128" t="str">
        <f t="shared" si="56"/>
        <v/>
      </c>
      <c r="BJ129" s="28" t="str">
        <f>IF(AND(ISBLANK(BL129),BK129=""),"",1+MAX(BJ$18:BJ128))</f>
        <v/>
      </c>
      <c r="BK129" s="150" t="str">
        <f>IF(OR(BG129="",BG129=0,$J129="",$J129=0,NOT(ISNUMBER($J129)),NOT(ISNUMBER(BG129))),IF(AND($G129&lt;&gt;"",AND(OR(ISNUMBER(BG129),BG129=""),AND(ISNUMBER($J129),$J129&gt;0))),'Feuille de Donnée'!$K$13,""),IF(BG129&lt;$J$165*'Feuille de Donnée'!$I$9,"Négligeable",(IF(AND(BE129&gt;=$H129*(1-'Feuille de Donnée'!$E$12),BE129&lt;=$H129*(1+'Feuille de Donnée'!$F$12)),'Feuille de Donnée'!$F$17,IF(BE129&lt;$H129*(1-'Feuille de Donnée'!$E$12),'Feuille de Donnée'!$F$18,'Feuille de Donnée'!$F$16))&amp;""&amp;IF(AND(BF129&gt;=$I129*(1-'Feuille de Donnée'!$E$27),BF129&lt;=$I129*(1+'Feuille de Donnée'!$F$27)),'Feuille de Donnée'!$F$32,IF(BF129&lt;$I129*(1-'Feuille de Donnée'!$E$27),'Feuille de Donnée'!$F$33,'Feuille de Donnée'!$F$31)))))</f>
        <v/>
      </c>
      <c r="BL129" s="151"/>
      <c r="BM129" s="153"/>
    </row>
    <row r="130" spans="1:65" s="7" customFormat="1" x14ac:dyDescent="0.3">
      <c r="A130" s="24"/>
      <c r="B130" s="25"/>
      <c r="C130" s="25"/>
      <c r="D130" s="25"/>
      <c r="E130" s="25"/>
      <c r="F130" s="25"/>
      <c r="G130" s="23"/>
      <c r="H130" s="26"/>
      <c r="I130" s="27"/>
      <c r="J130" s="109" t="str">
        <f t="shared" si="38"/>
        <v/>
      </c>
      <c r="K130" s="110"/>
      <c r="L130" s="28"/>
      <c r="M130" s="28"/>
      <c r="N130" s="28" t="str">
        <f t="shared" si="39"/>
        <v/>
      </c>
      <c r="O130" s="128" t="str">
        <f t="shared" si="40"/>
        <v/>
      </c>
      <c r="P130" s="128" t="str">
        <f t="shared" si="41"/>
        <v/>
      </c>
      <c r="Q130" s="28" t="str">
        <f>IF(AND(ISBLANK(S130),R130=""),"",1+MAX(Q$18:Q129))</f>
        <v/>
      </c>
      <c r="R130" s="150" t="str">
        <f>IF(OR(N130="",N130=0,$J130="",$J130=0,NOT(ISNUMBER($J130)),NOT(ISNUMBER(N130))),IF(AND($G130&lt;&gt;"",AND(OR(ISNUMBER(N130),N130=""),AND(ISNUMBER($J130),$J130&gt;0))),'Feuille de Donnée'!$K$13,""),IF(N130&lt;$J$165*'Feuille de Donnée'!$I$9,"Négligeable",(IF(AND(L130&gt;=$H130*(1-'Feuille de Donnée'!$E$12),L130&lt;=$H130*(1+'Feuille de Donnée'!$F$12)),'Feuille de Donnée'!$F$17,IF(L130&lt;$H130*(1-'Feuille de Donnée'!$E$12),'Feuille de Donnée'!$F$18,'Feuille de Donnée'!$F$16))&amp;""&amp;IF(AND(M130&gt;=$I130*(1-'Feuille de Donnée'!$E$27),M130&lt;=$I130*(1+'Feuille de Donnée'!$F$27)),'Feuille de Donnée'!$F$32,IF(M130&lt;$I130*(1-'Feuille de Donnée'!$E$27),'Feuille de Donnée'!$F$33,'Feuille de Donnée'!$F$31)))))</f>
        <v/>
      </c>
      <c r="S130" s="151"/>
      <c r="T130" s="110"/>
      <c r="U130" s="28"/>
      <c r="V130" s="28"/>
      <c r="W130" s="28" t="str">
        <f t="shared" si="42"/>
        <v/>
      </c>
      <c r="X130" s="128" t="str">
        <f t="shared" si="43"/>
        <v/>
      </c>
      <c r="Y130" s="128" t="str">
        <f t="shared" si="44"/>
        <v/>
      </c>
      <c r="Z130" s="28" t="str">
        <f>IF(AND(ISBLANK(AB130),AA130=""),"",1+MAX(Z$18:Z129))</f>
        <v/>
      </c>
      <c r="AA130" s="150" t="str">
        <f>IF(OR(W130="",W130=0,$J130="",$J130=0,NOT(ISNUMBER($J130)),NOT(ISNUMBER(W130))),IF(AND($G130&lt;&gt;"",AND(OR(ISNUMBER(W130),W130=""),AND(ISNUMBER($J130),$J130&gt;0))),'Feuille de Donnée'!$K$13,""),IF(W130&lt;$J$165*'Feuille de Donnée'!$I$9,"Négligeable",(IF(AND(U130&gt;=$H130*(1-'Feuille de Donnée'!$E$12),U130&lt;=$H130*(1+'Feuille de Donnée'!$F$12)),'Feuille de Donnée'!$F$17,IF(U130&lt;$H130*(1-'Feuille de Donnée'!$E$12),'Feuille de Donnée'!$F$18,'Feuille de Donnée'!$F$16))&amp;""&amp;IF(AND(V130&gt;=$I130*(1-'Feuille de Donnée'!$E$27),V130&lt;=$I130*(1+'Feuille de Donnée'!$F$27)),'Feuille de Donnée'!$F$32,IF(V130&lt;$I130*(1-'Feuille de Donnée'!$E$27),'Feuille de Donnée'!$F$33,'Feuille de Donnée'!$F$31)))))</f>
        <v/>
      </c>
      <c r="AB130" s="151"/>
      <c r="AC130" s="110"/>
      <c r="AD130" s="28"/>
      <c r="AE130" s="28"/>
      <c r="AF130" s="28" t="str">
        <f t="shared" si="45"/>
        <v/>
      </c>
      <c r="AG130" s="128" t="str">
        <f t="shared" si="46"/>
        <v/>
      </c>
      <c r="AH130" s="128" t="str">
        <f t="shared" si="47"/>
        <v/>
      </c>
      <c r="AI130" s="28" t="str">
        <f>IF(AND(ISBLANK(AK130),AJ130=""),"",1+MAX(AI$18:AI129))</f>
        <v/>
      </c>
      <c r="AJ130" s="150" t="str">
        <f>IF(OR(AF130="",AF130=0,$J130="",$J130=0,NOT(ISNUMBER($J130)),NOT(ISNUMBER(AF130))),IF(AND($G130&lt;&gt;"",AND(OR(ISNUMBER(AF130),AF130=""),AND(ISNUMBER($J130),$J130&gt;0))),'Feuille de Donnée'!$K$13,""),IF(AF130&lt;$J$165*'Feuille de Donnée'!$I$9,"Négligeable",(IF(AND(AD130&gt;=$H130*(1-'Feuille de Donnée'!$E$12),AD130&lt;=$H130*(1+'Feuille de Donnée'!$F$12)),'Feuille de Donnée'!$F$17,IF(AD130&lt;$H130*(1-'Feuille de Donnée'!$E$12),'Feuille de Donnée'!$F$18,'Feuille de Donnée'!$F$16))&amp;""&amp;IF(AND(AE130&gt;=$I130*(1-'Feuille de Donnée'!$E$27),AE130&lt;=$I130*(1+'Feuille de Donnée'!$F$27)),'Feuille de Donnée'!$F$32,IF(AE130&lt;$I130*(1-'Feuille de Donnée'!$E$27),'Feuille de Donnée'!$F$33,'Feuille de Donnée'!$F$31)))))</f>
        <v/>
      </c>
      <c r="AK130" s="151"/>
      <c r="AL130" s="110"/>
      <c r="AM130" s="28"/>
      <c r="AN130" s="28"/>
      <c r="AO130" s="28" t="str">
        <f t="shared" si="48"/>
        <v/>
      </c>
      <c r="AP130" s="128" t="str">
        <f t="shared" si="49"/>
        <v/>
      </c>
      <c r="AQ130" s="128" t="str">
        <f t="shared" si="50"/>
        <v/>
      </c>
      <c r="AR130" s="28" t="str">
        <f>IF(AND(ISBLANK(AT130),AS130=""),"",1+MAX(AR$18:AR129))</f>
        <v/>
      </c>
      <c r="AS130" s="150" t="str">
        <f>IF(OR(AO130="",AO130=0,$J130="",$J130=0,NOT(ISNUMBER($J130)),NOT(ISNUMBER(AO130))),IF(AND($G130&lt;&gt;"",AND(OR(ISNUMBER(AO130),AO130=""),AND(ISNUMBER($J130),$J130&gt;0))),'Feuille de Donnée'!$K$13,""),IF(AO130&lt;$J$165*'Feuille de Donnée'!$I$9,"Négligeable",(IF(AND(AM130&gt;=$H130*(1-'Feuille de Donnée'!$E$12),AM130&lt;=$H130*(1+'Feuille de Donnée'!$F$12)),'Feuille de Donnée'!$F$17,IF(AM130&lt;$H130*(1-'Feuille de Donnée'!$E$12),'Feuille de Donnée'!$F$18,'Feuille de Donnée'!$F$16))&amp;""&amp;IF(AND(AN130&gt;=$I130*(1-'Feuille de Donnée'!$E$27),AN130&lt;=$I130*(1+'Feuille de Donnée'!$F$27)),'Feuille de Donnée'!$F$32,IF(AN130&lt;$I130*(1-'Feuille de Donnée'!$E$27),'Feuille de Donnée'!$F$33,'Feuille de Donnée'!$F$31)))))</f>
        <v/>
      </c>
      <c r="AT130" s="151"/>
      <c r="AU130" s="110"/>
      <c r="AV130" s="28"/>
      <c r="AW130" s="28"/>
      <c r="AX130" s="28" t="str">
        <f t="shared" si="51"/>
        <v/>
      </c>
      <c r="AY130" s="128" t="str">
        <f t="shared" si="52"/>
        <v/>
      </c>
      <c r="AZ130" s="128" t="str">
        <f t="shared" si="53"/>
        <v/>
      </c>
      <c r="BA130" s="28" t="str">
        <f>IF(AND(ISBLANK(BC130),BB130=""),"",1+MAX(BA$18:BA129))</f>
        <v/>
      </c>
      <c r="BB130" s="150" t="str">
        <f>IF(OR(AX130="",AX130=0,$J130="",$J130=0,NOT(ISNUMBER($J130)),NOT(ISNUMBER(AX130))),IF(AND($G130&lt;&gt;"",AND(OR(ISNUMBER(AX130),AX130=""),AND(ISNUMBER($J130),$J130&gt;0))),'Feuille de Donnée'!$K$13,""),IF(AX130&lt;$J$165*'Feuille de Donnée'!$I$9,"Négligeable",(IF(AND(AV130&gt;=$H130*(1-'Feuille de Donnée'!$E$12),AV130&lt;=$H130*(1+'Feuille de Donnée'!$F$12)),'Feuille de Donnée'!$F$17,IF(AV130&lt;$H130*(1-'Feuille de Donnée'!$E$12),'Feuille de Donnée'!$F$18,'Feuille de Donnée'!$F$16))&amp;""&amp;IF(AND(AW130&gt;=$I130*(1-'Feuille de Donnée'!$E$27),AW130&lt;=$I130*(1+'Feuille de Donnée'!$F$27)),'Feuille de Donnée'!$F$32,IF(AW130&lt;$I130*(1-'Feuille de Donnée'!$E$27),'Feuille de Donnée'!$F$33,'Feuille de Donnée'!$F$31)))))</f>
        <v/>
      </c>
      <c r="BC130" s="151"/>
      <c r="BD130" s="110"/>
      <c r="BE130" s="28"/>
      <c r="BF130" s="28"/>
      <c r="BG130" s="28" t="str">
        <f t="shared" si="54"/>
        <v/>
      </c>
      <c r="BH130" s="128" t="str">
        <f t="shared" si="55"/>
        <v/>
      </c>
      <c r="BI130" s="128" t="str">
        <f t="shared" si="56"/>
        <v/>
      </c>
      <c r="BJ130" s="28" t="str">
        <f>IF(AND(ISBLANK(BL130),BK130=""),"",1+MAX(BJ$18:BJ129))</f>
        <v/>
      </c>
      <c r="BK130" s="150" t="str">
        <f>IF(OR(BG130="",BG130=0,$J130="",$J130=0,NOT(ISNUMBER($J130)),NOT(ISNUMBER(BG130))),IF(AND($G130&lt;&gt;"",AND(OR(ISNUMBER(BG130),BG130=""),AND(ISNUMBER($J130),$J130&gt;0))),'Feuille de Donnée'!$K$13,""),IF(BG130&lt;$J$165*'Feuille de Donnée'!$I$9,"Négligeable",(IF(AND(BE130&gt;=$H130*(1-'Feuille de Donnée'!$E$12),BE130&lt;=$H130*(1+'Feuille de Donnée'!$F$12)),'Feuille de Donnée'!$F$17,IF(BE130&lt;$H130*(1-'Feuille de Donnée'!$E$12),'Feuille de Donnée'!$F$18,'Feuille de Donnée'!$F$16))&amp;""&amp;IF(AND(BF130&gt;=$I130*(1-'Feuille de Donnée'!$E$27),BF130&lt;=$I130*(1+'Feuille de Donnée'!$F$27)),'Feuille de Donnée'!$F$32,IF(BF130&lt;$I130*(1-'Feuille de Donnée'!$E$27),'Feuille de Donnée'!$F$33,'Feuille de Donnée'!$F$31)))))</f>
        <v/>
      </c>
      <c r="BL130" s="151"/>
      <c r="BM130" s="153"/>
    </row>
    <row r="131" spans="1:65" s="7" customFormat="1" x14ac:dyDescent="0.3">
      <c r="A131" s="24"/>
      <c r="B131" s="25"/>
      <c r="C131" s="25"/>
      <c r="D131" s="25"/>
      <c r="E131" s="25"/>
      <c r="F131" s="25"/>
      <c r="G131" s="23"/>
      <c r="H131" s="26"/>
      <c r="I131" s="27"/>
      <c r="J131" s="109" t="str">
        <f t="shared" si="38"/>
        <v/>
      </c>
      <c r="K131" s="110"/>
      <c r="L131" s="28"/>
      <c r="M131" s="28"/>
      <c r="N131" s="28" t="str">
        <f t="shared" si="39"/>
        <v/>
      </c>
      <c r="O131" s="128" t="str">
        <f t="shared" si="40"/>
        <v/>
      </c>
      <c r="P131" s="128" t="str">
        <f t="shared" si="41"/>
        <v/>
      </c>
      <c r="Q131" s="28" t="str">
        <f>IF(AND(ISBLANK(S131),R131=""),"",1+MAX(Q$18:Q130))</f>
        <v/>
      </c>
      <c r="R131" s="150" t="str">
        <f>IF(OR(N131="",N131=0,$J131="",$J131=0,NOT(ISNUMBER($J131)),NOT(ISNUMBER(N131))),IF(AND($G131&lt;&gt;"",AND(OR(ISNUMBER(N131),N131=""),AND(ISNUMBER($J131),$J131&gt;0))),'Feuille de Donnée'!$K$13,""),IF(N131&lt;$J$165*'Feuille de Donnée'!$I$9,"Négligeable",(IF(AND(L131&gt;=$H131*(1-'Feuille de Donnée'!$E$12),L131&lt;=$H131*(1+'Feuille de Donnée'!$F$12)),'Feuille de Donnée'!$F$17,IF(L131&lt;$H131*(1-'Feuille de Donnée'!$E$12),'Feuille de Donnée'!$F$18,'Feuille de Donnée'!$F$16))&amp;""&amp;IF(AND(M131&gt;=$I131*(1-'Feuille de Donnée'!$E$27),M131&lt;=$I131*(1+'Feuille de Donnée'!$F$27)),'Feuille de Donnée'!$F$32,IF(M131&lt;$I131*(1-'Feuille de Donnée'!$E$27),'Feuille de Donnée'!$F$33,'Feuille de Donnée'!$F$31)))))</f>
        <v/>
      </c>
      <c r="S131" s="151"/>
      <c r="T131" s="110"/>
      <c r="U131" s="28"/>
      <c r="V131" s="28"/>
      <c r="W131" s="28" t="str">
        <f t="shared" si="42"/>
        <v/>
      </c>
      <c r="X131" s="128" t="str">
        <f t="shared" si="43"/>
        <v/>
      </c>
      <c r="Y131" s="128" t="str">
        <f t="shared" si="44"/>
        <v/>
      </c>
      <c r="Z131" s="28" t="str">
        <f>IF(AND(ISBLANK(AB131),AA131=""),"",1+MAX(Z$18:Z130))</f>
        <v/>
      </c>
      <c r="AA131" s="150" t="str">
        <f>IF(OR(W131="",W131=0,$J131="",$J131=0,NOT(ISNUMBER($J131)),NOT(ISNUMBER(W131))),IF(AND($G131&lt;&gt;"",AND(OR(ISNUMBER(W131),W131=""),AND(ISNUMBER($J131),$J131&gt;0))),'Feuille de Donnée'!$K$13,""),IF(W131&lt;$J$165*'Feuille de Donnée'!$I$9,"Négligeable",(IF(AND(U131&gt;=$H131*(1-'Feuille de Donnée'!$E$12),U131&lt;=$H131*(1+'Feuille de Donnée'!$F$12)),'Feuille de Donnée'!$F$17,IF(U131&lt;$H131*(1-'Feuille de Donnée'!$E$12),'Feuille de Donnée'!$F$18,'Feuille de Donnée'!$F$16))&amp;""&amp;IF(AND(V131&gt;=$I131*(1-'Feuille de Donnée'!$E$27),V131&lt;=$I131*(1+'Feuille de Donnée'!$F$27)),'Feuille de Donnée'!$F$32,IF(V131&lt;$I131*(1-'Feuille de Donnée'!$E$27),'Feuille de Donnée'!$F$33,'Feuille de Donnée'!$F$31)))))</f>
        <v/>
      </c>
      <c r="AB131" s="151"/>
      <c r="AC131" s="110"/>
      <c r="AD131" s="28"/>
      <c r="AE131" s="28"/>
      <c r="AF131" s="28" t="str">
        <f t="shared" si="45"/>
        <v/>
      </c>
      <c r="AG131" s="128" t="str">
        <f t="shared" si="46"/>
        <v/>
      </c>
      <c r="AH131" s="128" t="str">
        <f t="shared" si="47"/>
        <v/>
      </c>
      <c r="AI131" s="28" t="str">
        <f>IF(AND(ISBLANK(AK131),AJ131=""),"",1+MAX(AI$18:AI130))</f>
        <v/>
      </c>
      <c r="AJ131" s="150" t="str">
        <f>IF(OR(AF131="",AF131=0,$J131="",$J131=0,NOT(ISNUMBER($J131)),NOT(ISNUMBER(AF131))),IF(AND($G131&lt;&gt;"",AND(OR(ISNUMBER(AF131),AF131=""),AND(ISNUMBER($J131),$J131&gt;0))),'Feuille de Donnée'!$K$13,""),IF(AF131&lt;$J$165*'Feuille de Donnée'!$I$9,"Négligeable",(IF(AND(AD131&gt;=$H131*(1-'Feuille de Donnée'!$E$12),AD131&lt;=$H131*(1+'Feuille de Donnée'!$F$12)),'Feuille de Donnée'!$F$17,IF(AD131&lt;$H131*(1-'Feuille de Donnée'!$E$12),'Feuille de Donnée'!$F$18,'Feuille de Donnée'!$F$16))&amp;""&amp;IF(AND(AE131&gt;=$I131*(1-'Feuille de Donnée'!$E$27),AE131&lt;=$I131*(1+'Feuille de Donnée'!$F$27)),'Feuille de Donnée'!$F$32,IF(AE131&lt;$I131*(1-'Feuille de Donnée'!$E$27),'Feuille de Donnée'!$F$33,'Feuille de Donnée'!$F$31)))))</f>
        <v/>
      </c>
      <c r="AK131" s="151"/>
      <c r="AL131" s="110"/>
      <c r="AM131" s="28"/>
      <c r="AN131" s="28"/>
      <c r="AO131" s="28" t="str">
        <f t="shared" si="48"/>
        <v/>
      </c>
      <c r="AP131" s="128" t="str">
        <f t="shared" si="49"/>
        <v/>
      </c>
      <c r="AQ131" s="128" t="str">
        <f t="shared" si="50"/>
        <v/>
      </c>
      <c r="AR131" s="28" t="str">
        <f>IF(AND(ISBLANK(AT131),AS131=""),"",1+MAX(AR$18:AR130))</f>
        <v/>
      </c>
      <c r="AS131" s="150" t="str">
        <f>IF(OR(AO131="",AO131=0,$J131="",$J131=0,NOT(ISNUMBER($J131)),NOT(ISNUMBER(AO131))),IF(AND($G131&lt;&gt;"",AND(OR(ISNUMBER(AO131),AO131=""),AND(ISNUMBER($J131),$J131&gt;0))),'Feuille de Donnée'!$K$13,""),IF(AO131&lt;$J$165*'Feuille de Donnée'!$I$9,"Négligeable",(IF(AND(AM131&gt;=$H131*(1-'Feuille de Donnée'!$E$12),AM131&lt;=$H131*(1+'Feuille de Donnée'!$F$12)),'Feuille de Donnée'!$F$17,IF(AM131&lt;$H131*(1-'Feuille de Donnée'!$E$12),'Feuille de Donnée'!$F$18,'Feuille de Donnée'!$F$16))&amp;""&amp;IF(AND(AN131&gt;=$I131*(1-'Feuille de Donnée'!$E$27),AN131&lt;=$I131*(1+'Feuille de Donnée'!$F$27)),'Feuille de Donnée'!$F$32,IF(AN131&lt;$I131*(1-'Feuille de Donnée'!$E$27),'Feuille de Donnée'!$F$33,'Feuille de Donnée'!$F$31)))))</f>
        <v/>
      </c>
      <c r="AT131" s="151"/>
      <c r="AU131" s="110"/>
      <c r="AV131" s="28"/>
      <c r="AW131" s="28"/>
      <c r="AX131" s="28" t="str">
        <f t="shared" si="51"/>
        <v/>
      </c>
      <c r="AY131" s="128" t="str">
        <f t="shared" si="52"/>
        <v/>
      </c>
      <c r="AZ131" s="128" t="str">
        <f t="shared" si="53"/>
        <v/>
      </c>
      <c r="BA131" s="28" t="str">
        <f>IF(AND(ISBLANK(BC131),BB131=""),"",1+MAX(BA$18:BA130))</f>
        <v/>
      </c>
      <c r="BB131" s="150" t="str">
        <f>IF(OR(AX131="",AX131=0,$J131="",$J131=0,NOT(ISNUMBER($J131)),NOT(ISNUMBER(AX131))),IF(AND($G131&lt;&gt;"",AND(OR(ISNUMBER(AX131),AX131=""),AND(ISNUMBER($J131),$J131&gt;0))),'Feuille de Donnée'!$K$13,""),IF(AX131&lt;$J$165*'Feuille de Donnée'!$I$9,"Négligeable",(IF(AND(AV131&gt;=$H131*(1-'Feuille de Donnée'!$E$12),AV131&lt;=$H131*(1+'Feuille de Donnée'!$F$12)),'Feuille de Donnée'!$F$17,IF(AV131&lt;$H131*(1-'Feuille de Donnée'!$E$12),'Feuille de Donnée'!$F$18,'Feuille de Donnée'!$F$16))&amp;""&amp;IF(AND(AW131&gt;=$I131*(1-'Feuille de Donnée'!$E$27),AW131&lt;=$I131*(1+'Feuille de Donnée'!$F$27)),'Feuille de Donnée'!$F$32,IF(AW131&lt;$I131*(1-'Feuille de Donnée'!$E$27),'Feuille de Donnée'!$F$33,'Feuille de Donnée'!$F$31)))))</f>
        <v/>
      </c>
      <c r="BC131" s="151"/>
      <c r="BD131" s="110"/>
      <c r="BE131" s="28"/>
      <c r="BF131" s="28"/>
      <c r="BG131" s="28" t="str">
        <f t="shared" si="54"/>
        <v/>
      </c>
      <c r="BH131" s="128" t="str">
        <f t="shared" si="55"/>
        <v/>
      </c>
      <c r="BI131" s="128" t="str">
        <f t="shared" si="56"/>
        <v/>
      </c>
      <c r="BJ131" s="28" t="str">
        <f>IF(AND(ISBLANK(BL131),BK131=""),"",1+MAX(BJ$18:BJ130))</f>
        <v/>
      </c>
      <c r="BK131" s="150" t="str">
        <f>IF(OR(BG131="",BG131=0,$J131="",$J131=0,NOT(ISNUMBER($J131)),NOT(ISNUMBER(BG131))),IF(AND($G131&lt;&gt;"",AND(OR(ISNUMBER(BG131),BG131=""),AND(ISNUMBER($J131),$J131&gt;0))),'Feuille de Donnée'!$K$13,""),IF(BG131&lt;$J$165*'Feuille de Donnée'!$I$9,"Négligeable",(IF(AND(BE131&gt;=$H131*(1-'Feuille de Donnée'!$E$12),BE131&lt;=$H131*(1+'Feuille de Donnée'!$F$12)),'Feuille de Donnée'!$F$17,IF(BE131&lt;$H131*(1-'Feuille de Donnée'!$E$12),'Feuille de Donnée'!$F$18,'Feuille de Donnée'!$F$16))&amp;""&amp;IF(AND(BF131&gt;=$I131*(1-'Feuille de Donnée'!$E$27),BF131&lt;=$I131*(1+'Feuille de Donnée'!$F$27)),'Feuille de Donnée'!$F$32,IF(BF131&lt;$I131*(1-'Feuille de Donnée'!$E$27),'Feuille de Donnée'!$F$33,'Feuille de Donnée'!$F$31)))))</f>
        <v/>
      </c>
      <c r="BL131" s="151"/>
      <c r="BM131" s="153"/>
    </row>
    <row r="132" spans="1:65" s="7" customFormat="1" x14ac:dyDescent="0.3">
      <c r="A132" s="24"/>
      <c r="B132" s="25"/>
      <c r="C132" s="25"/>
      <c r="D132" s="25"/>
      <c r="E132" s="25"/>
      <c r="F132" s="25"/>
      <c r="G132" s="23"/>
      <c r="H132" s="26"/>
      <c r="I132" s="27"/>
      <c r="J132" s="109" t="str">
        <f t="shared" si="38"/>
        <v/>
      </c>
      <c r="K132" s="110"/>
      <c r="L132" s="28"/>
      <c r="M132" s="28"/>
      <c r="N132" s="28" t="str">
        <f t="shared" si="39"/>
        <v/>
      </c>
      <c r="O132" s="128" t="str">
        <f t="shared" si="40"/>
        <v/>
      </c>
      <c r="P132" s="128" t="str">
        <f t="shared" si="41"/>
        <v/>
      </c>
      <c r="Q132" s="28" t="str">
        <f>IF(AND(ISBLANK(S132),R132=""),"",1+MAX(Q$18:Q131))</f>
        <v/>
      </c>
      <c r="R132" s="150" t="str">
        <f>IF(OR(N132="",N132=0,$J132="",$J132=0,NOT(ISNUMBER($J132)),NOT(ISNUMBER(N132))),IF(AND($G132&lt;&gt;"",AND(OR(ISNUMBER(N132),N132=""),AND(ISNUMBER($J132),$J132&gt;0))),'Feuille de Donnée'!$K$13,""),IF(N132&lt;$J$165*'Feuille de Donnée'!$I$9,"Négligeable",(IF(AND(L132&gt;=$H132*(1-'Feuille de Donnée'!$E$12),L132&lt;=$H132*(1+'Feuille de Donnée'!$F$12)),'Feuille de Donnée'!$F$17,IF(L132&lt;$H132*(1-'Feuille de Donnée'!$E$12),'Feuille de Donnée'!$F$18,'Feuille de Donnée'!$F$16))&amp;""&amp;IF(AND(M132&gt;=$I132*(1-'Feuille de Donnée'!$E$27),M132&lt;=$I132*(1+'Feuille de Donnée'!$F$27)),'Feuille de Donnée'!$F$32,IF(M132&lt;$I132*(1-'Feuille de Donnée'!$E$27),'Feuille de Donnée'!$F$33,'Feuille de Donnée'!$F$31)))))</f>
        <v/>
      </c>
      <c r="S132" s="151"/>
      <c r="T132" s="110"/>
      <c r="U132" s="28"/>
      <c r="V132" s="28"/>
      <c r="W132" s="28" t="str">
        <f t="shared" si="42"/>
        <v/>
      </c>
      <c r="X132" s="128" t="str">
        <f t="shared" si="43"/>
        <v/>
      </c>
      <c r="Y132" s="128" t="str">
        <f t="shared" si="44"/>
        <v/>
      </c>
      <c r="Z132" s="28" t="str">
        <f>IF(AND(ISBLANK(AB132),AA132=""),"",1+MAX(Z$18:Z131))</f>
        <v/>
      </c>
      <c r="AA132" s="150" t="str">
        <f>IF(OR(W132="",W132=0,$J132="",$J132=0,NOT(ISNUMBER($J132)),NOT(ISNUMBER(W132))),IF(AND($G132&lt;&gt;"",AND(OR(ISNUMBER(W132),W132=""),AND(ISNUMBER($J132),$J132&gt;0))),'Feuille de Donnée'!$K$13,""),IF(W132&lt;$J$165*'Feuille de Donnée'!$I$9,"Négligeable",(IF(AND(U132&gt;=$H132*(1-'Feuille de Donnée'!$E$12),U132&lt;=$H132*(1+'Feuille de Donnée'!$F$12)),'Feuille de Donnée'!$F$17,IF(U132&lt;$H132*(1-'Feuille de Donnée'!$E$12),'Feuille de Donnée'!$F$18,'Feuille de Donnée'!$F$16))&amp;""&amp;IF(AND(V132&gt;=$I132*(1-'Feuille de Donnée'!$E$27),V132&lt;=$I132*(1+'Feuille de Donnée'!$F$27)),'Feuille de Donnée'!$F$32,IF(V132&lt;$I132*(1-'Feuille de Donnée'!$E$27),'Feuille de Donnée'!$F$33,'Feuille de Donnée'!$F$31)))))</f>
        <v/>
      </c>
      <c r="AB132" s="151"/>
      <c r="AC132" s="110"/>
      <c r="AD132" s="28"/>
      <c r="AE132" s="28"/>
      <c r="AF132" s="28" t="str">
        <f t="shared" si="45"/>
        <v/>
      </c>
      <c r="AG132" s="128" t="str">
        <f t="shared" si="46"/>
        <v/>
      </c>
      <c r="AH132" s="128" t="str">
        <f t="shared" si="47"/>
        <v/>
      </c>
      <c r="AI132" s="28" t="str">
        <f>IF(AND(ISBLANK(AK132),AJ132=""),"",1+MAX(AI$18:AI131))</f>
        <v/>
      </c>
      <c r="AJ132" s="150" t="str">
        <f>IF(OR(AF132="",AF132=0,$J132="",$J132=0,NOT(ISNUMBER($J132)),NOT(ISNUMBER(AF132))),IF(AND($G132&lt;&gt;"",AND(OR(ISNUMBER(AF132),AF132=""),AND(ISNUMBER($J132),$J132&gt;0))),'Feuille de Donnée'!$K$13,""),IF(AF132&lt;$J$165*'Feuille de Donnée'!$I$9,"Négligeable",(IF(AND(AD132&gt;=$H132*(1-'Feuille de Donnée'!$E$12),AD132&lt;=$H132*(1+'Feuille de Donnée'!$F$12)),'Feuille de Donnée'!$F$17,IF(AD132&lt;$H132*(1-'Feuille de Donnée'!$E$12),'Feuille de Donnée'!$F$18,'Feuille de Donnée'!$F$16))&amp;""&amp;IF(AND(AE132&gt;=$I132*(1-'Feuille de Donnée'!$E$27),AE132&lt;=$I132*(1+'Feuille de Donnée'!$F$27)),'Feuille de Donnée'!$F$32,IF(AE132&lt;$I132*(1-'Feuille de Donnée'!$E$27),'Feuille de Donnée'!$F$33,'Feuille de Donnée'!$F$31)))))</f>
        <v/>
      </c>
      <c r="AK132" s="151"/>
      <c r="AL132" s="110"/>
      <c r="AM132" s="28"/>
      <c r="AN132" s="28"/>
      <c r="AO132" s="28" t="str">
        <f t="shared" si="48"/>
        <v/>
      </c>
      <c r="AP132" s="128" t="str">
        <f t="shared" si="49"/>
        <v/>
      </c>
      <c r="AQ132" s="128" t="str">
        <f t="shared" si="50"/>
        <v/>
      </c>
      <c r="AR132" s="28" t="str">
        <f>IF(AND(ISBLANK(AT132),AS132=""),"",1+MAX(AR$18:AR131))</f>
        <v/>
      </c>
      <c r="AS132" s="150" t="str">
        <f>IF(OR(AO132="",AO132=0,$J132="",$J132=0,NOT(ISNUMBER($J132)),NOT(ISNUMBER(AO132))),IF(AND($G132&lt;&gt;"",AND(OR(ISNUMBER(AO132),AO132=""),AND(ISNUMBER($J132),$J132&gt;0))),'Feuille de Donnée'!$K$13,""),IF(AO132&lt;$J$165*'Feuille de Donnée'!$I$9,"Négligeable",(IF(AND(AM132&gt;=$H132*(1-'Feuille de Donnée'!$E$12),AM132&lt;=$H132*(1+'Feuille de Donnée'!$F$12)),'Feuille de Donnée'!$F$17,IF(AM132&lt;$H132*(1-'Feuille de Donnée'!$E$12),'Feuille de Donnée'!$F$18,'Feuille de Donnée'!$F$16))&amp;""&amp;IF(AND(AN132&gt;=$I132*(1-'Feuille de Donnée'!$E$27),AN132&lt;=$I132*(1+'Feuille de Donnée'!$F$27)),'Feuille de Donnée'!$F$32,IF(AN132&lt;$I132*(1-'Feuille de Donnée'!$E$27),'Feuille de Donnée'!$F$33,'Feuille de Donnée'!$F$31)))))</f>
        <v/>
      </c>
      <c r="AT132" s="151"/>
      <c r="AU132" s="110"/>
      <c r="AV132" s="28"/>
      <c r="AW132" s="28"/>
      <c r="AX132" s="28" t="str">
        <f t="shared" si="51"/>
        <v/>
      </c>
      <c r="AY132" s="128" t="str">
        <f t="shared" si="52"/>
        <v/>
      </c>
      <c r="AZ132" s="128" t="str">
        <f t="shared" si="53"/>
        <v/>
      </c>
      <c r="BA132" s="28" t="str">
        <f>IF(AND(ISBLANK(BC132),BB132=""),"",1+MAX(BA$18:BA131))</f>
        <v/>
      </c>
      <c r="BB132" s="150" t="str">
        <f>IF(OR(AX132="",AX132=0,$J132="",$J132=0,NOT(ISNUMBER($J132)),NOT(ISNUMBER(AX132))),IF(AND($G132&lt;&gt;"",AND(OR(ISNUMBER(AX132),AX132=""),AND(ISNUMBER($J132),$J132&gt;0))),'Feuille de Donnée'!$K$13,""),IF(AX132&lt;$J$165*'Feuille de Donnée'!$I$9,"Négligeable",(IF(AND(AV132&gt;=$H132*(1-'Feuille de Donnée'!$E$12),AV132&lt;=$H132*(1+'Feuille de Donnée'!$F$12)),'Feuille de Donnée'!$F$17,IF(AV132&lt;$H132*(1-'Feuille de Donnée'!$E$12),'Feuille de Donnée'!$F$18,'Feuille de Donnée'!$F$16))&amp;""&amp;IF(AND(AW132&gt;=$I132*(1-'Feuille de Donnée'!$E$27),AW132&lt;=$I132*(1+'Feuille de Donnée'!$F$27)),'Feuille de Donnée'!$F$32,IF(AW132&lt;$I132*(1-'Feuille de Donnée'!$E$27),'Feuille de Donnée'!$F$33,'Feuille de Donnée'!$F$31)))))</f>
        <v/>
      </c>
      <c r="BC132" s="151"/>
      <c r="BD132" s="110"/>
      <c r="BE132" s="28"/>
      <c r="BF132" s="28"/>
      <c r="BG132" s="28" t="str">
        <f t="shared" si="54"/>
        <v/>
      </c>
      <c r="BH132" s="128" t="str">
        <f t="shared" si="55"/>
        <v/>
      </c>
      <c r="BI132" s="128" t="str">
        <f t="shared" si="56"/>
        <v/>
      </c>
      <c r="BJ132" s="28" t="str">
        <f>IF(AND(ISBLANK(BL132),BK132=""),"",1+MAX(BJ$18:BJ131))</f>
        <v/>
      </c>
      <c r="BK132" s="150" t="str">
        <f>IF(OR(BG132="",BG132=0,$J132="",$J132=0,NOT(ISNUMBER($J132)),NOT(ISNUMBER(BG132))),IF(AND($G132&lt;&gt;"",AND(OR(ISNUMBER(BG132),BG132=""),AND(ISNUMBER($J132),$J132&gt;0))),'Feuille de Donnée'!$K$13,""),IF(BG132&lt;$J$165*'Feuille de Donnée'!$I$9,"Négligeable",(IF(AND(BE132&gt;=$H132*(1-'Feuille de Donnée'!$E$12),BE132&lt;=$H132*(1+'Feuille de Donnée'!$F$12)),'Feuille de Donnée'!$F$17,IF(BE132&lt;$H132*(1-'Feuille de Donnée'!$E$12),'Feuille de Donnée'!$F$18,'Feuille de Donnée'!$F$16))&amp;""&amp;IF(AND(BF132&gt;=$I132*(1-'Feuille de Donnée'!$E$27),BF132&lt;=$I132*(1+'Feuille de Donnée'!$F$27)),'Feuille de Donnée'!$F$32,IF(BF132&lt;$I132*(1-'Feuille de Donnée'!$E$27),'Feuille de Donnée'!$F$33,'Feuille de Donnée'!$F$31)))))</f>
        <v/>
      </c>
      <c r="BL132" s="151"/>
      <c r="BM132" s="153"/>
    </row>
    <row r="133" spans="1:65" s="7" customFormat="1" x14ac:dyDescent="0.3">
      <c r="A133" s="24"/>
      <c r="B133" s="25"/>
      <c r="C133" s="25"/>
      <c r="D133" s="25"/>
      <c r="E133" s="25"/>
      <c r="F133" s="25"/>
      <c r="G133" s="23"/>
      <c r="H133" s="26"/>
      <c r="I133" s="27"/>
      <c r="J133" s="109" t="str">
        <f t="shared" si="38"/>
        <v/>
      </c>
      <c r="K133" s="110"/>
      <c r="L133" s="28"/>
      <c r="M133" s="28"/>
      <c r="N133" s="28" t="str">
        <f t="shared" si="39"/>
        <v/>
      </c>
      <c r="O133" s="128" t="str">
        <f t="shared" si="40"/>
        <v/>
      </c>
      <c r="P133" s="128" t="str">
        <f t="shared" si="41"/>
        <v/>
      </c>
      <c r="Q133" s="28" t="str">
        <f>IF(AND(ISBLANK(S133),R133=""),"",1+MAX(Q$18:Q132))</f>
        <v/>
      </c>
      <c r="R133" s="150" t="str">
        <f>IF(OR(N133="",N133=0,$J133="",$J133=0,NOT(ISNUMBER($J133)),NOT(ISNUMBER(N133))),IF(AND($G133&lt;&gt;"",AND(OR(ISNUMBER(N133),N133=""),AND(ISNUMBER($J133),$J133&gt;0))),'Feuille de Donnée'!$K$13,""),IF(N133&lt;$J$165*'Feuille de Donnée'!$I$9,"Négligeable",(IF(AND(L133&gt;=$H133*(1-'Feuille de Donnée'!$E$12),L133&lt;=$H133*(1+'Feuille de Donnée'!$F$12)),'Feuille de Donnée'!$F$17,IF(L133&lt;$H133*(1-'Feuille de Donnée'!$E$12),'Feuille de Donnée'!$F$18,'Feuille de Donnée'!$F$16))&amp;""&amp;IF(AND(M133&gt;=$I133*(1-'Feuille de Donnée'!$E$27),M133&lt;=$I133*(1+'Feuille de Donnée'!$F$27)),'Feuille de Donnée'!$F$32,IF(M133&lt;$I133*(1-'Feuille de Donnée'!$E$27),'Feuille de Donnée'!$F$33,'Feuille de Donnée'!$F$31)))))</f>
        <v/>
      </c>
      <c r="S133" s="151"/>
      <c r="T133" s="110"/>
      <c r="U133" s="28"/>
      <c r="V133" s="28"/>
      <c r="W133" s="28" t="str">
        <f t="shared" si="42"/>
        <v/>
      </c>
      <c r="X133" s="128" t="str">
        <f t="shared" si="43"/>
        <v/>
      </c>
      <c r="Y133" s="128" t="str">
        <f t="shared" si="44"/>
        <v/>
      </c>
      <c r="Z133" s="28" t="str">
        <f>IF(AND(ISBLANK(AB133),AA133=""),"",1+MAX(Z$18:Z132))</f>
        <v/>
      </c>
      <c r="AA133" s="150" t="str">
        <f>IF(OR(W133="",W133=0,$J133="",$J133=0,NOT(ISNUMBER($J133)),NOT(ISNUMBER(W133))),IF(AND($G133&lt;&gt;"",AND(OR(ISNUMBER(W133),W133=""),AND(ISNUMBER($J133),$J133&gt;0))),'Feuille de Donnée'!$K$13,""),IF(W133&lt;$J$165*'Feuille de Donnée'!$I$9,"Négligeable",(IF(AND(U133&gt;=$H133*(1-'Feuille de Donnée'!$E$12),U133&lt;=$H133*(1+'Feuille de Donnée'!$F$12)),'Feuille de Donnée'!$F$17,IF(U133&lt;$H133*(1-'Feuille de Donnée'!$E$12),'Feuille de Donnée'!$F$18,'Feuille de Donnée'!$F$16))&amp;""&amp;IF(AND(V133&gt;=$I133*(1-'Feuille de Donnée'!$E$27),V133&lt;=$I133*(1+'Feuille de Donnée'!$F$27)),'Feuille de Donnée'!$F$32,IF(V133&lt;$I133*(1-'Feuille de Donnée'!$E$27),'Feuille de Donnée'!$F$33,'Feuille de Donnée'!$F$31)))))</f>
        <v/>
      </c>
      <c r="AB133" s="151"/>
      <c r="AC133" s="110"/>
      <c r="AD133" s="28"/>
      <c r="AE133" s="28"/>
      <c r="AF133" s="28" t="str">
        <f t="shared" si="45"/>
        <v/>
      </c>
      <c r="AG133" s="128" t="str">
        <f t="shared" si="46"/>
        <v/>
      </c>
      <c r="AH133" s="128" t="str">
        <f t="shared" si="47"/>
        <v/>
      </c>
      <c r="AI133" s="28" t="str">
        <f>IF(AND(ISBLANK(AK133),AJ133=""),"",1+MAX(AI$18:AI132))</f>
        <v/>
      </c>
      <c r="AJ133" s="150" t="str">
        <f>IF(OR(AF133="",AF133=0,$J133="",$J133=0,NOT(ISNUMBER($J133)),NOT(ISNUMBER(AF133))),IF(AND($G133&lt;&gt;"",AND(OR(ISNUMBER(AF133),AF133=""),AND(ISNUMBER($J133),$J133&gt;0))),'Feuille de Donnée'!$K$13,""),IF(AF133&lt;$J$165*'Feuille de Donnée'!$I$9,"Négligeable",(IF(AND(AD133&gt;=$H133*(1-'Feuille de Donnée'!$E$12),AD133&lt;=$H133*(1+'Feuille de Donnée'!$F$12)),'Feuille de Donnée'!$F$17,IF(AD133&lt;$H133*(1-'Feuille de Donnée'!$E$12),'Feuille de Donnée'!$F$18,'Feuille de Donnée'!$F$16))&amp;""&amp;IF(AND(AE133&gt;=$I133*(1-'Feuille de Donnée'!$E$27),AE133&lt;=$I133*(1+'Feuille de Donnée'!$F$27)),'Feuille de Donnée'!$F$32,IF(AE133&lt;$I133*(1-'Feuille de Donnée'!$E$27),'Feuille de Donnée'!$F$33,'Feuille de Donnée'!$F$31)))))</f>
        <v/>
      </c>
      <c r="AK133" s="151"/>
      <c r="AL133" s="110"/>
      <c r="AM133" s="28"/>
      <c r="AN133" s="28"/>
      <c r="AO133" s="28" t="str">
        <f t="shared" si="48"/>
        <v/>
      </c>
      <c r="AP133" s="128" t="str">
        <f t="shared" si="49"/>
        <v/>
      </c>
      <c r="AQ133" s="128" t="str">
        <f t="shared" si="50"/>
        <v/>
      </c>
      <c r="AR133" s="28" t="str">
        <f>IF(AND(ISBLANK(AT133),AS133=""),"",1+MAX(AR$18:AR132))</f>
        <v/>
      </c>
      <c r="AS133" s="150" t="str">
        <f>IF(OR(AO133="",AO133=0,$J133="",$J133=0,NOT(ISNUMBER($J133)),NOT(ISNUMBER(AO133))),IF(AND($G133&lt;&gt;"",AND(OR(ISNUMBER(AO133),AO133=""),AND(ISNUMBER($J133),$J133&gt;0))),'Feuille de Donnée'!$K$13,""),IF(AO133&lt;$J$165*'Feuille de Donnée'!$I$9,"Négligeable",(IF(AND(AM133&gt;=$H133*(1-'Feuille de Donnée'!$E$12),AM133&lt;=$H133*(1+'Feuille de Donnée'!$F$12)),'Feuille de Donnée'!$F$17,IF(AM133&lt;$H133*(1-'Feuille de Donnée'!$E$12),'Feuille de Donnée'!$F$18,'Feuille de Donnée'!$F$16))&amp;""&amp;IF(AND(AN133&gt;=$I133*(1-'Feuille de Donnée'!$E$27),AN133&lt;=$I133*(1+'Feuille de Donnée'!$F$27)),'Feuille de Donnée'!$F$32,IF(AN133&lt;$I133*(1-'Feuille de Donnée'!$E$27),'Feuille de Donnée'!$F$33,'Feuille de Donnée'!$F$31)))))</f>
        <v/>
      </c>
      <c r="AT133" s="151"/>
      <c r="AU133" s="110"/>
      <c r="AV133" s="28"/>
      <c r="AW133" s="28"/>
      <c r="AX133" s="28" t="str">
        <f t="shared" si="51"/>
        <v/>
      </c>
      <c r="AY133" s="128" t="str">
        <f t="shared" si="52"/>
        <v/>
      </c>
      <c r="AZ133" s="128" t="str">
        <f t="shared" si="53"/>
        <v/>
      </c>
      <c r="BA133" s="28" t="str">
        <f>IF(AND(ISBLANK(BC133),BB133=""),"",1+MAX(BA$18:BA132))</f>
        <v/>
      </c>
      <c r="BB133" s="150" t="str">
        <f>IF(OR(AX133="",AX133=0,$J133="",$J133=0,NOT(ISNUMBER($J133)),NOT(ISNUMBER(AX133))),IF(AND($G133&lt;&gt;"",AND(OR(ISNUMBER(AX133),AX133=""),AND(ISNUMBER($J133),$J133&gt;0))),'Feuille de Donnée'!$K$13,""),IF(AX133&lt;$J$165*'Feuille de Donnée'!$I$9,"Négligeable",(IF(AND(AV133&gt;=$H133*(1-'Feuille de Donnée'!$E$12),AV133&lt;=$H133*(1+'Feuille de Donnée'!$F$12)),'Feuille de Donnée'!$F$17,IF(AV133&lt;$H133*(1-'Feuille de Donnée'!$E$12),'Feuille de Donnée'!$F$18,'Feuille de Donnée'!$F$16))&amp;""&amp;IF(AND(AW133&gt;=$I133*(1-'Feuille de Donnée'!$E$27),AW133&lt;=$I133*(1+'Feuille de Donnée'!$F$27)),'Feuille de Donnée'!$F$32,IF(AW133&lt;$I133*(1-'Feuille de Donnée'!$E$27),'Feuille de Donnée'!$F$33,'Feuille de Donnée'!$F$31)))))</f>
        <v/>
      </c>
      <c r="BC133" s="151"/>
      <c r="BD133" s="110"/>
      <c r="BE133" s="28"/>
      <c r="BF133" s="28"/>
      <c r="BG133" s="28" t="str">
        <f t="shared" si="54"/>
        <v/>
      </c>
      <c r="BH133" s="128" t="str">
        <f t="shared" si="55"/>
        <v/>
      </c>
      <c r="BI133" s="128" t="str">
        <f t="shared" si="56"/>
        <v/>
      </c>
      <c r="BJ133" s="28" t="str">
        <f>IF(AND(ISBLANK(BL133),BK133=""),"",1+MAX(BJ$18:BJ132))</f>
        <v/>
      </c>
      <c r="BK133" s="150" t="str">
        <f>IF(OR(BG133="",BG133=0,$J133="",$J133=0,NOT(ISNUMBER($J133)),NOT(ISNUMBER(BG133))),IF(AND($G133&lt;&gt;"",AND(OR(ISNUMBER(BG133),BG133=""),AND(ISNUMBER($J133),$J133&gt;0))),'Feuille de Donnée'!$K$13,""),IF(BG133&lt;$J$165*'Feuille de Donnée'!$I$9,"Négligeable",(IF(AND(BE133&gt;=$H133*(1-'Feuille de Donnée'!$E$12),BE133&lt;=$H133*(1+'Feuille de Donnée'!$F$12)),'Feuille de Donnée'!$F$17,IF(BE133&lt;$H133*(1-'Feuille de Donnée'!$E$12),'Feuille de Donnée'!$F$18,'Feuille de Donnée'!$F$16))&amp;""&amp;IF(AND(BF133&gt;=$I133*(1-'Feuille de Donnée'!$E$27),BF133&lt;=$I133*(1+'Feuille de Donnée'!$F$27)),'Feuille de Donnée'!$F$32,IF(BF133&lt;$I133*(1-'Feuille de Donnée'!$E$27),'Feuille de Donnée'!$F$33,'Feuille de Donnée'!$F$31)))))</f>
        <v/>
      </c>
      <c r="BL133" s="151"/>
      <c r="BM133" s="153"/>
    </row>
    <row r="134" spans="1:65" s="7" customFormat="1" x14ac:dyDescent="0.3">
      <c r="A134" s="24"/>
      <c r="B134" s="25"/>
      <c r="C134" s="25"/>
      <c r="D134" s="25"/>
      <c r="E134" s="25"/>
      <c r="F134" s="25"/>
      <c r="G134" s="23"/>
      <c r="H134" s="26"/>
      <c r="I134" s="27"/>
      <c r="J134" s="109" t="str">
        <f t="shared" si="38"/>
        <v/>
      </c>
      <c r="K134" s="110"/>
      <c r="L134" s="28"/>
      <c r="M134" s="28"/>
      <c r="N134" s="28" t="str">
        <f t="shared" si="39"/>
        <v/>
      </c>
      <c r="O134" s="128" t="str">
        <f t="shared" si="40"/>
        <v/>
      </c>
      <c r="P134" s="128" t="str">
        <f t="shared" si="41"/>
        <v/>
      </c>
      <c r="Q134" s="28" t="str">
        <f>IF(AND(ISBLANK(S134),R134=""),"",1+MAX(Q$18:Q133))</f>
        <v/>
      </c>
      <c r="R134" s="150" t="str">
        <f>IF(OR(N134="",N134=0,$J134="",$J134=0,NOT(ISNUMBER($J134)),NOT(ISNUMBER(N134))),IF(AND($G134&lt;&gt;"",AND(OR(ISNUMBER(N134),N134=""),AND(ISNUMBER($J134),$J134&gt;0))),'Feuille de Donnée'!$K$13,""),IF(N134&lt;$J$165*'Feuille de Donnée'!$I$9,"Négligeable",(IF(AND(L134&gt;=$H134*(1-'Feuille de Donnée'!$E$12),L134&lt;=$H134*(1+'Feuille de Donnée'!$F$12)),'Feuille de Donnée'!$F$17,IF(L134&lt;$H134*(1-'Feuille de Donnée'!$E$12),'Feuille de Donnée'!$F$18,'Feuille de Donnée'!$F$16))&amp;""&amp;IF(AND(M134&gt;=$I134*(1-'Feuille de Donnée'!$E$27),M134&lt;=$I134*(1+'Feuille de Donnée'!$F$27)),'Feuille de Donnée'!$F$32,IF(M134&lt;$I134*(1-'Feuille de Donnée'!$E$27),'Feuille de Donnée'!$F$33,'Feuille de Donnée'!$F$31)))))</f>
        <v/>
      </c>
      <c r="S134" s="151"/>
      <c r="T134" s="110"/>
      <c r="U134" s="28"/>
      <c r="V134" s="28"/>
      <c r="W134" s="28" t="str">
        <f t="shared" si="42"/>
        <v/>
      </c>
      <c r="X134" s="128" t="str">
        <f t="shared" si="43"/>
        <v/>
      </c>
      <c r="Y134" s="128" t="str">
        <f t="shared" si="44"/>
        <v/>
      </c>
      <c r="Z134" s="28" t="str">
        <f>IF(AND(ISBLANK(AB134),AA134=""),"",1+MAX(Z$18:Z133))</f>
        <v/>
      </c>
      <c r="AA134" s="150" t="str">
        <f>IF(OR(W134="",W134=0,$J134="",$J134=0,NOT(ISNUMBER($J134)),NOT(ISNUMBER(W134))),IF(AND($G134&lt;&gt;"",AND(OR(ISNUMBER(W134),W134=""),AND(ISNUMBER($J134),$J134&gt;0))),'Feuille de Donnée'!$K$13,""),IF(W134&lt;$J$165*'Feuille de Donnée'!$I$9,"Négligeable",(IF(AND(U134&gt;=$H134*(1-'Feuille de Donnée'!$E$12),U134&lt;=$H134*(1+'Feuille de Donnée'!$F$12)),'Feuille de Donnée'!$F$17,IF(U134&lt;$H134*(1-'Feuille de Donnée'!$E$12),'Feuille de Donnée'!$F$18,'Feuille de Donnée'!$F$16))&amp;""&amp;IF(AND(V134&gt;=$I134*(1-'Feuille de Donnée'!$E$27),V134&lt;=$I134*(1+'Feuille de Donnée'!$F$27)),'Feuille de Donnée'!$F$32,IF(V134&lt;$I134*(1-'Feuille de Donnée'!$E$27),'Feuille de Donnée'!$F$33,'Feuille de Donnée'!$F$31)))))</f>
        <v/>
      </c>
      <c r="AB134" s="151"/>
      <c r="AC134" s="110"/>
      <c r="AD134" s="28"/>
      <c r="AE134" s="28"/>
      <c r="AF134" s="28" t="str">
        <f t="shared" si="45"/>
        <v/>
      </c>
      <c r="AG134" s="128" t="str">
        <f t="shared" si="46"/>
        <v/>
      </c>
      <c r="AH134" s="128" t="str">
        <f t="shared" si="47"/>
        <v/>
      </c>
      <c r="AI134" s="28" t="str">
        <f>IF(AND(ISBLANK(AK134),AJ134=""),"",1+MAX(AI$18:AI133))</f>
        <v/>
      </c>
      <c r="AJ134" s="150" t="str">
        <f>IF(OR(AF134="",AF134=0,$J134="",$J134=0,NOT(ISNUMBER($J134)),NOT(ISNUMBER(AF134))),IF(AND($G134&lt;&gt;"",AND(OR(ISNUMBER(AF134),AF134=""),AND(ISNUMBER($J134),$J134&gt;0))),'Feuille de Donnée'!$K$13,""),IF(AF134&lt;$J$165*'Feuille de Donnée'!$I$9,"Négligeable",(IF(AND(AD134&gt;=$H134*(1-'Feuille de Donnée'!$E$12),AD134&lt;=$H134*(1+'Feuille de Donnée'!$F$12)),'Feuille de Donnée'!$F$17,IF(AD134&lt;$H134*(1-'Feuille de Donnée'!$E$12),'Feuille de Donnée'!$F$18,'Feuille de Donnée'!$F$16))&amp;""&amp;IF(AND(AE134&gt;=$I134*(1-'Feuille de Donnée'!$E$27),AE134&lt;=$I134*(1+'Feuille de Donnée'!$F$27)),'Feuille de Donnée'!$F$32,IF(AE134&lt;$I134*(1-'Feuille de Donnée'!$E$27),'Feuille de Donnée'!$F$33,'Feuille de Donnée'!$F$31)))))</f>
        <v/>
      </c>
      <c r="AK134" s="151"/>
      <c r="AL134" s="110"/>
      <c r="AM134" s="28"/>
      <c r="AN134" s="28"/>
      <c r="AO134" s="28" t="str">
        <f t="shared" si="48"/>
        <v/>
      </c>
      <c r="AP134" s="128" t="str">
        <f t="shared" si="49"/>
        <v/>
      </c>
      <c r="AQ134" s="128" t="str">
        <f t="shared" si="50"/>
        <v/>
      </c>
      <c r="AR134" s="28" t="str">
        <f>IF(AND(ISBLANK(AT134),AS134=""),"",1+MAX(AR$18:AR133))</f>
        <v/>
      </c>
      <c r="AS134" s="150" t="str">
        <f>IF(OR(AO134="",AO134=0,$J134="",$J134=0,NOT(ISNUMBER($J134)),NOT(ISNUMBER(AO134))),IF(AND($G134&lt;&gt;"",AND(OR(ISNUMBER(AO134),AO134=""),AND(ISNUMBER($J134),$J134&gt;0))),'Feuille de Donnée'!$K$13,""),IF(AO134&lt;$J$165*'Feuille de Donnée'!$I$9,"Négligeable",(IF(AND(AM134&gt;=$H134*(1-'Feuille de Donnée'!$E$12),AM134&lt;=$H134*(1+'Feuille de Donnée'!$F$12)),'Feuille de Donnée'!$F$17,IF(AM134&lt;$H134*(1-'Feuille de Donnée'!$E$12),'Feuille de Donnée'!$F$18,'Feuille de Donnée'!$F$16))&amp;""&amp;IF(AND(AN134&gt;=$I134*(1-'Feuille de Donnée'!$E$27),AN134&lt;=$I134*(1+'Feuille de Donnée'!$F$27)),'Feuille de Donnée'!$F$32,IF(AN134&lt;$I134*(1-'Feuille de Donnée'!$E$27),'Feuille de Donnée'!$F$33,'Feuille de Donnée'!$F$31)))))</f>
        <v/>
      </c>
      <c r="AT134" s="151"/>
      <c r="AU134" s="110"/>
      <c r="AV134" s="28"/>
      <c r="AW134" s="28"/>
      <c r="AX134" s="28" t="str">
        <f t="shared" si="51"/>
        <v/>
      </c>
      <c r="AY134" s="128" t="str">
        <f t="shared" si="52"/>
        <v/>
      </c>
      <c r="AZ134" s="128" t="str">
        <f t="shared" si="53"/>
        <v/>
      </c>
      <c r="BA134" s="28" t="str">
        <f>IF(AND(ISBLANK(BC134),BB134=""),"",1+MAX(BA$18:BA133))</f>
        <v/>
      </c>
      <c r="BB134" s="150" t="str">
        <f>IF(OR(AX134="",AX134=0,$J134="",$J134=0,NOT(ISNUMBER($J134)),NOT(ISNUMBER(AX134))),IF(AND($G134&lt;&gt;"",AND(OR(ISNUMBER(AX134),AX134=""),AND(ISNUMBER($J134),$J134&gt;0))),'Feuille de Donnée'!$K$13,""),IF(AX134&lt;$J$165*'Feuille de Donnée'!$I$9,"Négligeable",(IF(AND(AV134&gt;=$H134*(1-'Feuille de Donnée'!$E$12),AV134&lt;=$H134*(1+'Feuille de Donnée'!$F$12)),'Feuille de Donnée'!$F$17,IF(AV134&lt;$H134*(1-'Feuille de Donnée'!$E$12),'Feuille de Donnée'!$F$18,'Feuille de Donnée'!$F$16))&amp;""&amp;IF(AND(AW134&gt;=$I134*(1-'Feuille de Donnée'!$E$27),AW134&lt;=$I134*(1+'Feuille de Donnée'!$F$27)),'Feuille de Donnée'!$F$32,IF(AW134&lt;$I134*(1-'Feuille de Donnée'!$E$27),'Feuille de Donnée'!$F$33,'Feuille de Donnée'!$F$31)))))</f>
        <v/>
      </c>
      <c r="BC134" s="151"/>
      <c r="BD134" s="110"/>
      <c r="BE134" s="28"/>
      <c r="BF134" s="28"/>
      <c r="BG134" s="28" t="str">
        <f t="shared" si="54"/>
        <v/>
      </c>
      <c r="BH134" s="128" t="str">
        <f t="shared" si="55"/>
        <v/>
      </c>
      <c r="BI134" s="128" t="str">
        <f t="shared" si="56"/>
        <v/>
      </c>
      <c r="BJ134" s="28" t="str">
        <f>IF(AND(ISBLANK(BL134),BK134=""),"",1+MAX(BJ$18:BJ133))</f>
        <v/>
      </c>
      <c r="BK134" s="150" t="str">
        <f>IF(OR(BG134="",BG134=0,$J134="",$J134=0,NOT(ISNUMBER($J134)),NOT(ISNUMBER(BG134))),IF(AND($G134&lt;&gt;"",AND(OR(ISNUMBER(BG134),BG134=""),AND(ISNUMBER($J134),$J134&gt;0))),'Feuille de Donnée'!$K$13,""),IF(BG134&lt;$J$165*'Feuille de Donnée'!$I$9,"Négligeable",(IF(AND(BE134&gt;=$H134*(1-'Feuille de Donnée'!$E$12),BE134&lt;=$H134*(1+'Feuille de Donnée'!$F$12)),'Feuille de Donnée'!$F$17,IF(BE134&lt;$H134*(1-'Feuille de Donnée'!$E$12),'Feuille de Donnée'!$F$18,'Feuille de Donnée'!$F$16))&amp;""&amp;IF(AND(BF134&gt;=$I134*(1-'Feuille de Donnée'!$E$27),BF134&lt;=$I134*(1+'Feuille de Donnée'!$F$27)),'Feuille de Donnée'!$F$32,IF(BF134&lt;$I134*(1-'Feuille de Donnée'!$E$27),'Feuille de Donnée'!$F$33,'Feuille de Donnée'!$F$31)))))</f>
        <v/>
      </c>
      <c r="BL134" s="151"/>
      <c r="BM134" s="153"/>
    </row>
    <row r="135" spans="1:65" s="7" customFormat="1" x14ac:dyDescent="0.3">
      <c r="A135" s="24"/>
      <c r="B135" s="25"/>
      <c r="C135" s="25"/>
      <c r="D135" s="25"/>
      <c r="E135" s="25"/>
      <c r="F135" s="25"/>
      <c r="G135" s="23"/>
      <c r="H135" s="26"/>
      <c r="I135" s="27"/>
      <c r="J135" s="109" t="str">
        <f t="shared" si="38"/>
        <v/>
      </c>
      <c r="K135" s="110"/>
      <c r="L135" s="28"/>
      <c r="M135" s="28"/>
      <c r="N135" s="28" t="str">
        <f t="shared" si="39"/>
        <v/>
      </c>
      <c r="O135" s="128" t="str">
        <f t="shared" si="40"/>
        <v/>
      </c>
      <c r="P135" s="128" t="str">
        <f t="shared" si="41"/>
        <v/>
      </c>
      <c r="Q135" s="28" t="str">
        <f>IF(AND(ISBLANK(S135),R135=""),"",1+MAX(Q$18:Q134))</f>
        <v/>
      </c>
      <c r="R135" s="150" t="str">
        <f>IF(OR(N135="",N135=0,$J135="",$J135=0,NOT(ISNUMBER($J135)),NOT(ISNUMBER(N135))),IF(AND($G135&lt;&gt;"",AND(OR(ISNUMBER(N135),N135=""),AND(ISNUMBER($J135),$J135&gt;0))),'Feuille de Donnée'!$K$13,""),IF(N135&lt;$J$165*'Feuille de Donnée'!$I$9,"Négligeable",(IF(AND(L135&gt;=$H135*(1-'Feuille de Donnée'!$E$12),L135&lt;=$H135*(1+'Feuille de Donnée'!$F$12)),'Feuille de Donnée'!$F$17,IF(L135&lt;$H135*(1-'Feuille de Donnée'!$E$12),'Feuille de Donnée'!$F$18,'Feuille de Donnée'!$F$16))&amp;""&amp;IF(AND(M135&gt;=$I135*(1-'Feuille de Donnée'!$E$27),M135&lt;=$I135*(1+'Feuille de Donnée'!$F$27)),'Feuille de Donnée'!$F$32,IF(M135&lt;$I135*(1-'Feuille de Donnée'!$E$27),'Feuille de Donnée'!$F$33,'Feuille de Donnée'!$F$31)))))</f>
        <v/>
      </c>
      <c r="S135" s="151"/>
      <c r="T135" s="110"/>
      <c r="U135" s="28"/>
      <c r="V135" s="28"/>
      <c r="W135" s="28" t="str">
        <f t="shared" si="42"/>
        <v/>
      </c>
      <c r="X135" s="128" t="str">
        <f t="shared" si="43"/>
        <v/>
      </c>
      <c r="Y135" s="128" t="str">
        <f t="shared" si="44"/>
        <v/>
      </c>
      <c r="Z135" s="28" t="str">
        <f>IF(AND(ISBLANK(AB135),AA135=""),"",1+MAX(Z$18:Z134))</f>
        <v/>
      </c>
      <c r="AA135" s="150" t="str">
        <f>IF(OR(W135="",W135=0,$J135="",$J135=0,NOT(ISNUMBER($J135)),NOT(ISNUMBER(W135))),IF(AND($G135&lt;&gt;"",AND(OR(ISNUMBER(W135),W135=""),AND(ISNUMBER($J135),$J135&gt;0))),'Feuille de Donnée'!$K$13,""),IF(W135&lt;$J$165*'Feuille de Donnée'!$I$9,"Négligeable",(IF(AND(U135&gt;=$H135*(1-'Feuille de Donnée'!$E$12),U135&lt;=$H135*(1+'Feuille de Donnée'!$F$12)),'Feuille de Donnée'!$F$17,IF(U135&lt;$H135*(1-'Feuille de Donnée'!$E$12),'Feuille de Donnée'!$F$18,'Feuille de Donnée'!$F$16))&amp;""&amp;IF(AND(V135&gt;=$I135*(1-'Feuille de Donnée'!$E$27),V135&lt;=$I135*(1+'Feuille de Donnée'!$F$27)),'Feuille de Donnée'!$F$32,IF(V135&lt;$I135*(1-'Feuille de Donnée'!$E$27),'Feuille de Donnée'!$F$33,'Feuille de Donnée'!$F$31)))))</f>
        <v/>
      </c>
      <c r="AB135" s="151"/>
      <c r="AC135" s="110"/>
      <c r="AD135" s="28"/>
      <c r="AE135" s="28"/>
      <c r="AF135" s="28" t="str">
        <f t="shared" si="45"/>
        <v/>
      </c>
      <c r="AG135" s="128" t="str">
        <f t="shared" si="46"/>
        <v/>
      </c>
      <c r="AH135" s="128" t="str">
        <f t="shared" si="47"/>
        <v/>
      </c>
      <c r="AI135" s="28" t="str">
        <f>IF(AND(ISBLANK(AK135),AJ135=""),"",1+MAX(AI$18:AI134))</f>
        <v/>
      </c>
      <c r="AJ135" s="150" t="str">
        <f>IF(OR(AF135="",AF135=0,$J135="",$J135=0,NOT(ISNUMBER($J135)),NOT(ISNUMBER(AF135))),IF(AND($G135&lt;&gt;"",AND(OR(ISNUMBER(AF135),AF135=""),AND(ISNUMBER($J135),$J135&gt;0))),'Feuille de Donnée'!$K$13,""),IF(AF135&lt;$J$165*'Feuille de Donnée'!$I$9,"Négligeable",(IF(AND(AD135&gt;=$H135*(1-'Feuille de Donnée'!$E$12),AD135&lt;=$H135*(1+'Feuille de Donnée'!$F$12)),'Feuille de Donnée'!$F$17,IF(AD135&lt;$H135*(1-'Feuille de Donnée'!$E$12),'Feuille de Donnée'!$F$18,'Feuille de Donnée'!$F$16))&amp;""&amp;IF(AND(AE135&gt;=$I135*(1-'Feuille de Donnée'!$E$27),AE135&lt;=$I135*(1+'Feuille de Donnée'!$F$27)),'Feuille de Donnée'!$F$32,IF(AE135&lt;$I135*(1-'Feuille de Donnée'!$E$27),'Feuille de Donnée'!$F$33,'Feuille de Donnée'!$F$31)))))</f>
        <v/>
      </c>
      <c r="AK135" s="151"/>
      <c r="AL135" s="110"/>
      <c r="AM135" s="28"/>
      <c r="AN135" s="28"/>
      <c r="AO135" s="28" t="str">
        <f t="shared" si="48"/>
        <v/>
      </c>
      <c r="AP135" s="128" t="str">
        <f t="shared" si="49"/>
        <v/>
      </c>
      <c r="AQ135" s="128" t="str">
        <f t="shared" si="50"/>
        <v/>
      </c>
      <c r="AR135" s="28" t="str">
        <f>IF(AND(ISBLANK(AT135),AS135=""),"",1+MAX(AR$18:AR134))</f>
        <v/>
      </c>
      <c r="AS135" s="150" t="str">
        <f>IF(OR(AO135="",AO135=0,$J135="",$J135=0,NOT(ISNUMBER($J135)),NOT(ISNUMBER(AO135))),IF(AND($G135&lt;&gt;"",AND(OR(ISNUMBER(AO135),AO135=""),AND(ISNUMBER($J135),$J135&gt;0))),'Feuille de Donnée'!$K$13,""),IF(AO135&lt;$J$165*'Feuille de Donnée'!$I$9,"Négligeable",(IF(AND(AM135&gt;=$H135*(1-'Feuille de Donnée'!$E$12),AM135&lt;=$H135*(1+'Feuille de Donnée'!$F$12)),'Feuille de Donnée'!$F$17,IF(AM135&lt;$H135*(1-'Feuille de Donnée'!$E$12),'Feuille de Donnée'!$F$18,'Feuille de Donnée'!$F$16))&amp;""&amp;IF(AND(AN135&gt;=$I135*(1-'Feuille de Donnée'!$E$27),AN135&lt;=$I135*(1+'Feuille de Donnée'!$F$27)),'Feuille de Donnée'!$F$32,IF(AN135&lt;$I135*(1-'Feuille de Donnée'!$E$27),'Feuille de Donnée'!$F$33,'Feuille de Donnée'!$F$31)))))</f>
        <v/>
      </c>
      <c r="AT135" s="151"/>
      <c r="AU135" s="110"/>
      <c r="AV135" s="28"/>
      <c r="AW135" s="28"/>
      <c r="AX135" s="28" t="str">
        <f t="shared" si="51"/>
        <v/>
      </c>
      <c r="AY135" s="128" t="str">
        <f t="shared" si="52"/>
        <v/>
      </c>
      <c r="AZ135" s="128" t="str">
        <f t="shared" si="53"/>
        <v/>
      </c>
      <c r="BA135" s="28" t="str">
        <f>IF(AND(ISBLANK(BC135),BB135=""),"",1+MAX(BA$18:BA134))</f>
        <v/>
      </c>
      <c r="BB135" s="150" t="str">
        <f>IF(OR(AX135="",AX135=0,$J135="",$J135=0,NOT(ISNUMBER($J135)),NOT(ISNUMBER(AX135))),IF(AND($G135&lt;&gt;"",AND(OR(ISNUMBER(AX135),AX135=""),AND(ISNUMBER($J135),$J135&gt;0))),'Feuille de Donnée'!$K$13,""),IF(AX135&lt;$J$165*'Feuille de Donnée'!$I$9,"Négligeable",(IF(AND(AV135&gt;=$H135*(1-'Feuille de Donnée'!$E$12),AV135&lt;=$H135*(1+'Feuille de Donnée'!$F$12)),'Feuille de Donnée'!$F$17,IF(AV135&lt;$H135*(1-'Feuille de Donnée'!$E$12),'Feuille de Donnée'!$F$18,'Feuille de Donnée'!$F$16))&amp;""&amp;IF(AND(AW135&gt;=$I135*(1-'Feuille de Donnée'!$E$27),AW135&lt;=$I135*(1+'Feuille de Donnée'!$F$27)),'Feuille de Donnée'!$F$32,IF(AW135&lt;$I135*(1-'Feuille de Donnée'!$E$27),'Feuille de Donnée'!$F$33,'Feuille de Donnée'!$F$31)))))</f>
        <v/>
      </c>
      <c r="BC135" s="151"/>
      <c r="BD135" s="110"/>
      <c r="BE135" s="28"/>
      <c r="BF135" s="28"/>
      <c r="BG135" s="28" t="str">
        <f t="shared" si="54"/>
        <v/>
      </c>
      <c r="BH135" s="128" t="str">
        <f t="shared" si="55"/>
        <v/>
      </c>
      <c r="BI135" s="128" t="str">
        <f t="shared" si="56"/>
        <v/>
      </c>
      <c r="BJ135" s="28" t="str">
        <f>IF(AND(ISBLANK(BL135),BK135=""),"",1+MAX(BJ$18:BJ134))</f>
        <v/>
      </c>
      <c r="BK135" s="150" t="str">
        <f>IF(OR(BG135="",BG135=0,$J135="",$J135=0,NOT(ISNUMBER($J135)),NOT(ISNUMBER(BG135))),IF(AND($G135&lt;&gt;"",AND(OR(ISNUMBER(BG135),BG135=""),AND(ISNUMBER($J135),$J135&gt;0))),'Feuille de Donnée'!$K$13,""),IF(BG135&lt;$J$165*'Feuille de Donnée'!$I$9,"Négligeable",(IF(AND(BE135&gt;=$H135*(1-'Feuille de Donnée'!$E$12),BE135&lt;=$H135*(1+'Feuille de Donnée'!$F$12)),'Feuille de Donnée'!$F$17,IF(BE135&lt;$H135*(1-'Feuille de Donnée'!$E$12),'Feuille de Donnée'!$F$18,'Feuille de Donnée'!$F$16))&amp;""&amp;IF(AND(BF135&gt;=$I135*(1-'Feuille de Donnée'!$E$27),BF135&lt;=$I135*(1+'Feuille de Donnée'!$F$27)),'Feuille de Donnée'!$F$32,IF(BF135&lt;$I135*(1-'Feuille de Donnée'!$E$27),'Feuille de Donnée'!$F$33,'Feuille de Donnée'!$F$31)))))</f>
        <v/>
      </c>
      <c r="BL135" s="151"/>
      <c r="BM135" s="153"/>
    </row>
    <row r="136" spans="1:65" s="7" customFormat="1" x14ac:dyDescent="0.3">
      <c r="A136" s="24"/>
      <c r="B136" s="25"/>
      <c r="C136" s="25"/>
      <c r="D136" s="25"/>
      <c r="E136" s="25"/>
      <c r="F136" s="25"/>
      <c r="G136" s="23"/>
      <c r="H136" s="26"/>
      <c r="I136" s="27"/>
      <c r="J136" s="109" t="str">
        <f t="shared" si="38"/>
        <v/>
      </c>
      <c r="K136" s="110"/>
      <c r="L136" s="28"/>
      <c r="M136" s="28"/>
      <c r="N136" s="28" t="str">
        <f t="shared" si="39"/>
        <v/>
      </c>
      <c r="O136" s="128" t="str">
        <f t="shared" si="40"/>
        <v/>
      </c>
      <c r="P136" s="128" t="str">
        <f t="shared" si="41"/>
        <v/>
      </c>
      <c r="Q136" s="28" t="str">
        <f>IF(AND(ISBLANK(S136),R136=""),"",1+MAX(Q$18:Q135))</f>
        <v/>
      </c>
      <c r="R136" s="150" t="str">
        <f>IF(OR(N136="",N136=0,$J136="",$J136=0,NOT(ISNUMBER($J136)),NOT(ISNUMBER(N136))),IF(AND($G136&lt;&gt;"",AND(OR(ISNUMBER(N136),N136=""),AND(ISNUMBER($J136),$J136&gt;0))),'Feuille de Donnée'!$K$13,""),IF(N136&lt;$J$165*'Feuille de Donnée'!$I$9,"Négligeable",(IF(AND(L136&gt;=$H136*(1-'Feuille de Donnée'!$E$12),L136&lt;=$H136*(1+'Feuille de Donnée'!$F$12)),'Feuille de Donnée'!$F$17,IF(L136&lt;$H136*(1-'Feuille de Donnée'!$E$12),'Feuille de Donnée'!$F$18,'Feuille de Donnée'!$F$16))&amp;""&amp;IF(AND(M136&gt;=$I136*(1-'Feuille de Donnée'!$E$27),M136&lt;=$I136*(1+'Feuille de Donnée'!$F$27)),'Feuille de Donnée'!$F$32,IF(M136&lt;$I136*(1-'Feuille de Donnée'!$E$27),'Feuille de Donnée'!$F$33,'Feuille de Donnée'!$F$31)))))</f>
        <v/>
      </c>
      <c r="S136" s="151"/>
      <c r="T136" s="110"/>
      <c r="U136" s="28"/>
      <c r="V136" s="28"/>
      <c r="W136" s="28" t="str">
        <f t="shared" si="42"/>
        <v/>
      </c>
      <c r="X136" s="128" t="str">
        <f t="shared" si="43"/>
        <v/>
      </c>
      <c r="Y136" s="128" t="str">
        <f t="shared" si="44"/>
        <v/>
      </c>
      <c r="Z136" s="28" t="str">
        <f>IF(AND(ISBLANK(AB136),AA136=""),"",1+MAX(Z$18:Z135))</f>
        <v/>
      </c>
      <c r="AA136" s="150" t="str">
        <f>IF(OR(W136="",W136=0,$J136="",$J136=0,NOT(ISNUMBER($J136)),NOT(ISNUMBER(W136))),IF(AND($G136&lt;&gt;"",AND(OR(ISNUMBER(W136),W136=""),AND(ISNUMBER($J136),$J136&gt;0))),'Feuille de Donnée'!$K$13,""),IF(W136&lt;$J$165*'Feuille de Donnée'!$I$9,"Négligeable",(IF(AND(U136&gt;=$H136*(1-'Feuille de Donnée'!$E$12),U136&lt;=$H136*(1+'Feuille de Donnée'!$F$12)),'Feuille de Donnée'!$F$17,IF(U136&lt;$H136*(1-'Feuille de Donnée'!$E$12),'Feuille de Donnée'!$F$18,'Feuille de Donnée'!$F$16))&amp;""&amp;IF(AND(V136&gt;=$I136*(1-'Feuille de Donnée'!$E$27),V136&lt;=$I136*(1+'Feuille de Donnée'!$F$27)),'Feuille de Donnée'!$F$32,IF(V136&lt;$I136*(1-'Feuille de Donnée'!$E$27),'Feuille de Donnée'!$F$33,'Feuille de Donnée'!$F$31)))))</f>
        <v/>
      </c>
      <c r="AB136" s="151"/>
      <c r="AC136" s="110"/>
      <c r="AD136" s="28"/>
      <c r="AE136" s="28"/>
      <c r="AF136" s="28" t="str">
        <f t="shared" si="45"/>
        <v/>
      </c>
      <c r="AG136" s="128" t="str">
        <f t="shared" si="46"/>
        <v/>
      </c>
      <c r="AH136" s="128" t="str">
        <f t="shared" si="47"/>
        <v/>
      </c>
      <c r="AI136" s="28" t="str">
        <f>IF(AND(ISBLANK(AK136),AJ136=""),"",1+MAX(AI$18:AI135))</f>
        <v/>
      </c>
      <c r="AJ136" s="150" t="str">
        <f>IF(OR(AF136="",AF136=0,$J136="",$J136=0,NOT(ISNUMBER($J136)),NOT(ISNUMBER(AF136))),IF(AND($G136&lt;&gt;"",AND(OR(ISNUMBER(AF136),AF136=""),AND(ISNUMBER($J136),$J136&gt;0))),'Feuille de Donnée'!$K$13,""),IF(AF136&lt;$J$165*'Feuille de Donnée'!$I$9,"Négligeable",(IF(AND(AD136&gt;=$H136*(1-'Feuille de Donnée'!$E$12),AD136&lt;=$H136*(1+'Feuille de Donnée'!$F$12)),'Feuille de Donnée'!$F$17,IF(AD136&lt;$H136*(1-'Feuille de Donnée'!$E$12),'Feuille de Donnée'!$F$18,'Feuille de Donnée'!$F$16))&amp;""&amp;IF(AND(AE136&gt;=$I136*(1-'Feuille de Donnée'!$E$27),AE136&lt;=$I136*(1+'Feuille de Donnée'!$F$27)),'Feuille de Donnée'!$F$32,IF(AE136&lt;$I136*(1-'Feuille de Donnée'!$E$27),'Feuille de Donnée'!$F$33,'Feuille de Donnée'!$F$31)))))</f>
        <v/>
      </c>
      <c r="AK136" s="151"/>
      <c r="AL136" s="110"/>
      <c r="AM136" s="28"/>
      <c r="AN136" s="28"/>
      <c r="AO136" s="28" t="str">
        <f t="shared" si="48"/>
        <v/>
      </c>
      <c r="AP136" s="128" t="str">
        <f t="shared" si="49"/>
        <v/>
      </c>
      <c r="AQ136" s="128" t="str">
        <f t="shared" si="50"/>
        <v/>
      </c>
      <c r="AR136" s="28" t="str">
        <f>IF(AND(ISBLANK(AT136),AS136=""),"",1+MAX(AR$18:AR135))</f>
        <v/>
      </c>
      <c r="AS136" s="150" t="str">
        <f>IF(OR(AO136="",AO136=0,$J136="",$J136=0,NOT(ISNUMBER($J136)),NOT(ISNUMBER(AO136))),IF(AND($G136&lt;&gt;"",AND(OR(ISNUMBER(AO136),AO136=""),AND(ISNUMBER($J136),$J136&gt;0))),'Feuille de Donnée'!$K$13,""),IF(AO136&lt;$J$165*'Feuille de Donnée'!$I$9,"Négligeable",(IF(AND(AM136&gt;=$H136*(1-'Feuille de Donnée'!$E$12),AM136&lt;=$H136*(1+'Feuille de Donnée'!$F$12)),'Feuille de Donnée'!$F$17,IF(AM136&lt;$H136*(1-'Feuille de Donnée'!$E$12),'Feuille de Donnée'!$F$18,'Feuille de Donnée'!$F$16))&amp;""&amp;IF(AND(AN136&gt;=$I136*(1-'Feuille de Donnée'!$E$27),AN136&lt;=$I136*(1+'Feuille de Donnée'!$F$27)),'Feuille de Donnée'!$F$32,IF(AN136&lt;$I136*(1-'Feuille de Donnée'!$E$27),'Feuille de Donnée'!$F$33,'Feuille de Donnée'!$F$31)))))</f>
        <v/>
      </c>
      <c r="AT136" s="151"/>
      <c r="AU136" s="110"/>
      <c r="AV136" s="28"/>
      <c r="AW136" s="28"/>
      <c r="AX136" s="28" t="str">
        <f t="shared" si="51"/>
        <v/>
      </c>
      <c r="AY136" s="128" t="str">
        <f t="shared" si="52"/>
        <v/>
      </c>
      <c r="AZ136" s="128" t="str">
        <f t="shared" si="53"/>
        <v/>
      </c>
      <c r="BA136" s="28" t="str">
        <f>IF(AND(ISBLANK(BC136),BB136=""),"",1+MAX(BA$18:BA135))</f>
        <v/>
      </c>
      <c r="BB136" s="150" t="str">
        <f>IF(OR(AX136="",AX136=0,$J136="",$J136=0,NOT(ISNUMBER($J136)),NOT(ISNUMBER(AX136))),IF(AND($G136&lt;&gt;"",AND(OR(ISNUMBER(AX136),AX136=""),AND(ISNUMBER($J136),$J136&gt;0))),'Feuille de Donnée'!$K$13,""),IF(AX136&lt;$J$165*'Feuille de Donnée'!$I$9,"Négligeable",(IF(AND(AV136&gt;=$H136*(1-'Feuille de Donnée'!$E$12),AV136&lt;=$H136*(1+'Feuille de Donnée'!$F$12)),'Feuille de Donnée'!$F$17,IF(AV136&lt;$H136*(1-'Feuille de Donnée'!$E$12),'Feuille de Donnée'!$F$18,'Feuille de Donnée'!$F$16))&amp;""&amp;IF(AND(AW136&gt;=$I136*(1-'Feuille de Donnée'!$E$27),AW136&lt;=$I136*(1+'Feuille de Donnée'!$F$27)),'Feuille de Donnée'!$F$32,IF(AW136&lt;$I136*(1-'Feuille de Donnée'!$E$27),'Feuille de Donnée'!$F$33,'Feuille de Donnée'!$F$31)))))</f>
        <v/>
      </c>
      <c r="BC136" s="151"/>
      <c r="BD136" s="110"/>
      <c r="BE136" s="28"/>
      <c r="BF136" s="28"/>
      <c r="BG136" s="28" t="str">
        <f t="shared" si="54"/>
        <v/>
      </c>
      <c r="BH136" s="128" t="str">
        <f t="shared" si="55"/>
        <v/>
      </c>
      <c r="BI136" s="128" t="str">
        <f t="shared" si="56"/>
        <v/>
      </c>
      <c r="BJ136" s="28" t="str">
        <f>IF(AND(ISBLANK(BL136),BK136=""),"",1+MAX(BJ$18:BJ135))</f>
        <v/>
      </c>
      <c r="BK136" s="150" t="str">
        <f>IF(OR(BG136="",BG136=0,$J136="",$J136=0,NOT(ISNUMBER($J136)),NOT(ISNUMBER(BG136))),IF(AND($G136&lt;&gt;"",AND(OR(ISNUMBER(BG136),BG136=""),AND(ISNUMBER($J136),$J136&gt;0))),'Feuille de Donnée'!$K$13,""),IF(BG136&lt;$J$165*'Feuille de Donnée'!$I$9,"Négligeable",(IF(AND(BE136&gt;=$H136*(1-'Feuille de Donnée'!$E$12),BE136&lt;=$H136*(1+'Feuille de Donnée'!$F$12)),'Feuille de Donnée'!$F$17,IF(BE136&lt;$H136*(1-'Feuille de Donnée'!$E$12),'Feuille de Donnée'!$F$18,'Feuille de Donnée'!$F$16))&amp;""&amp;IF(AND(BF136&gt;=$I136*(1-'Feuille de Donnée'!$E$27),BF136&lt;=$I136*(1+'Feuille de Donnée'!$F$27)),'Feuille de Donnée'!$F$32,IF(BF136&lt;$I136*(1-'Feuille de Donnée'!$E$27),'Feuille de Donnée'!$F$33,'Feuille de Donnée'!$F$31)))))</f>
        <v/>
      </c>
      <c r="BL136" s="151"/>
      <c r="BM136" s="153"/>
    </row>
    <row r="137" spans="1:65" s="7" customFormat="1" x14ac:dyDescent="0.3">
      <c r="A137" s="24"/>
      <c r="B137" s="25"/>
      <c r="C137" s="25"/>
      <c r="D137" s="25"/>
      <c r="E137" s="25"/>
      <c r="F137" s="25"/>
      <c r="G137" s="23"/>
      <c r="H137" s="26"/>
      <c r="I137" s="27"/>
      <c r="J137" s="109" t="str">
        <f t="shared" si="38"/>
        <v/>
      </c>
      <c r="K137" s="110"/>
      <c r="L137" s="28"/>
      <c r="M137" s="28"/>
      <c r="N137" s="28" t="str">
        <f t="shared" si="39"/>
        <v/>
      </c>
      <c r="O137" s="128" t="str">
        <f t="shared" si="40"/>
        <v/>
      </c>
      <c r="P137" s="128" t="str">
        <f t="shared" si="41"/>
        <v/>
      </c>
      <c r="Q137" s="28" t="str">
        <f>IF(AND(ISBLANK(S137),R137=""),"",1+MAX(Q$18:Q136))</f>
        <v/>
      </c>
      <c r="R137" s="150" t="str">
        <f>IF(OR(N137="",N137=0,$J137="",$J137=0,NOT(ISNUMBER($J137)),NOT(ISNUMBER(N137))),IF(AND($G137&lt;&gt;"",AND(OR(ISNUMBER(N137),N137=""),AND(ISNUMBER($J137),$J137&gt;0))),'Feuille de Donnée'!$K$13,""),IF(N137&lt;$J$165*'Feuille de Donnée'!$I$9,"Négligeable",(IF(AND(L137&gt;=$H137*(1-'Feuille de Donnée'!$E$12),L137&lt;=$H137*(1+'Feuille de Donnée'!$F$12)),'Feuille de Donnée'!$F$17,IF(L137&lt;$H137*(1-'Feuille de Donnée'!$E$12),'Feuille de Donnée'!$F$18,'Feuille de Donnée'!$F$16))&amp;""&amp;IF(AND(M137&gt;=$I137*(1-'Feuille de Donnée'!$E$27),M137&lt;=$I137*(1+'Feuille de Donnée'!$F$27)),'Feuille de Donnée'!$F$32,IF(M137&lt;$I137*(1-'Feuille de Donnée'!$E$27),'Feuille de Donnée'!$F$33,'Feuille de Donnée'!$F$31)))))</f>
        <v/>
      </c>
      <c r="S137" s="151"/>
      <c r="T137" s="110"/>
      <c r="U137" s="28"/>
      <c r="V137" s="28"/>
      <c r="W137" s="28" t="str">
        <f t="shared" si="42"/>
        <v/>
      </c>
      <c r="X137" s="128" t="str">
        <f t="shared" si="43"/>
        <v/>
      </c>
      <c r="Y137" s="128" t="str">
        <f t="shared" si="44"/>
        <v/>
      </c>
      <c r="Z137" s="28" t="str">
        <f>IF(AND(ISBLANK(AB137),AA137=""),"",1+MAX(Z$18:Z136))</f>
        <v/>
      </c>
      <c r="AA137" s="150" t="str">
        <f>IF(OR(W137="",W137=0,$J137="",$J137=0,NOT(ISNUMBER($J137)),NOT(ISNUMBER(W137))),IF(AND($G137&lt;&gt;"",AND(OR(ISNUMBER(W137),W137=""),AND(ISNUMBER($J137),$J137&gt;0))),'Feuille de Donnée'!$K$13,""),IF(W137&lt;$J$165*'Feuille de Donnée'!$I$9,"Négligeable",(IF(AND(U137&gt;=$H137*(1-'Feuille de Donnée'!$E$12),U137&lt;=$H137*(1+'Feuille de Donnée'!$F$12)),'Feuille de Donnée'!$F$17,IF(U137&lt;$H137*(1-'Feuille de Donnée'!$E$12),'Feuille de Donnée'!$F$18,'Feuille de Donnée'!$F$16))&amp;""&amp;IF(AND(V137&gt;=$I137*(1-'Feuille de Donnée'!$E$27),V137&lt;=$I137*(1+'Feuille de Donnée'!$F$27)),'Feuille de Donnée'!$F$32,IF(V137&lt;$I137*(1-'Feuille de Donnée'!$E$27),'Feuille de Donnée'!$F$33,'Feuille de Donnée'!$F$31)))))</f>
        <v/>
      </c>
      <c r="AB137" s="151"/>
      <c r="AC137" s="110"/>
      <c r="AD137" s="28"/>
      <c r="AE137" s="28"/>
      <c r="AF137" s="28" t="str">
        <f t="shared" si="45"/>
        <v/>
      </c>
      <c r="AG137" s="128" t="str">
        <f t="shared" si="46"/>
        <v/>
      </c>
      <c r="AH137" s="128" t="str">
        <f t="shared" si="47"/>
        <v/>
      </c>
      <c r="AI137" s="28" t="str">
        <f>IF(AND(ISBLANK(AK137),AJ137=""),"",1+MAX(AI$18:AI136))</f>
        <v/>
      </c>
      <c r="AJ137" s="150" t="str">
        <f>IF(OR(AF137="",AF137=0,$J137="",$J137=0,NOT(ISNUMBER($J137)),NOT(ISNUMBER(AF137))),IF(AND($G137&lt;&gt;"",AND(OR(ISNUMBER(AF137),AF137=""),AND(ISNUMBER($J137),$J137&gt;0))),'Feuille de Donnée'!$K$13,""),IF(AF137&lt;$J$165*'Feuille de Donnée'!$I$9,"Négligeable",(IF(AND(AD137&gt;=$H137*(1-'Feuille de Donnée'!$E$12),AD137&lt;=$H137*(1+'Feuille de Donnée'!$F$12)),'Feuille de Donnée'!$F$17,IF(AD137&lt;$H137*(1-'Feuille de Donnée'!$E$12),'Feuille de Donnée'!$F$18,'Feuille de Donnée'!$F$16))&amp;""&amp;IF(AND(AE137&gt;=$I137*(1-'Feuille de Donnée'!$E$27),AE137&lt;=$I137*(1+'Feuille de Donnée'!$F$27)),'Feuille de Donnée'!$F$32,IF(AE137&lt;$I137*(1-'Feuille de Donnée'!$E$27),'Feuille de Donnée'!$F$33,'Feuille de Donnée'!$F$31)))))</f>
        <v/>
      </c>
      <c r="AK137" s="151"/>
      <c r="AL137" s="110"/>
      <c r="AM137" s="28"/>
      <c r="AN137" s="28"/>
      <c r="AO137" s="28" t="str">
        <f t="shared" si="48"/>
        <v/>
      </c>
      <c r="AP137" s="128" t="str">
        <f t="shared" si="49"/>
        <v/>
      </c>
      <c r="AQ137" s="128" t="str">
        <f t="shared" si="50"/>
        <v/>
      </c>
      <c r="AR137" s="28" t="str">
        <f>IF(AND(ISBLANK(AT137),AS137=""),"",1+MAX(AR$18:AR136))</f>
        <v/>
      </c>
      <c r="AS137" s="150" t="str">
        <f>IF(OR(AO137="",AO137=0,$J137="",$J137=0,NOT(ISNUMBER($J137)),NOT(ISNUMBER(AO137))),IF(AND($G137&lt;&gt;"",AND(OR(ISNUMBER(AO137),AO137=""),AND(ISNUMBER($J137),$J137&gt;0))),'Feuille de Donnée'!$K$13,""),IF(AO137&lt;$J$165*'Feuille de Donnée'!$I$9,"Négligeable",(IF(AND(AM137&gt;=$H137*(1-'Feuille de Donnée'!$E$12),AM137&lt;=$H137*(1+'Feuille de Donnée'!$F$12)),'Feuille de Donnée'!$F$17,IF(AM137&lt;$H137*(1-'Feuille de Donnée'!$E$12),'Feuille de Donnée'!$F$18,'Feuille de Donnée'!$F$16))&amp;""&amp;IF(AND(AN137&gt;=$I137*(1-'Feuille de Donnée'!$E$27),AN137&lt;=$I137*(1+'Feuille de Donnée'!$F$27)),'Feuille de Donnée'!$F$32,IF(AN137&lt;$I137*(1-'Feuille de Donnée'!$E$27),'Feuille de Donnée'!$F$33,'Feuille de Donnée'!$F$31)))))</f>
        <v/>
      </c>
      <c r="AT137" s="151"/>
      <c r="AU137" s="110"/>
      <c r="AV137" s="28"/>
      <c r="AW137" s="28"/>
      <c r="AX137" s="28" t="str">
        <f t="shared" si="51"/>
        <v/>
      </c>
      <c r="AY137" s="128" t="str">
        <f t="shared" si="52"/>
        <v/>
      </c>
      <c r="AZ137" s="128" t="str">
        <f t="shared" si="53"/>
        <v/>
      </c>
      <c r="BA137" s="28" t="str">
        <f>IF(AND(ISBLANK(BC137),BB137=""),"",1+MAX(BA$18:BA136))</f>
        <v/>
      </c>
      <c r="BB137" s="150" t="str">
        <f>IF(OR(AX137="",AX137=0,$J137="",$J137=0,NOT(ISNUMBER($J137)),NOT(ISNUMBER(AX137))),IF(AND($G137&lt;&gt;"",AND(OR(ISNUMBER(AX137),AX137=""),AND(ISNUMBER($J137),$J137&gt;0))),'Feuille de Donnée'!$K$13,""),IF(AX137&lt;$J$165*'Feuille de Donnée'!$I$9,"Négligeable",(IF(AND(AV137&gt;=$H137*(1-'Feuille de Donnée'!$E$12),AV137&lt;=$H137*(1+'Feuille de Donnée'!$F$12)),'Feuille de Donnée'!$F$17,IF(AV137&lt;$H137*(1-'Feuille de Donnée'!$E$12),'Feuille de Donnée'!$F$18,'Feuille de Donnée'!$F$16))&amp;""&amp;IF(AND(AW137&gt;=$I137*(1-'Feuille de Donnée'!$E$27),AW137&lt;=$I137*(1+'Feuille de Donnée'!$F$27)),'Feuille de Donnée'!$F$32,IF(AW137&lt;$I137*(1-'Feuille de Donnée'!$E$27),'Feuille de Donnée'!$F$33,'Feuille de Donnée'!$F$31)))))</f>
        <v/>
      </c>
      <c r="BC137" s="151"/>
      <c r="BD137" s="110"/>
      <c r="BE137" s="28"/>
      <c r="BF137" s="28"/>
      <c r="BG137" s="28" t="str">
        <f t="shared" si="54"/>
        <v/>
      </c>
      <c r="BH137" s="128" t="str">
        <f t="shared" si="55"/>
        <v/>
      </c>
      <c r="BI137" s="128" t="str">
        <f t="shared" si="56"/>
        <v/>
      </c>
      <c r="BJ137" s="28" t="str">
        <f>IF(AND(ISBLANK(BL137),BK137=""),"",1+MAX(BJ$18:BJ136))</f>
        <v/>
      </c>
      <c r="BK137" s="150" t="str">
        <f>IF(OR(BG137="",BG137=0,$J137="",$J137=0,NOT(ISNUMBER($J137)),NOT(ISNUMBER(BG137))),IF(AND($G137&lt;&gt;"",AND(OR(ISNUMBER(BG137),BG137=""),AND(ISNUMBER($J137),$J137&gt;0))),'Feuille de Donnée'!$K$13,""),IF(BG137&lt;$J$165*'Feuille de Donnée'!$I$9,"Négligeable",(IF(AND(BE137&gt;=$H137*(1-'Feuille de Donnée'!$E$12),BE137&lt;=$H137*(1+'Feuille de Donnée'!$F$12)),'Feuille de Donnée'!$F$17,IF(BE137&lt;$H137*(1-'Feuille de Donnée'!$E$12),'Feuille de Donnée'!$F$18,'Feuille de Donnée'!$F$16))&amp;""&amp;IF(AND(BF137&gt;=$I137*(1-'Feuille de Donnée'!$E$27),BF137&lt;=$I137*(1+'Feuille de Donnée'!$F$27)),'Feuille de Donnée'!$F$32,IF(BF137&lt;$I137*(1-'Feuille de Donnée'!$E$27),'Feuille de Donnée'!$F$33,'Feuille de Donnée'!$F$31)))))</f>
        <v/>
      </c>
      <c r="BL137" s="151"/>
      <c r="BM137" s="153"/>
    </row>
    <row r="138" spans="1:65" s="7" customFormat="1" x14ac:dyDescent="0.3">
      <c r="A138" s="24"/>
      <c r="B138" s="25"/>
      <c r="C138" s="25"/>
      <c r="D138" s="25"/>
      <c r="E138" s="25"/>
      <c r="F138" s="25"/>
      <c r="G138" s="23"/>
      <c r="H138" s="26"/>
      <c r="I138" s="27"/>
      <c r="J138" s="109" t="str">
        <f t="shared" si="38"/>
        <v/>
      </c>
      <c r="K138" s="110"/>
      <c r="L138" s="28"/>
      <c r="M138" s="28"/>
      <c r="N138" s="28" t="str">
        <f t="shared" si="39"/>
        <v/>
      </c>
      <c r="O138" s="128" t="str">
        <f t="shared" si="40"/>
        <v/>
      </c>
      <c r="P138" s="128" t="str">
        <f t="shared" si="41"/>
        <v/>
      </c>
      <c r="Q138" s="28" t="str">
        <f>IF(AND(ISBLANK(S138),R138=""),"",1+MAX(Q$18:Q137))</f>
        <v/>
      </c>
      <c r="R138" s="150" t="str">
        <f>IF(OR(N138="",N138=0,$J138="",$J138=0,NOT(ISNUMBER($J138)),NOT(ISNUMBER(N138))),IF(AND($G138&lt;&gt;"",AND(OR(ISNUMBER(N138),N138=""),AND(ISNUMBER($J138),$J138&gt;0))),'Feuille de Donnée'!$K$13,""),IF(N138&lt;$J$165*'Feuille de Donnée'!$I$9,"Négligeable",(IF(AND(L138&gt;=$H138*(1-'Feuille de Donnée'!$E$12),L138&lt;=$H138*(1+'Feuille de Donnée'!$F$12)),'Feuille de Donnée'!$F$17,IF(L138&lt;$H138*(1-'Feuille de Donnée'!$E$12),'Feuille de Donnée'!$F$18,'Feuille de Donnée'!$F$16))&amp;""&amp;IF(AND(M138&gt;=$I138*(1-'Feuille de Donnée'!$E$27),M138&lt;=$I138*(1+'Feuille de Donnée'!$F$27)),'Feuille de Donnée'!$F$32,IF(M138&lt;$I138*(1-'Feuille de Donnée'!$E$27),'Feuille de Donnée'!$F$33,'Feuille de Donnée'!$F$31)))))</f>
        <v/>
      </c>
      <c r="S138" s="151"/>
      <c r="T138" s="110"/>
      <c r="U138" s="28"/>
      <c r="V138" s="28"/>
      <c r="W138" s="28" t="str">
        <f t="shared" si="42"/>
        <v/>
      </c>
      <c r="X138" s="128" t="str">
        <f t="shared" si="43"/>
        <v/>
      </c>
      <c r="Y138" s="128" t="str">
        <f t="shared" si="44"/>
        <v/>
      </c>
      <c r="Z138" s="28" t="str">
        <f>IF(AND(ISBLANK(AB138),AA138=""),"",1+MAX(Z$18:Z137))</f>
        <v/>
      </c>
      <c r="AA138" s="150" t="str">
        <f>IF(OR(W138="",W138=0,$J138="",$J138=0,NOT(ISNUMBER($J138)),NOT(ISNUMBER(W138))),IF(AND($G138&lt;&gt;"",AND(OR(ISNUMBER(W138),W138=""),AND(ISNUMBER($J138),$J138&gt;0))),'Feuille de Donnée'!$K$13,""),IF(W138&lt;$J$165*'Feuille de Donnée'!$I$9,"Négligeable",(IF(AND(U138&gt;=$H138*(1-'Feuille de Donnée'!$E$12),U138&lt;=$H138*(1+'Feuille de Donnée'!$F$12)),'Feuille de Donnée'!$F$17,IF(U138&lt;$H138*(1-'Feuille de Donnée'!$E$12),'Feuille de Donnée'!$F$18,'Feuille de Donnée'!$F$16))&amp;""&amp;IF(AND(V138&gt;=$I138*(1-'Feuille de Donnée'!$E$27),V138&lt;=$I138*(1+'Feuille de Donnée'!$F$27)),'Feuille de Donnée'!$F$32,IF(V138&lt;$I138*(1-'Feuille de Donnée'!$E$27),'Feuille de Donnée'!$F$33,'Feuille de Donnée'!$F$31)))))</f>
        <v/>
      </c>
      <c r="AB138" s="151"/>
      <c r="AC138" s="110"/>
      <c r="AD138" s="28"/>
      <c r="AE138" s="28"/>
      <c r="AF138" s="28" t="str">
        <f t="shared" si="45"/>
        <v/>
      </c>
      <c r="AG138" s="128" t="str">
        <f t="shared" si="46"/>
        <v/>
      </c>
      <c r="AH138" s="128" t="str">
        <f t="shared" si="47"/>
        <v/>
      </c>
      <c r="AI138" s="28" t="str">
        <f>IF(AND(ISBLANK(AK138),AJ138=""),"",1+MAX(AI$18:AI137))</f>
        <v/>
      </c>
      <c r="AJ138" s="150" t="str">
        <f>IF(OR(AF138="",AF138=0,$J138="",$J138=0,NOT(ISNUMBER($J138)),NOT(ISNUMBER(AF138))),IF(AND($G138&lt;&gt;"",AND(OR(ISNUMBER(AF138),AF138=""),AND(ISNUMBER($J138),$J138&gt;0))),'Feuille de Donnée'!$K$13,""),IF(AF138&lt;$J$165*'Feuille de Donnée'!$I$9,"Négligeable",(IF(AND(AD138&gt;=$H138*(1-'Feuille de Donnée'!$E$12),AD138&lt;=$H138*(1+'Feuille de Donnée'!$F$12)),'Feuille de Donnée'!$F$17,IF(AD138&lt;$H138*(1-'Feuille de Donnée'!$E$12),'Feuille de Donnée'!$F$18,'Feuille de Donnée'!$F$16))&amp;""&amp;IF(AND(AE138&gt;=$I138*(1-'Feuille de Donnée'!$E$27),AE138&lt;=$I138*(1+'Feuille de Donnée'!$F$27)),'Feuille de Donnée'!$F$32,IF(AE138&lt;$I138*(1-'Feuille de Donnée'!$E$27),'Feuille de Donnée'!$F$33,'Feuille de Donnée'!$F$31)))))</f>
        <v/>
      </c>
      <c r="AK138" s="151"/>
      <c r="AL138" s="110"/>
      <c r="AM138" s="28"/>
      <c r="AN138" s="28"/>
      <c r="AO138" s="28" t="str">
        <f t="shared" si="48"/>
        <v/>
      </c>
      <c r="AP138" s="128" t="str">
        <f t="shared" si="49"/>
        <v/>
      </c>
      <c r="AQ138" s="128" t="str">
        <f t="shared" si="50"/>
        <v/>
      </c>
      <c r="AR138" s="28" t="str">
        <f>IF(AND(ISBLANK(AT138),AS138=""),"",1+MAX(AR$18:AR137))</f>
        <v/>
      </c>
      <c r="AS138" s="150" t="str">
        <f>IF(OR(AO138="",AO138=0,$J138="",$J138=0,NOT(ISNUMBER($J138)),NOT(ISNUMBER(AO138))),IF(AND($G138&lt;&gt;"",AND(OR(ISNUMBER(AO138),AO138=""),AND(ISNUMBER($J138),$J138&gt;0))),'Feuille de Donnée'!$K$13,""),IF(AO138&lt;$J$165*'Feuille de Donnée'!$I$9,"Négligeable",(IF(AND(AM138&gt;=$H138*(1-'Feuille de Donnée'!$E$12),AM138&lt;=$H138*(1+'Feuille de Donnée'!$F$12)),'Feuille de Donnée'!$F$17,IF(AM138&lt;$H138*(1-'Feuille de Donnée'!$E$12),'Feuille de Donnée'!$F$18,'Feuille de Donnée'!$F$16))&amp;""&amp;IF(AND(AN138&gt;=$I138*(1-'Feuille de Donnée'!$E$27),AN138&lt;=$I138*(1+'Feuille de Donnée'!$F$27)),'Feuille de Donnée'!$F$32,IF(AN138&lt;$I138*(1-'Feuille de Donnée'!$E$27),'Feuille de Donnée'!$F$33,'Feuille de Donnée'!$F$31)))))</f>
        <v/>
      </c>
      <c r="AT138" s="151"/>
      <c r="AU138" s="110"/>
      <c r="AV138" s="28"/>
      <c r="AW138" s="28"/>
      <c r="AX138" s="28" t="str">
        <f t="shared" si="51"/>
        <v/>
      </c>
      <c r="AY138" s="128" t="str">
        <f t="shared" si="52"/>
        <v/>
      </c>
      <c r="AZ138" s="128" t="str">
        <f t="shared" si="53"/>
        <v/>
      </c>
      <c r="BA138" s="28" t="str">
        <f>IF(AND(ISBLANK(BC138),BB138=""),"",1+MAX(BA$18:BA137))</f>
        <v/>
      </c>
      <c r="BB138" s="150" t="str">
        <f>IF(OR(AX138="",AX138=0,$J138="",$J138=0,NOT(ISNUMBER($J138)),NOT(ISNUMBER(AX138))),IF(AND($G138&lt;&gt;"",AND(OR(ISNUMBER(AX138),AX138=""),AND(ISNUMBER($J138),$J138&gt;0))),'Feuille de Donnée'!$K$13,""),IF(AX138&lt;$J$165*'Feuille de Donnée'!$I$9,"Négligeable",(IF(AND(AV138&gt;=$H138*(1-'Feuille de Donnée'!$E$12),AV138&lt;=$H138*(1+'Feuille de Donnée'!$F$12)),'Feuille de Donnée'!$F$17,IF(AV138&lt;$H138*(1-'Feuille de Donnée'!$E$12),'Feuille de Donnée'!$F$18,'Feuille de Donnée'!$F$16))&amp;""&amp;IF(AND(AW138&gt;=$I138*(1-'Feuille de Donnée'!$E$27),AW138&lt;=$I138*(1+'Feuille de Donnée'!$F$27)),'Feuille de Donnée'!$F$32,IF(AW138&lt;$I138*(1-'Feuille de Donnée'!$E$27),'Feuille de Donnée'!$F$33,'Feuille de Donnée'!$F$31)))))</f>
        <v/>
      </c>
      <c r="BC138" s="151"/>
      <c r="BD138" s="110"/>
      <c r="BE138" s="28"/>
      <c r="BF138" s="28"/>
      <c r="BG138" s="28" t="str">
        <f t="shared" si="54"/>
        <v/>
      </c>
      <c r="BH138" s="128" t="str">
        <f t="shared" si="55"/>
        <v/>
      </c>
      <c r="BI138" s="128" t="str">
        <f t="shared" si="56"/>
        <v/>
      </c>
      <c r="BJ138" s="28" t="str">
        <f>IF(AND(ISBLANK(BL138),BK138=""),"",1+MAX(BJ$18:BJ137))</f>
        <v/>
      </c>
      <c r="BK138" s="150" t="str">
        <f>IF(OR(BG138="",BG138=0,$J138="",$J138=0,NOT(ISNUMBER($J138)),NOT(ISNUMBER(BG138))),IF(AND($G138&lt;&gt;"",AND(OR(ISNUMBER(BG138),BG138=""),AND(ISNUMBER($J138),$J138&gt;0))),'Feuille de Donnée'!$K$13,""),IF(BG138&lt;$J$165*'Feuille de Donnée'!$I$9,"Négligeable",(IF(AND(BE138&gt;=$H138*(1-'Feuille de Donnée'!$E$12),BE138&lt;=$H138*(1+'Feuille de Donnée'!$F$12)),'Feuille de Donnée'!$F$17,IF(BE138&lt;$H138*(1-'Feuille de Donnée'!$E$12),'Feuille de Donnée'!$F$18,'Feuille de Donnée'!$F$16))&amp;""&amp;IF(AND(BF138&gt;=$I138*(1-'Feuille de Donnée'!$E$27),BF138&lt;=$I138*(1+'Feuille de Donnée'!$F$27)),'Feuille de Donnée'!$F$32,IF(BF138&lt;$I138*(1-'Feuille de Donnée'!$E$27),'Feuille de Donnée'!$F$33,'Feuille de Donnée'!$F$31)))))</f>
        <v/>
      </c>
      <c r="BL138" s="151"/>
      <c r="BM138" s="153"/>
    </row>
    <row r="139" spans="1:65" s="7" customFormat="1" x14ac:dyDescent="0.3">
      <c r="A139" s="24"/>
      <c r="B139" s="25"/>
      <c r="C139" s="25"/>
      <c r="D139" s="25"/>
      <c r="E139" s="25"/>
      <c r="F139" s="25"/>
      <c r="G139" s="23"/>
      <c r="H139" s="26"/>
      <c r="I139" s="27"/>
      <c r="J139" s="109" t="str">
        <f t="shared" si="38"/>
        <v/>
      </c>
      <c r="K139" s="110"/>
      <c r="L139" s="28"/>
      <c r="M139" s="28"/>
      <c r="N139" s="28" t="str">
        <f t="shared" si="39"/>
        <v/>
      </c>
      <c r="O139" s="128" t="str">
        <f t="shared" si="40"/>
        <v/>
      </c>
      <c r="P139" s="128" t="str">
        <f t="shared" si="41"/>
        <v/>
      </c>
      <c r="Q139" s="28" t="str">
        <f>IF(AND(ISBLANK(S139),R139=""),"",1+MAX(Q$18:Q138))</f>
        <v/>
      </c>
      <c r="R139" s="150" t="str">
        <f>IF(OR(N139="",N139=0,$J139="",$J139=0,NOT(ISNUMBER($J139)),NOT(ISNUMBER(N139))),IF(AND($G139&lt;&gt;"",AND(OR(ISNUMBER(N139),N139=""),AND(ISNUMBER($J139),$J139&gt;0))),'Feuille de Donnée'!$K$13,""),IF(N139&lt;$J$165*'Feuille de Donnée'!$I$9,"Négligeable",(IF(AND(L139&gt;=$H139*(1-'Feuille de Donnée'!$E$12),L139&lt;=$H139*(1+'Feuille de Donnée'!$F$12)),'Feuille de Donnée'!$F$17,IF(L139&lt;$H139*(1-'Feuille de Donnée'!$E$12),'Feuille de Donnée'!$F$18,'Feuille de Donnée'!$F$16))&amp;""&amp;IF(AND(M139&gt;=$I139*(1-'Feuille de Donnée'!$E$27),M139&lt;=$I139*(1+'Feuille de Donnée'!$F$27)),'Feuille de Donnée'!$F$32,IF(M139&lt;$I139*(1-'Feuille de Donnée'!$E$27),'Feuille de Donnée'!$F$33,'Feuille de Donnée'!$F$31)))))</f>
        <v/>
      </c>
      <c r="S139" s="151"/>
      <c r="T139" s="110"/>
      <c r="U139" s="28"/>
      <c r="V139" s="28"/>
      <c r="W139" s="28" t="str">
        <f t="shared" si="42"/>
        <v/>
      </c>
      <c r="X139" s="128" t="str">
        <f t="shared" si="43"/>
        <v/>
      </c>
      <c r="Y139" s="128" t="str">
        <f t="shared" si="44"/>
        <v/>
      </c>
      <c r="Z139" s="28" t="str">
        <f>IF(AND(ISBLANK(AB139),AA139=""),"",1+MAX(Z$18:Z138))</f>
        <v/>
      </c>
      <c r="AA139" s="150" t="str">
        <f>IF(OR(W139="",W139=0,$J139="",$J139=0,NOT(ISNUMBER($J139)),NOT(ISNUMBER(W139))),IF(AND($G139&lt;&gt;"",AND(OR(ISNUMBER(W139),W139=""),AND(ISNUMBER($J139),$J139&gt;0))),'Feuille de Donnée'!$K$13,""),IF(W139&lt;$J$165*'Feuille de Donnée'!$I$9,"Négligeable",(IF(AND(U139&gt;=$H139*(1-'Feuille de Donnée'!$E$12),U139&lt;=$H139*(1+'Feuille de Donnée'!$F$12)),'Feuille de Donnée'!$F$17,IF(U139&lt;$H139*(1-'Feuille de Donnée'!$E$12),'Feuille de Donnée'!$F$18,'Feuille de Donnée'!$F$16))&amp;""&amp;IF(AND(V139&gt;=$I139*(1-'Feuille de Donnée'!$E$27),V139&lt;=$I139*(1+'Feuille de Donnée'!$F$27)),'Feuille de Donnée'!$F$32,IF(V139&lt;$I139*(1-'Feuille de Donnée'!$E$27),'Feuille de Donnée'!$F$33,'Feuille de Donnée'!$F$31)))))</f>
        <v/>
      </c>
      <c r="AB139" s="151"/>
      <c r="AC139" s="110"/>
      <c r="AD139" s="28"/>
      <c r="AE139" s="28"/>
      <c r="AF139" s="28" t="str">
        <f t="shared" si="45"/>
        <v/>
      </c>
      <c r="AG139" s="128" t="str">
        <f t="shared" si="46"/>
        <v/>
      </c>
      <c r="AH139" s="128" t="str">
        <f t="shared" si="47"/>
        <v/>
      </c>
      <c r="AI139" s="28" t="str">
        <f>IF(AND(ISBLANK(AK139),AJ139=""),"",1+MAX(AI$18:AI138))</f>
        <v/>
      </c>
      <c r="AJ139" s="150" t="str">
        <f>IF(OR(AF139="",AF139=0,$J139="",$J139=0,NOT(ISNUMBER($J139)),NOT(ISNUMBER(AF139))),IF(AND($G139&lt;&gt;"",AND(OR(ISNUMBER(AF139),AF139=""),AND(ISNUMBER($J139),$J139&gt;0))),'Feuille de Donnée'!$K$13,""),IF(AF139&lt;$J$165*'Feuille de Donnée'!$I$9,"Négligeable",(IF(AND(AD139&gt;=$H139*(1-'Feuille de Donnée'!$E$12),AD139&lt;=$H139*(1+'Feuille de Donnée'!$F$12)),'Feuille de Donnée'!$F$17,IF(AD139&lt;$H139*(1-'Feuille de Donnée'!$E$12),'Feuille de Donnée'!$F$18,'Feuille de Donnée'!$F$16))&amp;""&amp;IF(AND(AE139&gt;=$I139*(1-'Feuille de Donnée'!$E$27),AE139&lt;=$I139*(1+'Feuille de Donnée'!$F$27)),'Feuille de Donnée'!$F$32,IF(AE139&lt;$I139*(1-'Feuille de Donnée'!$E$27),'Feuille de Donnée'!$F$33,'Feuille de Donnée'!$F$31)))))</f>
        <v/>
      </c>
      <c r="AK139" s="151"/>
      <c r="AL139" s="110"/>
      <c r="AM139" s="28"/>
      <c r="AN139" s="28"/>
      <c r="AO139" s="28" t="str">
        <f t="shared" si="48"/>
        <v/>
      </c>
      <c r="AP139" s="128" t="str">
        <f t="shared" si="49"/>
        <v/>
      </c>
      <c r="AQ139" s="128" t="str">
        <f t="shared" si="50"/>
        <v/>
      </c>
      <c r="AR139" s="28" t="str">
        <f>IF(AND(ISBLANK(AT139),AS139=""),"",1+MAX(AR$18:AR138))</f>
        <v/>
      </c>
      <c r="AS139" s="150" t="str">
        <f>IF(OR(AO139="",AO139=0,$J139="",$J139=0,NOT(ISNUMBER($J139)),NOT(ISNUMBER(AO139))),IF(AND($G139&lt;&gt;"",AND(OR(ISNUMBER(AO139),AO139=""),AND(ISNUMBER($J139),$J139&gt;0))),'Feuille de Donnée'!$K$13,""),IF(AO139&lt;$J$165*'Feuille de Donnée'!$I$9,"Négligeable",(IF(AND(AM139&gt;=$H139*(1-'Feuille de Donnée'!$E$12),AM139&lt;=$H139*(1+'Feuille de Donnée'!$F$12)),'Feuille de Donnée'!$F$17,IF(AM139&lt;$H139*(1-'Feuille de Donnée'!$E$12),'Feuille de Donnée'!$F$18,'Feuille de Donnée'!$F$16))&amp;""&amp;IF(AND(AN139&gt;=$I139*(1-'Feuille de Donnée'!$E$27),AN139&lt;=$I139*(1+'Feuille de Donnée'!$F$27)),'Feuille de Donnée'!$F$32,IF(AN139&lt;$I139*(1-'Feuille de Donnée'!$E$27),'Feuille de Donnée'!$F$33,'Feuille de Donnée'!$F$31)))))</f>
        <v/>
      </c>
      <c r="AT139" s="151"/>
      <c r="AU139" s="110"/>
      <c r="AV139" s="28"/>
      <c r="AW139" s="28"/>
      <c r="AX139" s="28" t="str">
        <f t="shared" si="51"/>
        <v/>
      </c>
      <c r="AY139" s="128" t="str">
        <f t="shared" si="52"/>
        <v/>
      </c>
      <c r="AZ139" s="128" t="str">
        <f t="shared" si="53"/>
        <v/>
      </c>
      <c r="BA139" s="28" t="str">
        <f>IF(AND(ISBLANK(BC139),BB139=""),"",1+MAX(BA$18:BA138))</f>
        <v/>
      </c>
      <c r="BB139" s="150" t="str">
        <f>IF(OR(AX139="",AX139=0,$J139="",$J139=0,NOT(ISNUMBER($J139)),NOT(ISNUMBER(AX139))),IF(AND($G139&lt;&gt;"",AND(OR(ISNUMBER(AX139),AX139=""),AND(ISNUMBER($J139),$J139&gt;0))),'Feuille de Donnée'!$K$13,""),IF(AX139&lt;$J$165*'Feuille de Donnée'!$I$9,"Négligeable",(IF(AND(AV139&gt;=$H139*(1-'Feuille de Donnée'!$E$12),AV139&lt;=$H139*(1+'Feuille de Donnée'!$F$12)),'Feuille de Donnée'!$F$17,IF(AV139&lt;$H139*(1-'Feuille de Donnée'!$E$12),'Feuille de Donnée'!$F$18,'Feuille de Donnée'!$F$16))&amp;""&amp;IF(AND(AW139&gt;=$I139*(1-'Feuille de Donnée'!$E$27),AW139&lt;=$I139*(1+'Feuille de Donnée'!$F$27)),'Feuille de Donnée'!$F$32,IF(AW139&lt;$I139*(1-'Feuille de Donnée'!$E$27),'Feuille de Donnée'!$F$33,'Feuille de Donnée'!$F$31)))))</f>
        <v/>
      </c>
      <c r="BC139" s="151"/>
      <c r="BD139" s="110"/>
      <c r="BE139" s="28"/>
      <c r="BF139" s="28"/>
      <c r="BG139" s="28" t="str">
        <f t="shared" si="54"/>
        <v/>
      </c>
      <c r="BH139" s="128" t="str">
        <f t="shared" si="55"/>
        <v/>
      </c>
      <c r="BI139" s="128" t="str">
        <f t="shared" si="56"/>
        <v/>
      </c>
      <c r="BJ139" s="28" t="str">
        <f>IF(AND(ISBLANK(BL139),BK139=""),"",1+MAX(BJ$18:BJ138))</f>
        <v/>
      </c>
      <c r="BK139" s="150" t="str">
        <f>IF(OR(BG139="",BG139=0,$J139="",$J139=0,NOT(ISNUMBER($J139)),NOT(ISNUMBER(BG139))),IF(AND($G139&lt;&gt;"",AND(OR(ISNUMBER(BG139),BG139=""),AND(ISNUMBER($J139),$J139&gt;0))),'Feuille de Donnée'!$K$13,""),IF(BG139&lt;$J$165*'Feuille de Donnée'!$I$9,"Négligeable",(IF(AND(BE139&gt;=$H139*(1-'Feuille de Donnée'!$E$12),BE139&lt;=$H139*(1+'Feuille de Donnée'!$F$12)),'Feuille de Donnée'!$F$17,IF(BE139&lt;$H139*(1-'Feuille de Donnée'!$E$12),'Feuille de Donnée'!$F$18,'Feuille de Donnée'!$F$16))&amp;""&amp;IF(AND(BF139&gt;=$I139*(1-'Feuille de Donnée'!$E$27),BF139&lt;=$I139*(1+'Feuille de Donnée'!$F$27)),'Feuille de Donnée'!$F$32,IF(BF139&lt;$I139*(1-'Feuille de Donnée'!$E$27),'Feuille de Donnée'!$F$33,'Feuille de Donnée'!$F$31)))))</f>
        <v/>
      </c>
      <c r="BL139" s="151"/>
      <c r="BM139" s="153"/>
    </row>
    <row r="140" spans="1:65" s="7" customFormat="1" x14ac:dyDescent="0.3">
      <c r="A140" s="24"/>
      <c r="B140" s="25"/>
      <c r="C140" s="25"/>
      <c r="D140" s="25"/>
      <c r="E140" s="25"/>
      <c r="F140" s="25"/>
      <c r="G140" s="23"/>
      <c r="H140" s="26"/>
      <c r="I140" s="27"/>
      <c r="J140" s="109" t="str">
        <f t="shared" si="38"/>
        <v/>
      </c>
      <c r="K140" s="110"/>
      <c r="L140" s="28"/>
      <c r="M140" s="28"/>
      <c r="N140" s="28" t="str">
        <f t="shared" si="39"/>
        <v/>
      </c>
      <c r="O140" s="128" t="str">
        <f t="shared" si="40"/>
        <v/>
      </c>
      <c r="P140" s="128" t="str">
        <f t="shared" si="41"/>
        <v/>
      </c>
      <c r="Q140" s="28" t="str">
        <f>IF(AND(ISBLANK(S140),R140=""),"",1+MAX(Q$18:Q139))</f>
        <v/>
      </c>
      <c r="R140" s="150" t="str">
        <f>IF(OR(N140="",N140=0,$J140="",$J140=0,NOT(ISNUMBER($J140)),NOT(ISNUMBER(N140))),IF(AND($G140&lt;&gt;"",AND(OR(ISNUMBER(N140),N140=""),AND(ISNUMBER($J140),$J140&gt;0))),'Feuille de Donnée'!$K$13,""),IF(N140&lt;$J$165*'Feuille de Donnée'!$I$9,"Négligeable",(IF(AND(L140&gt;=$H140*(1-'Feuille de Donnée'!$E$12),L140&lt;=$H140*(1+'Feuille de Donnée'!$F$12)),'Feuille de Donnée'!$F$17,IF(L140&lt;$H140*(1-'Feuille de Donnée'!$E$12),'Feuille de Donnée'!$F$18,'Feuille de Donnée'!$F$16))&amp;""&amp;IF(AND(M140&gt;=$I140*(1-'Feuille de Donnée'!$E$27),M140&lt;=$I140*(1+'Feuille de Donnée'!$F$27)),'Feuille de Donnée'!$F$32,IF(M140&lt;$I140*(1-'Feuille de Donnée'!$E$27),'Feuille de Donnée'!$F$33,'Feuille de Donnée'!$F$31)))))</f>
        <v/>
      </c>
      <c r="S140" s="151"/>
      <c r="T140" s="110"/>
      <c r="U140" s="28"/>
      <c r="V140" s="28"/>
      <c r="W140" s="28" t="str">
        <f t="shared" si="42"/>
        <v/>
      </c>
      <c r="X140" s="128" t="str">
        <f t="shared" si="43"/>
        <v/>
      </c>
      <c r="Y140" s="128" t="str">
        <f t="shared" si="44"/>
        <v/>
      </c>
      <c r="Z140" s="28" t="str">
        <f>IF(AND(ISBLANK(AB140),AA140=""),"",1+MAX(Z$18:Z139))</f>
        <v/>
      </c>
      <c r="AA140" s="150" t="str">
        <f>IF(OR(W140="",W140=0,$J140="",$J140=0,NOT(ISNUMBER($J140)),NOT(ISNUMBER(W140))),IF(AND($G140&lt;&gt;"",AND(OR(ISNUMBER(W140),W140=""),AND(ISNUMBER($J140),$J140&gt;0))),'Feuille de Donnée'!$K$13,""),IF(W140&lt;$J$165*'Feuille de Donnée'!$I$9,"Négligeable",(IF(AND(U140&gt;=$H140*(1-'Feuille de Donnée'!$E$12),U140&lt;=$H140*(1+'Feuille de Donnée'!$F$12)),'Feuille de Donnée'!$F$17,IF(U140&lt;$H140*(1-'Feuille de Donnée'!$E$12),'Feuille de Donnée'!$F$18,'Feuille de Donnée'!$F$16))&amp;""&amp;IF(AND(V140&gt;=$I140*(1-'Feuille de Donnée'!$E$27),V140&lt;=$I140*(1+'Feuille de Donnée'!$F$27)),'Feuille de Donnée'!$F$32,IF(V140&lt;$I140*(1-'Feuille de Donnée'!$E$27),'Feuille de Donnée'!$F$33,'Feuille de Donnée'!$F$31)))))</f>
        <v/>
      </c>
      <c r="AB140" s="151"/>
      <c r="AC140" s="110"/>
      <c r="AD140" s="28"/>
      <c r="AE140" s="28"/>
      <c r="AF140" s="28" t="str">
        <f t="shared" si="45"/>
        <v/>
      </c>
      <c r="AG140" s="128" t="str">
        <f t="shared" si="46"/>
        <v/>
      </c>
      <c r="AH140" s="128" t="str">
        <f t="shared" si="47"/>
        <v/>
      </c>
      <c r="AI140" s="28" t="str">
        <f>IF(AND(ISBLANK(AK140),AJ140=""),"",1+MAX(AI$18:AI139))</f>
        <v/>
      </c>
      <c r="AJ140" s="150" t="str">
        <f>IF(OR(AF140="",AF140=0,$J140="",$J140=0,NOT(ISNUMBER($J140)),NOT(ISNUMBER(AF140))),IF(AND($G140&lt;&gt;"",AND(OR(ISNUMBER(AF140),AF140=""),AND(ISNUMBER($J140),$J140&gt;0))),'Feuille de Donnée'!$K$13,""),IF(AF140&lt;$J$165*'Feuille de Donnée'!$I$9,"Négligeable",(IF(AND(AD140&gt;=$H140*(1-'Feuille de Donnée'!$E$12),AD140&lt;=$H140*(1+'Feuille de Donnée'!$F$12)),'Feuille de Donnée'!$F$17,IF(AD140&lt;$H140*(1-'Feuille de Donnée'!$E$12),'Feuille de Donnée'!$F$18,'Feuille de Donnée'!$F$16))&amp;""&amp;IF(AND(AE140&gt;=$I140*(1-'Feuille de Donnée'!$E$27),AE140&lt;=$I140*(1+'Feuille de Donnée'!$F$27)),'Feuille de Donnée'!$F$32,IF(AE140&lt;$I140*(1-'Feuille de Donnée'!$E$27),'Feuille de Donnée'!$F$33,'Feuille de Donnée'!$F$31)))))</f>
        <v/>
      </c>
      <c r="AK140" s="151"/>
      <c r="AL140" s="110"/>
      <c r="AM140" s="28"/>
      <c r="AN140" s="28"/>
      <c r="AO140" s="28" t="str">
        <f t="shared" si="48"/>
        <v/>
      </c>
      <c r="AP140" s="128" t="str">
        <f t="shared" si="49"/>
        <v/>
      </c>
      <c r="AQ140" s="128" t="str">
        <f t="shared" si="50"/>
        <v/>
      </c>
      <c r="AR140" s="28" t="str">
        <f>IF(AND(ISBLANK(AT140),AS140=""),"",1+MAX(AR$18:AR139))</f>
        <v/>
      </c>
      <c r="AS140" s="150" t="str">
        <f>IF(OR(AO140="",AO140=0,$J140="",$J140=0,NOT(ISNUMBER($J140)),NOT(ISNUMBER(AO140))),IF(AND($G140&lt;&gt;"",AND(OR(ISNUMBER(AO140),AO140=""),AND(ISNUMBER($J140),$J140&gt;0))),'Feuille de Donnée'!$K$13,""),IF(AO140&lt;$J$165*'Feuille de Donnée'!$I$9,"Négligeable",(IF(AND(AM140&gt;=$H140*(1-'Feuille de Donnée'!$E$12),AM140&lt;=$H140*(1+'Feuille de Donnée'!$F$12)),'Feuille de Donnée'!$F$17,IF(AM140&lt;$H140*(1-'Feuille de Donnée'!$E$12),'Feuille de Donnée'!$F$18,'Feuille de Donnée'!$F$16))&amp;""&amp;IF(AND(AN140&gt;=$I140*(1-'Feuille de Donnée'!$E$27),AN140&lt;=$I140*(1+'Feuille de Donnée'!$F$27)),'Feuille de Donnée'!$F$32,IF(AN140&lt;$I140*(1-'Feuille de Donnée'!$E$27),'Feuille de Donnée'!$F$33,'Feuille de Donnée'!$F$31)))))</f>
        <v/>
      </c>
      <c r="AT140" s="151"/>
      <c r="AU140" s="110"/>
      <c r="AV140" s="28"/>
      <c r="AW140" s="28"/>
      <c r="AX140" s="28" t="str">
        <f t="shared" si="51"/>
        <v/>
      </c>
      <c r="AY140" s="128" t="str">
        <f t="shared" si="52"/>
        <v/>
      </c>
      <c r="AZ140" s="128" t="str">
        <f t="shared" si="53"/>
        <v/>
      </c>
      <c r="BA140" s="28" t="str">
        <f>IF(AND(ISBLANK(BC140),BB140=""),"",1+MAX(BA$18:BA139))</f>
        <v/>
      </c>
      <c r="BB140" s="150" t="str">
        <f>IF(OR(AX140="",AX140=0,$J140="",$J140=0,NOT(ISNUMBER($J140)),NOT(ISNUMBER(AX140))),IF(AND($G140&lt;&gt;"",AND(OR(ISNUMBER(AX140),AX140=""),AND(ISNUMBER($J140),$J140&gt;0))),'Feuille de Donnée'!$K$13,""),IF(AX140&lt;$J$165*'Feuille de Donnée'!$I$9,"Négligeable",(IF(AND(AV140&gt;=$H140*(1-'Feuille de Donnée'!$E$12),AV140&lt;=$H140*(1+'Feuille de Donnée'!$F$12)),'Feuille de Donnée'!$F$17,IF(AV140&lt;$H140*(1-'Feuille de Donnée'!$E$12),'Feuille de Donnée'!$F$18,'Feuille de Donnée'!$F$16))&amp;""&amp;IF(AND(AW140&gt;=$I140*(1-'Feuille de Donnée'!$E$27),AW140&lt;=$I140*(1+'Feuille de Donnée'!$F$27)),'Feuille de Donnée'!$F$32,IF(AW140&lt;$I140*(1-'Feuille de Donnée'!$E$27),'Feuille de Donnée'!$F$33,'Feuille de Donnée'!$F$31)))))</f>
        <v/>
      </c>
      <c r="BC140" s="151"/>
      <c r="BD140" s="110"/>
      <c r="BE140" s="28"/>
      <c r="BF140" s="28"/>
      <c r="BG140" s="28" t="str">
        <f t="shared" si="54"/>
        <v/>
      </c>
      <c r="BH140" s="128" t="str">
        <f t="shared" si="55"/>
        <v/>
      </c>
      <c r="BI140" s="128" t="str">
        <f t="shared" si="56"/>
        <v/>
      </c>
      <c r="BJ140" s="28" t="str">
        <f>IF(AND(ISBLANK(BL140),BK140=""),"",1+MAX(BJ$18:BJ139))</f>
        <v/>
      </c>
      <c r="BK140" s="150" t="str">
        <f>IF(OR(BG140="",BG140=0,$J140="",$J140=0,NOT(ISNUMBER($J140)),NOT(ISNUMBER(BG140))),IF(AND($G140&lt;&gt;"",AND(OR(ISNUMBER(BG140),BG140=""),AND(ISNUMBER($J140),$J140&gt;0))),'Feuille de Donnée'!$K$13,""),IF(BG140&lt;$J$165*'Feuille de Donnée'!$I$9,"Négligeable",(IF(AND(BE140&gt;=$H140*(1-'Feuille de Donnée'!$E$12),BE140&lt;=$H140*(1+'Feuille de Donnée'!$F$12)),'Feuille de Donnée'!$F$17,IF(BE140&lt;$H140*(1-'Feuille de Donnée'!$E$12),'Feuille de Donnée'!$F$18,'Feuille de Donnée'!$F$16))&amp;""&amp;IF(AND(BF140&gt;=$I140*(1-'Feuille de Donnée'!$E$27),BF140&lt;=$I140*(1+'Feuille de Donnée'!$F$27)),'Feuille de Donnée'!$F$32,IF(BF140&lt;$I140*(1-'Feuille de Donnée'!$E$27),'Feuille de Donnée'!$F$33,'Feuille de Donnée'!$F$31)))))</f>
        <v/>
      </c>
      <c r="BL140" s="151"/>
      <c r="BM140" s="153"/>
    </row>
    <row r="141" spans="1:65" s="7" customFormat="1" x14ac:dyDescent="0.3">
      <c r="A141" s="24"/>
      <c r="B141" s="25"/>
      <c r="C141" s="25"/>
      <c r="D141" s="25"/>
      <c r="E141" s="25"/>
      <c r="F141" s="25"/>
      <c r="G141" s="23"/>
      <c r="H141" s="26"/>
      <c r="I141" s="27"/>
      <c r="J141" s="109" t="str">
        <f t="shared" si="38"/>
        <v/>
      </c>
      <c r="K141" s="110"/>
      <c r="L141" s="28"/>
      <c r="M141" s="28"/>
      <c r="N141" s="28" t="str">
        <f t="shared" si="39"/>
        <v/>
      </c>
      <c r="O141" s="128" t="str">
        <f t="shared" si="40"/>
        <v/>
      </c>
      <c r="P141" s="128" t="str">
        <f t="shared" si="41"/>
        <v/>
      </c>
      <c r="Q141" s="28" t="str">
        <f>IF(AND(ISBLANK(S141),R141=""),"",1+MAX(Q$18:Q140))</f>
        <v/>
      </c>
      <c r="R141" s="150" t="str">
        <f>IF(OR(N141="",N141=0,$J141="",$J141=0,NOT(ISNUMBER($J141)),NOT(ISNUMBER(N141))),IF(AND($G141&lt;&gt;"",AND(OR(ISNUMBER(N141),N141=""),AND(ISNUMBER($J141),$J141&gt;0))),'Feuille de Donnée'!$K$13,""),IF(N141&lt;$J$165*'Feuille de Donnée'!$I$9,"Négligeable",(IF(AND(L141&gt;=$H141*(1-'Feuille de Donnée'!$E$12),L141&lt;=$H141*(1+'Feuille de Donnée'!$F$12)),'Feuille de Donnée'!$F$17,IF(L141&lt;$H141*(1-'Feuille de Donnée'!$E$12),'Feuille de Donnée'!$F$18,'Feuille de Donnée'!$F$16))&amp;""&amp;IF(AND(M141&gt;=$I141*(1-'Feuille de Donnée'!$E$27),M141&lt;=$I141*(1+'Feuille de Donnée'!$F$27)),'Feuille de Donnée'!$F$32,IF(M141&lt;$I141*(1-'Feuille de Donnée'!$E$27),'Feuille de Donnée'!$F$33,'Feuille de Donnée'!$F$31)))))</f>
        <v/>
      </c>
      <c r="S141" s="151"/>
      <c r="T141" s="110"/>
      <c r="U141" s="28"/>
      <c r="V141" s="28"/>
      <c r="W141" s="28" t="str">
        <f t="shared" si="42"/>
        <v/>
      </c>
      <c r="X141" s="128" t="str">
        <f t="shared" si="43"/>
        <v/>
      </c>
      <c r="Y141" s="128" t="str">
        <f t="shared" si="44"/>
        <v/>
      </c>
      <c r="Z141" s="28" t="str">
        <f>IF(AND(ISBLANK(AB141),AA141=""),"",1+MAX(Z$18:Z140))</f>
        <v/>
      </c>
      <c r="AA141" s="150" t="str">
        <f>IF(OR(W141="",W141=0,$J141="",$J141=0,NOT(ISNUMBER($J141)),NOT(ISNUMBER(W141))),IF(AND($G141&lt;&gt;"",AND(OR(ISNUMBER(W141),W141=""),AND(ISNUMBER($J141),$J141&gt;0))),'Feuille de Donnée'!$K$13,""),IF(W141&lt;$J$165*'Feuille de Donnée'!$I$9,"Négligeable",(IF(AND(U141&gt;=$H141*(1-'Feuille de Donnée'!$E$12),U141&lt;=$H141*(1+'Feuille de Donnée'!$F$12)),'Feuille de Donnée'!$F$17,IF(U141&lt;$H141*(1-'Feuille de Donnée'!$E$12),'Feuille de Donnée'!$F$18,'Feuille de Donnée'!$F$16))&amp;""&amp;IF(AND(V141&gt;=$I141*(1-'Feuille de Donnée'!$E$27),V141&lt;=$I141*(1+'Feuille de Donnée'!$F$27)),'Feuille de Donnée'!$F$32,IF(V141&lt;$I141*(1-'Feuille de Donnée'!$E$27),'Feuille de Donnée'!$F$33,'Feuille de Donnée'!$F$31)))))</f>
        <v/>
      </c>
      <c r="AB141" s="151"/>
      <c r="AC141" s="110"/>
      <c r="AD141" s="28"/>
      <c r="AE141" s="28"/>
      <c r="AF141" s="28" t="str">
        <f t="shared" si="45"/>
        <v/>
      </c>
      <c r="AG141" s="128" t="str">
        <f t="shared" si="46"/>
        <v/>
      </c>
      <c r="AH141" s="128" t="str">
        <f t="shared" si="47"/>
        <v/>
      </c>
      <c r="AI141" s="28" t="str">
        <f>IF(AND(ISBLANK(AK141),AJ141=""),"",1+MAX(AI$18:AI140))</f>
        <v/>
      </c>
      <c r="AJ141" s="150" t="str">
        <f>IF(OR(AF141="",AF141=0,$J141="",$J141=0,NOT(ISNUMBER($J141)),NOT(ISNUMBER(AF141))),IF(AND($G141&lt;&gt;"",AND(OR(ISNUMBER(AF141),AF141=""),AND(ISNUMBER($J141),$J141&gt;0))),'Feuille de Donnée'!$K$13,""),IF(AF141&lt;$J$165*'Feuille de Donnée'!$I$9,"Négligeable",(IF(AND(AD141&gt;=$H141*(1-'Feuille de Donnée'!$E$12),AD141&lt;=$H141*(1+'Feuille de Donnée'!$F$12)),'Feuille de Donnée'!$F$17,IF(AD141&lt;$H141*(1-'Feuille de Donnée'!$E$12),'Feuille de Donnée'!$F$18,'Feuille de Donnée'!$F$16))&amp;""&amp;IF(AND(AE141&gt;=$I141*(1-'Feuille de Donnée'!$E$27),AE141&lt;=$I141*(1+'Feuille de Donnée'!$F$27)),'Feuille de Donnée'!$F$32,IF(AE141&lt;$I141*(1-'Feuille de Donnée'!$E$27),'Feuille de Donnée'!$F$33,'Feuille de Donnée'!$F$31)))))</f>
        <v/>
      </c>
      <c r="AK141" s="151"/>
      <c r="AL141" s="110"/>
      <c r="AM141" s="28"/>
      <c r="AN141" s="28"/>
      <c r="AO141" s="28" t="str">
        <f t="shared" si="48"/>
        <v/>
      </c>
      <c r="AP141" s="128" t="str">
        <f t="shared" si="49"/>
        <v/>
      </c>
      <c r="AQ141" s="128" t="str">
        <f t="shared" si="50"/>
        <v/>
      </c>
      <c r="AR141" s="28" t="str">
        <f>IF(AND(ISBLANK(AT141),AS141=""),"",1+MAX(AR$18:AR140))</f>
        <v/>
      </c>
      <c r="AS141" s="150" t="str">
        <f>IF(OR(AO141="",AO141=0,$J141="",$J141=0,NOT(ISNUMBER($J141)),NOT(ISNUMBER(AO141))),IF(AND($G141&lt;&gt;"",AND(OR(ISNUMBER(AO141),AO141=""),AND(ISNUMBER($J141),$J141&gt;0))),'Feuille de Donnée'!$K$13,""),IF(AO141&lt;$J$165*'Feuille de Donnée'!$I$9,"Négligeable",(IF(AND(AM141&gt;=$H141*(1-'Feuille de Donnée'!$E$12),AM141&lt;=$H141*(1+'Feuille de Donnée'!$F$12)),'Feuille de Donnée'!$F$17,IF(AM141&lt;$H141*(1-'Feuille de Donnée'!$E$12),'Feuille de Donnée'!$F$18,'Feuille de Donnée'!$F$16))&amp;""&amp;IF(AND(AN141&gt;=$I141*(1-'Feuille de Donnée'!$E$27),AN141&lt;=$I141*(1+'Feuille de Donnée'!$F$27)),'Feuille de Donnée'!$F$32,IF(AN141&lt;$I141*(1-'Feuille de Donnée'!$E$27),'Feuille de Donnée'!$F$33,'Feuille de Donnée'!$F$31)))))</f>
        <v/>
      </c>
      <c r="AT141" s="151"/>
      <c r="AU141" s="110"/>
      <c r="AV141" s="28"/>
      <c r="AW141" s="28"/>
      <c r="AX141" s="28" t="str">
        <f t="shared" si="51"/>
        <v/>
      </c>
      <c r="AY141" s="128" t="str">
        <f t="shared" si="52"/>
        <v/>
      </c>
      <c r="AZ141" s="128" t="str">
        <f t="shared" si="53"/>
        <v/>
      </c>
      <c r="BA141" s="28" t="str">
        <f>IF(AND(ISBLANK(BC141),BB141=""),"",1+MAX(BA$18:BA140))</f>
        <v/>
      </c>
      <c r="BB141" s="150" t="str">
        <f>IF(OR(AX141="",AX141=0,$J141="",$J141=0,NOT(ISNUMBER($J141)),NOT(ISNUMBER(AX141))),IF(AND($G141&lt;&gt;"",AND(OR(ISNUMBER(AX141),AX141=""),AND(ISNUMBER($J141),$J141&gt;0))),'Feuille de Donnée'!$K$13,""),IF(AX141&lt;$J$165*'Feuille de Donnée'!$I$9,"Négligeable",(IF(AND(AV141&gt;=$H141*(1-'Feuille de Donnée'!$E$12),AV141&lt;=$H141*(1+'Feuille de Donnée'!$F$12)),'Feuille de Donnée'!$F$17,IF(AV141&lt;$H141*(1-'Feuille de Donnée'!$E$12),'Feuille de Donnée'!$F$18,'Feuille de Donnée'!$F$16))&amp;""&amp;IF(AND(AW141&gt;=$I141*(1-'Feuille de Donnée'!$E$27),AW141&lt;=$I141*(1+'Feuille de Donnée'!$F$27)),'Feuille de Donnée'!$F$32,IF(AW141&lt;$I141*(1-'Feuille de Donnée'!$E$27),'Feuille de Donnée'!$F$33,'Feuille de Donnée'!$F$31)))))</f>
        <v/>
      </c>
      <c r="BC141" s="151"/>
      <c r="BD141" s="110"/>
      <c r="BE141" s="28"/>
      <c r="BF141" s="28"/>
      <c r="BG141" s="28" t="str">
        <f t="shared" si="54"/>
        <v/>
      </c>
      <c r="BH141" s="128" t="str">
        <f t="shared" si="55"/>
        <v/>
      </c>
      <c r="BI141" s="128" t="str">
        <f t="shared" si="56"/>
        <v/>
      </c>
      <c r="BJ141" s="28" t="str">
        <f>IF(AND(ISBLANK(BL141),BK141=""),"",1+MAX(BJ$18:BJ140))</f>
        <v/>
      </c>
      <c r="BK141" s="150" t="str">
        <f>IF(OR(BG141="",BG141=0,$J141="",$J141=0,NOT(ISNUMBER($J141)),NOT(ISNUMBER(BG141))),IF(AND($G141&lt;&gt;"",AND(OR(ISNUMBER(BG141),BG141=""),AND(ISNUMBER($J141),$J141&gt;0))),'Feuille de Donnée'!$K$13,""),IF(BG141&lt;$J$165*'Feuille de Donnée'!$I$9,"Négligeable",(IF(AND(BE141&gt;=$H141*(1-'Feuille de Donnée'!$E$12),BE141&lt;=$H141*(1+'Feuille de Donnée'!$F$12)),'Feuille de Donnée'!$F$17,IF(BE141&lt;$H141*(1-'Feuille de Donnée'!$E$12),'Feuille de Donnée'!$F$18,'Feuille de Donnée'!$F$16))&amp;""&amp;IF(AND(BF141&gt;=$I141*(1-'Feuille de Donnée'!$E$27),BF141&lt;=$I141*(1+'Feuille de Donnée'!$F$27)),'Feuille de Donnée'!$F$32,IF(BF141&lt;$I141*(1-'Feuille de Donnée'!$E$27),'Feuille de Donnée'!$F$33,'Feuille de Donnée'!$F$31)))))</f>
        <v/>
      </c>
      <c r="BL141" s="151"/>
      <c r="BM141" s="153"/>
    </row>
    <row r="142" spans="1:65" s="7" customFormat="1" x14ac:dyDescent="0.3">
      <c r="A142" s="24"/>
      <c r="B142" s="25"/>
      <c r="C142" s="25"/>
      <c r="D142" s="25"/>
      <c r="E142" s="25"/>
      <c r="F142" s="25"/>
      <c r="G142" s="23"/>
      <c r="H142" s="26"/>
      <c r="I142" s="27"/>
      <c r="J142" s="109" t="str">
        <f t="shared" si="38"/>
        <v/>
      </c>
      <c r="K142" s="110"/>
      <c r="L142" s="28"/>
      <c r="M142" s="28"/>
      <c r="N142" s="28" t="str">
        <f t="shared" si="39"/>
        <v/>
      </c>
      <c r="O142" s="128" t="str">
        <f t="shared" si="40"/>
        <v/>
      </c>
      <c r="P142" s="128" t="str">
        <f t="shared" si="41"/>
        <v/>
      </c>
      <c r="Q142" s="28" t="str">
        <f>IF(AND(ISBLANK(S142),R142=""),"",1+MAX(Q$18:Q141))</f>
        <v/>
      </c>
      <c r="R142" s="150" t="str">
        <f>IF(OR(N142="",N142=0,$J142="",$J142=0,NOT(ISNUMBER($J142)),NOT(ISNUMBER(N142))),IF(AND($G142&lt;&gt;"",AND(OR(ISNUMBER(N142),N142=""),AND(ISNUMBER($J142),$J142&gt;0))),'Feuille de Donnée'!$K$13,""),IF(N142&lt;$J$165*'Feuille de Donnée'!$I$9,"Négligeable",(IF(AND(L142&gt;=$H142*(1-'Feuille de Donnée'!$E$12),L142&lt;=$H142*(1+'Feuille de Donnée'!$F$12)),'Feuille de Donnée'!$F$17,IF(L142&lt;$H142*(1-'Feuille de Donnée'!$E$12),'Feuille de Donnée'!$F$18,'Feuille de Donnée'!$F$16))&amp;""&amp;IF(AND(M142&gt;=$I142*(1-'Feuille de Donnée'!$E$27),M142&lt;=$I142*(1+'Feuille de Donnée'!$F$27)),'Feuille de Donnée'!$F$32,IF(M142&lt;$I142*(1-'Feuille de Donnée'!$E$27),'Feuille de Donnée'!$F$33,'Feuille de Donnée'!$F$31)))))</f>
        <v/>
      </c>
      <c r="S142" s="151"/>
      <c r="T142" s="110"/>
      <c r="U142" s="28"/>
      <c r="V142" s="28"/>
      <c r="W142" s="28" t="str">
        <f t="shared" si="42"/>
        <v/>
      </c>
      <c r="X142" s="128" t="str">
        <f t="shared" si="43"/>
        <v/>
      </c>
      <c r="Y142" s="128" t="str">
        <f t="shared" si="44"/>
        <v/>
      </c>
      <c r="Z142" s="28" t="str">
        <f>IF(AND(ISBLANK(AB142),AA142=""),"",1+MAX(Z$18:Z141))</f>
        <v/>
      </c>
      <c r="AA142" s="150" t="str">
        <f>IF(OR(W142="",W142=0,$J142="",$J142=0,NOT(ISNUMBER($J142)),NOT(ISNUMBER(W142))),IF(AND($G142&lt;&gt;"",AND(OR(ISNUMBER(W142),W142=""),AND(ISNUMBER($J142),$J142&gt;0))),'Feuille de Donnée'!$K$13,""),IF(W142&lt;$J$165*'Feuille de Donnée'!$I$9,"Négligeable",(IF(AND(U142&gt;=$H142*(1-'Feuille de Donnée'!$E$12),U142&lt;=$H142*(1+'Feuille de Donnée'!$F$12)),'Feuille de Donnée'!$F$17,IF(U142&lt;$H142*(1-'Feuille de Donnée'!$E$12),'Feuille de Donnée'!$F$18,'Feuille de Donnée'!$F$16))&amp;""&amp;IF(AND(V142&gt;=$I142*(1-'Feuille de Donnée'!$E$27),V142&lt;=$I142*(1+'Feuille de Donnée'!$F$27)),'Feuille de Donnée'!$F$32,IF(V142&lt;$I142*(1-'Feuille de Donnée'!$E$27),'Feuille de Donnée'!$F$33,'Feuille de Donnée'!$F$31)))))</f>
        <v/>
      </c>
      <c r="AB142" s="151"/>
      <c r="AC142" s="110"/>
      <c r="AD142" s="28"/>
      <c r="AE142" s="28"/>
      <c r="AF142" s="28" t="str">
        <f t="shared" si="45"/>
        <v/>
      </c>
      <c r="AG142" s="128" t="str">
        <f t="shared" si="46"/>
        <v/>
      </c>
      <c r="AH142" s="128" t="str">
        <f t="shared" si="47"/>
        <v/>
      </c>
      <c r="AI142" s="28" t="str">
        <f>IF(AND(ISBLANK(AK142),AJ142=""),"",1+MAX(AI$18:AI141))</f>
        <v/>
      </c>
      <c r="AJ142" s="150" t="str">
        <f>IF(OR(AF142="",AF142=0,$J142="",$J142=0,NOT(ISNUMBER($J142)),NOT(ISNUMBER(AF142))),IF(AND($G142&lt;&gt;"",AND(OR(ISNUMBER(AF142),AF142=""),AND(ISNUMBER($J142),$J142&gt;0))),'Feuille de Donnée'!$K$13,""),IF(AF142&lt;$J$165*'Feuille de Donnée'!$I$9,"Négligeable",(IF(AND(AD142&gt;=$H142*(1-'Feuille de Donnée'!$E$12),AD142&lt;=$H142*(1+'Feuille de Donnée'!$F$12)),'Feuille de Donnée'!$F$17,IF(AD142&lt;$H142*(1-'Feuille de Donnée'!$E$12),'Feuille de Donnée'!$F$18,'Feuille de Donnée'!$F$16))&amp;""&amp;IF(AND(AE142&gt;=$I142*(1-'Feuille de Donnée'!$E$27),AE142&lt;=$I142*(1+'Feuille de Donnée'!$F$27)),'Feuille de Donnée'!$F$32,IF(AE142&lt;$I142*(1-'Feuille de Donnée'!$E$27),'Feuille de Donnée'!$F$33,'Feuille de Donnée'!$F$31)))))</f>
        <v/>
      </c>
      <c r="AK142" s="151"/>
      <c r="AL142" s="110"/>
      <c r="AM142" s="28"/>
      <c r="AN142" s="28"/>
      <c r="AO142" s="28" t="str">
        <f t="shared" si="48"/>
        <v/>
      </c>
      <c r="AP142" s="128" t="str">
        <f t="shared" si="49"/>
        <v/>
      </c>
      <c r="AQ142" s="128" t="str">
        <f t="shared" si="50"/>
        <v/>
      </c>
      <c r="AR142" s="28" t="str">
        <f>IF(AND(ISBLANK(AT142),AS142=""),"",1+MAX(AR$18:AR141))</f>
        <v/>
      </c>
      <c r="AS142" s="150" t="str">
        <f>IF(OR(AO142="",AO142=0,$J142="",$J142=0,NOT(ISNUMBER($J142)),NOT(ISNUMBER(AO142))),IF(AND($G142&lt;&gt;"",AND(OR(ISNUMBER(AO142),AO142=""),AND(ISNUMBER($J142),$J142&gt;0))),'Feuille de Donnée'!$K$13,""),IF(AO142&lt;$J$165*'Feuille de Donnée'!$I$9,"Négligeable",(IF(AND(AM142&gt;=$H142*(1-'Feuille de Donnée'!$E$12),AM142&lt;=$H142*(1+'Feuille de Donnée'!$F$12)),'Feuille de Donnée'!$F$17,IF(AM142&lt;$H142*(1-'Feuille de Donnée'!$E$12),'Feuille de Donnée'!$F$18,'Feuille de Donnée'!$F$16))&amp;""&amp;IF(AND(AN142&gt;=$I142*(1-'Feuille de Donnée'!$E$27),AN142&lt;=$I142*(1+'Feuille de Donnée'!$F$27)),'Feuille de Donnée'!$F$32,IF(AN142&lt;$I142*(1-'Feuille de Donnée'!$E$27),'Feuille de Donnée'!$F$33,'Feuille de Donnée'!$F$31)))))</f>
        <v/>
      </c>
      <c r="AT142" s="151"/>
      <c r="AU142" s="110"/>
      <c r="AV142" s="28"/>
      <c r="AW142" s="28"/>
      <c r="AX142" s="28" t="str">
        <f t="shared" si="51"/>
        <v/>
      </c>
      <c r="AY142" s="128" t="str">
        <f t="shared" si="52"/>
        <v/>
      </c>
      <c r="AZ142" s="128" t="str">
        <f t="shared" si="53"/>
        <v/>
      </c>
      <c r="BA142" s="28" t="str">
        <f>IF(AND(ISBLANK(BC142),BB142=""),"",1+MAX(BA$18:BA141))</f>
        <v/>
      </c>
      <c r="BB142" s="150" t="str">
        <f>IF(OR(AX142="",AX142=0,$J142="",$J142=0,NOT(ISNUMBER($J142)),NOT(ISNUMBER(AX142))),IF(AND($G142&lt;&gt;"",AND(OR(ISNUMBER(AX142),AX142=""),AND(ISNUMBER($J142),$J142&gt;0))),'Feuille de Donnée'!$K$13,""),IF(AX142&lt;$J$165*'Feuille de Donnée'!$I$9,"Négligeable",(IF(AND(AV142&gt;=$H142*(1-'Feuille de Donnée'!$E$12),AV142&lt;=$H142*(1+'Feuille de Donnée'!$F$12)),'Feuille de Donnée'!$F$17,IF(AV142&lt;$H142*(1-'Feuille de Donnée'!$E$12),'Feuille de Donnée'!$F$18,'Feuille de Donnée'!$F$16))&amp;""&amp;IF(AND(AW142&gt;=$I142*(1-'Feuille de Donnée'!$E$27),AW142&lt;=$I142*(1+'Feuille de Donnée'!$F$27)),'Feuille de Donnée'!$F$32,IF(AW142&lt;$I142*(1-'Feuille de Donnée'!$E$27),'Feuille de Donnée'!$F$33,'Feuille de Donnée'!$F$31)))))</f>
        <v/>
      </c>
      <c r="BC142" s="151"/>
      <c r="BD142" s="110"/>
      <c r="BE142" s="28"/>
      <c r="BF142" s="28"/>
      <c r="BG142" s="28" t="str">
        <f t="shared" si="54"/>
        <v/>
      </c>
      <c r="BH142" s="128" t="str">
        <f t="shared" si="55"/>
        <v/>
      </c>
      <c r="BI142" s="128" t="str">
        <f t="shared" si="56"/>
        <v/>
      </c>
      <c r="BJ142" s="28" t="str">
        <f>IF(AND(ISBLANK(BL142),BK142=""),"",1+MAX(BJ$18:BJ141))</f>
        <v/>
      </c>
      <c r="BK142" s="150" t="str">
        <f>IF(OR(BG142="",BG142=0,$J142="",$J142=0,NOT(ISNUMBER($J142)),NOT(ISNUMBER(BG142))),IF(AND($G142&lt;&gt;"",AND(OR(ISNUMBER(BG142),BG142=""),AND(ISNUMBER($J142),$J142&gt;0))),'Feuille de Donnée'!$K$13,""),IF(BG142&lt;$J$165*'Feuille de Donnée'!$I$9,"Négligeable",(IF(AND(BE142&gt;=$H142*(1-'Feuille de Donnée'!$E$12),BE142&lt;=$H142*(1+'Feuille de Donnée'!$F$12)),'Feuille de Donnée'!$F$17,IF(BE142&lt;$H142*(1-'Feuille de Donnée'!$E$12),'Feuille de Donnée'!$F$18,'Feuille de Donnée'!$F$16))&amp;""&amp;IF(AND(BF142&gt;=$I142*(1-'Feuille de Donnée'!$E$27),BF142&lt;=$I142*(1+'Feuille de Donnée'!$F$27)),'Feuille de Donnée'!$F$32,IF(BF142&lt;$I142*(1-'Feuille de Donnée'!$E$27),'Feuille de Donnée'!$F$33,'Feuille de Donnée'!$F$31)))))</f>
        <v/>
      </c>
      <c r="BL142" s="151"/>
      <c r="BM142" s="153"/>
    </row>
    <row r="143" spans="1:65" s="7" customFormat="1" x14ac:dyDescent="0.3">
      <c r="A143" s="24"/>
      <c r="B143" s="25"/>
      <c r="C143" s="25"/>
      <c r="D143" s="25"/>
      <c r="E143" s="25"/>
      <c r="F143" s="25"/>
      <c r="G143" s="23"/>
      <c r="H143" s="26"/>
      <c r="I143" s="27"/>
      <c r="J143" s="109" t="str">
        <f t="shared" si="38"/>
        <v/>
      </c>
      <c r="K143" s="110"/>
      <c r="L143" s="28"/>
      <c r="M143" s="28"/>
      <c r="N143" s="28" t="str">
        <f t="shared" si="39"/>
        <v/>
      </c>
      <c r="O143" s="128" t="str">
        <f t="shared" si="40"/>
        <v/>
      </c>
      <c r="P143" s="128" t="str">
        <f t="shared" si="41"/>
        <v/>
      </c>
      <c r="Q143" s="28" t="str">
        <f>IF(AND(ISBLANK(S143),R143=""),"",1+MAX(Q$18:Q142))</f>
        <v/>
      </c>
      <c r="R143" s="150" t="str">
        <f>IF(OR(N143="",N143=0,$J143="",$J143=0,NOT(ISNUMBER($J143)),NOT(ISNUMBER(N143))),IF(AND($G143&lt;&gt;"",AND(OR(ISNUMBER(N143),N143=""),AND(ISNUMBER($J143),$J143&gt;0))),'Feuille de Donnée'!$K$13,""),IF(N143&lt;$J$165*'Feuille de Donnée'!$I$9,"Négligeable",(IF(AND(L143&gt;=$H143*(1-'Feuille de Donnée'!$E$12),L143&lt;=$H143*(1+'Feuille de Donnée'!$F$12)),'Feuille de Donnée'!$F$17,IF(L143&lt;$H143*(1-'Feuille de Donnée'!$E$12),'Feuille de Donnée'!$F$18,'Feuille de Donnée'!$F$16))&amp;""&amp;IF(AND(M143&gt;=$I143*(1-'Feuille de Donnée'!$E$27),M143&lt;=$I143*(1+'Feuille de Donnée'!$F$27)),'Feuille de Donnée'!$F$32,IF(M143&lt;$I143*(1-'Feuille de Donnée'!$E$27),'Feuille de Donnée'!$F$33,'Feuille de Donnée'!$F$31)))))</f>
        <v/>
      </c>
      <c r="S143" s="151"/>
      <c r="T143" s="110"/>
      <c r="U143" s="28"/>
      <c r="V143" s="28"/>
      <c r="W143" s="28" t="str">
        <f t="shared" si="42"/>
        <v/>
      </c>
      <c r="X143" s="128" t="str">
        <f t="shared" si="43"/>
        <v/>
      </c>
      <c r="Y143" s="128" t="str">
        <f t="shared" si="44"/>
        <v/>
      </c>
      <c r="Z143" s="28" t="str">
        <f>IF(AND(ISBLANK(AB143),AA143=""),"",1+MAX(Z$18:Z142))</f>
        <v/>
      </c>
      <c r="AA143" s="150" t="str">
        <f>IF(OR(W143="",W143=0,$J143="",$J143=0,NOT(ISNUMBER($J143)),NOT(ISNUMBER(W143))),IF(AND($G143&lt;&gt;"",AND(OR(ISNUMBER(W143),W143=""),AND(ISNUMBER($J143),$J143&gt;0))),'Feuille de Donnée'!$K$13,""),IF(W143&lt;$J$165*'Feuille de Donnée'!$I$9,"Négligeable",(IF(AND(U143&gt;=$H143*(1-'Feuille de Donnée'!$E$12),U143&lt;=$H143*(1+'Feuille de Donnée'!$F$12)),'Feuille de Donnée'!$F$17,IF(U143&lt;$H143*(1-'Feuille de Donnée'!$E$12),'Feuille de Donnée'!$F$18,'Feuille de Donnée'!$F$16))&amp;""&amp;IF(AND(V143&gt;=$I143*(1-'Feuille de Donnée'!$E$27),V143&lt;=$I143*(1+'Feuille de Donnée'!$F$27)),'Feuille de Donnée'!$F$32,IF(V143&lt;$I143*(1-'Feuille de Donnée'!$E$27),'Feuille de Donnée'!$F$33,'Feuille de Donnée'!$F$31)))))</f>
        <v/>
      </c>
      <c r="AB143" s="151"/>
      <c r="AC143" s="110"/>
      <c r="AD143" s="28"/>
      <c r="AE143" s="28"/>
      <c r="AF143" s="28" t="str">
        <f t="shared" si="45"/>
        <v/>
      </c>
      <c r="AG143" s="128" t="str">
        <f t="shared" si="46"/>
        <v/>
      </c>
      <c r="AH143" s="128" t="str">
        <f t="shared" si="47"/>
        <v/>
      </c>
      <c r="AI143" s="28" t="str">
        <f>IF(AND(ISBLANK(AK143),AJ143=""),"",1+MAX(AI$18:AI142))</f>
        <v/>
      </c>
      <c r="AJ143" s="150" t="str">
        <f>IF(OR(AF143="",AF143=0,$J143="",$J143=0,NOT(ISNUMBER($J143)),NOT(ISNUMBER(AF143))),IF(AND($G143&lt;&gt;"",AND(OR(ISNUMBER(AF143),AF143=""),AND(ISNUMBER($J143),$J143&gt;0))),'Feuille de Donnée'!$K$13,""),IF(AF143&lt;$J$165*'Feuille de Donnée'!$I$9,"Négligeable",(IF(AND(AD143&gt;=$H143*(1-'Feuille de Donnée'!$E$12),AD143&lt;=$H143*(1+'Feuille de Donnée'!$F$12)),'Feuille de Donnée'!$F$17,IF(AD143&lt;$H143*(1-'Feuille de Donnée'!$E$12),'Feuille de Donnée'!$F$18,'Feuille de Donnée'!$F$16))&amp;""&amp;IF(AND(AE143&gt;=$I143*(1-'Feuille de Donnée'!$E$27),AE143&lt;=$I143*(1+'Feuille de Donnée'!$F$27)),'Feuille de Donnée'!$F$32,IF(AE143&lt;$I143*(1-'Feuille de Donnée'!$E$27),'Feuille de Donnée'!$F$33,'Feuille de Donnée'!$F$31)))))</f>
        <v/>
      </c>
      <c r="AK143" s="151"/>
      <c r="AL143" s="110"/>
      <c r="AM143" s="28"/>
      <c r="AN143" s="28"/>
      <c r="AO143" s="28" t="str">
        <f t="shared" si="48"/>
        <v/>
      </c>
      <c r="AP143" s="128" t="str">
        <f t="shared" si="49"/>
        <v/>
      </c>
      <c r="AQ143" s="128" t="str">
        <f t="shared" si="50"/>
        <v/>
      </c>
      <c r="AR143" s="28" t="str">
        <f>IF(AND(ISBLANK(AT143),AS143=""),"",1+MAX(AR$18:AR142))</f>
        <v/>
      </c>
      <c r="AS143" s="150" t="str">
        <f>IF(OR(AO143="",AO143=0,$J143="",$J143=0,NOT(ISNUMBER($J143)),NOT(ISNUMBER(AO143))),IF(AND($G143&lt;&gt;"",AND(OR(ISNUMBER(AO143),AO143=""),AND(ISNUMBER($J143),$J143&gt;0))),'Feuille de Donnée'!$K$13,""),IF(AO143&lt;$J$165*'Feuille de Donnée'!$I$9,"Négligeable",(IF(AND(AM143&gt;=$H143*(1-'Feuille de Donnée'!$E$12),AM143&lt;=$H143*(1+'Feuille de Donnée'!$F$12)),'Feuille de Donnée'!$F$17,IF(AM143&lt;$H143*(1-'Feuille de Donnée'!$E$12),'Feuille de Donnée'!$F$18,'Feuille de Donnée'!$F$16))&amp;""&amp;IF(AND(AN143&gt;=$I143*(1-'Feuille de Donnée'!$E$27),AN143&lt;=$I143*(1+'Feuille de Donnée'!$F$27)),'Feuille de Donnée'!$F$32,IF(AN143&lt;$I143*(1-'Feuille de Donnée'!$E$27),'Feuille de Donnée'!$F$33,'Feuille de Donnée'!$F$31)))))</f>
        <v/>
      </c>
      <c r="AT143" s="151"/>
      <c r="AU143" s="110"/>
      <c r="AV143" s="28"/>
      <c r="AW143" s="28"/>
      <c r="AX143" s="28" t="str">
        <f t="shared" si="51"/>
        <v/>
      </c>
      <c r="AY143" s="128" t="str">
        <f t="shared" si="52"/>
        <v/>
      </c>
      <c r="AZ143" s="128" t="str">
        <f t="shared" si="53"/>
        <v/>
      </c>
      <c r="BA143" s="28" t="str">
        <f>IF(AND(ISBLANK(BC143),BB143=""),"",1+MAX(BA$18:BA142))</f>
        <v/>
      </c>
      <c r="BB143" s="150" t="str">
        <f>IF(OR(AX143="",AX143=0,$J143="",$J143=0,NOT(ISNUMBER($J143)),NOT(ISNUMBER(AX143))),IF(AND($G143&lt;&gt;"",AND(OR(ISNUMBER(AX143),AX143=""),AND(ISNUMBER($J143),$J143&gt;0))),'Feuille de Donnée'!$K$13,""),IF(AX143&lt;$J$165*'Feuille de Donnée'!$I$9,"Négligeable",(IF(AND(AV143&gt;=$H143*(1-'Feuille de Donnée'!$E$12),AV143&lt;=$H143*(1+'Feuille de Donnée'!$F$12)),'Feuille de Donnée'!$F$17,IF(AV143&lt;$H143*(1-'Feuille de Donnée'!$E$12),'Feuille de Donnée'!$F$18,'Feuille de Donnée'!$F$16))&amp;""&amp;IF(AND(AW143&gt;=$I143*(1-'Feuille de Donnée'!$E$27),AW143&lt;=$I143*(1+'Feuille de Donnée'!$F$27)),'Feuille de Donnée'!$F$32,IF(AW143&lt;$I143*(1-'Feuille de Donnée'!$E$27),'Feuille de Donnée'!$F$33,'Feuille de Donnée'!$F$31)))))</f>
        <v/>
      </c>
      <c r="BC143" s="151"/>
      <c r="BD143" s="110"/>
      <c r="BE143" s="28"/>
      <c r="BF143" s="28"/>
      <c r="BG143" s="28" t="str">
        <f t="shared" si="54"/>
        <v/>
      </c>
      <c r="BH143" s="128" t="str">
        <f t="shared" si="55"/>
        <v/>
      </c>
      <c r="BI143" s="128" t="str">
        <f t="shared" si="56"/>
        <v/>
      </c>
      <c r="BJ143" s="28" t="str">
        <f>IF(AND(ISBLANK(BL143),BK143=""),"",1+MAX(BJ$18:BJ142))</f>
        <v/>
      </c>
      <c r="BK143" s="150" t="str">
        <f>IF(OR(BG143="",BG143=0,$J143="",$J143=0,NOT(ISNUMBER($J143)),NOT(ISNUMBER(BG143))),IF(AND($G143&lt;&gt;"",AND(OR(ISNUMBER(BG143),BG143=""),AND(ISNUMBER($J143),$J143&gt;0))),'Feuille de Donnée'!$K$13,""),IF(BG143&lt;$J$165*'Feuille de Donnée'!$I$9,"Négligeable",(IF(AND(BE143&gt;=$H143*(1-'Feuille de Donnée'!$E$12),BE143&lt;=$H143*(1+'Feuille de Donnée'!$F$12)),'Feuille de Donnée'!$F$17,IF(BE143&lt;$H143*(1-'Feuille de Donnée'!$E$12),'Feuille de Donnée'!$F$18,'Feuille de Donnée'!$F$16))&amp;""&amp;IF(AND(BF143&gt;=$I143*(1-'Feuille de Donnée'!$E$27),BF143&lt;=$I143*(1+'Feuille de Donnée'!$F$27)),'Feuille de Donnée'!$F$32,IF(BF143&lt;$I143*(1-'Feuille de Donnée'!$E$27),'Feuille de Donnée'!$F$33,'Feuille de Donnée'!$F$31)))))</f>
        <v/>
      </c>
      <c r="BL143" s="151"/>
      <c r="BM143" s="153"/>
    </row>
    <row r="144" spans="1:65" s="7" customFormat="1" x14ac:dyDescent="0.3">
      <c r="A144" s="24"/>
      <c r="B144" s="25"/>
      <c r="C144" s="25"/>
      <c r="D144" s="25"/>
      <c r="E144" s="25"/>
      <c r="F144" s="25"/>
      <c r="G144" s="23"/>
      <c r="H144" s="26"/>
      <c r="I144" s="27"/>
      <c r="J144" s="109" t="str">
        <f t="shared" si="38"/>
        <v/>
      </c>
      <c r="K144" s="110"/>
      <c r="L144" s="28"/>
      <c r="M144" s="28"/>
      <c r="N144" s="28" t="str">
        <f t="shared" si="39"/>
        <v/>
      </c>
      <c r="O144" s="128" t="str">
        <f t="shared" si="40"/>
        <v/>
      </c>
      <c r="P144" s="128" t="str">
        <f t="shared" si="41"/>
        <v/>
      </c>
      <c r="Q144" s="28" t="str">
        <f>IF(AND(ISBLANK(S144),R144=""),"",1+MAX(Q$18:Q143))</f>
        <v/>
      </c>
      <c r="R144" s="150" t="str">
        <f>IF(OR(N144="",N144=0,$J144="",$J144=0,NOT(ISNUMBER($J144)),NOT(ISNUMBER(N144))),IF(AND($G144&lt;&gt;"",AND(OR(ISNUMBER(N144),N144=""),AND(ISNUMBER($J144),$J144&gt;0))),'Feuille de Donnée'!$K$13,""),IF(N144&lt;$J$165*'Feuille de Donnée'!$I$9,"Négligeable",(IF(AND(L144&gt;=$H144*(1-'Feuille de Donnée'!$E$12),L144&lt;=$H144*(1+'Feuille de Donnée'!$F$12)),'Feuille de Donnée'!$F$17,IF(L144&lt;$H144*(1-'Feuille de Donnée'!$E$12),'Feuille de Donnée'!$F$18,'Feuille de Donnée'!$F$16))&amp;""&amp;IF(AND(M144&gt;=$I144*(1-'Feuille de Donnée'!$E$27),M144&lt;=$I144*(1+'Feuille de Donnée'!$F$27)),'Feuille de Donnée'!$F$32,IF(M144&lt;$I144*(1-'Feuille de Donnée'!$E$27),'Feuille de Donnée'!$F$33,'Feuille de Donnée'!$F$31)))))</f>
        <v/>
      </c>
      <c r="S144" s="151"/>
      <c r="T144" s="110"/>
      <c r="U144" s="28"/>
      <c r="V144" s="28"/>
      <c r="W144" s="28" t="str">
        <f t="shared" si="42"/>
        <v/>
      </c>
      <c r="X144" s="128" t="str">
        <f t="shared" si="43"/>
        <v/>
      </c>
      <c r="Y144" s="128" t="str">
        <f t="shared" si="44"/>
        <v/>
      </c>
      <c r="Z144" s="28" t="str">
        <f>IF(AND(ISBLANK(AB144),AA144=""),"",1+MAX(Z$18:Z143))</f>
        <v/>
      </c>
      <c r="AA144" s="150" t="str">
        <f>IF(OR(W144="",W144=0,$J144="",$J144=0,NOT(ISNUMBER($J144)),NOT(ISNUMBER(W144))),IF(AND($G144&lt;&gt;"",AND(OR(ISNUMBER(W144),W144=""),AND(ISNUMBER($J144),$J144&gt;0))),'Feuille de Donnée'!$K$13,""),IF(W144&lt;$J$165*'Feuille de Donnée'!$I$9,"Négligeable",(IF(AND(U144&gt;=$H144*(1-'Feuille de Donnée'!$E$12),U144&lt;=$H144*(1+'Feuille de Donnée'!$F$12)),'Feuille de Donnée'!$F$17,IF(U144&lt;$H144*(1-'Feuille de Donnée'!$E$12),'Feuille de Donnée'!$F$18,'Feuille de Donnée'!$F$16))&amp;""&amp;IF(AND(V144&gt;=$I144*(1-'Feuille de Donnée'!$E$27),V144&lt;=$I144*(1+'Feuille de Donnée'!$F$27)),'Feuille de Donnée'!$F$32,IF(V144&lt;$I144*(1-'Feuille de Donnée'!$E$27),'Feuille de Donnée'!$F$33,'Feuille de Donnée'!$F$31)))))</f>
        <v/>
      </c>
      <c r="AB144" s="151"/>
      <c r="AC144" s="110"/>
      <c r="AD144" s="28"/>
      <c r="AE144" s="28"/>
      <c r="AF144" s="28" t="str">
        <f t="shared" si="45"/>
        <v/>
      </c>
      <c r="AG144" s="128" t="str">
        <f t="shared" si="46"/>
        <v/>
      </c>
      <c r="AH144" s="128" t="str">
        <f t="shared" si="47"/>
        <v/>
      </c>
      <c r="AI144" s="28" t="str">
        <f>IF(AND(ISBLANK(AK144),AJ144=""),"",1+MAX(AI$18:AI143))</f>
        <v/>
      </c>
      <c r="AJ144" s="150" t="str">
        <f>IF(OR(AF144="",AF144=0,$J144="",$J144=0,NOT(ISNUMBER($J144)),NOT(ISNUMBER(AF144))),IF(AND($G144&lt;&gt;"",AND(OR(ISNUMBER(AF144),AF144=""),AND(ISNUMBER($J144),$J144&gt;0))),'Feuille de Donnée'!$K$13,""),IF(AF144&lt;$J$165*'Feuille de Donnée'!$I$9,"Négligeable",(IF(AND(AD144&gt;=$H144*(1-'Feuille de Donnée'!$E$12),AD144&lt;=$H144*(1+'Feuille de Donnée'!$F$12)),'Feuille de Donnée'!$F$17,IF(AD144&lt;$H144*(1-'Feuille de Donnée'!$E$12),'Feuille de Donnée'!$F$18,'Feuille de Donnée'!$F$16))&amp;""&amp;IF(AND(AE144&gt;=$I144*(1-'Feuille de Donnée'!$E$27),AE144&lt;=$I144*(1+'Feuille de Donnée'!$F$27)),'Feuille de Donnée'!$F$32,IF(AE144&lt;$I144*(1-'Feuille de Donnée'!$E$27),'Feuille de Donnée'!$F$33,'Feuille de Donnée'!$F$31)))))</f>
        <v/>
      </c>
      <c r="AK144" s="151"/>
      <c r="AL144" s="110"/>
      <c r="AM144" s="28"/>
      <c r="AN144" s="28"/>
      <c r="AO144" s="28" t="str">
        <f t="shared" si="48"/>
        <v/>
      </c>
      <c r="AP144" s="128" t="str">
        <f t="shared" si="49"/>
        <v/>
      </c>
      <c r="AQ144" s="128" t="str">
        <f t="shared" si="50"/>
        <v/>
      </c>
      <c r="AR144" s="28" t="str">
        <f>IF(AND(ISBLANK(AT144),AS144=""),"",1+MAX(AR$18:AR143))</f>
        <v/>
      </c>
      <c r="AS144" s="150" t="str">
        <f>IF(OR(AO144="",AO144=0,$J144="",$J144=0,NOT(ISNUMBER($J144)),NOT(ISNUMBER(AO144))),IF(AND($G144&lt;&gt;"",AND(OR(ISNUMBER(AO144),AO144=""),AND(ISNUMBER($J144),$J144&gt;0))),'Feuille de Donnée'!$K$13,""),IF(AO144&lt;$J$165*'Feuille de Donnée'!$I$9,"Négligeable",(IF(AND(AM144&gt;=$H144*(1-'Feuille de Donnée'!$E$12),AM144&lt;=$H144*(1+'Feuille de Donnée'!$F$12)),'Feuille de Donnée'!$F$17,IF(AM144&lt;$H144*(1-'Feuille de Donnée'!$E$12),'Feuille de Donnée'!$F$18,'Feuille de Donnée'!$F$16))&amp;""&amp;IF(AND(AN144&gt;=$I144*(1-'Feuille de Donnée'!$E$27),AN144&lt;=$I144*(1+'Feuille de Donnée'!$F$27)),'Feuille de Donnée'!$F$32,IF(AN144&lt;$I144*(1-'Feuille de Donnée'!$E$27),'Feuille de Donnée'!$F$33,'Feuille de Donnée'!$F$31)))))</f>
        <v/>
      </c>
      <c r="AT144" s="151"/>
      <c r="AU144" s="110"/>
      <c r="AV144" s="28"/>
      <c r="AW144" s="28"/>
      <c r="AX144" s="28" t="str">
        <f t="shared" si="51"/>
        <v/>
      </c>
      <c r="AY144" s="128" t="str">
        <f t="shared" si="52"/>
        <v/>
      </c>
      <c r="AZ144" s="128" t="str">
        <f t="shared" si="53"/>
        <v/>
      </c>
      <c r="BA144" s="28" t="str">
        <f>IF(AND(ISBLANK(BC144),BB144=""),"",1+MAX(BA$18:BA143))</f>
        <v/>
      </c>
      <c r="BB144" s="150" t="str">
        <f>IF(OR(AX144="",AX144=0,$J144="",$J144=0,NOT(ISNUMBER($J144)),NOT(ISNUMBER(AX144))),IF(AND($G144&lt;&gt;"",AND(OR(ISNUMBER(AX144),AX144=""),AND(ISNUMBER($J144),$J144&gt;0))),'Feuille de Donnée'!$K$13,""),IF(AX144&lt;$J$165*'Feuille de Donnée'!$I$9,"Négligeable",(IF(AND(AV144&gt;=$H144*(1-'Feuille de Donnée'!$E$12),AV144&lt;=$H144*(1+'Feuille de Donnée'!$F$12)),'Feuille de Donnée'!$F$17,IF(AV144&lt;$H144*(1-'Feuille de Donnée'!$E$12),'Feuille de Donnée'!$F$18,'Feuille de Donnée'!$F$16))&amp;""&amp;IF(AND(AW144&gt;=$I144*(1-'Feuille de Donnée'!$E$27),AW144&lt;=$I144*(1+'Feuille de Donnée'!$F$27)),'Feuille de Donnée'!$F$32,IF(AW144&lt;$I144*(1-'Feuille de Donnée'!$E$27),'Feuille de Donnée'!$F$33,'Feuille de Donnée'!$F$31)))))</f>
        <v/>
      </c>
      <c r="BC144" s="151"/>
      <c r="BD144" s="110"/>
      <c r="BE144" s="28"/>
      <c r="BF144" s="28"/>
      <c r="BG144" s="28" t="str">
        <f t="shared" si="54"/>
        <v/>
      </c>
      <c r="BH144" s="128" t="str">
        <f t="shared" si="55"/>
        <v/>
      </c>
      <c r="BI144" s="128" t="str">
        <f t="shared" si="56"/>
        <v/>
      </c>
      <c r="BJ144" s="28" t="str">
        <f>IF(AND(ISBLANK(BL144),BK144=""),"",1+MAX(BJ$18:BJ143))</f>
        <v/>
      </c>
      <c r="BK144" s="150" t="str">
        <f>IF(OR(BG144="",BG144=0,$J144="",$J144=0,NOT(ISNUMBER($J144)),NOT(ISNUMBER(BG144))),IF(AND($G144&lt;&gt;"",AND(OR(ISNUMBER(BG144),BG144=""),AND(ISNUMBER($J144),$J144&gt;0))),'Feuille de Donnée'!$K$13,""),IF(BG144&lt;$J$165*'Feuille de Donnée'!$I$9,"Négligeable",(IF(AND(BE144&gt;=$H144*(1-'Feuille de Donnée'!$E$12),BE144&lt;=$H144*(1+'Feuille de Donnée'!$F$12)),'Feuille de Donnée'!$F$17,IF(BE144&lt;$H144*(1-'Feuille de Donnée'!$E$12),'Feuille de Donnée'!$F$18,'Feuille de Donnée'!$F$16))&amp;""&amp;IF(AND(BF144&gt;=$I144*(1-'Feuille de Donnée'!$E$27),BF144&lt;=$I144*(1+'Feuille de Donnée'!$F$27)),'Feuille de Donnée'!$F$32,IF(BF144&lt;$I144*(1-'Feuille de Donnée'!$E$27),'Feuille de Donnée'!$F$33,'Feuille de Donnée'!$F$31)))))</f>
        <v/>
      </c>
      <c r="BL144" s="151"/>
      <c r="BM144" s="153"/>
    </row>
    <row r="145" spans="1:65" s="7" customFormat="1" x14ac:dyDescent="0.3">
      <c r="A145" s="24"/>
      <c r="B145" s="25"/>
      <c r="C145" s="25"/>
      <c r="D145" s="25"/>
      <c r="E145" s="25"/>
      <c r="F145" s="25"/>
      <c r="G145" s="23"/>
      <c r="H145" s="26"/>
      <c r="I145" s="27"/>
      <c r="J145" s="109" t="str">
        <f t="shared" si="38"/>
        <v/>
      </c>
      <c r="K145" s="110"/>
      <c r="L145" s="28"/>
      <c r="M145" s="28"/>
      <c r="N145" s="28" t="str">
        <f t="shared" si="39"/>
        <v/>
      </c>
      <c r="O145" s="128" t="str">
        <f t="shared" si="40"/>
        <v/>
      </c>
      <c r="P145" s="128" t="str">
        <f t="shared" si="41"/>
        <v/>
      </c>
      <c r="Q145" s="28" t="str">
        <f>IF(AND(ISBLANK(S145),R145=""),"",1+MAX(Q$18:Q144))</f>
        <v/>
      </c>
      <c r="R145" s="150" t="str">
        <f>IF(OR(N145="",N145=0,$J145="",$J145=0,NOT(ISNUMBER($J145)),NOT(ISNUMBER(N145))),IF(AND($G145&lt;&gt;"",AND(OR(ISNUMBER(N145),N145=""),AND(ISNUMBER($J145),$J145&gt;0))),'Feuille de Donnée'!$K$13,""),IF(N145&lt;$J$165*'Feuille de Donnée'!$I$9,"Négligeable",(IF(AND(L145&gt;=$H145*(1-'Feuille de Donnée'!$E$12),L145&lt;=$H145*(1+'Feuille de Donnée'!$F$12)),'Feuille de Donnée'!$F$17,IF(L145&lt;$H145*(1-'Feuille de Donnée'!$E$12),'Feuille de Donnée'!$F$18,'Feuille de Donnée'!$F$16))&amp;""&amp;IF(AND(M145&gt;=$I145*(1-'Feuille de Donnée'!$E$27),M145&lt;=$I145*(1+'Feuille de Donnée'!$F$27)),'Feuille de Donnée'!$F$32,IF(M145&lt;$I145*(1-'Feuille de Donnée'!$E$27),'Feuille de Donnée'!$F$33,'Feuille de Donnée'!$F$31)))))</f>
        <v/>
      </c>
      <c r="S145" s="151"/>
      <c r="T145" s="110"/>
      <c r="U145" s="28"/>
      <c r="V145" s="28"/>
      <c r="W145" s="28" t="str">
        <f t="shared" si="42"/>
        <v/>
      </c>
      <c r="X145" s="128" t="str">
        <f t="shared" si="43"/>
        <v/>
      </c>
      <c r="Y145" s="128" t="str">
        <f t="shared" si="44"/>
        <v/>
      </c>
      <c r="Z145" s="28" t="str">
        <f>IF(AND(ISBLANK(AB145),AA145=""),"",1+MAX(Z$18:Z144))</f>
        <v/>
      </c>
      <c r="AA145" s="150" t="str">
        <f>IF(OR(W145="",W145=0,$J145="",$J145=0,NOT(ISNUMBER($J145)),NOT(ISNUMBER(W145))),IF(AND($G145&lt;&gt;"",AND(OR(ISNUMBER(W145),W145=""),AND(ISNUMBER($J145),$J145&gt;0))),'Feuille de Donnée'!$K$13,""),IF(W145&lt;$J$165*'Feuille de Donnée'!$I$9,"Négligeable",(IF(AND(U145&gt;=$H145*(1-'Feuille de Donnée'!$E$12),U145&lt;=$H145*(1+'Feuille de Donnée'!$F$12)),'Feuille de Donnée'!$F$17,IF(U145&lt;$H145*(1-'Feuille de Donnée'!$E$12),'Feuille de Donnée'!$F$18,'Feuille de Donnée'!$F$16))&amp;""&amp;IF(AND(V145&gt;=$I145*(1-'Feuille de Donnée'!$E$27),V145&lt;=$I145*(1+'Feuille de Donnée'!$F$27)),'Feuille de Donnée'!$F$32,IF(V145&lt;$I145*(1-'Feuille de Donnée'!$E$27),'Feuille de Donnée'!$F$33,'Feuille de Donnée'!$F$31)))))</f>
        <v/>
      </c>
      <c r="AB145" s="151"/>
      <c r="AC145" s="110"/>
      <c r="AD145" s="28"/>
      <c r="AE145" s="28"/>
      <c r="AF145" s="28" t="str">
        <f t="shared" si="45"/>
        <v/>
      </c>
      <c r="AG145" s="128" t="str">
        <f t="shared" si="46"/>
        <v/>
      </c>
      <c r="AH145" s="128" t="str">
        <f t="shared" si="47"/>
        <v/>
      </c>
      <c r="AI145" s="28" t="str">
        <f>IF(AND(ISBLANK(AK145),AJ145=""),"",1+MAX(AI$18:AI144))</f>
        <v/>
      </c>
      <c r="AJ145" s="150" t="str">
        <f>IF(OR(AF145="",AF145=0,$J145="",$J145=0,NOT(ISNUMBER($J145)),NOT(ISNUMBER(AF145))),IF(AND($G145&lt;&gt;"",AND(OR(ISNUMBER(AF145),AF145=""),AND(ISNUMBER($J145),$J145&gt;0))),'Feuille de Donnée'!$K$13,""),IF(AF145&lt;$J$165*'Feuille de Donnée'!$I$9,"Négligeable",(IF(AND(AD145&gt;=$H145*(1-'Feuille de Donnée'!$E$12),AD145&lt;=$H145*(1+'Feuille de Donnée'!$F$12)),'Feuille de Donnée'!$F$17,IF(AD145&lt;$H145*(1-'Feuille de Donnée'!$E$12),'Feuille de Donnée'!$F$18,'Feuille de Donnée'!$F$16))&amp;""&amp;IF(AND(AE145&gt;=$I145*(1-'Feuille de Donnée'!$E$27),AE145&lt;=$I145*(1+'Feuille de Donnée'!$F$27)),'Feuille de Donnée'!$F$32,IF(AE145&lt;$I145*(1-'Feuille de Donnée'!$E$27),'Feuille de Donnée'!$F$33,'Feuille de Donnée'!$F$31)))))</f>
        <v/>
      </c>
      <c r="AK145" s="151"/>
      <c r="AL145" s="110"/>
      <c r="AM145" s="28"/>
      <c r="AN145" s="28"/>
      <c r="AO145" s="28" t="str">
        <f t="shared" si="48"/>
        <v/>
      </c>
      <c r="AP145" s="128" t="str">
        <f t="shared" si="49"/>
        <v/>
      </c>
      <c r="AQ145" s="128" t="str">
        <f t="shared" si="50"/>
        <v/>
      </c>
      <c r="AR145" s="28" t="str">
        <f>IF(AND(ISBLANK(AT145),AS145=""),"",1+MAX(AR$18:AR144))</f>
        <v/>
      </c>
      <c r="AS145" s="150" t="str">
        <f>IF(OR(AO145="",AO145=0,$J145="",$J145=0,NOT(ISNUMBER($J145)),NOT(ISNUMBER(AO145))),IF(AND($G145&lt;&gt;"",AND(OR(ISNUMBER(AO145),AO145=""),AND(ISNUMBER($J145),$J145&gt;0))),'Feuille de Donnée'!$K$13,""),IF(AO145&lt;$J$165*'Feuille de Donnée'!$I$9,"Négligeable",(IF(AND(AM145&gt;=$H145*(1-'Feuille de Donnée'!$E$12),AM145&lt;=$H145*(1+'Feuille de Donnée'!$F$12)),'Feuille de Donnée'!$F$17,IF(AM145&lt;$H145*(1-'Feuille de Donnée'!$E$12),'Feuille de Donnée'!$F$18,'Feuille de Donnée'!$F$16))&amp;""&amp;IF(AND(AN145&gt;=$I145*(1-'Feuille de Donnée'!$E$27),AN145&lt;=$I145*(1+'Feuille de Donnée'!$F$27)),'Feuille de Donnée'!$F$32,IF(AN145&lt;$I145*(1-'Feuille de Donnée'!$E$27),'Feuille de Donnée'!$F$33,'Feuille de Donnée'!$F$31)))))</f>
        <v/>
      </c>
      <c r="AT145" s="151"/>
      <c r="AU145" s="110"/>
      <c r="AV145" s="28"/>
      <c r="AW145" s="28"/>
      <c r="AX145" s="28" t="str">
        <f t="shared" si="51"/>
        <v/>
      </c>
      <c r="AY145" s="128" t="str">
        <f t="shared" si="52"/>
        <v/>
      </c>
      <c r="AZ145" s="128" t="str">
        <f t="shared" si="53"/>
        <v/>
      </c>
      <c r="BA145" s="28" t="str">
        <f>IF(AND(ISBLANK(BC145),BB145=""),"",1+MAX(BA$18:BA144))</f>
        <v/>
      </c>
      <c r="BB145" s="150" t="str">
        <f>IF(OR(AX145="",AX145=0,$J145="",$J145=0,NOT(ISNUMBER($J145)),NOT(ISNUMBER(AX145))),IF(AND($G145&lt;&gt;"",AND(OR(ISNUMBER(AX145),AX145=""),AND(ISNUMBER($J145),$J145&gt;0))),'Feuille de Donnée'!$K$13,""),IF(AX145&lt;$J$165*'Feuille de Donnée'!$I$9,"Négligeable",(IF(AND(AV145&gt;=$H145*(1-'Feuille de Donnée'!$E$12),AV145&lt;=$H145*(1+'Feuille de Donnée'!$F$12)),'Feuille de Donnée'!$F$17,IF(AV145&lt;$H145*(1-'Feuille de Donnée'!$E$12),'Feuille de Donnée'!$F$18,'Feuille de Donnée'!$F$16))&amp;""&amp;IF(AND(AW145&gt;=$I145*(1-'Feuille de Donnée'!$E$27),AW145&lt;=$I145*(1+'Feuille de Donnée'!$F$27)),'Feuille de Donnée'!$F$32,IF(AW145&lt;$I145*(1-'Feuille de Donnée'!$E$27),'Feuille de Donnée'!$F$33,'Feuille de Donnée'!$F$31)))))</f>
        <v/>
      </c>
      <c r="BC145" s="151"/>
      <c r="BD145" s="110"/>
      <c r="BE145" s="28"/>
      <c r="BF145" s="28"/>
      <c r="BG145" s="28" t="str">
        <f t="shared" si="54"/>
        <v/>
      </c>
      <c r="BH145" s="128" t="str">
        <f t="shared" si="55"/>
        <v/>
      </c>
      <c r="BI145" s="128" t="str">
        <f t="shared" si="56"/>
        <v/>
      </c>
      <c r="BJ145" s="28" t="str">
        <f>IF(AND(ISBLANK(BL145),BK145=""),"",1+MAX(BJ$18:BJ144))</f>
        <v/>
      </c>
      <c r="BK145" s="150" t="str">
        <f>IF(OR(BG145="",BG145=0,$J145="",$J145=0,NOT(ISNUMBER($J145)),NOT(ISNUMBER(BG145))),IF(AND($G145&lt;&gt;"",AND(OR(ISNUMBER(BG145),BG145=""),AND(ISNUMBER($J145),$J145&gt;0))),'Feuille de Donnée'!$K$13,""),IF(BG145&lt;$J$165*'Feuille de Donnée'!$I$9,"Négligeable",(IF(AND(BE145&gt;=$H145*(1-'Feuille de Donnée'!$E$12),BE145&lt;=$H145*(1+'Feuille de Donnée'!$F$12)),'Feuille de Donnée'!$F$17,IF(BE145&lt;$H145*(1-'Feuille de Donnée'!$E$12),'Feuille de Donnée'!$F$18,'Feuille de Donnée'!$F$16))&amp;""&amp;IF(AND(BF145&gt;=$I145*(1-'Feuille de Donnée'!$E$27),BF145&lt;=$I145*(1+'Feuille de Donnée'!$F$27)),'Feuille de Donnée'!$F$32,IF(BF145&lt;$I145*(1-'Feuille de Donnée'!$E$27),'Feuille de Donnée'!$F$33,'Feuille de Donnée'!$F$31)))))</f>
        <v/>
      </c>
      <c r="BL145" s="151"/>
      <c r="BM145" s="153"/>
    </row>
    <row r="146" spans="1:65" s="7" customFormat="1" x14ac:dyDescent="0.3">
      <c r="A146" s="24"/>
      <c r="B146" s="25"/>
      <c r="C146" s="25"/>
      <c r="D146" s="25"/>
      <c r="E146" s="25"/>
      <c r="F146" s="25"/>
      <c r="G146" s="23"/>
      <c r="H146" s="26"/>
      <c r="I146" s="27"/>
      <c r="J146" s="109" t="str">
        <f t="shared" si="38"/>
        <v/>
      </c>
      <c r="K146" s="110"/>
      <c r="L146" s="28"/>
      <c r="M146" s="28"/>
      <c r="N146" s="28" t="str">
        <f t="shared" si="39"/>
        <v/>
      </c>
      <c r="O146" s="128" t="str">
        <f t="shared" si="40"/>
        <v/>
      </c>
      <c r="P146" s="128" t="str">
        <f t="shared" si="41"/>
        <v/>
      </c>
      <c r="Q146" s="28" t="str">
        <f>IF(AND(ISBLANK(S146),R146=""),"",1+MAX(Q$18:Q145))</f>
        <v/>
      </c>
      <c r="R146" s="150" t="str">
        <f>IF(OR(N146="",N146=0,$J146="",$J146=0,NOT(ISNUMBER($J146)),NOT(ISNUMBER(N146))),IF(AND($G146&lt;&gt;"",AND(OR(ISNUMBER(N146),N146=""),AND(ISNUMBER($J146),$J146&gt;0))),'Feuille de Donnée'!$K$13,""),IF(N146&lt;$J$165*'Feuille de Donnée'!$I$9,"Négligeable",(IF(AND(L146&gt;=$H146*(1-'Feuille de Donnée'!$E$12),L146&lt;=$H146*(1+'Feuille de Donnée'!$F$12)),'Feuille de Donnée'!$F$17,IF(L146&lt;$H146*(1-'Feuille de Donnée'!$E$12),'Feuille de Donnée'!$F$18,'Feuille de Donnée'!$F$16))&amp;""&amp;IF(AND(M146&gt;=$I146*(1-'Feuille de Donnée'!$E$27),M146&lt;=$I146*(1+'Feuille de Donnée'!$F$27)),'Feuille de Donnée'!$F$32,IF(M146&lt;$I146*(1-'Feuille de Donnée'!$E$27),'Feuille de Donnée'!$F$33,'Feuille de Donnée'!$F$31)))))</f>
        <v/>
      </c>
      <c r="S146" s="151"/>
      <c r="T146" s="110"/>
      <c r="U146" s="28"/>
      <c r="V146" s="28"/>
      <c r="W146" s="28" t="str">
        <f t="shared" si="42"/>
        <v/>
      </c>
      <c r="X146" s="128" t="str">
        <f t="shared" si="43"/>
        <v/>
      </c>
      <c r="Y146" s="128" t="str">
        <f t="shared" si="44"/>
        <v/>
      </c>
      <c r="Z146" s="28" t="str">
        <f>IF(AND(ISBLANK(AB146),AA146=""),"",1+MAX(Z$18:Z145))</f>
        <v/>
      </c>
      <c r="AA146" s="150" t="str">
        <f>IF(OR(W146="",W146=0,$J146="",$J146=0,NOT(ISNUMBER($J146)),NOT(ISNUMBER(W146))),IF(AND($G146&lt;&gt;"",AND(OR(ISNUMBER(W146),W146=""),AND(ISNUMBER($J146),$J146&gt;0))),'Feuille de Donnée'!$K$13,""),IF(W146&lt;$J$165*'Feuille de Donnée'!$I$9,"Négligeable",(IF(AND(U146&gt;=$H146*(1-'Feuille de Donnée'!$E$12),U146&lt;=$H146*(1+'Feuille de Donnée'!$F$12)),'Feuille de Donnée'!$F$17,IF(U146&lt;$H146*(1-'Feuille de Donnée'!$E$12),'Feuille de Donnée'!$F$18,'Feuille de Donnée'!$F$16))&amp;""&amp;IF(AND(V146&gt;=$I146*(1-'Feuille de Donnée'!$E$27),V146&lt;=$I146*(1+'Feuille de Donnée'!$F$27)),'Feuille de Donnée'!$F$32,IF(V146&lt;$I146*(1-'Feuille de Donnée'!$E$27),'Feuille de Donnée'!$F$33,'Feuille de Donnée'!$F$31)))))</f>
        <v/>
      </c>
      <c r="AB146" s="151"/>
      <c r="AC146" s="110"/>
      <c r="AD146" s="28"/>
      <c r="AE146" s="28"/>
      <c r="AF146" s="28" t="str">
        <f t="shared" si="45"/>
        <v/>
      </c>
      <c r="AG146" s="128" t="str">
        <f t="shared" si="46"/>
        <v/>
      </c>
      <c r="AH146" s="128" t="str">
        <f t="shared" si="47"/>
        <v/>
      </c>
      <c r="AI146" s="28" t="str">
        <f>IF(AND(ISBLANK(AK146),AJ146=""),"",1+MAX(AI$18:AI145))</f>
        <v/>
      </c>
      <c r="AJ146" s="150" t="str">
        <f>IF(OR(AF146="",AF146=0,$J146="",$J146=0,NOT(ISNUMBER($J146)),NOT(ISNUMBER(AF146))),IF(AND($G146&lt;&gt;"",AND(OR(ISNUMBER(AF146),AF146=""),AND(ISNUMBER($J146),$J146&gt;0))),'Feuille de Donnée'!$K$13,""),IF(AF146&lt;$J$165*'Feuille de Donnée'!$I$9,"Négligeable",(IF(AND(AD146&gt;=$H146*(1-'Feuille de Donnée'!$E$12),AD146&lt;=$H146*(1+'Feuille de Donnée'!$F$12)),'Feuille de Donnée'!$F$17,IF(AD146&lt;$H146*(1-'Feuille de Donnée'!$E$12),'Feuille de Donnée'!$F$18,'Feuille de Donnée'!$F$16))&amp;""&amp;IF(AND(AE146&gt;=$I146*(1-'Feuille de Donnée'!$E$27),AE146&lt;=$I146*(1+'Feuille de Donnée'!$F$27)),'Feuille de Donnée'!$F$32,IF(AE146&lt;$I146*(1-'Feuille de Donnée'!$E$27),'Feuille de Donnée'!$F$33,'Feuille de Donnée'!$F$31)))))</f>
        <v/>
      </c>
      <c r="AK146" s="151"/>
      <c r="AL146" s="110"/>
      <c r="AM146" s="28"/>
      <c r="AN146" s="28"/>
      <c r="AO146" s="28" t="str">
        <f t="shared" si="48"/>
        <v/>
      </c>
      <c r="AP146" s="128" t="str">
        <f t="shared" si="49"/>
        <v/>
      </c>
      <c r="AQ146" s="128" t="str">
        <f t="shared" si="50"/>
        <v/>
      </c>
      <c r="AR146" s="28" t="str">
        <f>IF(AND(ISBLANK(AT146),AS146=""),"",1+MAX(AR$18:AR145))</f>
        <v/>
      </c>
      <c r="AS146" s="150" t="str">
        <f>IF(OR(AO146="",AO146=0,$J146="",$J146=0,NOT(ISNUMBER($J146)),NOT(ISNUMBER(AO146))),IF(AND($G146&lt;&gt;"",AND(OR(ISNUMBER(AO146),AO146=""),AND(ISNUMBER($J146),$J146&gt;0))),'Feuille de Donnée'!$K$13,""),IF(AO146&lt;$J$165*'Feuille de Donnée'!$I$9,"Négligeable",(IF(AND(AM146&gt;=$H146*(1-'Feuille de Donnée'!$E$12),AM146&lt;=$H146*(1+'Feuille de Donnée'!$F$12)),'Feuille de Donnée'!$F$17,IF(AM146&lt;$H146*(1-'Feuille de Donnée'!$E$12),'Feuille de Donnée'!$F$18,'Feuille de Donnée'!$F$16))&amp;""&amp;IF(AND(AN146&gt;=$I146*(1-'Feuille de Donnée'!$E$27),AN146&lt;=$I146*(1+'Feuille de Donnée'!$F$27)),'Feuille de Donnée'!$F$32,IF(AN146&lt;$I146*(1-'Feuille de Donnée'!$E$27),'Feuille de Donnée'!$F$33,'Feuille de Donnée'!$F$31)))))</f>
        <v/>
      </c>
      <c r="AT146" s="151"/>
      <c r="AU146" s="110"/>
      <c r="AV146" s="28"/>
      <c r="AW146" s="28"/>
      <c r="AX146" s="28" t="str">
        <f t="shared" si="51"/>
        <v/>
      </c>
      <c r="AY146" s="128" t="str">
        <f t="shared" si="52"/>
        <v/>
      </c>
      <c r="AZ146" s="128" t="str">
        <f t="shared" si="53"/>
        <v/>
      </c>
      <c r="BA146" s="28" t="str">
        <f>IF(AND(ISBLANK(BC146),BB146=""),"",1+MAX(BA$18:BA145))</f>
        <v/>
      </c>
      <c r="BB146" s="150" t="str">
        <f>IF(OR(AX146="",AX146=0,$J146="",$J146=0,NOT(ISNUMBER($J146)),NOT(ISNUMBER(AX146))),IF(AND($G146&lt;&gt;"",AND(OR(ISNUMBER(AX146),AX146=""),AND(ISNUMBER($J146),$J146&gt;0))),'Feuille de Donnée'!$K$13,""),IF(AX146&lt;$J$165*'Feuille de Donnée'!$I$9,"Négligeable",(IF(AND(AV146&gt;=$H146*(1-'Feuille de Donnée'!$E$12),AV146&lt;=$H146*(1+'Feuille de Donnée'!$F$12)),'Feuille de Donnée'!$F$17,IF(AV146&lt;$H146*(1-'Feuille de Donnée'!$E$12),'Feuille de Donnée'!$F$18,'Feuille de Donnée'!$F$16))&amp;""&amp;IF(AND(AW146&gt;=$I146*(1-'Feuille de Donnée'!$E$27),AW146&lt;=$I146*(1+'Feuille de Donnée'!$F$27)),'Feuille de Donnée'!$F$32,IF(AW146&lt;$I146*(1-'Feuille de Donnée'!$E$27),'Feuille de Donnée'!$F$33,'Feuille de Donnée'!$F$31)))))</f>
        <v/>
      </c>
      <c r="BC146" s="151"/>
      <c r="BD146" s="110"/>
      <c r="BE146" s="28"/>
      <c r="BF146" s="28"/>
      <c r="BG146" s="28" t="str">
        <f t="shared" si="54"/>
        <v/>
      </c>
      <c r="BH146" s="128" t="str">
        <f t="shared" si="55"/>
        <v/>
      </c>
      <c r="BI146" s="128" t="str">
        <f t="shared" si="56"/>
        <v/>
      </c>
      <c r="BJ146" s="28" t="str">
        <f>IF(AND(ISBLANK(BL146),BK146=""),"",1+MAX(BJ$18:BJ145))</f>
        <v/>
      </c>
      <c r="BK146" s="150" t="str">
        <f>IF(OR(BG146="",BG146=0,$J146="",$J146=0,NOT(ISNUMBER($J146)),NOT(ISNUMBER(BG146))),IF(AND($G146&lt;&gt;"",AND(OR(ISNUMBER(BG146),BG146=""),AND(ISNUMBER($J146),$J146&gt;0))),'Feuille de Donnée'!$K$13,""),IF(BG146&lt;$J$165*'Feuille de Donnée'!$I$9,"Négligeable",(IF(AND(BE146&gt;=$H146*(1-'Feuille de Donnée'!$E$12),BE146&lt;=$H146*(1+'Feuille de Donnée'!$F$12)),'Feuille de Donnée'!$F$17,IF(BE146&lt;$H146*(1-'Feuille de Donnée'!$E$12),'Feuille de Donnée'!$F$18,'Feuille de Donnée'!$F$16))&amp;""&amp;IF(AND(BF146&gt;=$I146*(1-'Feuille de Donnée'!$E$27),BF146&lt;=$I146*(1+'Feuille de Donnée'!$F$27)),'Feuille de Donnée'!$F$32,IF(BF146&lt;$I146*(1-'Feuille de Donnée'!$E$27),'Feuille de Donnée'!$F$33,'Feuille de Donnée'!$F$31)))))</f>
        <v/>
      </c>
      <c r="BL146" s="151"/>
      <c r="BM146" s="153"/>
    </row>
    <row r="147" spans="1:65" s="7" customFormat="1" x14ac:dyDescent="0.3">
      <c r="A147" s="24"/>
      <c r="B147" s="25"/>
      <c r="C147" s="25"/>
      <c r="D147" s="25"/>
      <c r="E147" s="25"/>
      <c r="F147" s="25"/>
      <c r="G147" s="23"/>
      <c r="H147" s="26"/>
      <c r="I147" s="27"/>
      <c r="J147" s="109" t="str">
        <f t="shared" si="38"/>
        <v/>
      </c>
      <c r="K147" s="110"/>
      <c r="L147" s="28"/>
      <c r="M147" s="28"/>
      <c r="N147" s="28" t="str">
        <f t="shared" si="39"/>
        <v/>
      </c>
      <c r="O147" s="128" t="str">
        <f t="shared" si="40"/>
        <v/>
      </c>
      <c r="P147" s="128" t="str">
        <f t="shared" si="41"/>
        <v/>
      </c>
      <c r="Q147" s="28" t="str">
        <f>IF(AND(ISBLANK(S147),R147=""),"",1+MAX(Q$18:Q146))</f>
        <v/>
      </c>
      <c r="R147" s="150" t="str">
        <f>IF(OR(N147="",N147=0,$J147="",$J147=0,NOT(ISNUMBER($J147)),NOT(ISNUMBER(N147))),IF(AND($G147&lt;&gt;"",AND(OR(ISNUMBER(N147),N147=""),AND(ISNUMBER($J147),$J147&gt;0))),'Feuille de Donnée'!$K$13,""),IF(N147&lt;$J$165*'Feuille de Donnée'!$I$9,"Négligeable",(IF(AND(L147&gt;=$H147*(1-'Feuille de Donnée'!$E$12),L147&lt;=$H147*(1+'Feuille de Donnée'!$F$12)),'Feuille de Donnée'!$F$17,IF(L147&lt;$H147*(1-'Feuille de Donnée'!$E$12),'Feuille de Donnée'!$F$18,'Feuille de Donnée'!$F$16))&amp;""&amp;IF(AND(M147&gt;=$I147*(1-'Feuille de Donnée'!$E$27),M147&lt;=$I147*(1+'Feuille de Donnée'!$F$27)),'Feuille de Donnée'!$F$32,IF(M147&lt;$I147*(1-'Feuille de Donnée'!$E$27),'Feuille de Donnée'!$F$33,'Feuille de Donnée'!$F$31)))))</f>
        <v/>
      </c>
      <c r="S147" s="151"/>
      <c r="T147" s="110"/>
      <c r="U147" s="28"/>
      <c r="V147" s="28"/>
      <c r="W147" s="28" t="str">
        <f t="shared" si="42"/>
        <v/>
      </c>
      <c r="X147" s="128" t="str">
        <f t="shared" si="43"/>
        <v/>
      </c>
      <c r="Y147" s="128" t="str">
        <f t="shared" si="44"/>
        <v/>
      </c>
      <c r="Z147" s="28" t="str">
        <f>IF(AND(ISBLANK(AB147),AA147=""),"",1+MAX(Z$18:Z146))</f>
        <v/>
      </c>
      <c r="AA147" s="150" t="str">
        <f>IF(OR(W147="",W147=0,$J147="",$J147=0,NOT(ISNUMBER($J147)),NOT(ISNUMBER(W147))),IF(AND($G147&lt;&gt;"",AND(OR(ISNUMBER(W147),W147=""),AND(ISNUMBER($J147),$J147&gt;0))),'Feuille de Donnée'!$K$13,""),IF(W147&lt;$J$165*'Feuille de Donnée'!$I$9,"Négligeable",(IF(AND(U147&gt;=$H147*(1-'Feuille de Donnée'!$E$12),U147&lt;=$H147*(1+'Feuille de Donnée'!$F$12)),'Feuille de Donnée'!$F$17,IF(U147&lt;$H147*(1-'Feuille de Donnée'!$E$12),'Feuille de Donnée'!$F$18,'Feuille de Donnée'!$F$16))&amp;""&amp;IF(AND(V147&gt;=$I147*(1-'Feuille de Donnée'!$E$27),V147&lt;=$I147*(1+'Feuille de Donnée'!$F$27)),'Feuille de Donnée'!$F$32,IF(V147&lt;$I147*(1-'Feuille de Donnée'!$E$27),'Feuille de Donnée'!$F$33,'Feuille de Donnée'!$F$31)))))</f>
        <v/>
      </c>
      <c r="AB147" s="151"/>
      <c r="AC147" s="110"/>
      <c r="AD147" s="28"/>
      <c r="AE147" s="28"/>
      <c r="AF147" s="28" t="str">
        <f t="shared" si="45"/>
        <v/>
      </c>
      <c r="AG147" s="128" t="str">
        <f t="shared" si="46"/>
        <v/>
      </c>
      <c r="AH147" s="128" t="str">
        <f t="shared" si="47"/>
        <v/>
      </c>
      <c r="AI147" s="28" t="str">
        <f>IF(AND(ISBLANK(AK147),AJ147=""),"",1+MAX(AI$18:AI146))</f>
        <v/>
      </c>
      <c r="AJ147" s="150" t="str">
        <f>IF(OR(AF147="",AF147=0,$J147="",$J147=0,NOT(ISNUMBER($J147)),NOT(ISNUMBER(AF147))),IF(AND($G147&lt;&gt;"",AND(OR(ISNUMBER(AF147),AF147=""),AND(ISNUMBER($J147),$J147&gt;0))),'Feuille de Donnée'!$K$13,""),IF(AF147&lt;$J$165*'Feuille de Donnée'!$I$9,"Négligeable",(IF(AND(AD147&gt;=$H147*(1-'Feuille de Donnée'!$E$12),AD147&lt;=$H147*(1+'Feuille de Donnée'!$F$12)),'Feuille de Donnée'!$F$17,IF(AD147&lt;$H147*(1-'Feuille de Donnée'!$E$12),'Feuille de Donnée'!$F$18,'Feuille de Donnée'!$F$16))&amp;""&amp;IF(AND(AE147&gt;=$I147*(1-'Feuille de Donnée'!$E$27),AE147&lt;=$I147*(1+'Feuille de Donnée'!$F$27)),'Feuille de Donnée'!$F$32,IF(AE147&lt;$I147*(1-'Feuille de Donnée'!$E$27),'Feuille de Donnée'!$F$33,'Feuille de Donnée'!$F$31)))))</f>
        <v/>
      </c>
      <c r="AK147" s="151"/>
      <c r="AL147" s="110"/>
      <c r="AM147" s="28"/>
      <c r="AN147" s="28"/>
      <c r="AO147" s="28" t="str">
        <f t="shared" si="48"/>
        <v/>
      </c>
      <c r="AP147" s="128" t="str">
        <f t="shared" si="49"/>
        <v/>
      </c>
      <c r="AQ147" s="128" t="str">
        <f t="shared" si="50"/>
        <v/>
      </c>
      <c r="AR147" s="28" t="str">
        <f>IF(AND(ISBLANK(AT147),AS147=""),"",1+MAX(AR$18:AR146))</f>
        <v/>
      </c>
      <c r="AS147" s="150" t="str">
        <f>IF(OR(AO147="",AO147=0,$J147="",$J147=0,NOT(ISNUMBER($J147)),NOT(ISNUMBER(AO147))),IF(AND($G147&lt;&gt;"",AND(OR(ISNUMBER(AO147),AO147=""),AND(ISNUMBER($J147),$J147&gt;0))),'Feuille de Donnée'!$K$13,""),IF(AO147&lt;$J$165*'Feuille de Donnée'!$I$9,"Négligeable",(IF(AND(AM147&gt;=$H147*(1-'Feuille de Donnée'!$E$12),AM147&lt;=$H147*(1+'Feuille de Donnée'!$F$12)),'Feuille de Donnée'!$F$17,IF(AM147&lt;$H147*(1-'Feuille de Donnée'!$E$12),'Feuille de Donnée'!$F$18,'Feuille de Donnée'!$F$16))&amp;""&amp;IF(AND(AN147&gt;=$I147*(1-'Feuille de Donnée'!$E$27),AN147&lt;=$I147*(1+'Feuille de Donnée'!$F$27)),'Feuille de Donnée'!$F$32,IF(AN147&lt;$I147*(1-'Feuille de Donnée'!$E$27),'Feuille de Donnée'!$F$33,'Feuille de Donnée'!$F$31)))))</f>
        <v/>
      </c>
      <c r="AT147" s="151"/>
      <c r="AU147" s="110"/>
      <c r="AV147" s="28"/>
      <c r="AW147" s="28"/>
      <c r="AX147" s="28" t="str">
        <f t="shared" si="51"/>
        <v/>
      </c>
      <c r="AY147" s="128" t="str">
        <f t="shared" si="52"/>
        <v/>
      </c>
      <c r="AZ147" s="128" t="str">
        <f t="shared" si="53"/>
        <v/>
      </c>
      <c r="BA147" s="28" t="str">
        <f>IF(AND(ISBLANK(BC147),BB147=""),"",1+MAX(BA$18:BA146))</f>
        <v/>
      </c>
      <c r="BB147" s="150" t="str">
        <f>IF(OR(AX147="",AX147=0,$J147="",$J147=0,NOT(ISNUMBER($J147)),NOT(ISNUMBER(AX147))),IF(AND($G147&lt;&gt;"",AND(OR(ISNUMBER(AX147),AX147=""),AND(ISNUMBER($J147),$J147&gt;0))),'Feuille de Donnée'!$K$13,""),IF(AX147&lt;$J$165*'Feuille de Donnée'!$I$9,"Négligeable",(IF(AND(AV147&gt;=$H147*(1-'Feuille de Donnée'!$E$12),AV147&lt;=$H147*(1+'Feuille de Donnée'!$F$12)),'Feuille de Donnée'!$F$17,IF(AV147&lt;$H147*(1-'Feuille de Donnée'!$E$12),'Feuille de Donnée'!$F$18,'Feuille de Donnée'!$F$16))&amp;""&amp;IF(AND(AW147&gt;=$I147*(1-'Feuille de Donnée'!$E$27),AW147&lt;=$I147*(1+'Feuille de Donnée'!$F$27)),'Feuille de Donnée'!$F$32,IF(AW147&lt;$I147*(1-'Feuille de Donnée'!$E$27),'Feuille de Donnée'!$F$33,'Feuille de Donnée'!$F$31)))))</f>
        <v/>
      </c>
      <c r="BC147" s="151"/>
      <c r="BD147" s="110"/>
      <c r="BE147" s="28"/>
      <c r="BF147" s="28"/>
      <c r="BG147" s="28" t="str">
        <f t="shared" si="54"/>
        <v/>
      </c>
      <c r="BH147" s="128" t="str">
        <f t="shared" si="55"/>
        <v/>
      </c>
      <c r="BI147" s="128" t="str">
        <f t="shared" si="56"/>
        <v/>
      </c>
      <c r="BJ147" s="28" t="str">
        <f>IF(AND(ISBLANK(BL147),BK147=""),"",1+MAX(BJ$18:BJ146))</f>
        <v/>
      </c>
      <c r="BK147" s="150" t="str">
        <f>IF(OR(BG147="",BG147=0,$J147="",$J147=0,NOT(ISNUMBER($J147)),NOT(ISNUMBER(BG147))),IF(AND($G147&lt;&gt;"",AND(OR(ISNUMBER(BG147),BG147=""),AND(ISNUMBER($J147),$J147&gt;0))),'Feuille de Donnée'!$K$13,""),IF(BG147&lt;$J$165*'Feuille de Donnée'!$I$9,"Négligeable",(IF(AND(BE147&gt;=$H147*(1-'Feuille de Donnée'!$E$12),BE147&lt;=$H147*(1+'Feuille de Donnée'!$F$12)),'Feuille de Donnée'!$F$17,IF(BE147&lt;$H147*(1-'Feuille de Donnée'!$E$12),'Feuille de Donnée'!$F$18,'Feuille de Donnée'!$F$16))&amp;""&amp;IF(AND(BF147&gt;=$I147*(1-'Feuille de Donnée'!$E$27),BF147&lt;=$I147*(1+'Feuille de Donnée'!$F$27)),'Feuille de Donnée'!$F$32,IF(BF147&lt;$I147*(1-'Feuille de Donnée'!$E$27),'Feuille de Donnée'!$F$33,'Feuille de Donnée'!$F$31)))))</f>
        <v/>
      </c>
      <c r="BL147" s="151"/>
      <c r="BM147" s="153"/>
    </row>
    <row r="148" spans="1:65" s="7" customFormat="1" x14ac:dyDescent="0.3">
      <c r="A148" s="24"/>
      <c r="B148" s="25"/>
      <c r="C148" s="25"/>
      <c r="D148" s="25"/>
      <c r="E148" s="25"/>
      <c r="F148" s="25"/>
      <c r="G148" s="23"/>
      <c r="H148" s="26"/>
      <c r="I148" s="27"/>
      <c r="J148" s="109" t="str">
        <f t="shared" si="38"/>
        <v/>
      </c>
      <c r="K148" s="110"/>
      <c r="L148" s="28"/>
      <c r="M148" s="28"/>
      <c r="N148" s="28" t="str">
        <f t="shared" si="39"/>
        <v/>
      </c>
      <c r="O148" s="128" t="str">
        <f t="shared" si="40"/>
        <v/>
      </c>
      <c r="P148" s="128" t="str">
        <f t="shared" si="41"/>
        <v/>
      </c>
      <c r="Q148" s="28" t="str">
        <f>IF(AND(ISBLANK(S148),R148=""),"",1+MAX(Q$18:Q147))</f>
        <v/>
      </c>
      <c r="R148" s="150" t="str">
        <f>IF(OR(N148="",N148=0,$J148="",$J148=0,NOT(ISNUMBER($J148)),NOT(ISNUMBER(N148))),IF(AND($G148&lt;&gt;"",AND(OR(ISNUMBER(N148),N148=""),AND(ISNUMBER($J148),$J148&gt;0))),'Feuille de Donnée'!$K$13,""),IF(N148&lt;$J$165*'Feuille de Donnée'!$I$9,"Négligeable",(IF(AND(L148&gt;=$H148*(1-'Feuille de Donnée'!$E$12),L148&lt;=$H148*(1+'Feuille de Donnée'!$F$12)),'Feuille de Donnée'!$F$17,IF(L148&lt;$H148*(1-'Feuille de Donnée'!$E$12),'Feuille de Donnée'!$F$18,'Feuille de Donnée'!$F$16))&amp;""&amp;IF(AND(M148&gt;=$I148*(1-'Feuille de Donnée'!$E$27),M148&lt;=$I148*(1+'Feuille de Donnée'!$F$27)),'Feuille de Donnée'!$F$32,IF(M148&lt;$I148*(1-'Feuille de Donnée'!$E$27),'Feuille de Donnée'!$F$33,'Feuille de Donnée'!$F$31)))))</f>
        <v/>
      </c>
      <c r="S148" s="151"/>
      <c r="T148" s="110"/>
      <c r="U148" s="28"/>
      <c r="V148" s="28"/>
      <c r="W148" s="28" t="str">
        <f t="shared" si="42"/>
        <v/>
      </c>
      <c r="X148" s="128" t="str">
        <f t="shared" si="43"/>
        <v/>
      </c>
      <c r="Y148" s="128" t="str">
        <f t="shared" si="44"/>
        <v/>
      </c>
      <c r="Z148" s="28" t="str">
        <f>IF(AND(ISBLANK(AB148),AA148=""),"",1+MAX(Z$18:Z147))</f>
        <v/>
      </c>
      <c r="AA148" s="150" t="str">
        <f>IF(OR(W148="",W148=0,$J148="",$J148=0,NOT(ISNUMBER($J148)),NOT(ISNUMBER(W148))),IF(AND($G148&lt;&gt;"",AND(OR(ISNUMBER(W148),W148=""),AND(ISNUMBER($J148),$J148&gt;0))),'Feuille de Donnée'!$K$13,""),IF(W148&lt;$J$165*'Feuille de Donnée'!$I$9,"Négligeable",(IF(AND(U148&gt;=$H148*(1-'Feuille de Donnée'!$E$12),U148&lt;=$H148*(1+'Feuille de Donnée'!$F$12)),'Feuille de Donnée'!$F$17,IF(U148&lt;$H148*(1-'Feuille de Donnée'!$E$12),'Feuille de Donnée'!$F$18,'Feuille de Donnée'!$F$16))&amp;""&amp;IF(AND(V148&gt;=$I148*(1-'Feuille de Donnée'!$E$27),V148&lt;=$I148*(1+'Feuille de Donnée'!$F$27)),'Feuille de Donnée'!$F$32,IF(V148&lt;$I148*(1-'Feuille de Donnée'!$E$27),'Feuille de Donnée'!$F$33,'Feuille de Donnée'!$F$31)))))</f>
        <v/>
      </c>
      <c r="AB148" s="151"/>
      <c r="AC148" s="110"/>
      <c r="AD148" s="28"/>
      <c r="AE148" s="28"/>
      <c r="AF148" s="28" t="str">
        <f t="shared" si="45"/>
        <v/>
      </c>
      <c r="AG148" s="128" t="str">
        <f t="shared" si="46"/>
        <v/>
      </c>
      <c r="AH148" s="128" t="str">
        <f t="shared" si="47"/>
        <v/>
      </c>
      <c r="AI148" s="28" t="str">
        <f>IF(AND(ISBLANK(AK148),AJ148=""),"",1+MAX(AI$18:AI147))</f>
        <v/>
      </c>
      <c r="AJ148" s="150" t="str">
        <f>IF(OR(AF148="",AF148=0,$J148="",$J148=0,NOT(ISNUMBER($J148)),NOT(ISNUMBER(AF148))),IF(AND($G148&lt;&gt;"",AND(OR(ISNUMBER(AF148),AF148=""),AND(ISNUMBER($J148),$J148&gt;0))),'Feuille de Donnée'!$K$13,""),IF(AF148&lt;$J$165*'Feuille de Donnée'!$I$9,"Négligeable",(IF(AND(AD148&gt;=$H148*(1-'Feuille de Donnée'!$E$12),AD148&lt;=$H148*(1+'Feuille de Donnée'!$F$12)),'Feuille de Donnée'!$F$17,IF(AD148&lt;$H148*(1-'Feuille de Donnée'!$E$12),'Feuille de Donnée'!$F$18,'Feuille de Donnée'!$F$16))&amp;""&amp;IF(AND(AE148&gt;=$I148*(1-'Feuille de Donnée'!$E$27),AE148&lt;=$I148*(1+'Feuille de Donnée'!$F$27)),'Feuille de Donnée'!$F$32,IF(AE148&lt;$I148*(1-'Feuille de Donnée'!$E$27),'Feuille de Donnée'!$F$33,'Feuille de Donnée'!$F$31)))))</f>
        <v/>
      </c>
      <c r="AK148" s="151"/>
      <c r="AL148" s="110"/>
      <c r="AM148" s="28"/>
      <c r="AN148" s="28"/>
      <c r="AO148" s="28" t="str">
        <f t="shared" si="48"/>
        <v/>
      </c>
      <c r="AP148" s="128" t="str">
        <f t="shared" si="49"/>
        <v/>
      </c>
      <c r="AQ148" s="128" t="str">
        <f t="shared" si="50"/>
        <v/>
      </c>
      <c r="AR148" s="28" t="str">
        <f>IF(AND(ISBLANK(AT148),AS148=""),"",1+MAX(AR$18:AR147))</f>
        <v/>
      </c>
      <c r="AS148" s="150" t="str">
        <f>IF(OR(AO148="",AO148=0,$J148="",$J148=0,NOT(ISNUMBER($J148)),NOT(ISNUMBER(AO148))),IF(AND($G148&lt;&gt;"",AND(OR(ISNUMBER(AO148),AO148=""),AND(ISNUMBER($J148),$J148&gt;0))),'Feuille de Donnée'!$K$13,""),IF(AO148&lt;$J$165*'Feuille de Donnée'!$I$9,"Négligeable",(IF(AND(AM148&gt;=$H148*(1-'Feuille de Donnée'!$E$12),AM148&lt;=$H148*(1+'Feuille de Donnée'!$F$12)),'Feuille de Donnée'!$F$17,IF(AM148&lt;$H148*(1-'Feuille de Donnée'!$E$12),'Feuille de Donnée'!$F$18,'Feuille de Donnée'!$F$16))&amp;""&amp;IF(AND(AN148&gt;=$I148*(1-'Feuille de Donnée'!$E$27),AN148&lt;=$I148*(1+'Feuille de Donnée'!$F$27)),'Feuille de Donnée'!$F$32,IF(AN148&lt;$I148*(1-'Feuille de Donnée'!$E$27),'Feuille de Donnée'!$F$33,'Feuille de Donnée'!$F$31)))))</f>
        <v/>
      </c>
      <c r="AT148" s="151"/>
      <c r="AU148" s="110"/>
      <c r="AV148" s="28"/>
      <c r="AW148" s="28"/>
      <c r="AX148" s="28" t="str">
        <f t="shared" si="51"/>
        <v/>
      </c>
      <c r="AY148" s="128" t="str">
        <f t="shared" si="52"/>
        <v/>
      </c>
      <c r="AZ148" s="128" t="str">
        <f t="shared" si="53"/>
        <v/>
      </c>
      <c r="BA148" s="28" t="str">
        <f>IF(AND(ISBLANK(BC148),BB148=""),"",1+MAX(BA$18:BA147))</f>
        <v/>
      </c>
      <c r="BB148" s="150" t="str">
        <f>IF(OR(AX148="",AX148=0,$J148="",$J148=0,NOT(ISNUMBER($J148)),NOT(ISNUMBER(AX148))),IF(AND($G148&lt;&gt;"",AND(OR(ISNUMBER(AX148),AX148=""),AND(ISNUMBER($J148),$J148&gt;0))),'Feuille de Donnée'!$K$13,""),IF(AX148&lt;$J$165*'Feuille de Donnée'!$I$9,"Négligeable",(IF(AND(AV148&gt;=$H148*(1-'Feuille de Donnée'!$E$12),AV148&lt;=$H148*(1+'Feuille de Donnée'!$F$12)),'Feuille de Donnée'!$F$17,IF(AV148&lt;$H148*(1-'Feuille de Donnée'!$E$12),'Feuille de Donnée'!$F$18,'Feuille de Donnée'!$F$16))&amp;""&amp;IF(AND(AW148&gt;=$I148*(1-'Feuille de Donnée'!$E$27),AW148&lt;=$I148*(1+'Feuille de Donnée'!$F$27)),'Feuille de Donnée'!$F$32,IF(AW148&lt;$I148*(1-'Feuille de Donnée'!$E$27),'Feuille de Donnée'!$F$33,'Feuille de Donnée'!$F$31)))))</f>
        <v/>
      </c>
      <c r="BC148" s="151"/>
      <c r="BD148" s="110"/>
      <c r="BE148" s="28"/>
      <c r="BF148" s="28"/>
      <c r="BG148" s="28" t="str">
        <f t="shared" si="54"/>
        <v/>
      </c>
      <c r="BH148" s="128" t="str">
        <f t="shared" si="55"/>
        <v/>
      </c>
      <c r="BI148" s="128" t="str">
        <f t="shared" si="56"/>
        <v/>
      </c>
      <c r="BJ148" s="28" t="str">
        <f>IF(AND(ISBLANK(BL148),BK148=""),"",1+MAX(BJ$18:BJ147))</f>
        <v/>
      </c>
      <c r="BK148" s="150" t="str">
        <f>IF(OR(BG148="",BG148=0,$J148="",$J148=0,NOT(ISNUMBER($J148)),NOT(ISNUMBER(BG148))),IF(AND($G148&lt;&gt;"",AND(OR(ISNUMBER(BG148),BG148=""),AND(ISNUMBER($J148),$J148&gt;0))),'Feuille de Donnée'!$K$13,""),IF(BG148&lt;$J$165*'Feuille de Donnée'!$I$9,"Négligeable",(IF(AND(BE148&gt;=$H148*(1-'Feuille de Donnée'!$E$12),BE148&lt;=$H148*(1+'Feuille de Donnée'!$F$12)),'Feuille de Donnée'!$F$17,IF(BE148&lt;$H148*(1-'Feuille de Donnée'!$E$12),'Feuille de Donnée'!$F$18,'Feuille de Donnée'!$F$16))&amp;""&amp;IF(AND(BF148&gt;=$I148*(1-'Feuille de Donnée'!$E$27),BF148&lt;=$I148*(1+'Feuille de Donnée'!$F$27)),'Feuille de Donnée'!$F$32,IF(BF148&lt;$I148*(1-'Feuille de Donnée'!$E$27),'Feuille de Donnée'!$F$33,'Feuille de Donnée'!$F$31)))))</f>
        <v/>
      </c>
      <c r="BL148" s="151"/>
      <c r="BM148" s="153"/>
    </row>
    <row r="149" spans="1:65" s="7" customFormat="1" x14ac:dyDescent="0.3">
      <c r="A149" s="24"/>
      <c r="B149" s="25"/>
      <c r="C149" s="25"/>
      <c r="D149" s="25"/>
      <c r="E149" s="25"/>
      <c r="F149" s="25"/>
      <c r="G149" s="23"/>
      <c r="H149" s="26"/>
      <c r="I149" s="27"/>
      <c r="J149" s="109" t="str">
        <f t="shared" ref="J149:J162" si="57">IF(ISBLANK(G149),"",ROUND(H149*I149,2))</f>
        <v/>
      </c>
      <c r="K149" s="110"/>
      <c r="L149" s="28"/>
      <c r="M149" s="28"/>
      <c r="N149" s="28" t="str">
        <f t="shared" ref="N149:N162" si="58">IF(ISBLANK(K149),"",ROUND(L149*M149,2))</f>
        <v/>
      </c>
      <c r="O149" s="128" t="str">
        <f t="shared" ref="O149:O162" si="59">IF($H149=0,"",(L149/$H149-1))</f>
        <v/>
      </c>
      <c r="P149" s="128" t="str">
        <f t="shared" ref="P149:P162" si="60">IF($I149=0,"",(M149/$I149-1))</f>
        <v/>
      </c>
      <c r="Q149" s="28" t="str">
        <f>IF(AND(ISBLANK(S149),R149=""),"",1+MAX(Q$18:Q148))</f>
        <v/>
      </c>
      <c r="R149" s="150" t="str">
        <f>IF(OR(N149="",N149=0,$J149="",$J149=0,NOT(ISNUMBER($J149)),NOT(ISNUMBER(N149))),IF(AND($G149&lt;&gt;"",AND(OR(ISNUMBER(N149),N149=""),AND(ISNUMBER($J149),$J149&gt;0))),'Feuille de Donnée'!$K$13,""),IF(N149&lt;$J$165*'Feuille de Donnée'!$I$9,"Négligeable",(IF(AND(L149&gt;=$H149*(1-'Feuille de Donnée'!$E$12),L149&lt;=$H149*(1+'Feuille de Donnée'!$F$12)),'Feuille de Donnée'!$F$17,IF(L149&lt;$H149*(1-'Feuille de Donnée'!$E$12),'Feuille de Donnée'!$F$18,'Feuille de Donnée'!$F$16))&amp;""&amp;IF(AND(M149&gt;=$I149*(1-'Feuille de Donnée'!$E$27),M149&lt;=$I149*(1+'Feuille de Donnée'!$F$27)),'Feuille de Donnée'!$F$32,IF(M149&lt;$I149*(1-'Feuille de Donnée'!$E$27),'Feuille de Donnée'!$F$33,'Feuille de Donnée'!$F$31)))))</f>
        <v/>
      </c>
      <c r="S149" s="151"/>
      <c r="T149" s="110"/>
      <c r="U149" s="28"/>
      <c r="V149" s="28"/>
      <c r="W149" s="28" t="str">
        <f t="shared" ref="W149:W162" si="61">IF(ISBLANK(T149),"",ROUND(U149*V149,2))</f>
        <v/>
      </c>
      <c r="X149" s="128" t="str">
        <f t="shared" ref="X149:X162" si="62">IF($H149=0,"",(U149/$H149-1))</f>
        <v/>
      </c>
      <c r="Y149" s="128" t="str">
        <f t="shared" ref="Y149:Y162" si="63">IF($I149=0,"",(V149/$I149-1))</f>
        <v/>
      </c>
      <c r="Z149" s="28" t="str">
        <f>IF(AND(ISBLANK(AB149),AA149=""),"",1+MAX(Z$18:Z148))</f>
        <v/>
      </c>
      <c r="AA149" s="150" t="str">
        <f>IF(OR(W149="",W149=0,$J149="",$J149=0,NOT(ISNUMBER($J149)),NOT(ISNUMBER(W149))),IF(AND($G149&lt;&gt;"",AND(OR(ISNUMBER(W149),W149=""),AND(ISNUMBER($J149),$J149&gt;0))),'Feuille de Donnée'!$K$13,""),IF(W149&lt;$J$165*'Feuille de Donnée'!$I$9,"Négligeable",(IF(AND(U149&gt;=$H149*(1-'Feuille de Donnée'!$E$12),U149&lt;=$H149*(1+'Feuille de Donnée'!$F$12)),'Feuille de Donnée'!$F$17,IF(U149&lt;$H149*(1-'Feuille de Donnée'!$E$12),'Feuille de Donnée'!$F$18,'Feuille de Donnée'!$F$16))&amp;""&amp;IF(AND(V149&gt;=$I149*(1-'Feuille de Donnée'!$E$27),V149&lt;=$I149*(1+'Feuille de Donnée'!$F$27)),'Feuille de Donnée'!$F$32,IF(V149&lt;$I149*(1-'Feuille de Donnée'!$E$27),'Feuille de Donnée'!$F$33,'Feuille de Donnée'!$F$31)))))</f>
        <v/>
      </c>
      <c r="AB149" s="151"/>
      <c r="AC149" s="110"/>
      <c r="AD149" s="28"/>
      <c r="AE149" s="28"/>
      <c r="AF149" s="28" t="str">
        <f t="shared" ref="AF149:AF162" si="64">IF(ISBLANK(AC149),"",ROUND(AD149*AE149,2))</f>
        <v/>
      </c>
      <c r="AG149" s="128" t="str">
        <f t="shared" ref="AG149:AG162" si="65">IF($H149=0,"",(AD149/$H149-1))</f>
        <v/>
      </c>
      <c r="AH149" s="128" t="str">
        <f t="shared" ref="AH149:AH162" si="66">IF($I149=0,"",(AE149/$I149-1))</f>
        <v/>
      </c>
      <c r="AI149" s="28" t="str">
        <f>IF(AND(ISBLANK(AK149),AJ149=""),"",1+MAX(AI$18:AI148))</f>
        <v/>
      </c>
      <c r="AJ149" s="150" t="str">
        <f>IF(OR(AF149="",AF149=0,$J149="",$J149=0,NOT(ISNUMBER($J149)),NOT(ISNUMBER(AF149))),IF(AND($G149&lt;&gt;"",AND(OR(ISNUMBER(AF149),AF149=""),AND(ISNUMBER($J149),$J149&gt;0))),'Feuille de Donnée'!$K$13,""),IF(AF149&lt;$J$165*'Feuille de Donnée'!$I$9,"Négligeable",(IF(AND(AD149&gt;=$H149*(1-'Feuille de Donnée'!$E$12),AD149&lt;=$H149*(1+'Feuille de Donnée'!$F$12)),'Feuille de Donnée'!$F$17,IF(AD149&lt;$H149*(1-'Feuille de Donnée'!$E$12),'Feuille de Donnée'!$F$18,'Feuille de Donnée'!$F$16))&amp;""&amp;IF(AND(AE149&gt;=$I149*(1-'Feuille de Donnée'!$E$27),AE149&lt;=$I149*(1+'Feuille de Donnée'!$F$27)),'Feuille de Donnée'!$F$32,IF(AE149&lt;$I149*(1-'Feuille de Donnée'!$E$27),'Feuille de Donnée'!$F$33,'Feuille de Donnée'!$F$31)))))</f>
        <v/>
      </c>
      <c r="AK149" s="151"/>
      <c r="AL149" s="110"/>
      <c r="AM149" s="28"/>
      <c r="AN149" s="28"/>
      <c r="AO149" s="28" t="str">
        <f t="shared" ref="AO149:AO162" si="67">IF(ISBLANK(AL149),"",ROUND(AM149*AN149,2))</f>
        <v/>
      </c>
      <c r="AP149" s="128" t="str">
        <f t="shared" ref="AP149:AP162" si="68">IF($H149=0,"",(AM149/$H149-1))</f>
        <v/>
      </c>
      <c r="AQ149" s="128" t="str">
        <f t="shared" ref="AQ149:AQ162" si="69">IF($I149=0,"",(AN149/$I149-1))</f>
        <v/>
      </c>
      <c r="AR149" s="28" t="str">
        <f>IF(AND(ISBLANK(AT149),AS149=""),"",1+MAX(AR$18:AR148))</f>
        <v/>
      </c>
      <c r="AS149" s="150" t="str">
        <f>IF(OR(AO149="",AO149=0,$J149="",$J149=0,NOT(ISNUMBER($J149)),NOT(ISNUMBER(AO149))),IF(AND($G149&lt;&gt;"",AND(OR(ISNUMBER(AO149),AO149=""),AND(ISNUMBER($J149),$J149&gt;0))),'Feuille de Donnée'!$K$13,""),IF(AO149&lt;$J$165*'Feuille de Donnée'!$I$9,"Négligeable",(IF(AND(AM149&gt;=$H149*(1-'Feuille de Donnée'!$E$12),AM149&lt;=$H149*(1+'Feuille de Donnée'!$F$12)),'Feuille de Donnée'!$F$17,IF(AM149&lt;$H149*(1-'Feuille de Donnée'!$E$12),'Feuille de Donnée'!$F$18,'Feuille de Donnée'!$F$16))&amp;""&amp;IF(AND(AN149&gt;=$I149*(1-'Feuille de Donnée'!$E$27),AN149&lt;=$I149*(1+'Feuille de Donnée'!$F$27)),'Feuille de Donnée'!$F$32,IF(AN149&lt;$I149*(1-'Feuille de Donnée'!$E$27),'Feuille de Donnée'!$F$33,'Feuille de Donnée'!$F$31)))))</f>
        <v/>
      </c>
      <c r="AT149" s="151"/>
      <c r="AU149" s="110"/>
      <c r="AV149" s="28"/>
      <c r="AW149" s="28"/>
      <c r="AX149" s="28" t="str">
        <f t="shared" ref="AX149:AX162" si="70">IF(ISBLANK(AU149),"",ROUND(AV149*AW149,2))</f>
        <v/>
      </c>
      <c r="AY149" s="128" t="str">
        <f t="shared" ref="AY149:AY162" si="71">IF($H149=0,"",(AV149/$H149-1))</f>
        <v/>
      </c>
      <c r="AZ149" s="128" t="str">
        <f t="shared" ref="AZ149:AZ162" si="72">IF($I149=0,"",(AW149/$I149-1))</f>
        <v/>
      </c>
      <c r="BA149" s="28" t="str">
        <f>IF(AND(ISBLANK(BC149),BB149=""),"",1+MAX(BA$18:BA148))</f>
        <v/>
      </c>
      <c r="BB149" s="150" t="str">
        <f>IF(OR(AX149="",AX149=0,$J149="",$J149=0,NOT(ISNUMBER($J149)),NOT(ISNUMBER(AX149))),IF(AND($G149&lt;&gt;"",AND(OR(ISNUMBER(AX149),AX149=""),AND(ISNUMBER($J149),$J149&gt;0))),'Feuille de Donnée'!$K$13,""),IF(AX149&lt;$J$165*'Feuille de Donnée'!$I$9,"Négligeable",(IF(AND(AV149&gt;=$H149*(1-'Feuille de Donnée'!$E$12),AV149&lt;=$H149*(1+'Feuille de Donnée'!$F$12)),'Feuille de Donnée'!$F$17,IF(AV149&lt;$H149*(1-'Feuille de Donnée'!$E$12),'Feuille de Donnée'!$F$18,'Feuille de Donnée'!$F$16))&amp;""&amp;IF(AND(AW149&gt;=$I149*(1-'Feuille de Donnée'!$E$27),AW149&lt;=$I149*(1+'Feuille de Donnée'!$F$27)),'Feuille de Donnée'!$F$32,IF(AW149&lt;$I149*(1-'Feuille de Donnée'!$E$27),'Feuille de Donnée'!$F$33,'Feuille de Donnée'!$F$31)))))</f>
        <v/>
      </c>
      <c r="BC149" s="151"/>
      <c r="BD149" s="110"/>
      <c r="BE149" s="28"/>
      <c r="BF149" s="28"/>
      <c r="BG149" s="28" t="str">
        <f t="shared" ref="BG149:BG162" si="73">IF(ISBLANK(BD149),"",ROUND(BE149*BF149,2))</f>
        <v/>
      </c>
      <c r="BH149" s="128" t="str">
        <f t="shared" ref="BH149:BH162" si="74">IF($H149=0,"",(BE149/$H149-1))</f>
        <v/>
      </c>
      <c r="BI149" s="128" t="str">
        <f t="shared" ref="BI149:BI162" si="75">IF($I149=0,"",(BF149/$I149-1))</f>
        <v/>
      </c>
      <c r="BJ149" s="28" t="str">
        <f>IF(AND(ISBLANK(BL149),BK149=""),"",1+MAX(BJ$18:BJ148))</f>
        <v/>
      </c>
      <c r="BK149" s="150" t="str">
        <f>IF(OR(BG149="",BG149=0,$J149="",$J149=0,NOT(ISNUMBER($J149)),NOT(ISNUMBER(BG149))),IF(AND($G149&lt;&gt;"",AND(OR(ISNUMBER(BG149),BG149=""),AND(ISNUMBER($J149),$J149&gt;0))),'Feuille de Donnée'!$K$13,""),IF(BG149&lt;$J$165*'Feuille de Donnée'!$I$9,"Négligeable",(IF(AND(BE149&gt;=$H149*(1-'Feuille de Donnée'!$E$12),BE149&lt;=$H149*(1+'Feuille de Donnée'!$F$12)),'Feuille de Donnée'!$F$17,IF(BE149&lt;$H149*(1-'Feuille de Donnée'!$E$12),'Feuille de Donnée'!$F$18,'Feuille de Donnée'!$F$16))&amp;""&amp;IF(AND(BF149&gt;=$I149*(1-'Feuille de Donnée'!$E$27),BF149&lt;=$I149*(1+'Feuille de Donnée'!$F$27)),'Feuille de Donnée'!$F$32,IF(BF149&lt;$I149*(1-'Feuille de Donnée'!$E$27),'Feuille de Donnée'!$F$33,'Feuille de Donnée'!$F$31)))))</f>
        <v/>
      </c>
      <c r="BL149" s="151"/>
      <c r="BM149" s="153"/>
    </row>
    <row r="150" spans="1:65" s="7" customFormat="1" x14ac:dyDescent="0.3">
      <c r="A150" s="24"/>
      <c r="B150" s="25"/>
      <c r="C150" s="25"/>
      <c r="D150" s="25"/>
      <c r="E150" s="25"/>
      <c r="F150" s="25"/>
      <c r="G150" s="23"/>
      <c r="H150" s="26"/>
      <c r="I150" s="27"/>
      <c r="J150" s="109" t="str">
        <f t="shared" si="57"/>
        <v/>
      </c>
      <c r="K150" s="110"/>
      <c r="L150" s="28"/>
      <c r="M150" s="28"/>
      <c r="N150" s="28" t="str">
        <f t="shared" si="58"/>
        <v/>
      </c>
      <c r="O150" s="128" t="str">
        <f t="shared" si="59"/>
        <v/>
      </c>
      <c r="P150" s="128" t="str">
        <f t="shared" si="60"/>
        <v/>
      </c>
      <c r="Q150" s="28" t="str">
        <f>IF(AND(ISBLANK(S150),R150=""),"",1+MAX(Q$18:Q149))</f>
        <v/>
      </c>
      <c r="R150" s="150" t="str">
        <f>IF(OR(N150="",N150=0,$J150="",$J150=0,NOT(ISNUMBER($J150)),NOT(ISNUMBER(N150))),IF(AND($G150&lt;&gt;"",AND(OR(ISNUMBER(N150),N150=""),AND(ISNUMBER($J150),$J150&gt;0))),'Feuille de Donnée'!$K$13,""),IF(N150&lt;$J$165*'Feuille de Donnée'!$I$9,"Négligeable",(IF(AND(L150&gt;=$H150*(1-'Feuille de Donnée'!$E$12),L150&lt;=$H150*(1+'Feuille de Donnée'!$F$12)),'Feuille de Donnée'!$F$17,IF(L150&lt;$H150*(1-'Feuille de Donnée'!$E$12),'Feuille de Donnée'!$F$18,'Feuille de Donnée'!$F$16))&amp;""&amp;IF(AND(M150&gt;=$I150*(1-'Feuille de Donnée'!$E$27),M150&lt;=$I150*(1+'Feuille de Donnée'!$F$27)),'Feuille de Donnée'!$F$32,IF(M150&lt;$I150*(1-'Feuille de Donnée'!$E$27),'Feuille de Donnée'!$F$33,'Feuille de Donnée'!$F$31)))))</f>
        <v/>
      </c>
      <c r="S150" s="151"/>
      <c r="T150" s="110"/>
      <c r="U150" s="28"/>
      <c r="V150" s="28"/>
      <c r="W150" s="28" t="str">
        <f t="shared" si="61"/>
        <v/>
      </c>
      <c r="X150" s="128" t="str">
        <f t="shared" si="62"/>
        <v/>
      </c>
      <c r="Y150" s="128" t="str">
        <f t="shared" si="63"/>
        <v/>
      </c>
      <c r="Z150" s="28" t="str">
        <f>IF(AND(ISBLANK(AB150),AA150=""),"",1+MAX(Z$18:Z149))</f>
        <v/>
      </c>
      <c r="AA150" s="150" t="str">
        <f>IF(OR(W150="",W150=0,$J150="",$J150=0,NOT(ISNUMBER($J150)),NOT(ISNUMBER(W150))),IF(AND($G150&lt;&gt;"",AND(OR(ISNUMBER(W150),W150=""),AND(ISNUMBER($J150),$J150&gt;0))),'Feuille de Donnée'!$K$13,""),IF(W150&lt;$J$165*'Feuille de Donnée'!$I$9,"Négligeable",(IF(AND(U150&gt;=$H150*(1-'Feuille de Donnée'!$E$12),U150&lt;=$H150*(1+'Feuille de Donnée'!$F$12)),'Feuille de Donnée'!$F$17,IF(U150&lt;$H150*(1-'Feuille de Donnée'!$E$12),'Feuille de Donnée'!$F$18,'Feuille de Donnée'!$F$16))&amp;""&amp;IF(AND(V150&gt;=$I150*(1-'Feuille de Donnée'!$E$27),V150&lt;=$I150*(1+'Feuille de Donnée'!$F$27)),'Feuille de Donnée'!$F$32,IF(V150&lt;$I150*(1-'Feuille de Donnée'!$E$27),'Feuille de Donnée'!$F$33,'Feuille de Donnée'!$F$31)))))</f>
        <v/>
      </c>
      <c r="AB150" s="151"/>
      <c r="AC150" s="110"/>
      <c r="AD150" s="28"/>
      <c r="AE150" s="28"/>
      <c r="AF150" s="28" t="str">
        <f t="shared" si="64"/>
        <v/>
      </c>
      <c r="AG150" s="128" t="str">
        <f t="shared" si="65"/>
        <v/>
      </c>
      <c r="AH150" s="128" t="str">
        <f t="shared" si="66"/>
        <v/>
      </c>
      <c r="AI150" s="28" t="str">
        <f>IF(AND(ISBLANK(AK150),AJ150=""),"",1+MAX(AI$18:AI149))</f>
        <v/>
      </c>
      <c r="AJ150" s="150" t="str">
        <f>IF(OR(AF150="",AF150=0,$J150="",$J150=0,NOT(ISNUMBER($J150)),NOT(ISNUMBER(AF150))),IF(AND($G150&lt;&gt;"",AND(OR(ISNUMBER(AF150),AF150=""),AND(ISNUMBER($J150),$J150&gt;0))),'Feuille de Donnée'!$K$13,""),IF(AF150&lt;$J$165*'Feuille de Donnée'!$I$9,"Négligeable",(IF(AND(AD150&gt;=$H150*(1-'Feuille de Donnée'!$E$12),AD150&lt;=$H150*(1+'Feuille de Donnée'!$F$12)),'Feuille de Donnée'!$F$17,IF(AD150&lt;$H150*(1-'Feuille de Donnée'!$E$12),'Feuille de Donnée'!$F$18,'Feuille de Donnée'!$F$16))&amp;""&amp;IF(AND(AE150&gt;=$I150*(1-'Feuille de Donnée'!$E$27),AE150&lt;=$I150*(1+'Feuille de Donnée'!$F$27)),'Feuille de Donnée'!$F$32,IF(AE150&lt;$I150*(1-'Feuille de Donnée'!$E$27),'Feuille de Donnée'!$F$33,'Feuille de Donnée'!$F$31)))))</f>
        <v/>
      </c>
      <c r="AK150" s="151"/>
      <c r="AL150" s="110"/>
      <c r="AM150" s="28"/>
      <c r="AN150" s="28"/>
      <c r="AO150" s="28" t="str">
        <f t="shared" si="67"/>
        <v/>
      </c>
      <c r="AP150" s="128" t="str">
        <f t="shared" si="68"/>
        <v/>
      </c>
      <c r="AQ150" s="128" t="str">
        <f t="shared" si="69"/>
        <v/>
      </c>
      <c r="AR150" s="28" t="str">
        <f>IF(AND(ISBLANK(AT150),AS150=""),"",1+MAX(AR$18:AR149))</f>
        <v/>
      </c>
      <c r="AS150" s="150" t="str">
        <f>IF(OR(AO150="",AO150=0,$J150="",$J150=0,NOT(ISNUMBER($J150)),NOT(ISNUMBER(AO150))),IF(AND($G150&lt;&gt;"",AND(OR(ISNUMBER(AO150),AO150=""),AND(ISNUMBER($J150),$J150&gt;0))),'Feuille de Donnée'!$K$13,""),IF(AO150&lt;$J$165*'Feuille de Donnée'!$I$9,"Négligeable",(IF(AND(AM150&gt;=$H150*(1-'Feuille de Donnée'!$E$12),AM150&lt;=$H150*(1+'Feuille de Donnée'!$F$12)),'Feuille de Donnée'!$F$17,IF(AM150&lt;$H150*(1-'Feuille de Donnée'!$E$12),'Feuille de Donnée'!$F$18,'Feuille de Donnée'!$F$16))&amp;""&amp;IF(AND(AN150&gt;=$I150*(1-'Feuille de Donnée'!$E$27),AN150&lt;=$I150*(1+'Feuille de Donnée'!$F$27)),'Feuille de Donnée'!$F$32,IF(AN150&lt;$I150*(1-'Feuille de Donnée'!$E$27),'Feuille de Donnée'!$F$33,'Feuille de Donnée'!$F$31)))))</f>
        <v/>
      </c>
      <c r="AT150" s="151"/>
      <c r="AU150" s="110"/>
      <c r="AV150" s="28"/>
      <c r="AW150" s="28"/>
      <c r="AX150" s="28" t="str">
        <f t="shared" si="70"/>
        <v/>
      </c>
      <c r="AY150" s="128" t="str">
        <f t="shared" si="71"/>
        <v/>
      </c>
      <c r="AZ150" s="128" t="str">
        <f t="shared" si="72"/>
        <v/>
      </c>
      <c r="BA150" s="28" t="str">
        <f>IF(AND(ISBLANK(BC150),BB150=""),"",1+MAX(BA$18:BA149))</f>
        <v/>
      </c>
      <c r="BB150" s="150" t="str">
        <f>IF(OR(AX150="",AX150=0,$J150="",$J150=0,NOT(ISNUMBER($J150)),NOT(ISNUMBER(AX150))),IF(AND($G150&lt;&gt;"",AND(OR(ISNUMBER(AX150),AX150=""),AND(ISNUMBER($J150),$J150&gt;0))),'Feuille de Donnée'!$K$13,""),IF(AX150&lt;$J$165*'Feuille de Donnée'!$I$9,"Négligeable",(IF(AND(AV150&gt;=$H150*(1-'Feuille de Donnée'!$E$12),AV150&lt;=$H150*(1+'Feuille de Donnée'!$F$12)),'Feuille de Donnée'!$F$17,IF(AV150&lt;$H150*(1-'Feuille de Donnée'!$E$12),'Feuille de Donnée'!$F$18,'Feuille de Donnée'!$F$16))&amp;""&amp;IF(AND(AW150&gt;=$I150*(1-'Feuille de Donnée'!$E$27),AW150&lt;=$I150*(1+'Feuille de Donnée'!$F$27)),'Feuille de Donnée'!$F$32,IF(AW150&lt;$I150*(1-'Feuille de Donnée'!$E$27),'Feuille de Donnée'!$F$33,'Feuille de Donnée'!$F$31)))))</f>
        <v/>
      </c>
      <c r="BC150" s="151"/>
      <c r="BD150" s="110"/>
      <c r="BE150" s="28"/>
      <c r="BF150" s="28"/>
      <c r="BG150" s="28" t="str">
        <f t="shared" si="73"/>
        <v/>
      </c>
      <c r="BH150" s="128" t="str">
        <f t="shared" si="74"/>
        <v/>
      </c>
      <c r="BI150" s="128" t="str">
        <f t="shared" si="75"/>
        <v/>
      </c>
      <c r="BJ150" s="28" t="str">
        <f>IF(AND(ISBLANK(BL150),BK150=""),"",1+MAX(BJ$18:BJ149))</f>
        <v/>
      </c>
      <c r="BK150" s="150" t="str">
        <f>IF(OR(BG150="",BG150=0,$J150="",$J150=0,NOT(ISNUMBER($J150)),NOT(ISNUMBER(BG150))),IF(AND($G150&lt;&gt;"",AND(OR(ISNUMBER(BG150),BG150=""),AND(ISNUMBER($J150),$J150&gt;0))),'Feuille de Donnée'!$K$13,""),IF(BG150&lt;$J$165*'Feuille de Donnée'!$I$9,"Négligeable",(IF(AND(BE150&gt;=$H150*(1-'Feuille de Donnée'!$E$12),BE150&lt;=$H150*(1+'Feuille de Donnée'!$F$12)),'Feuille de Donnée'!$F$17,IF(BE150&lt;$H150*(1-'Feuille de Donnée'!$E$12),'Feuille de Donnée'!$F$18,'Feuille de Donnée'!$F$16))&amp;""&amp;IF(AND(BF150&gt;=$I150*(1-'Feuille de Donnée'!$E$27),BF150&lt;=$I150*(1+'Feuille de Donnée'!$F$27)),'Feuille de Donnée'!$F$32,IF(BF150&lt;$I150*(1-'Feuille de Donnée'!$E$27),'Feuille de Donnée'!$F$33,'Feuille de Donnée'!$F$31)))))</f>
        <v/>
      </c>
      <c r="BL150" s="151"/>
      <c r="BM150" s="153"/>
    </row>
    <row r="151" spans="1:65" s="7" customFormat="1" x14ac:dyDescent="0.3">
      <c r="A151" s="24"/>
      <c r="B151" s="25"/>
      <c r="C151" s="25"/>
      <c r="D151" s="25"/>
      <c r="E151" s="25"/>
      <c r="F151" s="25"/>
      <c r="G151" s="23"/>
      <c r="H151" s="26"/>
      <c r="I151" s="27"/>
      <c r="J151" s="109" t="str">
        <f t="shared" si="57"/>
        <v/>
      </c>
      <c r="K151" s="110"/>
      <c r="L151" s="28"/>
      <c r="M151" s="28"/>
      <c r="N151" s="28" t="str">
        <f t="shared" si="58"/>
        <v/>
      </c>
      <c r="O151" s="128" t="str">
        <f t="shared" si="59"/>
        <v/>
      </c>
      <c r="P151" s="128" t="str">
        <f t="shared" si="60"/>
        <v/>
      </c>
      <c r="Q151" s="28" t="str">
        <f>IF(AND(ISBLANK(S151),R151=""),"",1+MAX(Q$18:Q150))</f>
        <v/>
      </c>
      <c r="R151" s="150" t="str">
        <f>IF(OR(N151="",N151=0,$J151="",$J151=0,NOT(ISNUMBER($J151)),NOT(ISNUMBER(N151))),IF(AND($G151&lt;&gt;"",AND(OR(ISNUMBER(N151),N151=""),AND(ISNUMBER($J151),$J151&gt;0))),'Feuille de Donnée'!$K$13,""),IF(N151&lt;$J$165*'Feuille de Donnée'!$I$9,"Négligeable",(IF(AND(L151&gt;=$H151*(1-'Feuille de Donnée'!$E$12),L151&lt;=$H151*(1+'Feuille de Donnée'!$F$12)),'Feuille de Donnée'!$F$17,IF(L151&lt;$H151*(1-'Feuille de Donnée'!$E$12),'Feuille de Donnée'!$F$18,'Feuille de Donnée'!$F$16))&amp;""&amp;IF(AND(M151&gt;=$I151*(1-'Feuille de Donnée'!$E$27),M151&lt;=$I151*(1+'Feuille de Donnée'!$F$27)),'Feuille de Donnée'!$F$32,IF(M151&lt;$I151*(1-'Feuille de Donnée'!$E$27),'Feuille de Donnée'!$F$33,'Feuille de Donnée'!$F$31)))))</f>
        <v/>
      </c>
      <c r="S151" s="151"/>
      <c r="T151" s="110"/>
      <c r="U151" s="28"/>
      <c r="V151" s="28"/>
      <c r="W151" s="28" t="str">
        <f t="shared" si="61"/>
        <v/>
      </c>
      <c r="X151" s="128" t="str">
        <f t="shared" si="62"/>
        <v/>
      </c>
      <c r="Y151" s="128" t="str">
        <f t="shared" si="63"/>
        <v/>
      </c>
      <c r="Z151" s="28" t="str">
        <f>IF(AND(ISBLANK(AB151),AA151=""),"",1+MAX(Z$18:Z150))</f>
        <v/>
      </c>
      <c r="AA151" s="150" t="str">
        <f>IF(OR(W151="",W151=0,$J151="",$J151=0,NOT(ISNUMBER($J151)),NOT(ISNUMBER(W151))),IF(AND($G151&lt;&gt;"",AND(OR(ISNUMBER(W151),W151=""),AND(ISNUMBER($J151),$J151&gt;0))),'Feuille de Donnée'!$K$13,""),IF(W151&lt;$J$165*'Feuille de Donnée'!$I$9,"Négligeable",(IF(AND(U151&gt;=$H151*(1-'Feuille de Donnée'!$E$12),U151&lt;=$H151*(1+'Feuille de Donnée'!$F$12)),'Feuille de Donnée'!$F$17,IF(U151&lt;$H151*(1-'Feuille de Donnée'!$E$12),'Feuille de Donnée'!$F$18,'Feuille de Donnée'!$F$16))&amp;""&amp;IF(AND(V151&gt;=$I151*(1-'Feuille de Donnée'!$E$27),V151&lt;=$I151*(1+'Feuille de Donnée'!$F$27)),'Feuille de Donnée'!$F$32,IF(V151&lt;$I151*(1-'Feuille de Donnée'!$E$27),'Feuille de Donnée'!$F$33,'Feuille de Donnée'!$F$31)))))</f>
        <v/>
      </c>
      <c r="AB151" s="151"/>
      <c r="AC151" s="110"/>
      <c r="AD151" s="28"/>
      <c r="AE151" s="28"/>
      <c r="AF151" s="28" t="str">
        <f t="shared" si="64"/>
        <v/>
      </c>
      <c r="AG151" s="128" t="str">
        <f t="shared" si="65"/>
        <v/>
      </c>
      <c r="AH151" s="128" t="str">
        <f t="shared" si="66"/>
        <v/>
      </c>
      <c r="AI151" s="28" t="str">
        <f>IF(AND(ISBLANK(AK151),AJ151=""),"",1+MAX(AI$18:AI150))</f>
        <v/>
      </c>
      <c r="AJ151" s="150" t="str">
        <f>IF(OR(AF151="",AF151=0,$J151="",$J151=0,NOT(ISNUMBER($J151)),NOT(ISNUMBER(AF151))),IF(AND($G151&lt;&gt;"",AND(OR(ISNUMBER(AF151),AF151=""),AND(ISNUMBER($J151),$J151&gt;0))),'Feuille de Donnée'!$K$13,""),IF(AF151&lt;$J$165*'Feuille de Donnée'!$I$9,"Négligeable",(IF(AND(AD151&gt;=$H151*(1-'Feuille de Donnée'!$E$12),AD151&lt;=$H151*(1+'Feuille de Donnée'!$F$12)),'Feuille de Donnée'!$F$17,IF(AD151&lt;$H151*(1-'Feuille de Donnée'!$E$12),'Feuille de Donnée'!$F$18,'Feuille de Donnée'!$F$16))&amp;""&amp;IF(AND(AE151&gt;=$I151*(1-'Feuille de Donnée'!$E$27),AE151&lt;=$I151*(1+'Feuille de Donnée'!$F$27)),'Feuille de Donnée'!$F$32,IF(AE151&lt;$I151*(1-'Feuille de Donnée'!$E$27),'Feuille de Donnée'!$F$33,'Feuille de Donnée'!$F$31)))))</f>
        <v/>
      </c>
      <c r="AK151" s="151"/>
      <c r="AL151" s="110"/>
      <c r="AM151" s="28"/>
      <c r="AN151" s="28"/>
      <c r="AO151" s="28" t="str">
        <f t="shared" si="67"/>
        <v/>
      </c>
      <c r="AP151" s="128" t="str">
        <f t="shared" si="68"/>
        <v/>
      </c>
      <c r="AQ151" s="128" t="str">
        <f t="shared" si="69"/>
        <v/>
      </c>
      <c r="AR151" s="28" t="str">
        <f>IF(AND(ISBLANK(AT151),AS151=""),"",1+MAX(AR$18:AR150))</f>
        <v/>
      </c>
      <c r="AS151" s="150" t="str">
        <f>IF(OR(AO151="",AO151=0,$J151="",$J151=0,NOT(ISNUMBER($J151)),NOT(ISNUMBER(AO151))),IF(AND($G151&lt;&gt;"",AND(OR(ISNUMBER(AO151),AO151=""),AND(ISNUMBER($J151),$J151&gt;0))),'Feuille de Donnée'!$K$13,""),IF(AO151&lt;$J$165*'Feuille de Donnée'!$I$9,"Négligeable",(IF(AND(AM151&gt;=$H151*(1-'Feuille de Donnée'!$E$12),AM151&lt;=$H151*(1+'Feuille de Donnée'!$F$12)),'Feuille de Donnée'!$F$17,IF(AM151&lt;$H151*(1-'Feuille de Donnée'!$E$12),'Feuille de Donnée'!$F$18,'Feuille de Donnée'!$F$16))&amp;""&amp;IF(AND(AN151&gt;=$I151*(1-'Feuille de Donnée'!$E$27),AN151&lt;=$I151*(1+'Feuille de Donnée'!$F$27)),'Feuille de Donnée'!$F$32,IF(AN151&lt;$I151*(1-'Feuille de Donnée'!$E$27),'Feuille de Donnée'!$F$33,'Feuille de Donnée'!$F$31)))))</f>
        <v/>
      </c>
      <c r="AT151" s="151"/>
      <c r="AU151" s="110"/>
      <c r="AV151" s="28"/>
      <c r="AW151" s="28"/>
      <c r="AX151" s="28" t="str">
        <f t="shared" si="70"/>
        <v/>
      </c>
      <c r="AY151" s="128" t="str">
        <f t="shared" si="71"/>
        <v/>
      </c>
      <c r="AZ151" s="128" t="str">
        <f t="shared" si="72"/>
        <v/>
      </c>
      <c r="BA151" s="28" t="str">
        <f>IF(AND(ISBLANK(BC151),BB151=""),"",1+MAX(BA$18:BA150))</f>
        <v/>
      </c>
      <c r="BB151" s="150" t="str">
        <f>IF(OR(AX151="",AX151=0,$J151="",$J151=0,NOT(ISNUMBER($J151)),NOT(ISNUMBER(AX151))),IF(AND($G151&lt;&gt;"",AND(OR(ISNUMBER(AX151),AX151=""),AND(ISNUMBER($J151),$J151&gt;0))),'Feuille de Donnée'!$K$13,""),IF(AX151&lt;$J$165*'Feuille de Donnée'!$I$9,"Négligeable",(IF(AND(AV151&gt;=$H151*(1-'Feuille de Donnée'!$E$12),AV151&lt;=$H151*(1+'Feuille de Donnée'!$F$12)),'Feuille de Donnée'!$F$17,IF(AV151&lt;$H151*(1-'Feuille de Donnée'!$E$12),'Feuille de Donnée'!$F$18,'Feuille de Donnée'!$F$16))&amp;""&amp;IF(AND(AW151&gt;=$I151*(1-'Feuille de Donnée'!$E$27),AW151&lt;=$I151*(1+'Feuille de Donnée'!$F$27)),'Feuille de Donnée'!$F$32,IF(AW151&lt;$I151*(1-'Feuille de Donnée'!$E$27),'Feuille de Donnée'!$F$33,'Feuille de Donnée'!$F$31)))))</f>
        <v/>
      </c>
      <c r="BC151" s="151"/>
      <c r="BD151" s="110"/>
      <c r="BE151" s="28"/>
      <c r="BF151" s="28"/>
      <c r="BG151" s="28" t="str">
        <f t="shared" si="73"/>
        <v/>
      </c>
      <c r="BH151" s="128" t="str">
        <f t="shared" si="74"/>
        <v/>
      </c>
      <c r="BI151" s="128" t="str">
        <f t="shared" si="75"/>
        <v/>
      </c>
      <c r="BJ151" s="28" t="str">
        <f>IF(AND(ISBLANK(BL151),BK151=""),"",1+MAX(BJ$18:BJ150))</f>
        <v/>
      </c>
      <c r="BK151" s="150" t="str">
        <f>IF(OR(BG151="",BG151=0,$J151="",$J151=0,NOT(ISNUMBER($J151)),NOT(ISNUMBER(BG151))),IF(AND($G151&lt;&gt;"",AND(OR(ISNUMBER(BG151),BG151=""),AND(ISNUMBER($J151),$J151&gt;0))),'Feuille de Donnée'!$K$13,""),IF(BG151&lt;$J$165*'Feuille de Donnée'!$I$9,"Négligeable",(IF(AND(BE151&gt;=$H151*(1-'Feuille de Donnée'!$E$12),BE151&lt;=$H151*(1+'Feuille de Donnée'!$F$12)),'Feuille de Donnée'!$F$17,IF(BE151&lt;$H151*(1-'Feuille de Donnée'!$E$12),'Feuille de Donnée'!$F$18,'Feuille de Donnée'!$F$16))&amp;""&amp;IF(AND(BF151&gt;=$I151*(1-'Feuille de Donnée'!$E$27),BF151&lt;=$I151*(1+'Feuille de Donnée'!$F$27)),'Feuille de Donnée'!$F$32,IF(BF151&lt;$I151*(1-'Feuille de Donnée'!$E$27),'Feuille de Donnée'!$F$33,'Feuille de Donnée'!$F$31)))))</f>
        <v/>
      </c>
      <c r="BL151" s="151"/>
      <c r="BM151" s="153"/>
    </row>
    <row r="152" spans="1:65" s="7" customFormat="1" x14ac:dyDescent="0.3">
      <c r="A152" s="24"/>
      <c r="B152" s="25"/>
      <c r="C152" s="25"/>
      <c r="D152" s="25"/>
      <c r="E152" s="25"/>
      <c r="F152" s="25"/>
      <c r="G152" s="23"/>
      <c r="H152" s="26"/>
      <c r="I152" s="27"/>
      <c r="J152" s="109" t="str">
        <f t="shared" si="57"/>
        <v/>
      </c>
      <c r="K152" s="110"/>
      <c r="L152" s="28"/>
      <c r="M152" s="28"/>
      <c r="N152" s="28" t="str">
        <f t="shared" si="58"/>
        <v/>
      </c>
      <c r="O152" s="128" t="str">
        <f t="shared" si="59"/>
        <v/>
      </c>
      <c r="P152" s="128" t="str">
        <f t="shared" si="60"/>
        <v/>
      </c>
      <c r="Q152" s="28" t="str">
        <f>IF(AND(ISBLANK(S152),R152=""),"",1+MAX(Q$18:Q151))</f>
        <v/>
      </c>
      <c r="R152" s="150" t="str">
        <f>IF(OR(N152="",N152=0,$J152="",$J152=0,NOT(ISNUMBER($J152)),NOT(ISNUMBER(N152))),IF(AND($G152&lt;&gt;"",AND(OR(ISNUMBER(N152),N152=""),AND(ISNUMBER($J152),$J152&gt;0))),'Feuille de Donnée'!$K$13,""),IF(N152&lt;$J$165*'Feuille de Donnée'!$I$9,"Négligeable",(IF(AND(L152&gt;=$H152*(1-'Feuille de Donnée'!$E$12),L152&lt;=$H152*(1+'Feuille de Donnée'!$F$12)),'Feuille de Donnée'!$F$17,IF(L152&lt;$H152*(1-'Feuille de Donnée'!$E$12),'Feuille de Donnée'!$F$18,'Feuille de Donnée'!$F$16))&amp;""&amp;IF(AND(M152&gt;=$I152*(1-'Feuille de Donnée'!$E$27),M152&lt;=$I152*(1+'Feuille de Donnée'!$F$27)),'Feuille de Donnée'!$F$32,IF(M152&lt;$I152*(1-'Feuille de Donnée'!$E$27),'Feuille de Donnée'!$F$33,'Feuille de Donnée'!$F$31)))))</f>
        <v/>
      </c>
      <c r="S152" s="151"/>
      <c r="T152" s="110"/>
      <c r="U152" s="28"/>
      <c r="V152" s="28"/>
      <c r="W152" s="28" t="str">
        <f t="shared" si="61"/>
        <v/>
      </c>
      <c r="X152" s="128" t="str">
        <f t="shared" si="62"/>
        <v/>
      </c>
      <c r="Y152" s="128" t="str">
        <f t="shared" si="63"/>
        <v/>
      </c>
      <c r="Z152" s="28" t="str">
        <f>IF(AND(ISBLANK(AB152),AA152=""),"",1+MAX(Z$18:Z151))</f>
        <v/>
      </c>
      <c r="AA152" s="150" t="str">
        <f>IF(OR(W152="",W152=0,$J152="",$J152=0,NOT(ISNUMBER($J152)),NOT(ISNUMBER(W152))),IF(AND($G152&lt;&gt;"",AND(OR(ISNUMBER(W152),W152=""),AND(ISNUMBER($J152),$J152&gt;0))),'Feuille de Donnée'!$K$13,""),IF(W152&lt;$J$165*'Feuille de Donnée'!$I$9,"Négligeable",(IF(AND(U152&gt;=$H152*(1-'Feuille de Donnée'!$E$12),U152&lt;=$H152*(1+'Feuille de Donnée'!$F$12)),'Feuille de Donnée'!$F$17,IF(U152&lt;$H152*(1-'Feuille de Donnée'!$E$12),'Feuille de Donnée'!$F$18,'Feuille de Donnée'!$F$16))&amp;""&amp;IF(AND(V152&gt;=$I152*(1-'Feuille de Donnée'!$E$27),V152&lt;=$I152*(1+'Feuille de Donnée'!$F$27)),'Feuille de Donnée'!$F$32,IF(V152&lt;$I152*(1-'Feuille de Donnée'!$E$27),'Feuille de Donnée'!$F$33,'Feuille de Donnée'!$F$31)))))</f>
        <v/>
      </c>
      <c r="AB152" s="151"/>
      <c r="AC152" s="110"/>
      <c r="AD152" s="28"/>
      <c r="AE152" s="28"/>
      <c r="AF152" s="28" t="str">
        <f t="shared" si="64"/>
        <v/>
      </c>
      <c r="AG152" s="128" t="str">
        <f t="shared" si="65"/>
        <v/>
      </c>
      <c r="AH152" s="128" t="str">
        <f t="shared" si="66"/>
        <v/>
      </c>
      <c r="AI152" s="28" t="str">
        <f>IF(AND(ISBLANK(AK152),AJ152=""),"",1+MAX(AI$18:AI151))</f>
        <v/>
      </c>
      <c r="AJ152" s="150" t="str">
        <f>IF(OR(AF152="",AF152=0,$J152="",$J152=0,NOT(ISNUMBER($J152)),NOT(ISNUMBER(AF152))),IF(AND($G152&lt;&gt;"",AND(OR(ISNUMBER(AF152),AF152=""),AND(ISNUMBER($J152),$J152&gt;0))),'Feuille de Donnée'!$K$13,""),IF(AF152&lt;$J$165*'Feuille de Donnée'!$I$9,"Négligeable",(IF(AND(AD152&gt;=$H152*(1-'Feuille de Donnée'!$E$12),AD152&lt;=$H152*(1+'Feuille de Donnée'!$F$12)),'Feuille de Donnée'!$F$17,IF(AD152&lt;$H152*(1-'Feuille de Donnée'!$E$12),'Feuille de Donnée'!$F$18,'Feuille de Donnée'!$F$16))&amp;""&amp;IF(AND(AE152&gt;=$I152*(1-'Feuille de Donnée'!$E$27),AE152&lt;=$I152*(1+'Feuille de Donnée'!$F$27)),'Feuille de Donnée'!$F$32,IF(AE152&lt;$I152*(1-'Feuille de Donnée'!$E$27),'Feuille de Donnée'!$F$33,'Feuille de Donnée'!$F$31)))))</f>
        <v/>
      </c>
      <c r="AK152" s="151"/>
      <c r="AL152" s="110"/>
      <c r="AM152" s="28"/>
      <c r="AN152" s="28"/>
      <c r="AO152" s="28" t="str">
        <f t="shared" si="67"/>
        <v/>
      </c>
      <c r="AP152" s="128" t="str">
        <f t="shared" si="68"/>
        <v/>
      </c>
      <c r="AQ152" s="128" t="str">
        <f t="shared" si="69"/>
        <v/>
      </c>
      <c r="AR152" s="28" t="str">
        <f>IF(AND(ISBLANK(AT152),AS152=""),"",1+MAX(AR$18:AR151))</f>
        <v/>
      </c>
      <c r="AS152" s="150" t="str">
        <f>IF(OR(AO152="",AO152=0,$J152="",$J152=0,NOT(ISNUMBER($J152)),NOT(ISNUMBER(AO152))),IF(AND($G152&lt;&gt;"",AND(OR(ISNUMBER(AO152),AO152=""),AND(ISNUMBER($J152),$J152&gt;0))),'Feuille de Donnée'!$K$13,""),IF(AO152&lt;$J$165*'Feuille de Donnée'!$I$9,"Négligeable",(IF(AND(AM152&gt;=$H152*(1-'Feuille de Donnée'!$E$12),AM152&lt;=$H152*(1+'Feuille de Donnée'!$F$12)),'Feuille de Donnée'!$F$17,IF(AM152&lt;$H152*(1-'Feuille de Donnée'!$E$12),'Feuille de Donnée'!$F$18,'Feuille de Donnée'!$F$16))&amp;""&amp;IF(AND(AN152&gt;=$I152*(1-'Feuille de Donnée'!$E$27),AN152&lt;=$I152*(1+'Feuille de Donnée'!$F$27)),'Feuille de Donnée'!$F$32,IF(AN152&lt;$I152*(1-'Feuille de Donnée'!$E$27),'Feuille de Donnée'!$F$33,'Feuille de Donnée'!$F$31)))))</f>
        <v/>
      </c>
      <c r="AT152" s="151"/>
      <c r="AU152" s="110"/>
      <c r="AV152" s="28"/>
      <c r="AW152" s="28"/>
      <c r="AX152" s="28" t="str">
        <f t="shared" si="70"/>
        <v/>
      </c>
      <c r="AY152" s="128" t="str">
        <f t="shared" si="71"/>
        <v/>
      </c>
      <c r="AZ152" s="128" t="str">
        <f t="shared" si="72"/>
        <v/>
      </c>
      <c r="BA152" s="28" t="str">
        <f>IF(AND(ISBLANK(BC152),BB152=""),"",1+MAX(BA$18:BA151))</f>
        <v/>
      </c>
      <c r="BB152" s="150" t="str">
        <f>IF(OR(AX152="",AX152=0,$J152="",$J152=0,NOT(ISNUMBER($J152)),NOT(ISNUMBER(AX152))),IF(AND($G152&lt;&gt;"",AND(OR(ISNUMBER(AX152),AX152=""),AND(ISNUMBER($J152),$J152&gt;0))),'Feuille de Donnée'!$K$13,""),IF(AX152&lt;$J$165*'Feuille de Donnée'!$I$9,"Négligeable",(IF(AND(AV152&gt;=$H152*(1-'Feuille de Donnée'!$E$12),AV152&lt;=$H152*(1+'Feuille de Donnée'!$F$12)),'Feuille de Donnée'!$F$17,IF(AV152&lt;$H152*(1-'Feuille de Donnée'!$E$12),'Feuille de Donnée'!$F$18,'Feuille de Donnée'!$F$16))&amp;""&amp;IF(AND(AW152&gt;=$I152*(1-'Feuille de Donnée'!$E$27),AW152&lt;=$I152*(1+'Feuille de Donnée'!$F$27)),'Feuille de Donnée'!$F$32,IF(AW152&lt;$I152*(1-'Feuille de Donnée'!$E$27),'Feuille de Donnée'!$F$33,'Feuille de Donnée'!$F$31)))))</f>
        <v/>
      </c>
      <c r="BC152" s="151"/>
      <c r="BD152" s="110"/>
      <c r="BE152" s="28"/>
      <c r="BF152" s="28"/>
      <c r="BG152" s="28" t="str">
        <f t="shared" si="73"/>
        <v/>
      </c>
      <c r="BH152" s="128" t="str">
        <f t="shared" si="74"/>
        <v/>
      </c>
      <c r="BI152" s="128" t="str">
        <f t="shared" si="75"/>
        <v/>
      </c>
      <c r="BJ152" s="28" t="str">
        <f>IF(AND(ISBLANK(BL152),BK152=""),"",1+MAX(BJ$18:BJ151))</f>
        <v/>
      </c>
      <c r="BK152" s="150" t="str">
        <f>IF(OR(BG152="",BG152=0,$J152="",$J152=0,NOT(ISNUMBER($J152)),NOT(ISNUMBER(BG152))),IF(AND($G152&lt;&gt;"",AND(OR(ISNUMBER(BG152),BG152=""),AND(ISNUMBER($J152),$J152&gt;0))),'Feuille de Donnée'!$K$13,""),IF(BG152&lt;$J$165*'Feuille de Donnée'!$I$9,"Négligeable",(IF(AND(BE152&gt;=$H152*(1-'Feuille de Donnée'!$E$12),BE152&lt;=$H152*(1+'Feuille de Donnée'!$F$12)),'Feuille de Donnée'!$F$17,IF(BE152&lt;$H152*(1-'Feuille de Donnée'!$E$12),'Feuille de Donnée'!$F$18,'Feuille de Donnée'!$F$16))&amp;""&amp;IF(AND(BF152&gt;=$I152*(1-'Feuille de Donnée'!$E$27),BF152&lt;=$I152*(1+'Feuille de Donnée'!$F$27)),'Feuille de Donnée'!$F$32,IF(BF152&lt;$I152*(1-'Feuille de Donnée'!$E$27),'Feuille de Donnée'!$F$33,'Feuille de Donnée'!$F$31)))))</f>
        <v/>
      </c>
      <c r="BL152" s="151"/>
      <c r="BM152" s="153"/>
    </row>
    <row r="153" spans="1:65" s="7" customFormat="1" x14ac:dyDescent="0.3">
      <c r="A153" s="24"/>
      <c r="B153" s="25"/>
      <c r="C153" s="25"/>
      <c r="D153" s="25"/>
      <c r="E153" s="25"/>
      <c r="F153" s="25"/>
      <c r="G153" s="23"/>
      <c r="H153" s="26"/>
      <c r="I153" s="27"/>
      <c r="J153" s="109" t="str">
        <f t="shared" si="57"/>
        <v/>
      </c>
      <c r="K153" s="110"/>
      <c r="L153" s="28"/>
      <c r="M153" s="28"/>
      <c r="N153" s="28" t="str">
        <f t="shared" si="58"/>
        <v/>
      </c>
      <c r="O153" s="128" t="str">
        <f t="shared" si="59"/>
        <v/>
      </c>
      <c r="P153" s="128" t="str">
        <f t="shared" si="60"/>
        <v/>
      </c>
      <c r="Q153" s="28" t="str">
        <f>IF(AND(ISBLANK(S153),R153=""),"",1+MAX(Q$18:Q152))</f>
        <v/>
      </c>
      <c r="R153" s="150" t="str">
        <f>IF(OR(N153="",N153=0,$J153="",$J153=0,NOT(ISNUMBER($J153)),NOT(ISNUMBER(N153))),IF(AND($G153&lt;&gt;"",AND(OR(ISNUMBER(N153),N153=""),AND(ISNUMBER($J153),$J153&gt;0))),'Feuille de Donnée'!$K$13,""),IF(N153&lt;$J$165*'Feuille de Donnée'!$I$9,"Négligeable",(IF(AND(L153&gt;=$H153*(1-'Feuille de Donnée'!$E$12),L153&lt;=$H153*(1+'Feuille de Donnée'!$F$12)),'Feuille de Donnée'!$F$17,IF(L153&lt;$H153*(1-'Feuille de Donnée'!$E$12),'Feuille de Donnée'!$F$18,'Feuille de Donnée'!$F$16))&amp;""&amp;IF(AND(M153&gt;=$I153*(1-'Feuille de Donnée'!$E$27),M153&lt;=$I153*(1+'Feuille de Donnée'!$F$27)),'Feuille de Donnée'!$F$32,IF(M153&lt;$I153*(1-'Feuille de Donnée'!$E$27),'Feuille de Donnée'!$F$33,'Feuille de Donnée'!$F$31)))))</f>
        <v/>
      </c>
      <c r="S153" s="151"/>
      <c r="T153" s="110"/>
      <c r="U153" s="28"/>
      <c r="V153" s="28"/>
      <c r="W153" s="28" t="str">
        <f t="shared" si="61"/>
        <v/>
      </c>
      <c r="X153" s="128" t="str">
        <f t="shared" si="62"/>
        <v/>
      </c>
      <c r="Y153" s="128" t="str">
        <f t="shared" si="63"/>
        <v/>
      </c>
      <c r="Z153" s="28" t="str">
        <f>IF(AND(ISBLANK(AB153),AA153=""),"",1+MAX(Z$18:Z152))</f>
        <v/>
      </c>
      <c r="AA153" s="150" t="str">
        <f>IF(OR(W153="",W153=0,$J153="",$J153=0,NOT(ISNUMBER($J153)),NOT(ISNUMBER(W153))),IF(AND($G153&lt;&gt;"",AND(OR(ISNUMBER(W153),W153=""),AND(ISNUMBER($J153),$J153&gt;0))),'Feuille de Donnée'!$K$13,""),IF(W153&lt;$J$165*'Feuille de Donnée'!$I$9,"Négligeable",(IF(AND(U153&gt;=$H153*(1-'Feuille de Donnée'!$E$12),U153&lt;=$H153*(1+'Feuille de Donnée'!$F$12)),'Feuille de Donnée'!$F$17,IF(U153&lt;$H153*(1-'Feuille de Donnée'!$E$12),'Feuille de Donnée'!$F$18,'Feuille de Donnée'!$F$16))&amp;""&amp;IF(AND(V153&gt;=$I153*(1-'Feuille de Donnée'!$E$27),V153&lt;=$I153*(1+'Feuille de Donnée'!$F$27)),'Feuille de Donnée'!$F$32,IF(V153&lt;$I153*(1-'Feuille de Donnée'!$E$27),'Feuille de Donnée'!$F$33,'Feuille de Donnée'!$F$31)))))</f>
        <v/>
      </c>
      <c r="AB153" s="151"/>
      <c r="AC153" s="110"/>
      <c r="AD153" s="28"/>
      <c r="AE153" s="28"/>
      <c r="AF153" s="28" t="str">
        <f t="shared" si="64"/>
        <v/>
      </c>
      <c r="AG153" s="128" t="str">
        <f t="shared" si="65"/>
        <v/>
      </c>
      <c r="AH153" s="128" t="str">
        <f t="shared" si="66"/>
        <v/>
      </c>
      <c r="AI153" s="28" t="str">
        <f>IF(AND(ISBLANK(AK153),AJ153=""),"",1+MAX(AI$18:AI152))</f>
        <v/>
      </c>
      <c r="AJ153" s="150" t="str">
        <f>IF(OR(AF153="",AF153=0,$J153="",$J153=0,NOT(ISNUMBER($J153)),NOT(ISNUMBER(AF153))),IF(AND($G153&lt;&gt;"",AND(OR(ISNUMBER(AF153),AF153=""),AND(ISNUMBER($J153),$J153&gt;0))),'Feuille de Donnée'!$K$13,""),IF(AF153&lt;$J$165*'Feuille de Donnée'!$I$9,"Négligeable",(IF(AND(AD153&gt;=$H153*(1-'Feuille de Donnée'!$E$12),AD153&lt;=$H153*(1+'Feuille de Donnée'!$F$12)),'Feuille de Donnée'!$F$17,IF(AD153&lt;$H153*(1-'Feuille de Donnée'!$E$12),'Feuille de Donnée'!$F$18,'Feuille de Donnée'!$F$16))&amp;""&amp;IF(AND(AE153&gt;=$I153*(1-'Feuille de Donnée'!$E$27),AE153&lt;=$I153*(1+'Feuille de Donnée'!$F$27)),'Feuille de Donnée'!$F$32,IF(AE153&lt;$I153*(1-'Feuille de Donnée'!$E$27),'Feuille de Donnée'!$F$33,'Feuille de Donnée'!$F$31)))))</f>
        <v/>
      </c>
      <c r="AK153" s="151"/>
      <c r="AL153" s="110"/>
      <c r="AM153" s="28"/>
      <c r="AN153" s="28"/>
      <c r="AO153" s="28" t="str">
        <f t="shared" si="67"/>
        <v/>
      </c>
      <c r="AP153" s="128" t="str">
        <f t="shared" si="68"/>
        <v/>
      </c>
      <c r="AQ153" s="128" t="str">
        <f t="shared" si="69"/>
        <v/>
      </c>
      <c r="AR153" s="28" t="str">
        <f>IF(AND(ISBLANK(AT153),AS153=""),"",1+MAX(AR$18:AR152))</f>
        <v/>
      </c>
      <c r="AS153" s="150" t="str">
        <f>IF(OR(AO153="",AO153=0,$J153="",$J153=0,NOT(ISNUMBER($J153)),NOT(ISNUMBER(AO153))),IF(AND($G153&lt;&gt;"",AND(OR(ISNUMBER(AO153),AO153=""),AND(ISNUMBER($J153),$J153&gt;0))),'Feuille de Donnée'!$K$13,""),IF(AO153&lt;$J$165*'Feuille de Donnée'!$I$9,"Négligeable",(IF(AND(AM153&gt;=$H153*(1-'Feuille de Donnée'!$E$12),AM153&lt;=$H153*(1+'Feuille de Donnée'!$F$12)),'Feuille de Donnée'!$F$17,IF(AM153&lt;$H153*(1-'Feuille de Donnée'!$E$12),'Feuille de Donnée'!$F$18,'Feuille de Donnée'!$F$16))&amp;""&amp;IF(AND(AN153&gt;=$I153*(1-'Feuille de Donnée'!$E$27),AN153&lt;=$I153*(1+'Feuille de Donnée'!$F$27)),'Feuille de Donnée'!$F$32,IF(AN153&lt;$I153*(1-'Feuille de Donnée'!$E$27),'Feuille de Donnée'!$F$33,'Feuille de Donnée'!$F$31)))))</f>
        <v/>
      </c>
      <c r="AT153" s="151"/>
      <c r="AU153" s="110"/>
      <c r="AV153" s="28"/>
      <c r="AW153" s="28"/>
      <c r="AX153" s="28" t="str">
        <f t="shared" si="70"/>
        <v/>
      </c>
      <c r="AY153" s="128" t="str">
        <f t="shared" si="71"/>
        <v/>
      </c>
      <c r="AZ153" s="128" t="str">
        <f t="shared" si="72"/>
        <v/>
      </c>
      <c r="BA153" s="28" t="str">
        <f>IF(AND(ISBLANK(BC153),BB153=""),"",1+MAX(BA$18:BA152))</f>
        <v/>
      </c>
      <c r="BB153" s="150" t="str">
        <f>IF(OR(AX153="",AX153=0,$J153="",$J153=0,NOT(ISNUMBER($J153)),NOT(ISNUMBER(AX153))),IF(AND($G153&lt;&gt;"",AND(OR(ISNUMBER(AX153),AX153=""),AND(ISNUMBER($J153),$J153&gt;0))),'Feuille de Donnée'!$K$13,""),IF(AX153&lt;$J$165*'Feuille de Donnée'!$I$9,"Négligeable",(IF(AND(AV153&gt;=$H153*(1-'Feuille de Donnée'!$E$12),AV153&lt;=$H153*(1+'Feuille de Donnée'!$F$12)),'Feuille de Donnée'!$F$17,IF(AV153&lt;$H153*(1-'Feuille de Donnée'!$E$12),'Feuille de Donnée'!$F$18,'Feuille de Donnée'!$F$16))&amp;""&amp;IF(AND(AW153&gt;=$I153*(1-'Feuille de Donnée'!$E$27),AW153&lt;=$I153*(1+'Feuille de Donnée'!$F$27)),'Feuille de Donnée'!$F$32,IF(AW153&lt;$I153*(1-'Feuille de Donnée'!$E$27),'Feuille de Donnée'!$F$33,'Feuille de Donnée'!$F$31)))))</f>
        <v/>
      </c>
      <c r="BC153" s="151"/>
      <c r="BD153" s="110"/>
      <c r="BE153" s="28"/>
      <c r="BF153" s="28"/>
      <c r="BG153" s="28" t="str">
        <f t="shared" si="73"/>
        <v/>
      </c>
      <c r="BH153" s="128" t="str">
        <f t="shared" si="74"/>
        <v/>
      </c>
      <c r="BI153" s="128" t="str">
        <f t="shared" si="75"/>
        <v/>
      </c>
      <c r="BJ153" s="28" t="str">
        <f>IF(AND(ISBLANK(BL153),BK153=""),"",1+MAX(BJ$18:BJ152))</f>
        <v/>
      </c>
      <c r="BK153" s="150" t="str">
        <f>IF(OR(BG153="",BG153=0,$J153="",$J153=0,NOT(ISNUMBER($J153)),NOT(ISNUMBER(BG153))),IF(AND($G153&lt;&gt;"",AND(OR(ISNUMBER(BG153),BG153=""),AND(ISNUMBER($J153),$J153&gt;0))),'Feuille de Donnée'!$K$13,""),IF(BG153&lt;$J$165*'Feuille de Donnée'!$I$9,"Négligeable",(IF(AND(BE153&gt;=$H153*(1-'Feuille de Donnée'!$E$12),BE153&lt;=$H153*(1+'Feuille de Donnée'!$F$12)),'Feuille de Donnée'!$F$17,IF(BE153&lt;$H153*(1-'Feuille de Donnée'!$E$12),'Feuille de Donnée'!$F$18,'Feuille de Donnée'!$F$16))&amp;""&amp;IF(AND(BF153&gt;=$I153*(1-'Feuille de Donnée'!$E$27),BF153&lt;=$I153*(1+'Feuille de Donnée'!$F$27)),'Feuille de Donnée'!$F$32,IF(BF153&lt;$I153*(1-'Feuille de Donnée'!$E$27),'Feuille de Donnée'!$F$33,'Feuille de Donnée'!$F$31)))))</f>
        <v/>
      </c>
      <c r="BL153" s="151"/>
      <c r="BM153" s="153"/>
    </row>
    <row r="154" spans="1:65" s="7" customFormat="1" x14ac:dyDescent="0.3">
      <c r="A154" s="24"/>
      <c r="B154" s="25"/>
      <c r="C154" s="25"/>
      <c r="D154" s="25"/>
      <c r="E154" s="25"/>
      <c r="F154" s="25"/>
      <c r="G154" s="23"/>
      <c r="H154" s="26"/>
      <c r="I154" s="27"/>
      <c r="J154" s="109" t="str">
        <f t="shared" si="57"/>
        <v/>
      </c>
      <c r="K154" s="110"/>
      <c r="L154" s="28"/>
      <c r="M154" s="28"/>
      <c r="N154" s="28" t="str">
        <f t="shared" si="58"/>
        <v/>
      </c>
      <c r="O154" s="128" t="str">
        <f t="shared" si="59"/>
        <v/>
      </c>
      <c r="P154" s="128" t="str">
        <f t="shared" si="60"/>
        <v/>
      </c>
      <c r="Q154" s="28" t="str">
        <f>IF(AND(ISBLANK(S154),R154=""),"",1+MAX(Q$18:Q153))</f>
        <v/>
      </c>
      <c r="R154" s="150" t="str">
        <f>IF(OR(N154="",N154=0,$J154="",$J154=0,NOT(ISNUMBER($J154)),NOT(ISNUMBER(N154))),IF(AND($G154&lt;&gt;"",AND(OR(ISNUMBER(N154),N154=""),AND(ISNUMBER($J154),$J154&gt;0))),'Feuille de Donnée'!$K$13,""),IF(N154&lt;$J$165*'Feuille de Donnée'!$I$9,"Négligeable",(IF(AND(L154&gt;=$H154*(1-'Feuille de Donnée'!$E$12),L154&lt;=$H154*(1+'Feuille de Donnée'!$F$12)),'Feuille de Donnée'!$F$17,IF(L154&lt;$H154*(1-'Feuille de Donnée'!$E$12),'Feuille de Donnée'!$F$18,'Feuille de Donnée'!$F$16))&amp;""&amp;IF(AND(M154&gt;=$I154*(1-'Feuille de Donnée'!$E$27),M154&lt;=$I154*(1+'Feuille de Donnée'!$F$27)),'Feuille de Donnée'!$F$32,IF(M154&lt;$I154*(1-'Feuille de Donnée'!$E$27),'Feuille de Donnée'!$F$33,'Feuille de Donnée'!$F$31)))))</f>
        <v/>
      </c>
      <c r="S154" s="151"/>
      <c r="T154" s="110"/>
      <c r="U154" s="28"/>
      <c r="V154" s="28"/>
      <c r="W154" s="28" t="str">
        <f t="shared" si="61"/>
        <v/>
      </c>
      <c r="X154" s="128" t="str">
        <f t="shared" si="62"/>
        <v/>
      </c>
      <c r="Y154" s="128" t="str">
        <f t="shared" si="63"/>
        <v/>
      </c>
      <c r="Z154" s="28" t="str">
        <f>IF(AND(ISBLANK(AB154),AA154=""),"",1+MAX(Z$18:Z153))</f>
        <v/>
      </c>
      <c r="AA154" s="150" t="str">
        <f>IF(OR(W154="",W154=0,$J154="",$J154=0,NOT(ISNUMBER($J154)),NOT(ISNUMBER(W154))),IF(AND($G154&lt;&gt;"",AND(OR(ISNUMBER(W154),W154=""),AND(ISNUMBER($J154),$J154&gt;0))),'Feuille de Donnée'!$K$13,""),IF(W154&lt;$J$165*'Feuille de Donnée'!$I$9,"Négligeable",(IF(AND(U154&gt;=$H154*(1-'Feuille de Donnée'!$E$12),U154&lt;=$H154*(1+'Feuille de Donnée'!$F$12)),'Feuille de Donnée'!$F$17,IF(U154&lt;$H154*(1-'Feuille de Donnée'!$E$12),'Feuille de Donnée'!$F$18,'Feuille de Donnée'!$F$16))&amp;""&amp;IF(AND(V154&gt;=$I154*(1-'Feuille de Donnée'!$E$27),V154&lt;=$I154*(1+'Feuille de Donnée'!$F$27)),'Feuille de Donnée'!$F$32,IF(V154&lt;$I154*(1-'Feuille de Donnée'!$E$27),'Feuille de Donnée'!$F$33,'Feuille de Donnée'!$F$31)))))</f>
        <v/>
      </c>
      <c r="AB154" s="151"/>
      <c r="AC154" s="110"/>
      <c r="AD154" s="28"/>
      <c r="AE154" s="28"/>
      <c r="AF154" s="28" t="str">
        <f t="shared" si="64"/>
        <v/>
      </c>
      <c r="AG154" s="128" t="str">
        <f t="shared" si="65"/>
        <v/>
      </c>
      <c r="AH154" s="128" t="str">
        <f t="shared" si="66"/>
        <v/>
      </c>
      <c r="AI154" s="28" t="str">
        <f>IF(AND(ISBLANK(AK154),AJ154=""),"",1+MAX(AI$18:AI153))</f>
        <v/>
      </c>
      <c r="AJ154" s="150" t="str">
        <f>IF(OR(AF154="",AF154=0,$J154="",$J154=0,NOT(ISNUMBER($J154)),NOT(ISNUMBER(AF154))),IF(AND($G154&lt;&gt;"",AND(OR(ISNUMBER(AF154),AF154=""),AND(ISNUMBER($J154),$J154&gt;0))),'Feuille de Donnée'!$K$13,""),IF(AF154&lt;$J$165*'Feuille de Donnée'!$I$9,"Négligeable",(IF(AND(AD154&gt;=$H154*(1-'Feuille de Donnée'!$E$12),AD154&lt;=$H154*(1+'Feuille de Donnée'!$F$12)),'Feuille de Donnée'!$F$17,IF(AD154&lt;$H154*(1-'Feuille de Donnée'!$E$12),'Feuille de Donnée'!$F$18,'Feuille de Donnée'!$F$16))&amp;""&amp;IF(AND(AE154&gt;=$I154*(1-'Feuille de Donnée'!$E$27),AE154&lt;=$I154*(1+'Feuille de Donnée'!$F$27)),'Feuille de Donnée'!$F$32,IF(AE154&lt;$I154*(1-'Feuille de Donnée'!$E$27),'Feuille de Donnée'!$F$33,'Feuille de Donnée'!$F$31)))))</f>
        <v/>
      </c>
      <c r="AK154" s="151"/>
      <c r="AL154" s="110"/>
      <c r="AM154" s="28"/>
      <c r="AN154" s="28"/>
      <c r="AO154" s="28" t="str">
        <f t="shared" si="67"/>
        <v/>
      </c>
      <c r="AP154" s="128" t="str">
        <f t="shared" si="68"/>
        <v/>
      </c>
      <c r="AQ154" s="128" t="str">
        <f t="shared" si="69"/>
        <v/>
      </c>
      <c r="AR154" s="28" t="str">
        <f>IF(AND(ISBLANK(AT154),AS154=""),"",1+MAX(AR$18:AR153))</f>
        <v/>
      </c>
      <c r="AS154" s="150" t="str">
        <f>IF(OR(AO154="",AO154=0,$J154="",$J154=0,NOT(ISNUMBER($J154)),NOT(ISNUMBER(AO154))),IF(AND($G154&lt;&gt;"",AND(OR(ISNUMBER(AO154),AO154=""),AND(ISNUMBER($J154),$J154&gt;0))),'Feuille de Donnée'!$K$13,""),IF(AO154&lt;$J$165*'Feuille de Donnée'!$I$9,"Négligeable",(IF(AND(AM154&gt;=$H154*(1-'Feuille de Donnée'!$E$12),AM154&lt;=$H154*(1+'Feuille de Donnée'!$F$12)),'Feuille de Donnée'!$F$17,IF(AM154&lt;$H154*(1-'Feuille de Donnée'!$E$12),'Feuille de Donnée'!$F$18,'Feuille de Donnée'!$F$16))&amp;""&amp;IF(AND(AN154&gt;=$I154*(1-'Feuille de Donnée'!$E$27),AN154&lt;=$I154*(1+'Feuille de Donnée'!$F$27)),'Feuille de Donnée'!$F$32,IF(AN154&lt;$I154*(1-'Feuille de Donnée'!$E$27),'Feuille de Donnée'!$F$33,'Feuille de Donnée'!$F$31)))))</f>
        <v/>
      </c>
      <c r="AT154" s="151"/>
      <c r="AU154" s="110"/>
      <c r="AV154" s="28"/>
      <c r="AW154" s="28"/>
      <c r="AX154" s="28" t="str">
        <f t="shared" si="70"/>
        <v/>
      </c>
      <c r="AY154" s="128" t="str">
        <f t="shared" si="71"/>
        <v/>
      </c>
      <c r="AZ154" s="128" t="str">
        <f t="shared" si="72"/>
        <v/>
      </c>
      <c r="BA154" s="28" t="str">
        <f>IF(AND(ISBLANK(BC154),BB154=""),"",1+MAX(BA$18:BA153))</f>
        <v/>
      </c>
      <c r="BB154" s="150" t="str">
        <f>IF(OR(AX154="",AX154=0,$J154="",$J154=0,NOT(ISNUMBER($J154)),NOT(ISNUMBER(AX154))),IF(AND($G154&lt;&gt;"",AND(OR(ISNUMBER(AX154),AX154=""),AND(ISNUMBER($J154),$J154&gt;0))),'Feuille de Donnée'!$K$13,""),IF(AX154&lt;$J$165*'Feuille de Donnée'!$I$9,"Négligeable",(IF(AND(AV154&gt;=$H154*(1-'Feuille de Donnée'!$E$12),AV154&lt;=$H154*(1+'Feuille de Donnée'!$F$12)),'Feuille de Donnée'!$F$17,IF(AV154&lt;$H154*(1-'Feuille de Donnée'!$E$12),'Feuille de Donnée'!$F$18,'Feuille de Donnée'!$F$16))&amp;""&amp;IF(AND(AW154&gt;=$I154*(1-'Feuille de Donnée'!$E$27),AW154&lt;=$I154*(1+'Feuille de Donnée'!$F$27)),'Feuille de Donnée'!$F$32,IF(AW154&lt;$I154*(1-'Feuille de Donnée'!$E$27),'Feuille de Donnée'!$F$33,'Feuille de Donnée'!$F$31)))))</f>
        <v/>
      </c>
      <c r="BC154" s="151"/>
      <c r="BD154" s="110"/>
      <c r="BE154" s="28"/>
      <c r="BF154" s="28"/>
      <c r="BG154" s="28" t="str">
        <f t="shared" si="73"/>
        <v/>
      </c>
      <c r="BH154" s="128" t="str">
        <f t="shared" si="74"/>
        <v/>
      </c>
      <c r="BI154" s="128" t="str">
        <f t="shared" si="75"/>
        <v/>
      </c>
      <c r="BJ154" s="28" t="str">
        <f>IF(AND(ISBLANK(BL154),BK154=""),"",1+MAX(BJ$18:BJ153))</f>
        <v/>
      </c>
      <c r="BK154" s="150" t="str">
        <f>IF(OR(BG154="",BG154=0,$J154="",$J154=0,NOT(ISNUMBER($J154)),NOT(ISNUMBER(BG154))),IF(AND($G154&lt;&gt;"",AND(OR(ISNUMBER(BG154),BG154=""),AND(ISNUMBER($J154),$J154&gt;0))),'Feuille de Donnée'!$K$13,""),IF(BG154&lt;$J$165*'Feuille de Donnée'!$I$9,"Négligeable",(IF(AND(BE154&gt;=$H154*(1-'Feuille de Donnée'!$E$12),BE154&lt;=$H154*(1+'Feuille de Donnée'!$F$12)),'Feuille de Donnée'!$F$17,IF(BE154&lt;$H154*(1-'Feuille de Donnée'!$E$12),'Feuille de Donnée'!$F$18,'Feuille de Donnée'!$F$16))&amp;""&amp;IF(AND(BF154&gt;=$I154*(1-'Feuille de Donnée'!$E$27),BF154&lt;=$I154*(1+'Feuille de Donnée'!$F$27)),'Feuille de Donnée'!$F$32,IF(BF154&lt;$I154*(1-'Feuille de Donnée'!$E$27),'Feuille de Donnée'!$F$33,'Feuille de Donnée'!$F$31)))))</f>
        <v/>
      </c>
      <c r="BL154" s="151"/>
      <c r="BM154" s="153"/>
    </row>
    <row r="155" spans="1:65" s="7" customFormat="1" x14ac:dyDescent="0.3">
      <c r="A155" s="24"/>
      <c r="B155" s="25"/>
      <c r="C155" s="25"/>
      <c r="D155" s="25"/>
      <c r="E155" s="25"/>
      <c r="F155" s="25"/>
      <c r="G155" s="23"/>
      <c r="H155" s="26"/>
      <c r="I155" s="27"/>
      <c r="J155" s="109" t="str">
        <f t="shared" si="57"/>
        <v/>
      </c>
      <c r="K155" s="110"/>
      <c r="L155" s="28"/>
      <c r="M155" s="28"/>
      <c r="N155" s="28" t="str">
        <f t="shared" si="58"/>
        <v/>
      </c>
      <c r="O155" s="128" t="str">
        <f t="shared" si="59"/>
        <v/>
      </c>
      <c r="P155" s="128" t="str">
        <f t="shared" si="60"/>
        <v/>
      </c>
      <c r="Q155" s="28" t="str">
        <f>IF(AND(ISBLANK(S155),R155=""),"",1+MAX(Q$18:Q154))</f>
        <v/>
      </c>
      <c r="R155" s="150" t="str">
        <f>IF(OR(N155="",N155=0,$J155="",$J155=0,NOT(ISNUMBER($J155)),NOT(ISNUMBER(N155))),IF(AND($G155&lt;&gt;"",AND(OR(ISNUMBER(N155),N155=""),AND(ISNUMBER($J155),$J155&gt;0))),'Feuille de Donnée'!$K$13,""),IF(N155&lt;$J$165*'Feuille de Donnée'!$I$9,"Négligeable",(IF(AND(L155&gt;=$H155*(1-'Feuille de Donnée'!$E$12),L155&lt;=$H155*(1+'Feuille de Donnée'!$F$12)),'Feuille de Donnée'!$F$17,IF(L155&lt;$H155*(1-'Feuille de Donnée'!$E$12),'Feuille de Donnée'!$F$18,'Feuille de Donnée'!$F$16))&amp;""&amp;IF(AND(M155&gt;=$I155*(1-'Feuille de Donnée'!$E$27),M155&lt;=$I155*(1+'Feuille de Donnée'!$F$27)),'Feuille de Donnée'!$F$32,IF(M155&lt;$I155*(1-'Feuille de Donnée'!$E$27),'Feuille de Donnée'!$F$33,'Feuille de Donnée'!$F$31)))))</f>
        <v/>
      </c>
      <c r="S155" s="151"/>
      <c r="T155" s="110"/>
      <c r="U155" s="28"/>
      <c r="V155" s="28"/>
      <c r="W155" s="28" t="str">
        <f t="shared" si="61"/>
        <v/>
      </c>
      <c r="X155" s="128" t="str">
        <f t="shared" si="62"/>
        <v/>
      </c>
      <c r="Y155" s="128" t="str">
        <f t="shared" si="63"/>
        <v/>
      </c>
      <c r="Z155" s="28" t="str">
        <f>IF(AND(ISBLANK(AB155),AA155=""),"",1+MAX(Z$18:Z154))</f>
        <v/>
      </c>
      <c r="AA155" s="150" t="str">
        <f>IF(OR(W155="",W155=0,$J155="",$J155=0,NOT(ISNUMBER($J155)),NOT(ISNUMBER(W155))),IF(AND($G155&lt;&gt;"",AND(OR(ISNUMBER(W155),W155=""),AND(ISNUMBER($J155),$J155&gt;0))),'Feuille de Donnée'!$K$13,""),IF(W155&lt;$J$165*'Feuille de Donnée'!$I$9,"Négligeable",(IF(AND(U155&gt;=$H155*(1-'Feuille de Donnée'!$E$12),U155&lt;=$H155*(1+'Feuille de Donnée'!$F$12)),'Feuille de Donnée'!$F$17,IF(U155&lt;$H155*(1-'Feuille de Donnée'!$E$12),'Feuille de Donnée'!$F$18,'Feuille de Donnée'!$F$16))&amp;""&amp;IF(AND(V155&gt;=$I155*(1-'Feuille de Donnée'!$E$27),V155&lt;=$I155*(1+'Feuille de Donnée'!$F$27)),'Feuille de Donnée'!$F$32,IF(V155&lt;$I155*(1-'Feuille de Donnée'!$E$27),'Feuille de Donnée'!$F$33,'Feuille de Donnée'!$F$31)))))</f>
        <v/>
      </c>
      <c r="AB155" s="151"/>
      <c r="AC155" s="110"/>
      <c r="AD155" s="28"/>
      <c r="AE155" s="28"/>
      <c r="AF155" s="28" t="str">
        <f t="shared" si="64"/>
        <v/>
      </c>
      <c r="AG155" s="128" t="str">
        <f t="shared" si="65"/>
        <v/>
      </c>
      <c r="AH155" s="128" t="str">
        <f t="shared" si="66"/>
        <v/>
      </c>
      <c r="AI155" s="28" t="str">
        <f>IF(AND(ISBLANK(AK155),AJ155=""),"",1+MAX(AI$18:AI154))</f>
        <v/>
      </c>
      <c r="AJ155" s="150" t="str">
        <f>IF(OR(AF155="",AF155=0,$J155="",$J155=0,NOT(ISNUMBER($J155)),NOT(ISNUMBER(AF155))),IF(AND($G155&lt;&gt;"",AND(OR(ISNUMBER(AF155),AF155=""),AND(ISNUMBER($J155),$J155&gt;0))),'Feuille de Donnée'!$K$13,""),IF(AF155&lt;$J$165*'Feuille de Donnée'!$I$9,"Négligeable",(IF(AND(AD155&gt;=$H155*(1-'Feuille de Donnée'!$E$12),AD155&lt;=$H155*(1+'Feuille de Donnée'!$F$12)),'Feuille de Donnée'!$F$17,IF(AD155&lt;$H155*(1-'Feuille de Donnée'!$E$12),'Feuille de Donnée'!$F$18,'Feuille de Donnée'!$F$16))&amp;""&amp;IF(AND(AE155&gt;=$I155*(1-'Feuille de Donnée'!$E$27),AE155&lt;=$I155*(1+'Feuille de Donnée'!$F$27)),'Feuille de Donnée'!$F$32,IF(AE155&lt;$I155*(1-'Feuille de Donnée'!$E$27),'Feuille de Donnée'!$F$33,'Feuille de Donnée'!$F$31)))))</f>
        <v/>
      </c>
      <c r="AK155" s="151"/>
      <c r="AL155" s="110"/>
      <c r="AM155" s="28"/>
      <c r="AN155" s="28"/>
      <c r="AO155" s="28" t="str">
        <f t="shared" si="67"/>
        <v/>
      </c>
      <c r="AP155" s="128" t="str">
        <f t="shared" si="68"/>
        <v/>
      </c>
      <c r="AQ155" s="128" t="str">
        <f t="shared" si="69"/>
        <v/>
      </c>
      <c r="AR155" s="28" t="str">
        <f>IF(AND(ISBLANK(AT155),AS155=""),"",1+MAX(AR$18:AR154))</f>
        <v/>
      </c>
      <c r="AS155" s="150" t="str">
        <f>IF(OR(AO155="",AO155=0,$J155="",$J155=0,NOT(ISNUMBER($J155)),NOT(ISNUMBER(AO155))),IF(AND($G155&lt;&gt;"",AND(OR(ISNUMBER(AO155),AO155=""),AND(ISNUMBER($J155),$J155&gt;0))),'Feuille de Donnée'!$K$13,""),IF(AO155&lt;$J$165*'Feuille de Donnée'!$I$9,"Négligeable",(IF(AND(AM155&gt;=$H155*(1-'Feuille de Donnée'!$E$12),AM155&lt;=$H155*(1+'Feuille de Donnée'!$F$12)),'Feuille de Donnée'!$F$17,IF(AM155&lt;$H155*(1-'Feuille de Donnée'!$E$12),'Feuille de Donnée'!$F$18,'Feuille de Donnée'!$F$16))&amp;""&amp;IF(AND(AN155&gt;=$I155*(1-'Feuille de Donnée'!$E$27),AN155&lt;=$I155*(1+'Feuille de Donnée'!$F$27)),'Feuille de Donnée'!$F$32,IF(AN155&lt;$I155*(1-'Feuille de Donnée'!$E$27),'Feuille de Donnée'!$F$33,'Feuille de Donnée'!$F$31)))))</f>
        <v/>
      </c>
      <c r="AT155" s="151"/>
      <c r="AU155" s="110"/>
      <c r="AV155" s="28"/>
      <c r="AW155" s="28"/>
      <c r="AX155" s="28" t="str">
        <f t="shared" si="70"/>
        <v/>
      </c>
      <c r="AY155" s="128" t="str">
        <f t="shared" si="71"/>
        <v/>
      </c>
      <c r="AZ155" s="128" t="str">
        <f t="shared" si="72"/>
        <v/>
      </c>
      <c r="BA155" s="28" t="str">
        <f>IF(AND(ISBLANK(BC155),BB155=""),"",1+MAX(BA$18:BA154))</f>
        <v/>
      </c>
      <c r="BB155" s="150" t="str">
        <f>IF(OR(AX155="",AX155=0,$J155="",$J155=0,NOT(ISNUMBER($J155)),NOT(ISNUMBER(AX155))),IF(AND($G155&lt;&gt;"",AND(OR(ISNUMBER(AX155),AX155=""),AND(ISNUMBER($J155),$J155&gt;0))),'Feuille de Donnée'!$K$13,""),IF(AX155&lt;$J$165*'Feuille de Donnée'!$I$9,"Négligeable",(IF(AND(AV155&gt;=$H155*(1-'Feuille de Donnée'!$E$12),AV155&lt;=$H155*(1+'Feuille de Donnée'!$F$12)),'Feuille de Donnée'!$F$17,IF(AV155&lt;$H155*(1-'Feuille de Donnée'!$E$12),'Feuille de Donnée'!$F$18,'Feuille de Donnée'!$F$16))&amp;""&amp;IF(AND(AW155&gt;=$I155*(1-'Feuille de Donnée'!$E$27),AW155&lt;=$I155*(1+'Feuille de Donnée'!$F$27)),'Feuille de Donnée'!$F$32,IF(AW155&lt;$I155*(1-'Feuille de Donnée'!$E$27),'Feuille de Donnée'!$F$33,'Feuille de Donnée'!$F$31)))))</f>
        <v/>
      </c>
      <c r="BC155" s="151"/>
      <c r="BD155" s="110"/>
      <c r="BE155" s="28"/>
      <c r="BF155" s="28"/>
      <c r="BG155" s="28" t="str">
        <f t="shared" si="73"/>
        <v/>
      </c>
      <c r="BH155" s="128" t="str">
        <f t="shared" si="74"/>
        <v/>
      </c>
      <c r="BI155" s="128" t="str">
        <f t="shared" si="75"/>
        <v/>
      </c>
      <c r="BJ155" s="28" t="str">
        <f>IF(AND(ISBLANK(BL155),BK155=""),"",1+MAX(BJ$18:BJ154))</f>
        <v/>
      </c>
      <c r="BK155" s="150" t="str">
        <f>IF(OR(BG155="",BG155=0,$J155="",$J155=0,NOT(ISNUMBER($J155)),NOT(ISNUMBER(BG155))),IF(AND($G155&lt;&gt;"",AND(OR(ISNUMBER(BG155),BG155=""),AND(ISNUMBER($J155),$J155&gt;0))),'Feuille de Donnée'!$K$13,""),IF(BG155&lt;$J$165*'Feuille de Donnée'!$I$9,"Négligeable",(IF(AND(BE155&gt;=$H155*(1-'Feuille de Donnée'!$E$12),BE155&lt;=$H155*(1+'Feuille de Donnée'!$F$12)),'Feuille de Donnée'!$F$17,IF(BE155&lt;$H155*(1-'Feuille de Donnée'!$E$12),'Feuille de Donnée'!$F$18,'Feuille de Donnée'!$F$16))&amp;""&amp;IF(AND(BF155&gt;=$I155*(1-'Feuille de Donnée'!$E$27),BF155&lt;=$I155*(1+'Feuille de Donnée'!$F$27)),'Feuille de Donnée'!$F$32,IF(BF155&lt;$I155*(1-'Feuille de Donnée'!$E$27),'Feuille de Donnée'!$F$33,'Feuille de Donnée'!$F$31)))))</f>
        <v/>
      </c>
      <c r="BL155" s="151"/>
      <c r="BM155" s="153"/>
    </row>
    <row r="156" spans="1:65" s="7" customFormat="1" x14ac:dyDescent="0.3">
      <c r="A156" s="24"/>
      <c r="B156" s="25"/>
      <c r="C156" s="25"/>
      <c r="D156" s="25"/>
      <c r="E156" s="25"/>
      <c r="F156" s="25"/>
      <c r="G156" s="23"/>
      <c r="H156" s="26"/>
      <c r="I156" s="27"/>
      <c r="J156" s="109" t="str">
        <f t="shared" si="57"/>
        <v/>
      </c>
      <c r="K156" s="110"/>
      <c r="L156" s="28"/>
      <c r="M156" s="28"/>
      <c r="N156" s="28" t="str">
        <f t="shared" si="58"/>
        <v/>
      </c>
      <c r="O156" s="128" t="str">
        <f t="shared" si="59"/>
        <v/>
      </c>
      <c r="P156" s="128" t="str">
        <f t="shared" si="60"/>
        <v/>
      </c>
      <c r="Q156" s="28" t="str">
        <f>IF(AND(ISBLANK(S156),R156=""),"",1+MAX(Q$18:Q155))</f>
        <v/>
      </c>
      <c r="R156" s="150" t="str">
        <f>IF(OR(N156="",N156=0,$J156="",$J156=0,NOT(ISNUMBER($J156)),NOT(ISNUMBER(N156))),IF(AND($G156&lt;&gt;"",AND(OR(ISNUMBER(N156),N156=""),AND(ISNUMBER($J156),$J156&gt;0))),'Feuille de Donnée'!$K$13,""),IF(N156&lt;$J$165*'Feuille de Donnée'!$I$9,"Négligeable",(IF(AND(L156&gt;=$H156*(1-'Feuille de Donnée'!$E$12),L156&lt;=$H156*(1+'Feuille de Donnée'!$F$12)),'Feuille de Donnée'!$F$17,IF(L156&lt;$H156*(1-'Feuille de Donnée'!$E$12),'Feuille de Donnée'!$F$18,'Feuille de Donnée'!$F$16))&amp;""&amp;IF(AND(M156&gt;=$I156*(1-'Feuille de Donnée'!$E$27),M156&lt;=$I156*(1+'Feuille de Donnée'!$F$27)),'Feuille de Donnée'!$F$32,IF(M156&lt;$I156*(1-'Feuille de Donnée'!$E$27),'Feuille de Donnée'!$F$33,'Feuille de Donnée'!$F$31)))))</f>
        <v/>
      </c>
      <c r="S156" s="151"/>
      <c r="T156" s="110"/>
      <c r="U156" s="28"/>
      <c r="V156" s="28"/>
      <c r="W156" s="28" t="str">
        <f t="shared" si="61"/>
        <v/>
      </c>
      <c r="X156" s="128" t="str">
        <f t="shared" si="62"/>
        <v/>
      </c>
      <c r="Y156" s="128" t="str">
        <f t="shared" si="63"/>
        <v/>
      </c>
      <c r="Z156" s="28" t="str">
        <f>IF(AND(ISBLANK(AB156),AA156=""),"",1+MAX(Z$18:Z155))</f>
        <v/>
      </c>
      <c r="AA156" s="150" t="str">
        <f>IF(OR(W156="",W156=0,$J156="",$J156=0,NOT(ISNUMBER($J156)),NOT(ISNUMBER(W156))),IF(AND($G156&lt;&gt;"",AND(OR(ISNUMBER(W156),W156=""),AND(ISNUMBER($J156),$J156&gt;0))),'Feuille de Donnée'!$K$13,""),IF(W156&lt;$J$165*'Feuille de Donnée'!$I$9,"Négligeable",(IF(AND(U156&gt;=$H156*(1-'Feuille de Donnée'!$E$12),U156&lt;=$H156*(1+'Feuille de Donnée'!$F$12)),'Feuille de Donnée'!$F$17,IF(U156&lt;$H156*(1-'Feuille de Donnée'!$E$12),'Feuille de Donnée'!$F$18,'Feuille de Donnée'!$F$16))&amp;""&amp;IF(AND(V156&gt;=$I156*(1-'Feuille de Donnée'!$E$27),V156&lt;=$I156*(1+'Feuille de Donnée'!$F$27)),'Feuille de Donnée'!$F$32,IF(V156&lt;$I156*(1-'Feuille de Donnée'!$E$27),'Feuille de Donnée'!$F$33,'Feuille de Donnée'!$F$31)))))</f>
        <v/>
      </c>
      <c r="AB156" s="151"/>
      <c r="AC156" s="110"/>
      <c r="AD156" s="28"/>
      <c r="AE156" s="28"/>
      <c r="AF156" s="28" t="str">
        <f t="shared" si="64"/>
        <v/>
      </c>
      <c r="AG156" s="128" t="str">
        <f t="shared" si="65"/>
        <v/>
      </c>
      <c r="AH156" s="128" t="str">
        <f t="shared" si="66"/>
        <v/>
      </c>
      <c r="AI156" s="28" t="str">
        <f>IF(AND(ISBLANK(AK156),AJ156=""),"",1+MAX(AI$18:AI155))</f>
        <v/>
      </c>
      <c r="AJ156" s="150" t="str">
        <f>IF(OR(AF156="",AF156=0,$J156="",$J156=0,NOT(ISNUMBER($J156)),NOT(ISNUMBER(AF156))),IF(AND($G156&lt;&gt;"",AND(OR(ISNUMBER(AF156),AF156=""),AND(ISNUMBER($J156),$J156&gt;0))),'Feuille de Donnée'!$K$13,""),IF(AF156&lt;$J$165*'Feuille de Donnée'!$I$9,"Négligeable",(IF(AND(AD156&gt;=$H156*(1-'Feuille de Donnée'!$E$12),AD156&lt;=$H156*(1+'Feuille de Donnée'!$F$12)),'Feuille de Donnée'!$F$17,IF(AD156&lt;$H156*(1-'Feuille de Donnée'!$E$12),'Feuille de Donnée'!$F$18,'Feuille de Donnée'!$F$16))&amp;""&amp;IF(AND(AE156&gt;=$I156*(1-'Feuille de Donnée'!$E$27),AE156&lt;=$I156*(1+'Feuille de Donnée'!$F$27)),'Feuille de Donnée'!$F$32,IF(AE156&lt;$I156*(1-'Feuille de Donnée'!$E$27),'Feuille de Donnée'!$F$33,'Feuille de Donnée'!$F$31)))))</f>
        <v/>
      </c>
      <c r="AK156" s="151"/>
      <c r="AL156" s="110"/>
      <c r="AM156" s="28"/>
      <c r="AN156" s="28"/>
      <c r="AO156" s="28" t="str">
        <f t="shared" si="67"/>
        <v/>
      </c>
      <c r="AP156" s="128" t="str">
        <f t="shared" si="68"/>
        <v/>
      </c>
      <c r="AQ156" s="128" t="str">
        <f t="shared" si="69"/>
        <v/>
      </c>
      <c r="AR156" s="28" t="str">
        <f>IF(AND(ISBLANK(AT156),AS156=""),"",1+MAX(AR$18:AR155))</f>
        <v/>
      </c>
      <c r="AS156" s="150" t="str">
        <f>IF(OR(AO156="",AO156=0,$J156="",$J156=0,NOT(ISNUMBER($J156)),NOT(ISNUMBER(AO156))),IF(AND($G156&lt;&gt;"",AND(OR(ISNUMBER(AO156),AO156=""),AND(ISNUMBER($J156),$J156&gt;0))),'Feuille de Donnée'!$K$13,""),IF(AO156&lt;$J$165*'Feuille de Donnée'!$I$9,"Négligeable",(IF(AND(AM156&gt;=$H156*(1-'Feuille de Donnée'!$E$12),AM156&lt;=$H156*(1+'Feuille de Donnée'!$F$12)),'Feuille de Donnée'!$F$17,IF(AM156&lt;$H156*(1-'Feuille de Donnée'!$E$12),'Feuille de Donnée'!$F$18,'Feuille de Donnée'!$F$16))&amp;""&amp;IF(AND(AN156&gt;=$I156*(1-'Feuille de Donnée'!$E$27),AN156&lt;=$I156*(1+'Feuille de Donnée'!$F$27)),'Feuille de Donnée'!$F$32,IF(AN156&lt;$I156*(1-'Feuille de Donnée'!$E$27),'Feuille de Donnée'!$F$33,'Feuille de Donnée'!$F$31)))))</f>
        <v/>
      </c>
      <c r="AT156" s="151"/>
      <c r="AU156" s="110"/>
      <c r="AV156" s="28"/>
      <c r="AW156" s="28"/>
      <c r="AX156" s="28" t="str">
        <f t="shared" si="70"/>
        <v/>
      </c>
      <c r="AY156" s="128" t="str">
        <f t="shared" si="71"/>
        <v/>
      </c>
      <c r="AZ156" s="128" t="str">
        <f t="shared" si="72"/>
        <v/>
      </c>
      <c r="BA156" s="28" t="str">
        <f>IF(AND(ISBLANK(BC156),BB156=""),"",1+MAX(BA$18:BA155))</f>
        <v/>
      </c>
      <c r="BB156" s="150" t="str">
        <f>IF(OR(AX156="",AX156=0,$J156="",$J156=0,NOT(ISNUMBER($J156)),NOT(ISNUMBER(AX156))),IF(AND($G156&lt;&gt;"",AND(OR(ISNUMBER(AX156),AX156=""),AND(ISNUMBER($J156),$J156&gt;0))),'Feuille de Donnée'!$K$13,""),IF(AX156&lt;$J$165*'Feuille de Donnée'!$I$9,"Négligeable",(IF(AND(AV156&gt;=$H156*(1-'Feuille de Donnée'!$E$12),AV156&lt;=$H156*(1+'Feuille de Donnée'!$F$12)),'Feuille de Donnée'!$F$17,IF(AV156&lt;$H156*(1-'Feuille de Donnée'!$E$12),'Feuille de Donnée'!$F$18,'Feuille de Donnée'!$F$16))&amp;""&amp;IF(AND(AW156&gt;=$I156*(1-'Feuille de Donnée'!$E$27),AW156&lt;=$I156*(1+'Feuille de Donnée'!$F$27)),'Feuille de Donnée'!$F$32,IF(AW156&lt;$I156*(1-'Feuille de Donnée'!$E$27),'Feuille de Donnée'!$F$33,'Feuille de Donnée'!$F$31)))))</f>
        <v/>
      </c>
      <c r="BC156" s="151"/>
      <c r="BD156" s="110"/>
      <c r="BE156" s="28"/>
      <c r="BF156" s="28"/>
      <c r="BG156" s="28" t="str">
        <f t="shared" si="73"/>
        <v/>
      </c>
      <c r="BH156" s="128" t="str">
        <f t="shared" si="74"/>
        <v/>
      </c>
      <c r="BI156" s="128" t="str">
        <f t="shared" si="75"/>
        <v/>
      </c>
      <c r="BJ156" s="28" t="str">
        <f>IF(AND(ISBLANK(BL156),BK156=""),"",1+MAX(BJ$18:BJ155))</f>
        <v/>
      </c>
      <c r="BK156" s="150" t="str">
        <f>IF(OR(BG156="",BG156=0,$J156="",$J156=0,NOT(ISNUMBER($J156)),NOT(ISNUMBER(BG156))),IF(AND($G156&lt;&gt;"",AND(OR(ISNUMBER(BG156),BG156=""),AND(ISNUMBER($J156),$J156&gt;0))),'Feuille de Donnée'!$K$13,""),IF(BG156&lt;$J$165*'Feuille de Donnée'!$I$9,"Négligeable",(IF(AND(BE156&gt;=$H156*(1-'Feuille de Donnée'!$E$12),BE156&lt;=$H156*(1+'Feuille de Donnée'!$F$12)),'Feuille de Donnée'!$F$17,IF(BE156&lt;$H156*(1-'Feuille de Donnée'!$E$12),'Feuille de Donnée'!$F$18,'Feuille de Donnée'!$F$16))&amp;""&amp;IF(AND(BF156&gt;=$I156*(1-'Feuille de Donnée'!$E$27),BF156&lt;=$I156*(1+'Feuille de Donnée'!$F$27)),'Feuille de Donnée'!$F$32,IF(BF156&lt;$I156*(1-'Feuille de Donnée'!$E$27),'Feuille de Donnée'!$F$33,'Feuille de Donnée'!$F$31)))))</f>
        <v/>
      </c>
      <c r="BL156" s="151"/>
      <c r="BM156" s="153"/>
    </row>
    <row r="157" spans="1:65" s="7" customFormat="1" x14ac:dyDescent="0.3">
      <c r="A157" s="24"/>
      <c r="B157" s="25"/>
      <c r="C157" s="25"/>
      <c r="D157" s="25"/>
      <c r="E157" s="25"/>
      <c r="F157" s="25"/>
      <c r="G157" s="23"/>
      <c r="H157" s="26"/>
      <c r="I157" s="27"/>
      <c r="J157" s="109" t="str">
        <f t="shared" si="57"/>
        <v/>
      </c>
      <c r="K157" s="110"/>
      <c r="L157" s="28"/>
      <c r="M157" s="28"/>
      <c r="N157" s="28" t="str">
        <f t="shared" si="58"/>
        <v/>
      </c>
      <c r="O157" s="128" t="str">
        <f t="shared" si="59"/>
        <v/>
      </c>
      <c r="P157" s="128" t="str">
        <f t="shared" si="60"/>
        <v/>
      </c>
      <c r="Q157" s="28" t="str">
        <f>IF(AND(ISBLANK(S157),R157=""),"",1+MAX(Q$18:Q156))</f>
        <v/>
      </c>
      <c r="R157" s="150" t="str">
        <f>IF(OR(N157="",N157=0,$J157="",$J157=0,NOT(ISNUMBER($J157)),NOT(ISNUMBER(N157))),IF(AND($G157&lt;&gt;"",AND(OR(ISNUMBER(N157),N157=""),AND(ISNUMBER($J157),$J157&gt;0))),'Feuille de Donnée'!$K$13,""),IF(N157&lt;$J$165*'Feuille de Donnée'!$I$9,"Négligeable",(IF(AND(L157&gt;=$H157*(1-'Feuille de Donnée'!$E$12),L157&lt;=$H157*(1+'Feuille de Donnée'!$F$12)),'Feuille de Donnée'!$F$17,IF(L157&lt;$H157*(1-'Feuille de Donnée'!$E$12),'Feuille de Donnée'!$F$18,'Feuille de Donnée'!$F$16))&amp;""&amp;IF(AND(M157&gt;=$I157*(1-'Feuille de Donnée'!$E$27),M157&lt;=$I157*(1+'Feuille de Donnée'!$F$27)),'Feuille de Donnée'!$F$32,IF(M157&lt;$I157*(1-'Feuille de Donnée'!$E$27),'Feuille de Donnée'!$F$33,'Feuille de Donnée'!$F$31)))))</f>
        <v/>
      </c>
      <c r="S157" s="151"/>
      <c r="T157" s="110"/>
      <c r="U157" s="28"/>
      <c r="V157" s="28"/>
      <c r="W157" s="28" t="str">
        <f t="shared" si="61"/>
        <v/>
      </c>
      <c r="X157" s="128" t="str">
        <f t="shared" si="62"/>
        <v/>
      </c>
      <c r="Y157" s="128" t="str">
        <f t="shared" si="63"/>
        <v/>
      </c>
      <c r="Z157" s="28" t="str">
        <f>IF(AND(ISBLANK(AB157),AA157=""),"",1+MAX(Z$18:Z156))</f>
        <v/>
      </c>
      <c r="AA157" s="150" t="str">
        <f>IF(OR(W157="",W157=0,$J157="",$J157=0,NOT(ISNUMBER($J157)),NOT(ISNUMBER(W157))),IF(AND($G157&lt;&gt;"",AND(OR(ISNUMBER(W157),W157=""),AND(ISNUMBER($J157),$J157&gt;0))),'Feuille de Donnée'!$K$13,""),IF(W157&lt;$J$165*'Feuille de Donnée'!$I$9,"Négligeable",(IF(AND(U157&gt;=$H157*(1-'Feuille de Donnée'!$E$12),U157&lt;=$H157*(1+'Feuille de Donnée'!$F$12)),'Feuille de Donnée'!$F$17,IF(U157&lt;$H157*(1-'Feuille de Donnée'!$E$12),'Feuille de Donnée'!$F$18,'Feuille de Donnée'!$F$16))&amp;""&amp;IF(AND(V157&gt;=$I157*(1-'Feuille de Donnée'!$E$27),V157&lt;=$I157*(1+'Feuille de Donnée'!$F$27)),'Feuille de Donnée'!$F$32,IF(V157&lt;$I157*(1-'Feuille de Donnée'!$E$27),'Feuille de Donnée'!$F$33,'Feuille de Donnée'!$F$31)))))</f>
        <v/>
      </c>
      <c r="AB157" s="151"/>
      <c r="AC157" s="110"/>
      <c r="AD157" s="28"/>
      <c r="AE157" s="28"/>
      <c r="AF157" s="28" t="str">
        <f t="shared" si="64"/>
        <v/>
      </c>
      <c r="AG157" s="128" t="str">
        <f t="shared" si="65"/>
        <v/>
      </c>
      <c r="AH157" s="128" t="str">
        <f t="shared" si="66"/>
        <v/>
      </c>
      <c r="AI157" s="28" t="str">
        <f>IF(AND(ISBLANK(AK157),AJ157=""),"",1+MAX(AI$18:AI156))</f>
        <v/>
      </c>
      <c r="AJ157" s="150" t="str">
        <f>IF(OR(AF157="",AF157=0,$J157="",$J157=0,NOT(ISNUMBER($J157)),NOT(ISNUMBER(AF157))),IF(AND($G157&lt;&gt;"",AND(OR(ISNUMBER(AF157),AF157=""),AND(ISNUMBER($J157),$J157&gt;0))),'Feuille de Donnée'!$K$13,""),IF(AF157&lt;$J$165*'Feuille de Donnée'!$I$9,"Négligeable",(IF(AND(AD157&gt;=$H157*(1-'Feuille de Donnée'!$E$12),AD157&lt;=$H157*(1+'Feuille de Donnée'!$F$12)),'Feuille de Donnée'!$F$17,IF(AD157&lt;$H157*(1-'Feuille de Donnée'!$E$12),'Feuille de Donnée'!$F$18,'Feuille de Donnée'!$F$16))&amp;""&amp;IF(AND(AE157&gt;=$I157*(1-'Feuille de Donnée'!$E$27),AE157&lt;=$I157*(1+'Feuille de Donnée'!$F$27)),'Feuille de Donnée'!$F$32,IF(AE157&lt;$I157*(1-'Feuille de Donnée'!$E$27),'Feuille de Donnée'!$F$33,'Feuille de Donnée'!$F$31)))))</f>
        <v/>
      </c>
      <c r="AK157" s="151"/>
      <c r="AL157" s="110"/>
      <c r="AM157" s="28"/>
      <c r="AN157" s="28"/>
      <c r="AO157" s="28" t="str">
        <f t="shared" si="67"/>
        <v/>
      </c>
      <c r="AP157" s="128" t="str">
        <f t="shared" si="68"/>
        <v/>
      </c>
      <c r="AQ157" s="128" t="str">
        <f t="shared" si="69"/>
        <v/>
      </c>
      <c r="AR157" s="28" t="str">
        <f>IF(AND(ISBLANK(AT157),AS157=""),"",1+MAX(AR$18:AR156))</f>
        <v/>
      </c>
      <c r="AS157" s="150" t="str">
        <f>IF(OR(AO157="",AO157=0,$J157="",$J157=0,NOT(ISNUMBER($J157)),NOT(ISNUMBER(AO157))),IF(AND($G157&lt;&gt;"",AND(OR(ISNUMBER(AO157),AO157=""),AND(ISNUMBER($J157),$J157&gt;0))),'Feuille de Donnée'!$K$13,""),IF(AO157&lt;$J$165*'Feuille de Donnée'!$I$9,"Négligeable",(IF(AND(AM157&gt;=$H157*(1-'Feuille de Donnée'!$E$12),AM157&lt;=$H157*(1+'Feuille de Donnée'!$F$12)),'Feuille de Donnée'!$F$17,IF(AM157&lt;$H157*(1-'Feuille de Donnée'!$E$12),'Feuille de Donnée'!$F$18,'Feuille de Donnée'!$F$16))&amp;""&amp;IF(AND(AN157&gt;=$I157*(1-'Feuille de Donnée'!$E$27),AN157&lt;=$I157*(1+'Feuille de Donnée'!$F$27)),'Feuille de Donnée'!$F$32,IF(AN157&lt;$I157*(1-'Feuille de Donnée'!$E$27),'Feuille de Donnée'!$F$33,'Feuille de Donnée'!$F$31)))))</f>
        <v/>
      </c>
      <c r="AT157" s="151"/>
      <c r="AU157" s="110"/>
      <c r="AV157" s="28"/>
      <c r="AW157" s="28"/>
      <c r="AX157" s="28" t="str">
        <f t="shared" si="70"/>
        <v/>
      </c>
      <c r="AY157" s="128" t="str">
        <f t="shared" si="71"/>
        <v/>
      </c>
      <c r="AZ157" s="128" t="str">
        <f t="shared" si="72"/>
        <v/>
      </c>
      <c r="BA157" s="28" t="str">
        <f>IF(AND(ISBLANK(BC157),BB157=""),"",1+MAX(BA$18:BA156))</f>
        <v/>
      </c>
      <c r="BB157" s="150" t="str">
        <f>IF(OR(AX157="",AX157=0,$J157="",$J157=0,NOT(ISNUMBER($J157)),NOT(ISNUMBER(AX157))),IF(AND($G157&lt;&gt;"",AND(OR(ISNUMBER(AX157),AX157=""),AND(ISNUMBER($J157),$J157&gt;0))),'Feuille de Donnée'!$K$13,""),IF(AX157&lt;$J$165*'Feuille de Donnée'!$I$9,"Négligeable",(IF(AND(AV157&gt;=$H157*(1-'Feuille de Donnée'!$E$12),AV157&lt;=$H157*(1+'Feuille de Donnée'!$F$12)),'Feuille de Donnée'!$F$17,IF(AV157&lt;$H157*(1-'Feuille de Donnée'!$E$12),'Feuille de Donnée'!$F$18,'Feuille de Donnée'!$F$16))&amp;""&amp;IF(AND(AW157&gt;=$I157*(1-'Feuille de Donnée'!$E$27),AW157&lt;=$I157*(1+'Feuille de Donnée'!$F$27)),'Feuille de Donnée'!$F$32,IF(AW157&lt;$I157*(1-'Feuille de Donnée'!$E$27),'Feuille de Donnée'!$F$33,'Feuille de Donnée'!$F$31)))))</f>
        <v/>
      </c>
      <c r="BC157" s="151"/>
      <c r="BD157" s="110"/>
      <c r="BE157" s="28"/>
      <c r="BF157" s="28"/>
      <c r="BG157" s="28" t="str">
        <f t="shared" si="73"/>
        <v/>
      </c>
      <c r="BH157" s="128" t="str">
        <f t="shared" si="74"/>
        <v/>
      </c>
      <c r="BI157" s="128" t="str">
        <f t="shared" si="75"/>
        <v/>
      </c>
      <c r="BJ157" s="28" t="str">
        <f>IF(AND(ISBLANK(BL157),BK157=""),"",1+MAX(BJ$18:BJ156))</f>
        <v/>
      </c>
      <c r="BK157" s="150" t="str">
        <f>IF(OR(BG157="",BG157=0,$J157="",$J157=0,NOT(ISNUMBER($J157)),NOT(ISNUMBER(BG157))),IF(AND($G157&lt;&gt;"",AND(OR(ISNUMBER(BG157),BG157=""),AND(ISNUMBER($J157),$J157&gt;0))),'Feuille de Donnée'!$K$13,""),IF(BG157&lt;$J$165*'Feuille de Donnée'!$I$9,"Négligeable",(IF(AND(BE157&gt;=$H157*(1-'Feuille de Donnée'!$E$12),BE157&lt;=$H157*(1+'Feuille de Donnée'!$F$12)),'Feuille de Donnée'!$F$17,IF(BE157&lt;$H157*(1-'Feuille de Donnée'!$E$12),'Feuille de Donnée'!$F$18,'Feuille de Donnée'!$F$16))&amp;""&amp;IF(AND(BF157&gt;=$I157*(1-'Feuille de Donnée'!$E$27),BF157&lt;=$I157*(1+'Feuille de Donnée'!$F$27)),'Feuille de Donnée'!$F$32,IF(BF157&lt;$I157*(1-'Feuille de Donnée'!$E$27),'Feuille de Donnée'!$F$33,'Feuille de Donnée'!$F$31)))))</f>
        <v/>
      </c>
      <c r="BL157" s="151"/>
      <c r="BM157" s="153"/>
    </row>
    <row r="158" spans="1:65" s="7" customFormat="1" x14ac:dyDescent="0.3">
      <c r="A158" s="24"/>
      <c r="B158" s="25"/>
      <c r="C158" s="25"/>
      <c r="D158" s="25"/>
      <c r="E158" s="25"/>
      <c r="F158" s="25"/>
      <c r="G158" s="23"/>
      <c r="H158" s="26"/>
      <c r="I158" s="27"/>
      <c r="J158" s="109" t="str">
        <f t="shared" si="57"/>
        <v/>
      </c>
      <c r="K158" s="110"/>
      <c r="L158" s="28"/>
      <c r="M158" s="28"/>
      <c r="N158" s="28" t="str">
        <f t="shared" si="58"/>
        <v/>
      </c>
      <c r="O158" s="128" t="str">
        <f t="shared" si="59"/>
        <v/>
      </c>
      <c r="P158" s="128" t="str">
        <f t="shared" si="60"/>
        <v/>
      </c>
      <c r="Q158" s="28" t="str">
        <f>IF(AND(ISBLANK(S158),R158=""),"",1+MAX(Q$18:Q157))</f>
        <v/>
      </c>
      <c r="R158" s="150" t="str">
        <f>IF(OR(N158="",N158=0,$J158="",$J158=0,NOT(ISNUMBER($J158)),NOT(ISNUMBER(N158))),IF(AND($G158&lt;&gt;"",AND(OR(ISNUMBER(N158),N158=""),AND(ISNUMBER($J158),$J158&gt;0))),'Feuille de Donnée'!$K$13,""),IF(N158&lt;$J$165*'Feuille de Donnée'!$I$9,"Négligeable",(IF(AND(L158&gt;=$H158*(1-'Feuille de Donnée'!$E$12),L158&lt;=$H158*(1+'Feuille de Donnée'!$F$12)),'Feuille de Donnée'!$F$17,IF(L158&lt;$H158*(1-'Feuille de Donnée'!$E$12),'Feuille de Donnée'!$F$18,'Feuille de Donnée'!$F$16))&amp;""&amp;IF(AND(M158&gt;=$I158*(1-'Feuille de Donnée'!$E$27),M158&lt;=$I158*(1+'Feuille de Donnée'!$F$27)),'Feuille de Donnée'!$F$32,IF(M158&lt;$I158*(1-'Feuille de Donnée'!$E$27),'Feuille de Donnée'!$F$33,'Feuille de Donnée'!$F$31)))))</f>
        <v/>
      </c>
      <c r="S158" s="151"/>
      <c r="T158" s="110"/>
      <c r="U158" s="28"/>
      <c r="V158" s="28"/>
      <c r="W158" s="28" t="str">
        <f t="shared" si="61"/>
        <v/>
      </c>
      <c r="X158" s="128" t="str">
        <f t="shared" si="62"/>
        <v/>
      </c>
      <c r="Y158" s="128" t="str">
        <f t="shared" si="63"/>
        <v/>
      </c>
      <c r="Z158" s="28" t="str">
        <f>IF(AND(ISBLANK(AB158),AA158=""),"",1+MAX(Z$18:Z157))</f>
        <v/>
      </c>
      <c r="AA158" s="150" t="str">
        <f>IF(OR(W158="",W158=0,$J158="",$J158=0,NOT(ISNUMBER($J158)),NOT(ISNUMBER(W158))),IF(AND($G158&lt;&gt;"",AND(OR(ISNUMBER(W158),W158=""),AND(ISNUMBER($J158),$J158&gt;0))),'Feuille de Donnée'!$K$13,""),IF(W158&lt;$J$165*'Feuille de Donnée'!$I$9,"Négligeable",(IF(AND(U158&gt;=$H158*(1-'Feuille de Donnée'!$E$12),U158&lt;=$H158*(1+'Feuille de Donnée'!$F$12)),'Feuille de Donnée'!$F$17,IF(U158&lt;$H158*(1-'Feuille de Donnée'!$E$12),'Feuille de Donnée'!$F$18,'Feuille de Donnée'!$F$16))&amp;""&amp;IF(AND(V158&gt;=$I158*(1-'Feuille de Donnée'!$E$27),V158&lt;=$I158*(1+'Feuille de Donnée'!$F$27)),'Feuille de Donnée'!$F$32,IF(V158&lt;$I158*(1-'Feuille de Donnée'!$E$27),'Feuille de Donnée'!$F$33,'Feuille de Donnée'!$F$31)))))</f>
        <v/>
      </c>
      <c r="AB158" s="151"/>
      <c r="AC158" s="110"/>
      <c r="AD158" s="28"/>
      <c r="AE158" s="28"/>
      <c r="AF158" s="28" t="str">
        <f t="shared" si="64"/>
        <v/>
      </c>
      <c r="AG158" s="128" t="str">
        <f t="shared" si="65"/>
        <v/>
      </c>
      <c r="AH158" s="128" t="str">
        <f t="shared" si="66"/>
        <v/>
      </c>
      <c r="AI158" s="28" t="str">
        <f>IF(AND(ISBLANK(AK158),AJ158=""),"",1+MAX(AI$18:AI157))</f>
        <v/>
      </c>
      <c r="AJ158" s="150" t="str">
        <f>IF(OR(AF158="",AF158=0,$J158="",$J158=0,NOT(ISNUMBER($J158)),NOT(ISNUMBER(AF158))),IF(AND($G158&lt;&gt;"",AND(OR(ISNUMBER(AF158),AF158=""),AND(ISNUMBER($J158),$J158&gt;0))),'Feuille de Donnée'!$K$13,""),IF(AF158&lt;$J$165*'Feuille de Donnée'!$I$9,"Négligeable",(IF(AND(AD158&gt;=$H158*(1-'Feuille de Donnée'!$E$12),AD158&lt;=$H158*(1+'Feuille de Donnée'!$F$12)),'Feuille de Donnée'!$F$17,IF(AD158&lt;$H158*(1-'Feuille de Donnée'!$E$12),'Feuille de Donnée'!$F$18,'Feuille de Donnée'!$F$16))&amp;""&amp;IF(AND(AE158&gt;=$I158*(1-'Feuille de Donnée'!$E$27),AE158&lt;=$I158*(1+'Feuille de Donnée'!$F$27)),'Feuille de Donnée'!$F$32,IF(AE158&lt;$I158*(1-'Feuille de Donnée'!$E$27),'Feuille de Donnée'!$F$33,'Feuille de Donnée'!$F$31)))))</f>
        <v/>
      </c>
      <c r="AK158" s="151"/>
      <c r="AL158" s="110"/>
      <c r="AM158" s="28"/>
      <c r="AN158" s="28"/>
      <c r="AO158" s="28" t="str">
        <f t="shared" si="67"/>
        <v/>
      </c>
      <c r="AP158" s="128" t="str">
        <f t="shared" si="68"/>
        <v/>
      </c>
      <c r="AQ158" s="128" t="str">
        <f t="shared" si="69"/>
        <v/>
      </c>
      <c r="AR158" s="28" t="str">
        <f>IF(AND(ISBLANK(AT158),AS158=""),"",1+MAX(AR$18:AR157))</f>
        <v/>
      </c>
      <c r="AS158" s="150" t="str">
        <f>IF(OR(AO158="",AO158=0,$J158="",$J158=0,NOT(ISNUMBER($J158)),NOT(ISNUMBER(AO158))),IF(AND($G158&lt;&gt;"",AND(OR(ISNUMBER(AO158),AO158=""),AND(ISNUMBER($J158),$J158&gt;0))),'Feuille de Donnée'!$K$13,""),IF(AO158&lt;$J$165*'Feuille de Donnée'!$I$9,"Négligeable",(IF(AND(AM158&gt;=$H158*(1-'Feuille de Donnée'!$E$12),AM158&lt;=$H158*(1+'Feuille de Donnée'!$F$12)),'Feuille de Donnée'!$F$17,IF(AM158&lt;$H158*(1-'Feuille de Donnée'!$E$12),'Feuille de Donnée'!$F$18,'Feuille de Donnée'!$F$16))&amp;""&amp;IF(AND(AN158&gt;=$I158*(1-'Feuille de Donnée'!$E$27),AN158&lt;=$I158*(1+'Feuille de Donnée'!$F$27)),'Feuille de Donnée'!$F$32,IF(AN158&lt;$I158*(1-'Feuille de Donnée'!$E$27),'Feuille de Donnée'!$F$33,'Feuille de Donnée'!$F$31)))))</f>
        <v/>
      </c>
      <c r="AT158" s="151"/>
      <c r="AU158" s="110"/>
      <c r="AV158" s="28"/>
      <c r="AW158" s="28"/>
      <c r="AX158" s="28" t="str">
        <f t="shared" si="70"/>
        <v/>
      </c>
      <c r="AY158" s="128" t="str">
        <f t="shared" si="71"/>
        <v/>
      </c>
      <c r="AZ158" s="128" t="str">
        <f t="shared" si="72"/>
        <v/>
      </c>
      <c r="BA158" s="28" t="str">
        <f>IF(AND(ISBLANK(BC158),BB158=""),"",1+MAX(BA$18:BA157))</f>
        <v/>
      </c>
      <c r="BB158" s="150" t="str">
        <f>IF(OR(AX158="",AX158=0,$J158="",$J158=0,NOT(ISNUMBER($J158)),NOT(ISNUMBER(AX158))),IF(AND($G158&lt;&gt;"",AND(OR(ISNUMBER(AX158),AX158=""),AND(ISNUMBER($J158),$J158&gt;0))),'Feuille de Donnée'!$K$13,""),IF(AX158&lt;$J$165*'Feuille de Donnée'!$I$9,"Négligeable",(IF(AND(AV158&gt;=$H158*(1-'Feuille de Donnée'!$E$12),AV158&lt;=$H158*(1+'Feuille de Donnée'!$F$12)),'Feuille de Donnée'!$F$17,IF(AV158&lt;$H158*(1-'Feuille de Donnée'!$E$12),'Feuille de Donnée'!$F$18,'Feuille de Donnée'!$F$16))&amp;""&amp;IF(AND(AW158&gt;=$I158*(1-'Feuille de Donnée'!$E$27),AW158&lt;=$I158*(1+'Feuille de Donnée'!$F$27)),'Feuille de Donnée'!$F$32,IF(AW158&lt;$I158*(1-'Feuille de Donnée'!$E$27),'Feuille de Donnée'!$F$33,'Feuille de Donnée'!$F$31)))))</f>
        <v/>
      </c>
      <c r="BC158" s="151"/>
      <c r="BD158" s="110"/>
      <c r="BE158" s="28"/>
      <c r="BF158" s="28"/>
      <c r="BG158" s="28" t="str">
        <f t="shared" si="73"/>
        <v/>
      </c>
      <c r="BH158" s="128" t="str">
        <f t="shared" si="74"/>
        <v/>
      </c>
      <c r="BI158" s="128" t="str">
        <f t="shared" si="75"/>
        <v/>
      </c>
      <c r="BJ158" s="28" t="str">
        <f>IF(AND(ISBLANK(BL158),BK158=""),"",1+MAX(BJ$18:BJ157))</f>
        <v/>
      </c>
      <c r="BK158" s="150" t="str">
        <f>IF(OR(BG158="",BG158=0,$J158="",$J158=0,NOT(ISNUMBER($J158)),NOT(ISNUMBER(BG158))),IF(AND($G158&lt;&gt;"",AND(OR(ISNUMBER(BG158),BG158=""),AND(ISNUMBER($J158),$J158&gt;0))),'Feuille de Donnée'!$K$13,""),IF(BG158&lt;$J$165*'Feuille de Donnée'!$I$9,"Négligeable",(IF(AND(BE158&gt;=$H158*(1-'Feuille de Donnée'!$E$12),BE158&lt;=$H158*(1+'Feuille de Donnée'!$F$12)),'Feuille de Donnée'!$F$17,IF(BE158&lt;$H158*(1-'Feuille de Donnée'!$E$12),'Feuille de Donnée'!$F$18,'Feuille de Donnée'!$F$16))&amp;""&amp;IF(AND(BF158&gt;=$I158*(1-'Feuille de Donnée'!$E$27),BF158&lt;=$I158*(1+'Feuille de Donnée'!$F$27)),'Feuille de Donnée'!$F$32,IF(BF158&lt;$I158*(1-'Feuille de Donnée'!$E$27),'Feuille de Donnée'!$F$33,'Feuille de Donnée'!$F$31)))))</f>
        <v/>
      </c>
      <c r="BL158" s="151"/>
      <c r="BM158" s="153"/>
    </row>
    <row r="159" spans="1:65" s="7" customFormat="1" x14ac:dyDescent="0.3">
      <c r="A159" s="24"/>
      <c r="B159" s="25"/>
      <c r="C159" s="25"/>
      <c r="D159" s="25"/>
      <c r="E159" s="25"/>
      <c r="F159" s="25"/>
      <c r="G159" s="23"/>
      <c r="H159" s="26"/>
      <c r="I159" s="27"/>
      <c r="J159" s="109" t="str">
        <f t="shared" si="57"/>
        <v/>
      </c>
      <c r="K159" s="110"/>
      <c r="L159" s="28"/>
      <c r="M159" s="28"/>
      <c r="N159" s="28" t="str">
        <f t="shared" si="58"/>
        <v/>
      </c>
      <c r="O159" s="128" t="str">
        <f t="shared" si="59"/>
        <v/>
      </c>
      <c r="P159" s="128" t="str">
        <f t="shared" si="60"/>
        <v/>
      </c>
      <c r="Q159" s="28" t="str">
        <f>IF(AND(ISBLANK(S159),R159=""),"",1+MAX(Q$18:Q158))</f>
        <v/>
      </c>
      <c r="R159" s="150" t="str">
        <f>IF(OR(N159="",N159=0,$J159="",$J159=0,NOT(ISNUMBER($J159)),NOT(ISNUMBER(N159))),IF(AND($G159&lt;&gt;"",AND(OR(ISNUMBER(N159),N159=""),AND(ISNUMBER($J159),$J159&gt;0))),'Feuille de Donnée'!$K$13,""),IF(N159&lt;$J$165*'Feuille de Donnée'!$I$9,"Négligeable",(IF(AND(L159&gt;=$H159*(1-'Feuille de Donnée'!$E$12),L159&lt;=$H159*(1+'Feuille de Donnée'!$F$12)),'Feuille de Donnée'!$F$17,IF(L159&lt;$H159*(1-'Feuille de Donnée'!$E$12),'Feuille de Donnée'!$F$18,'Feuille de Donnée'!$F$16))&amp;""&amp;IF(AND(M159&gt;=$I159*(1-'Feuille de Donnée'!$E$27),M159&lt;=$I159*(1+'Feuille de Donnée'!$F$27)),'Feuille de Donnée'!$F$32,IF(M159&lt;$I159*(1-'Feuille de Donnée'!$E$27),'Feuille de Donnée'!$F$33,'Feuille de Donnée'!$F$31)))))</f>
        <v/>
      </c>
      <c r="S159" s="151"/>
      <c r="T159" s="110"/>
      <c r="U159" s="28"/>
      <c r="V159" s="28"/>
      <c r="W159" s="28" t="str">
        <f t="shared" si="61"/>
        <v/>
      </c>
      <c r="X159" s="128" t="str">
        <f t="shared" si="62"/>
        <v/>
      </c>
      <c r="Y159" s="128" t="str">
        <f t="shared" si="63"/>
        <v/>
      </c>
      <c r="Z159" s="28" t="str">
        <f>IF(AND(ISBLANK(AB159),AA159=""),"",1+MAX(Z$18:Z158))</f>
        <v/>
      </c>
      <c r="AA159" s="150" t="str">
        <f>IF(OR(W159="",W159=0,$J159="",$J159=0,NOT(ISNUMBER($J159)),NOT(ISNUMBER(W159))),IF(AND($G159&lt;&gt;"",AND(OR(ISNUMBER(W159),W159=""),AND(ISNUMBER($J159),$J159&gt;0))),'Feuille de Donnée'!$K$13,""),IF(W159&lt;$J$165*'Feuille de Donnée'!$I$9,"Négligeable",(IF(AND(U159&gt;=$H159*(1-'Feuille de Donnée'!$E$12),U159&lt;=$H159*(1+'Feuille de Donnée'!$F$12)),'Feuille de Donnée'!$F$17,IF(U159&lt;$H159*(1-'Feuille de Donnée'!$E$12),'Feuille de Donnée'!$F$18,'Feuille de Donnée'!$F$16))&amp;""&amp;IF(AND(V159&gt;=$I159*(1-'Feuille de Donnée'!$E$27),V159&lt;=$I159*(1+'Feuille de Donnée'!$F$27)),'Feuille de Donnée'!$F$32,IF(V159&lt;$I159*(1-'Feuille de Donnée'!$E$27),'Feuille de Donnée'!$F$33,'Feuille de Donnée'!$F$31)))))</f>
        <v/>
      </c>
      <c r="AB159" s="151"/>
      <c r="AC159" s="110"/>
      <c r="AD159" s="28"/>
      <c r="AE159" s="28"/>
      <c r="AF159" s="28" t="str">
        <f t="shared" si="64"/>
        <v/>
      </c>
      <c r="AG159" s="128" t="str">
        <f t="shared" si="65"/>
        <v/>
      </c>
      <c r="AH159" s="128" t="str">
        <f t="shared" si="66"/>
        <v/>
      </c>
      <c r="AI159" s="28" t="str">
        <f>IF(AND(ISBLANK(AK159),AJ159=""),"",1+MAX(AI$18:AI158))</f>
        <v/>
      </c>
      <c r="AJ159" s="150" t="str">
        <f>IF(OR(AF159="",AF159=0,$J159="",$J159=0,NOT(ISNUMBER($J159)),NOT(ISNUMBER(AF159))),IF(AND($G159&lt;&gt;"",AND(OR(ISNUMBER(AF159),AF159=""),AND(ISNUMBER($J159),$J159&gt;0))),'Feuille de Donnée'!$K$13,""),IF(AF159&lt;$J$165*'Feuille de Donnée'!$I$9,"Négligeable",(IF(AND(AD159&gt;=$H159*(1-'Feuille de Donnée'!$E$12),AD159&lt;=$H159*(1+'Feuille de Donnée'!$F$12)),'Feuille de Donnée'!$F$17,IF(AD159&lt;$H159*(1-'Feuille de Donnée'!$E$12),'Feuille de Donnée'!$F$18,'Feuille de Donnée'!$F$16))&amp;""&amp;IF(AND(AE159&gt;=$I159*(1-'Feuille de Donnée'!$E$27),AE159&lt;=$I159*(1+'Feuille de Donnée'!$F$27)),'Feuille de Donnée'!$F$32,IF(AE159&lt;$I159*(1-'Feuille de Donnée'!$E$27),'Feuille de Donnée'!$F$33,'Feuille de Donnée'!$F$31)))))</f>
        <v/>
      </c>
      <c r="AK159" s="151"/>
      <c r="AL159" s="110"/>
      <c r="AM159" s="28"/>
      <c r="AN159" s="28"/>
      <c r="AO159" s="28" t="str">
        <f t="shared" si="67"/>
        <v/>
      </c>
      <c r="AP159" s="128" t="str">
        <f t="shared" si="68"/>
        <v/>
      </c>
      <c r="AQ159" s="128" t="str">
        <f t="shared" si="69"/>
        <v/>
      </c>
      <c r="AR159" s="28" t="str">
        <f>IF(AND(ISBLANK(AT159),AS159=""),"",1+MAX(AR$18:AR158))</f>
        <v/>
      </c>
      <c r="AS159" s="150" t="str">
        <f>IF(OR(AO159="",AO159=0,$J159="",$J159=0,NOT(ISNUMBER($J159)),NOT(ISNUMBER(AO159))),IF(AND($G159&lt;&gt;"",AND(OR(ISNUMBER(AO159),AO159=""),AND(ISNUMBER($J159),$J159&gt;0))),'Feuille de Donnée'!$K$13,""),IF(AO159&lt;$J$165*'Feuille de Donnée'!$I$9,"Négligeable",(IF(AND(AM159&gt;=$H159*(1-'Feuille de Donnée'!$E$12),AM159&lt;=$H159*(1+'Feuille de Donnée'!$F$12)),'Feuille de Donnée'!$F$17,IF(AM159&lt;$H159*(1-'Feuille de Donnée'!$E$12),'Feuille de Donnée'!$F$18,'Feuille de Donnée'!$F$16))&amp;""&amp;IF(AND(AN159&gt;=$I159*(1-'Feuille de Donnée'!$E$27),AN159&lt;=$I159*(1+'Feuille de Donnée'!$F$27)),'Feuille de Donnée'!$F$32,IF(AN159&lt;$I159*(1-'Feuille de Donnée'!$E$27),'Feuille de Donnée'!$F$33,'Feuille de Donnée'!$F$31)))))</f>
        <v/>
      </c>
      <c r="AT159" s="151"/>
      <c r="AU159" s="110"/>
      <c r="AV159" s="28"/>
      <c r="AW159" s="28"/>
      <c r="AX159" s="28" t="str">
        <f t="shared" si="70"/>
        <v/>
      </c>
      <c r="AY159" s="128" t="str">
        <f t="shared" si="71"/>
        <v/>
      </c>
      <c r="AZ159" s="128" t="str">
        <f t="shared" si="72"/>
        <v/>
      </c>
      <c r="BA159" s="28" t="str">
        <f>IF(AND(ISBLANK(BC159),BB159=""),"",1+MAX(BA$18:BA158))</f>
        <v/>
      </c>
      <c r="BB159" s="150" t="str">
        <f>IF(OR(AX159="",AX159=0,$J159="",$J159=0,NOT(ISNUMBER($J159)),NOT(ISNUMBER(AX159))),IF(AND($G159&lt;&gt;"",AND(OR(ISNUMBER(AX159),AX159=""),AND(ISNUMBER($J159),$J159&gt;0))),'Feuille de Donnée'!$K$13,""),IF(AX159&lt;$J$165*'Feuille de Donnée'!$I$9,"Négligeable",(IF(AND(AV159&gt;=$H159*(1-'Feuille de Donnée'!$E$12),AV159&lt;=$H159*(1+'Feuille de Donnée'!$F$12)),'Feuille de Donnée'!$F$17,IF(AV159&lt;$H159*(1-'Feuille de Donnée'!$E$12),'Feuille de Donnée'!$F$18,'Feuille de Donnée'!$F$16))&amp;""&amp;IF(AND(AW159&gt;=$I159*(1-'Feuille de Donnée'!$E$27),AW159&lt;=$I159*(1+'Feuille de Donnée'!$F$27)),'Feuille de Donnée'!$F$32,IF(AW159&lt;$I159*(1-'Feuille de Donnée'!$E$27),'Feuille de Donnée'!$F$33,'Feuille de Donnée'!$F$31)))))</f>
        <v/>
      </c>
      <c r="BC159" s="151"/>
      <c r="BD159" s="110"/>
      <c r="BE159" s="28"/>
      <c r="BF159" s="28"/>
      <c r="BG159" s="28" t="str">
        <f t="shared" si="73"/>
        <v/>
      </c>
      <c r="BH159" s="128" t="str">
        <f t="shared" si="74"/>
        <v/>
      </c>
      <c r="BI159" s="128" t="str">
        <f t="shared" si="75"/>
        <v/>
      </c>
      <c r="BJ159" s="28" t="str">
        <f>IF(AND(ISBLANK(BL159),BK159=""),"",1+MAX(BJ$18:BJ158))</f>
        <v/>
      </c>
      <c r="BK159" s="150" t="str">
        <f>IF(OR(BG159="",BG159=0,$J159="",$J159=0,NOT(ISNUMBER($J159)),NOT(ISNUMBER(BG159))),IF(AND($G159&lt;&gt;"",AND(OR(ISNUMBER(BG159),BG159=""),AND(ISNUMBER($J159),$J159&gt;0))),'Feuille de Donnée'!$K$13,""),IF(BG159&lt;$J$165*'Feuille de Donnée'!$I$9,"Négligeable",(IF(AND(BE159&gt;=$H159*(1-'Feuille de Donnée'!$E$12),BE159&lt;=$H159*(1+'Feuille de Donnée'!$F$12)),'Feuille de Donnée'!$F$17,IF(BE159&lt;$H159*(1-'Feuille de Donnée'!$E$12),'Feuille de Donnée'!$F$18,'Feuille de Donnée'!$F$16))&amp;""&amp;IF(AND(BF159&gt;=$I159*(1-'Feuille de Donnée'!$E$27),BF159&lt;=$I159*(1+'Feuille de Donnée'!$F$27)),'Feuille de Donnée'!$F$32,IF(BF159&lt;$I159*(1-'Feuille de Donnée'!$E$27),'Feuille de Donnée'!$F$33,'Feuille de Donnée'!$F$31)))))</f>
        <v/>
      </c>
      <c r="BL159" s="151"/>
      <c r="BM159" s="153"/>
    </row>
    <row r="160" spans="1:65" s="7" customFormat="1" x14ac:dyDescent="0.3">
      <c r="A160" s="24"/>
      <c r="B160" s="25"/>
      <c r="C160" s="25"/>
      <c r="D160" s="25"/>
      <c r="E160" s="25"/>
      <c r="F160" s="25"/>
      <c r="G160" s="23"/>
      <c r="H160" s="26"/>
      <c r="I160" s="27"/>
      <c r="J160" s="109" t="str">
        <f t="shared" si="57"/>
        <v/>
      </c>
      <c r="K160" s="110"/>
      <c r="L160" s="28"/>
      <c r="M160" s="28"/>
      <c r="N160" s="28" t="str">
        <f t="shared" si="58"/>
        <v/>
      </c>
      <c r="O160" s="128" t="str">
        <f t="shared" si="59"/>
        <v/>
      </c>
      <c r="P160" s="128" t="str">
        <f t="shared" si="60"/>
        <v/>
      </c>
      <c r="Q160" s="28" t="str">
        <f>IF(AND(ISBLANK(S160),R160=""),"",1+MAX(Q$18:Q159))</f>
        <v/>
      </c>
      <c r="R160" s="150" t="str">
        <f>IF(OR(N160="",N160=0,$J160="",$J160=0,NOT(ISNUMBER($J160)),NOT(ISNUMBER(N160))),IF(AND($G160&lt;&gt;"",AND(OR(ISNUMBER(N160),N160=""),AND(ISNUMBER($J160),$J160&gt;0))),'Feuille de Donnée'!$K$13,""),IF(N160&lt;$J$165*'Feuille de Donnée'!$I$9,"Négligeable",(IF(AND(L160&gt;=$H160*(1-'Feuille de Donnée'!$E$12),L160&lt;=$H160*(1+'Feuille de Donnée'!$F$12)),'Feuille de Donnée'!$F$17,IF(L160&lt;$H160*(1-'Feuille de Donnée'!$E$12),'Feuille de Donnée'!$F$18,'Feuille de Donnée'!$F$16))&amp;""&amp;IF(AND(M160&gt;=$I160*(1-'Feuille de Donnée'!$E$27),M160&lt;=$I160*(1+'Feuille de Donnée'!$F$27)),'Feuille de Donnée'!$F$32,IF(M160&lt;$I160*(1-'Feuille de Donnée'!$E$27),'Feuille de Donnée'!$F$33,'Feuille de Donnée'!$F$31)))))</f>
        <v/>
      </c>
      <c r="S160" s="151"/>
      <c r="T160" s="110"/>
      <c r="U160" s="28"/>
      <c r="V160" s="28"/>
      <c r="W160" s="28" t="str">
        <f t="shared" si="61"/>
        <v/>
      </c>
      <c r="X160" s="128" t="str">
        <f t="shared" si="62"/>
        <v/>
      </c>
      <c r="Y160" s="128" t="str">
        <f t="shared" si="63"/>
        <v/>
      </c>
      <c r="Z160" s="28" t="str">
        <f>IF(AND(ISBLANK(AB160),AA160=""),"",1+MAX(Z$18:Z159))</f>
        <v/>
      </c>
      <c r="AA160" s="150" t="str">
        <f>IF(OR(W160="",W160=0,$J160="",$J160=0,NOT(ISNUMBER($J160)),NOT(ISNUMBER(W160))),IF(AND($G160&lt;&gt;"",AND(OR(ISNUMBER(W160),W160=""),AND(ISNUMBER($J160),$J160&gt;0))),'Feuille de Donnée'!$K$13,""),IF(W160&lt;$J$165*'Feuille de Donnée'!$I$9,"Négligeable",(IF(AND(U160&gt;=$H160*(1-'Feuille de Donnée'!$E$12),U160&lt;=$H160*(1+'Feuille de Donnée'!$F$12)),'Feuille de Donnée'!$F$17,IF(U160&lt;$H160*(1-'Feuille de Donnée'!$E$12),'Feuille de Donnée'!$F$18,'Feuille de Donnée'!$F$16))&amp;""&amp;IF(AND(V160&gt;=$I160*(1-'Feuille de Donnée'!$E$27),V160&lt;=$I160*(1+'Feuille de Donnée'!$F$27)),'Feuille de Donnée'!$F$32,IF(V160&lt;$I160*(1-'Feuille de Donnée'!$E$27),'Feuille de Donnée'!$F$33,'Feuille de Donnée'!$F$31)))))</f>
        <v/>
      </c>
      <c r="AB160" s="151"/>
      <c r="AC160" s="110"/>
      <c r="AD160" s="28"/>
      <c r="AE160" s="28"/>
      <c r="AF160" s="28" t="str">
        <f t="shared" si="64"/>
        <v/>
      </c>
      <c r="AG160" s="128" t="str">
        <f t="shared" si="65"/>
        <v/>
      </c>
      <c r="AH160" s="128" t="str">
        <f t="shared" si="66"/>
        <v/>
      </c>
      <c r="AI160" s="28" t="str">
        <f>IF(AND(ISBLANK(AK160),AJ160=""),"",1+MAX(AI$18:AI159))</f>
        <v/>
      </c>
      <c r="AJ160" s="150" t="str">
        <f>IF(OR(AF160="",AF160=0,$J160="",$J160=0,NOT(ISNUMBER($J160)),NOT(ISNUMBER(AF160))),IF(AND($G160&lt;&gt;"",AND(OR(ISNUMBER(AF160),AF160=""),AND(ISNUMBER($J160),$J160&gt;0))),'Feuille de Donnée'!$K$13,""),IF(AF160&lt;$J$165*'Feuille de Donnée'!$I$9,"Négligeable",(IF(AND(AD160&gt;=$H160*(1-'Feuille de Donnée'!$E$12),AD160&lt;=$H160*(1+'Feuille de Donnée'!$F$12)),'Feuille de Donnée'!$F$17,IF(AD160&lt;$H160*(1-'Feuille de Donnée'!$E$12),'Feuille de Donnée'!$F$18,'Feuille de Donnée'!$F$16))&amp;""&amp;IF(AND(AE160&gt;=$I160*(1-'Feuille de Donnée'!$E$27),AE160&lt;=$I160*(1+'Feuille de Donnée'!$F$27)),'Feuille de Donnée'!$F$32,IF(AE160&lt;$I160*(1-'Feuille de Donnée'!$E$27),'Feuille de Donnée'!$F$33,'Feuille de Donnée'!$F$31)))))</f>
        <v/>
      </c>
      <c r="AK160" s="151"/>
      <c r="AL160" s="110"/>
      <c r="AM160" s="28"/>
      <c r="AN160" s="28"/>
      <c r="AO160" s="28" t="str">
        <f t="shared" si="67"/>
        <v/>
      </c>
      <c r="AP160" s="128" t="str">
        <f t="shared" si="68"/>
        <v/>
      </c>
      <c r="AQ160" s="128" t="str">
        <f t="shared" si="69"/>
        <v/>
      </c>
      <c r="AR160" s="28" t="str">
        <f>IF(AND(ISBLANK(AT160),AS160=""),"",1+MAX(AR$18:AR159))</f>
        <v/>
      </c>
      <c r="AS160" s="150" t="str">
        <f>IF(OR(AO160="",AO160=0,$J160="",$J160=0,NOT(ISNUMBER($J160)),NOT(ISNUMBER(AO160))),IF(AND($G160&lt;&gt;"",AND(OR(ISNUMBER(AO160),AO160=""),AND(ISNUMBER($J160),$J160&gt;0))),'Feuille de Donnée'!$K$13,""),IF(AO160&lt;$J$165*'Feuille de Donnée'!$I$9,"Négligeable",(IF(AND(AM160&gt;=$H160*(1-'Feuille de Donnée'!$E$12),AM160&lt;=$H160*(1+'Feuille de Donnée'!$F$12)),'Feuille de Donnée'!$F$17,IF(AM160&lt;$H160*(1-'Feuille de Donnée'!$E$12),'Feuille de Donnée'!$F$18,'Feuille de Donnée'!$F$16))&amp;""&amp;IF(AND(AN160&gt;=$I160*(1-'Feuille de Donnée'!$E$27),AN160&lt;=$I160*(1+'Feuille de Donnée'!$F$27)),'Feuille de Donnée'!$F$32,IF(AN160&lt;$I160*(1-'Feuille de Donnée'!$E$27),'Feuille de Donnée'!$F$33,'Feuille de Donnée'!$F$31)))))</f>
        <v/>
      </c>
      <c r="AT160" s="151"/>
      <c r="AU160" s="110"/>
      <c r="AV160" s="28"/>
      <c r="AW160" s="28"/>
      <c r="AX160" s="28" t="str">
        <f t="shared" si="70"/>
        <v/>
      </c>
      <c r="AY160" s="128" t="str">
        <f t="shared" si="71"/>
        <v/>
      </c>
      <c r="AZ160" s="128" t="str">
        <f t="shared" si="72"/>
        <v/>
      </c>
      <c r="BA160" s="28" t="str">
        <f>IF(AND(ISBLANK(BC160),BB160=""),"",1+MAX(BA$18:BA159))</f>
        <v/>
      </c>
      <c r="BB160" s="150" t="str">
        <f>IF(OR(AX160="",AX160=0,$J160="",$J160=0,NOT(ISNUMBER($J160)),NOT(ISNUMBER(AX160))),IF(AND($G160&lt;&gt;"",AND(OR(ISNUMBER(AX160),AX160=""),AND(ISNUMBER($J160),$J160&gt;0))),'Feuille de Donnée'!$K$13,""),IF(AX160&lt;$J$165*'Feuille de Donnée'!$I$9,"Négligeable",(IF(AND(AV160&gt;=$H160*(1-'Feuille de Donnée'!$E$12),AV160&lt;=$H160*(1+'Feuille de Donnée'!$F$12)),'Feuille de Donnée'!$F$17,IF(AV160&lt;$H160*(1-'Feuille de Donnée'!$E$12),'Feuille de Donnée'!$F$18,'Feuille de Donnée'!$F$16))&amp;""&amp;IF(AND(AW160&gt;=$I160*(1-'Feuille de Donnée'!$E$27),AW160&lt;=$I160*(1+'Feuille de Donnée'!$F$27)),'Feuille de Donnée'!$F$32,IF(AW160&lt;$I160*(1-'Feuille de Donnée'!$E$27),'Feuille de Donnée'!$F$33,'Feuille de Donnée'!$F$31)))))</f>
        <v/>
      </c>
      <c r="BC160" s="151"/>
      <c r="BD160" s="110"/>
      <c r="BE160" s="28"/>
      <c r="BF160" s="28"/>
      <c r="BG160" s="28" t="str">
        <f t="shared" si="73"/>
        <v/>
      </c>
      <c r="BH160" s="128" t="str">
        <f t="shared" si="74"/>
        <v/>
      </c>
      <c r="BI160" s="128" t="str">
        <f t="shared" si="75"/>
        <v/>
      </c>
      <c r="BJ160" s="28" t="str">
        <f>IF(AND(ISBLANK(BL160),BK160=""),"",1+MAX(BJ$18:BJ159))</f>
        <v/>
      </c>
      <c r="BK160" s="150" t="str">
        <f>IF(OR(BG160="",BG160=0,$J160="",$J160=0,NOT(ISNUMBER($J160)),NOT(ISNUMBER(BG160))),IF(AND($G160&lt;&gt;"",AND(OR(ISNUMBER(BG160),BG160=""),AND(ISNUMBER($J160),$J160&gt;0))),'Feuille de Donnée'!$K$13,""),IF(BG160&lt;$J$165*'Feuille de Donnée'!$I$9,"Négligeable",(IF(AND(BE160&gt;=$H160*(1-'Feuille de Donnée'!$E$12),BE160&lt;=$H160*(1+'Feuille de Donnée'!$F$12)),'Feuille de Donnée'!$F$17,IF(BE160&lt;$H160*(1-'Feuille de Donnée'!$E$12),'Feuille de Donnée'!$F$18,'Feuille de Donnée'!$F$16))&amp;""&amp;IF(AND(BF160&gt;=$I160*(1-'Feuille de Donnée'!$E$27),BF160&lt;=$I160*(1+'Feuille de Donnée'!$F$27)),'Feuille de Donnée'!$F$32,IF(BF160&lt;$I160*(1-'Feuille de Donnée'!$E$27),'Feuille de Donnée'!$F$33,'Feuille de Donnée'!$F$31)))))</f>
        <v/>
      </c>
      <c r="BL160" s="151"/>
      <c r="BM160" s="153"/>
    </row>
    <row r="161" spans="1:65" s="7" customFormat="1" x14ac:dyDescent="0.3">
      <c r="A161" s="24"/>
      <c r="B161" s="25"/>
      <c r="C161" s="25"/>
      <c r="D161" s="25"/>
      <c r="E161" s="25"/>
      <c r="F161" s="25"/>
      <c r="G161" s="23"/>
      <c r="H161" s="26"/>
      <c r="I161" s="27"/>
      <c r="J161" s="109" t="str">
        <f t="shared" si="57"/>
        <v/>
      </c>
      <c r="K161" s="110"/>
      <c r="L161" s="28"/>
      <c r="M161" s="28"/>
      <c r="N161" s="28" t="str">
        <f t="shared" si="58"/>
        <v/>
      </c>
      <c r="O161" s="128" t="str">
        <f t="shared" si="59"/>
        <v/>
      </c>
      <c r="P161" s="128" t="str">
        <f t="shared" si="60"/>
        <v/>
      </c>
      <c r="Q161" s="28" t="str">
        <f>IF(AND(ISBLANK(S161),R161=""),"",1+MAX(Q$18:Q160))</f>
        <v/>
      </c>
      <c r="R161" s="150" t="str">
        <f>IF(OR(N161="",N161=0,$J161="",$J161=0,NOT(ISNUMBER($J161)),NOT(ISNUMBER(N161))),IF(AND($G161&lt;&gt;"",AND(OR(ISNUMBER(N161),N161=""),AND(ISNUMBER($J161),$J161&gt;0))),'Feuille de Donnée'!$K$13,""),IF(N161&lt;$J$165*'Feuille de Donnée'!$I$9,"Négligeable",(IF(AND(L161&gt;=$H161*(1-'Feuille de Donnée'!$E$12),L161&lt;=$H161*(1+'Feuille de Donnée'!$F$12)),'Feuille de Donnée'!$F$17,IF(L161&lt;$H161*(1-'Feuille de Donnée'!$E$12),'Feuille de Donnée'!$F$18,'Feuille de Donnée'!$F$16))&amp;""&amp;IF(AND(M161&gt;=$I161*(1-'Feuille de Donnée'!$E$27),M161&lt;=$I161*(1+'Feuille de Donnée'!$F$27)),'Feuille de Donnée'!$F$32,IF(M161&lt;$I161*(1-'Feuille de Donnée'!$E$27),'Feuille de Donnée'!$F$33,'Feuille de Donnée'!$F$31)))))</f>
        <v/>
      </c>
      <c r="S161" s="151"/>
      <c r="T161" s="110"/>
      <c r="U161" s="28"/>
      <c r="V161" s="28"/>
      <c r="W161" s="28" t="str">
        <f t="shared" si="61"/>
        <v/>
      </c>
      <c r="X161" s="128" t="str">
        <f t="shared" si="62"/>
        <v/>
      </c>
      <c r="Y161" s="128" t="str">
        <f t="shared" si="63"/>
        <v/>
      </c>
      <c r="Z161" s="28" t="str">
        <f>IF(AND(ISBLANK(AB161),AA161=""),"",1+MAX(Z$18:Z160))</f>
        <v/>
      </c>
      <c r="AA161" s="150" t="str">
        <f>IF(OR(W161="",W161=0,$J161="",$J161=0,NOT(ISNUMBER($J161)),NOT(ISNUMBER(W161))),IF(AND($G161&lt;&gt;"",AND(OR(ISNUMBER(W161),W161=""),AND(ISNUMBER($J161),$J161&gt;0))),'Feuille de Donnée'!$K$13,""),IF(W161&lt;$J$165*'Feuille de Donnée'!$I$9,"Négligeable",(IF(AND(U161&gt;=$H161*(1-'Feuille de Donnée'!$E$12),U161&lt;=$H161*(1+'Feuille de Donnée'!$F$12)),'Feuille de Donnée'!$F$17,IF(U161&lt;$H161*(1-'Feuille de Donnée'!$E$12),'Feuille de Donnée'!$F$18,'Feuille de Donnée'!$F$16))&amp;""&amp;IF(AND(V161&gt;=$I161*(1-'Feuille de Donnée'!$E$27),V161&lt;=$I161*(1+'Feuille de Donnée'!$F$27)),'Feuille de Donnée'!$F$32,IF(V161&lt;$I161*(1-'Feuille de Donnée'!$E$27),'Feuille de Donnée'!$F$33,'Feuille de Donnée'!$F$31)))))</f>
        <v/>
      </c>
      <c r="AB161" s="151"/>
      <c r="AC161" s="110"/>
      <c r="AD161" s="28"/>
      <c r="AE161" s="28"/>
      <c r="AF161" s="28" t="str">
        <f t="shared" si="64"/>
        <v/>
      </c>
      <c r="AG161" s="128" t="str">
        <f t="shared" si="65"/>
        <v/>
      </c>
      <c r="AH161" s="128" t="str">
        <f t="shared" si="66"/>
        <v/>
      </c>
      <c r="AI161" s="28" t="str">
        <f>IF(AND(ISBLANK(AK161),AJ161=""),"",1+MAX(AI$18:AI160))</f>
        <v/>
      </c>
      <c r="AJ161" s="150" t="str">
        <f>IF(OR(AF161="",AF161=0,$J161="",$J161=0,NOT(ISNUMBER($J161)),NOT(ISNUMBER(AF161))),IF(AND($G161&lt;&gt;"",AND(OR(ISNUMBER(AF161),AF161=""),AND(ISNUMBER($J161),$J161&gt;0))),'Feuille de Donnée'!$K$13,""),IF(AF161&lt;$J$165*'Feuille de Donnée'!$I$9,"Négligeable",(IF(AND(AD161&gt;=$H161*(1-'Feuille de Donnée'!$E$12),AD161&lt;=$H161*(1+'Feuille de Donnée'!$F$12)),'Feuille de Donnée'!$F$17,IF(AD161&lt;$H161*(1-'Feuille de Donnée'!$E$12),'Feuille de Donnée'!$F$18,'Feuille de Donnée'!$F$16))&amp;""&amp;IF(AND(AE161&gt;=$I161*(1-'Feuille de Donnée'!$E$27),AE161&lt;=$I161*(1+'Feuille de Donnée'!$F$27)),'Feuille de Donnée'!$F$32,IF(AE161&lt;$I161*(1-'Feuille de Donnée'!$E$27),'Feuille de Donnée'!$F$33,'Feuille de Donnée'!$F$31)))))</f>
        <v/>
      </c>
      <c r="AK161" s="151"/>
      <c r="AL161" s="110"/>
      <c r="AM161" s="28"/>
      <c r="AN161" s="28"/>
      <c r="AO161" s="28" t="str">
        <f t="shared" si="67"/>
        <v/>
      </c>
      <c r="AP161" s="128" t="str">
        <f t="shared" si="68"/>
        <v/>
      </c>
      <c r="AQ161" s="128" t="str">
        <f t="shared" si="69"/>
        <v/>
      </c>
      <c r="AR161" s="28" t="str">
        <f>IF(AND(ISBLANK(AT161),AS161=""),"",1+MAX(AR$18:AR160))</f>
        <v/>
      </c>
      <c r="AS161" s="150" t="str">
        <f>IF(OR(AO161="",AO161=0,$J161="",$J161=0,NOT(ISNUMBER($J161)),NOT(ISNUMBER(AO161))),IF(AND($G161&lt;&gt;"",AND(OR(ISNUMBER(AO161),AO161=""),AND(ISNUMBER($J161),$J161&gt;0))),'Feuille de Donnée'!$K$13,""),IF(AO161&lt;$J$165*'Feuille de Donnée'!$I$9,"Négligeable",(IF(AND(AM161&gt;=$H161*(1-'Feuille de Donnée'!$E$12),AM161&lt;=$H161*(1+'Feuille de Donnée'!$F$12)),'Feuille de Donnée'!$F$17,IF(AM161&lt;$H161*(1-'Feuille de Donnée'!$E$12),'Feuille de Donnée'!$F$18,'Feuille de Donnée'!$F$16))&amp;""&amp;IF(AND(AN161&gt;=$I161*(1-'Feuille de Donnée'!$E$27),AN161&lt;=$I161*(1+'Feuille de Donnée'!$F$27)),'Feuille de Donnée'!$F$32,IF(AN161&lt;$I161*(1-'Feuille de Donnée'!$E$27),'Feuille de Donnée'!$F$33,'Feuille de Donnée'!$F$31)))))</f>
        <v/>
      </c>
      <c r="AT161" s="151"/>
      <c r="AU161" s="110"/>
      <c r="AV161" s="28"/>
      <c r="AW161" s="28"/>
      <c r="AX161" s="28" t="str">
        <f t="shared" si="70"/>
        <v/>
      </c>
      <c r="AY161" s="128" t="str">
        <f t="shared" si="71"/>
        <v/>
      </c>
      <c r="AZ161" s="128" t="str">
        <f t="shared" si="72"/>
        <v/>
      </c>
      <c r="BA161" s="28" t="str">
        <f>IF(AND(ISBLANK(BC161),BB161=""),"",1+MAX(BA$18:BA160))</f>
        <v/>
      </c>
      <c r="BB161" s="150" t="str">
        <f>IF(OR(AX161="",AX161=0,$J161="",$J161=0,NOT(ISNUMBER($J161)),NOT(ISNUMBER(AX161))),IF(AND($G161&lt;&gt;"",AND(OR(ISNUMBER(AX161),AX161=""),AND(ISNUMBER($J161),$J161&gt;0))),'Feuille de Donnée'!$K$13,""),IF(AX161&lt;$J$165*'Feuille de Donnée'!$I$9,"Négligeable",(IF(AND(AV161&gt;=$H161*(1-'Feuille de Donnée'!$E$12),AV161&lt;=$H161*(1+'Feuille de Donnée'!$F$12)),'Feuille de Donnée'!$F$17,IF(AV161&lt;$H161*(1-'Feuille de Donnée'!$E$12),'Feuille de Donnée'!$F$18,'Feuille de Donnée'!$F$16))&amp;""&amp;IF(AND(AW161&gt;=$I161*(1-'Feuille de Donnée'!$E$27),AW161&lt;=$I161*(1+'Feuille de Donnée'!$F$27)),'Feuille de Donnée'!$F$32,IF(AW161&lt;$I161*(1-'Feuille de Donnée'!$E$27),'Feuille de Donnée'!$F$33,'Feuille de Donnée'!$F$31)))))</f>
        <v/>
      </c>
      <c r="BC161" s="151"/>
      <c r="BD161" s="110"/>
      <c r="BE161" s="28"/>
      <c r="BF161" s="28"/>
      <c r="BG161" s="28" t="str">
        <f t="shared" si="73"/>
        <v/>
      </c>
      <c r="BH161" s="128" t="str">
        <f t="shared" si="74"/>
        <v/>
      </c>
      <c r="BI161" s="128" t="str">
        <f t="shared" si="75"/>
        <v/>
      </c>
      <c r="BJ161" s="28" t="str">
        <f>IF(AND(ISBLANK(BL161),BK161=""),"",1+MAX(BJ$18:BJ160))</f>
        <v/>
      </c>
      <c r="BK161" s="150" t="str">
        <f>IF(OR(BG161="",BG161=0,$J161="",$J161=0,NOT(ISNUMBER($J161)),NOT(ISNUMBER(BG161))),IF(AND($G161&lt;&gt;"",AND(OR(ISNUMBER(BG161),BG161=""),AND(ISNUMBER($J161),$J161&gt;0))),'Feuille de Donnée'!$K$13,""),IF(BG161&lt;$J$165*'Feuille de Donnée'!$I$9,"Négligeable",(IF(AND(BE161&gt;=$H161*(1-'Feuille de Donnée'!$E$12),BE161&lt;=$H161*(1+'Feuille de Donnée'!$F$12)),'Feuille de Donnée'!$F$17,IF(BE161&lt;$H161*(1-'Feuille de Donnée'!$E$12),'Feuille de Donnée'!$F$18,'Feuille de Donnée'!$F$16))&amp;""&amp;IF(AND(BF161&gt;=$I161*(1-'Feuille de Donnée'!$E$27),BF161&lt;=$I161*(1+'Feuille de Donnée'!$F$27)),'Feuille de Donnée'!$F$32,IF(BF161&lt;$I161*(1-'Feuille de Donnée'!$E$27),'Feuille de Donnée'!$F$33,'Feuille de Donnée'!$F$31)))))</f>
        <v/>
      </c>
      <c r="BL161" s="151"/>
      <c r="BM161" s="153"/>
    </row>
    <row r="162" spans="1:65" s="7" customFormat="1" x14ac:dyDescent="0.3">
      <c r="A162" s="24"/>
      <c r="B162" s="25"/>
      <c r="C162" s="25"/>
      <c r="D162" s="25"/>
      <c r="E162" s="25"/>
      <c r="F162" s="25"/>
      <c r="G162" s="23"/>
      <c r="H162" s="26"/>
      <c r="I162" s="27"/>
      <c r="J162" s="109" t="str">
        <f t="shared" si="57"/>
        <v/>
      </c>
      <c r="K162" s="110"/>
      <c r="L162" s="28"/>
      <c r="M162" s="28"/>
      <c r="N162" s="28" t="str">
        <f t="shared" si="58"/>
        <v/>
      </c>
      <c r="O162" s="128" t="str">
        <f t="shared" si="59"/>
        <v/>
      </c>
      <c r="P162" s="128" t="str">
        <f t="shared" si="60"/>
        <v/>
      </c>
      <c r="Q162" s="28" t="str">
        <f>IF(AND(ISBLANK(S162),R162=""),"",1+MAX(Q$18:Q161))</f>
        <v/>
      </c>
      <c r="R162" s="150" t="str">
        <f>IF(OR(N162="",N162=0,$J162="",$J162=0,NOT(ISNUMBER($J162)),NOT(ISNUMBER(N162))),IF(AND($G162&lt;&gt;"",AND(OR(ISNUMBER(N162),N162=""),AND(ISNUMBER($J162),$J162&gt;0))),'Feuille de Donnée'!$K$13,""),IF(N162&lt;$J$165*'Feuille de Donnée'!$I$9,"Négligeable",(IF(AND(L162&gt;=$H162*(1-'Feuille de Donnée'!$E$12),L162&lt;=$H162*(1+'Feuille de Donnée'!$F$12)),'Feuille de Donnée'!$F$17,IF(L162&lt;$H162*(1-'Feuille de Donnée'!$E$12),'Feuille de Donnée'!$F$18,'Feuille de Donnée'!$F$16))&amp;""&amp;IF(AND(M162&gt;=$I162*(1-'Feuille de Donnée'!$E$27),M162&lt;=$I162*(1+'Feuille de Donnée'!$F$27)),'Feuille de Donnée'!$F$32,IF(M162&lt;$I162*(1-'Feuille de Donnée'!$E$27),'Feuille de Donnée'!$F$33,'Feuille de Donnée'!$F$31)))))</f>
        <v/>
      </c>
      <c r="S162" s="151"/>
      <c r="T162" s="110"/>
      <c r="U162" s="28"/>
      <c r="V162" s="28"/>
      <c r="W162" s="28" t="str">
        <f t="shared" si="61"/>
        <v/>
      </c>
      <c r="X162" s="128" t="str">
        <f t="shared" si="62"/>
        <v/>
      </c>
      <c r="Y162" s="128" t="str">
        <f t="shared" si="63"/>
        <v/>
      </c>
      <c r="Z162" s="28" t="str">
        <f>IF(AND(ISBLANK(AB162),AA162=""),"",1+MAX(Z$18:Z161))</f>
        <v/>
      </c>
      <c r="AA162" s="150" t="str">
        <f>IF(OR(W162="",W162=0,$J162="",$J162=0,NOT(ISNUMBER($J162)),NOT(ISNUMBER(W162))),IF(AND($G162&lt;&gt;"",AND(OR(ISNUMBER(W162),W162=""),AND(ISNUMBER($J162),$J162&gt;0))),'Feuille de Donnée'!$K$13,""),IF(W162&lt;$J$165*'Feuille de Donnée'!$I$9,"Négligeable",(IF(AND(U162&gt;=$H162*(1-'Feuille de Donnée'!$E$12),U162&lt;=$H162*(1+'Feuille de Donnée'!$F$12)),'Feuille de Donnée'!$F$17,IF(U162&lt;$H162*(1-'Feuille de Donnée'!$E$12),'Feuille de Donnée'!$F$18,'Feuille de Donnée'!$F$16))&amp;""&amp;IF(AND(V162&gt;=$I162*(1-'Feuille de Donnée'!$E$27),V162&lt;=$I162*(1+'Feuille de Donnée'!$F$27)),'Feuille de Donnée'!$F$32,IF(V162&lt;$I162*(1-'Feuille de Donnée'!$E$27),'Feuille de Donnée'!$F$33,'Feuille de Donnée'!$F$31)))))</f>
        <v/>
      </c>
      <c r="AB162" s="151"/>
      <c r="AC162" s="110"/>
      <c r="AD162" s="28"/>
      <c r="AE162" s="28"/>
      <c r="AF162" s="28" t="str">
        <f t="shared" si="64"/>
        <v/>
      </c>
      <c r="AG162" s="128" t="str">
        <f t="shared" si="65"/>
        <v/>
      </c>
      <c r="AH162" s="128" t="str">
        <f t="shared" si="66"/>
        <v/>
      </c>
      <c r="AI162" s="28" t="str">
        <f>IF(AND(ISBLANK(AK162),AJ162=""),"",1+MAX(AI$18:AI161))</f>
        <v/>
      </c>
      <c r="AJ162" s="150" t="str">
        <f>IF(OR(AF162="",AF162=0,$J162="",$J162=0,NOT(ISNUMBER($J162)),NOT(ISNUMBER(AF162))),IF(AND($G162&lt;&gt;"",AND(OR(ISNUMBER(AF162),AF162=""),AND(ISNUMBER($J162),$J162&gt;0))),'Feuille de Donnée'!$K$13,""),IF(AF162&lt;$J$165*'Feuille de Donnée'!$I$9,"Négligeable",(IF(AND(AD162&gt;=$H162*(1-'Feuille de Donnée'!$E$12),AD162&lt;=$H162*(1+'Feuille de Donnée'!$F$12)),'Feuille de Donnée'!$F$17,IF(AD162&lt;$H162*(1-'Feuille de Donnée'!$E$12),'Feuille de Donnée'!$F$18,'Feuille de Donnée'!$F$16))&amp;""&amp;IF(AND(AE162&gt;=$I162*(1-'Feuille de Donnée'!$E$27),AE162&lt;=$I162*(1+'Feuille de Donnée'!$F$27)),'Feuille de Donnée'!$F$32,IF(AE162&lt;$I162*(1-'Feuille de Donnée'!$E$27),'Feuille de Donnée'!$F$33,'Feuille de Donnée'!$F$31)))))</f>
        <v/>
      </c>
      <c r="AK162" s="151"/>
      <c r="AL162" s="110"/>
      <c r="AM162" s="28"/>
      <c r="AN162" s="28"/>
      <c r="AO162" s="28" t="str">
        <f t="shared" si="67"/>
        <v/>
      </c>
      <c r="AP162" s="128" t="str">
        <f t="shared" si="68"/>
        <v/>
      </c>
      <c r="AQ162" s="128" t="str">
        <f t="shared" si="69"/>
        <v/>
      </c>
      <c r="AR162" s="28" t="str">
        <f>IF(AND(ISBLANK(AT162),AS162=""),"",1+MAX(AR$18:AR161))</f>
        <v/>
      </c>
      <c r="AS162" s="150" t="str">
        <f>IF(OR(AO162="",AO162=0,$J162="",$J162=0,NOT(ISNUMBER($J162)),NOT(ISNUMBER(AO162))),IF(AND($G162&lt;&gt;"",AND(OR(ISNUMBER(AO162),AO162=""),AND(ISNUMBER($J162),$J162&gt;0))),'Feuille de Donnée'!$K$13,""),IF(AO162&lt;$J$165*'Feuille de Donnée'!$I$9,"Négligeable",(IF(AND(AM162&gt;=$H162*(1-'Feuille de Donnée'!$E$12),AM162&lt;=$H162*(1+'Feuille de Donnée'!$F$12)),'Feuille de Donnée'!$F$17,IF(AM162&lt;$H162*(1-'Feuille de Donnée'!$E$12),'Feuille de Donnée'!$F$18,'Feuille de Donnée'!$F$16))&amp;""&amp;IF(AND(AN162&gt;=$I162*(1-'Feuille de Donnée'!$E$27),AN162&lt;=$I162*(1+'Feuille de Donnée'!$F$27)),'Feuille de Donnée'!$F$32,IF(AN162&lt;$I162*(1-'Feuille de Donnée'!$E$27),'Feuille de Donnée'!$F$33,'Feuille de Donnée'!$F$31)))))</f>
        <v/>
      </c>
      <c r="AT162" s="151"/>
      <c r="AU162" s="110"/>
      <c r="AV162" s="28"/>
      <c r="AW162" s="28"/>
      <c r="AX162" s="28" t="str">
        <f t="shared" si="70"/>
        <v/>
      </c>
      <c r="AY162" s="128" t="str">
        <f t="shared" si="71"/>
        <v/>
      </c>
      <c r="AZ162" s="128" t="str">
        <f t="shared" si="72"/>
        <v/>
      </c>
      <c r="BA162" s="28" t="str">
        <f>IF(AND(ISBLANK(BC162),BB162=""),"",1+MAX(BA$18:BA161))</f>
        <v/>
      </c>
      <c r="BB162" s="150" t="str">
        <f>IF(OR(AX162="",AX162=0,$J162="",$J162=0,NOT(ISNUMBER($J162)),NOT(ISNUMBER(AX162))),IF(AND($G162&lt;&gt;"",AND(OR(ISNUMBER(AX162),AX162=""),AND(ISNUMBER($J162),$J162&gt;0))),'Feuille de Donnée'!$K$13,""),IF(AX162&lt;$J$165*'Feuille de Donnée'!$I$9,"Négligeable",(IF(AND(AV162&gt;=$H162*(1-'Feuille de Donnée'!$E$12),AV162&lt;=$H162*(1+'Feuille de Donnée'!$F$12)),'Feuille de Donnée'!$F$17,IF(AV162&lt;$H162*(1-'Feuille de Donnée'!$E$12),'Feuille de Donnée'!$F$18,'Feuille de Donnée'!$F$16))&amp;""&amp;IF(AND(AW162&gt;=$I162*(1-'Feuille de Donnée'!$E$27),AW162&lt;=$I162*(1+'Feuille de Donnée'!$F$27)),'Feuille de Donnée'!$F$32,IF(AW162&lt;$I162*(1-'Feuille de Donnée'!$E$27),'Feuille de Donnée'!$F$33,'Feuille de Donnée'!$F$31)))))</f>
        <v/>
      </c>
      <c r="BC162" s="151"/>
      <c r="BD162" s="110"/>
      <c r="BE162" s="28"/>
      <c r="BF162" s="28"/>
      <c r="BG162" s="28" t="str">
        <f t="shared" si="73"/>
        <v/>
      </c>
      <c r="BH162" s="128" t="str">
        <f t="shared" si="74"/>
        <v/>
      </c>
      <c r="BI162" s="128" t="str">
        <f t="shared" si="75"/>
        <v/>
      </c>
      <c r="BJ162" s="28" t="str">
        <f>IF(AND(ISBLANK(BL162),BK162=""),"",1+MAX(BJ$18:BJ161))</f>
        <v/>
      </c>
      <c r="BK162" s="150" t="str">
        <f>IF(OR(BG162="",BG162=0,$J162="",$J162=0,NOT(ISNUMBER($J162)),NOT(ISNUMBER(BG162))),IF(AND($G162&lt;&gt;"",AND(OR(ISNUMBER(BG162),BG162=""),AND(ISNUMBER($J162),$J162&gt;0))),'Feuille de Donnée'!$K$13,""),IF(BG162&lt;$J$165*'Feuille de Donnée'!$I$9,"Négligeable",(IF(AND(BE162&gt;=$H162*(1-'Feuille de Donnée'!$E$12),BE162&lt;=$H162*(1+'Feuille de Donnée'!$F$12)),'Feuille de Donnée'!$F$17,IF(BE162&lt;$H162*(1-'Feuille de Donnée'!$E$12),'Feuille de Donnée'!$F$18,'Feuille de Donnée'!$F$16))&amp;""&amp;IF(AND(BF162&gt;=$I162*(1-'Feuille de Donnée'!$E$27),BF162&lt;=$I162*(1+'Feuille de Donnée'!$F$27)),'Feuille de Donnée'!$F$32,IF(BF162&lt;$I162*(1-'Feuille de Donnée'!$E$27),'Feuille de Donnée'!$F$33,'Feuille de Donnée'!$F$31)))))</f>
        <v/>
      </c>
      <c r="BL162" s="151"/>
      <c r="BM162" s="153"/>
    </row>
    <row r="163" spans="1:65" s="7" customFormat="1" x14ac:dyDescent="0.3">
      <c r="A163" s="24"/>
      <c r="B163" s="45"/>
      <c r="C163" s="43"/>
      <c r="D163" s="42"/>
      <c r="E163" s="42"/>
      <c r="F163" s="42"/>
      <c r="G163" s="23"/>
      <c r="H163" s="26"/>
      <c r="I163" s="44"/>
      <c r="J163" s="109" t="str">
        <f t="shared" ref="J163:J164" si="76">IF(ISBLANK(G163),"",ROUND(H163*I163,2))</f>
        <v/>
      </c>
      <c r="K163" s="110"/>
      <c r="L163" s="28"/>
      <c r="M163" s="28"/>
      <c r="N163" s="28" t="str">
        <f>IF(ISBLANK(K163),"",ROUND(L163*M163,2))</f>
        <v/>
      </c>
      <c r="O163" s="128" t="str">
        <f t="shared" ref="O163:O164" si="77">IF($H163=0,"",(L163/$H163-1))</f>
        <v/>
      </c>
      <c r="P163" s="128" t="str">
        <f t="shared" ref="P163:P164" si="78">IF($I163=0,"",(M163/$I163-1))</f>
        <v/>
      </c>
      <c r="Q163" s="28" t="str">
        <f>IF(AND(ISBLANK(S163),R163=""),"",1+MAX(Q$18:Q162))</f>
        <v/>
      </c>
      <c r="R163" s="150" t="str">
        <f>IF(OR(N163="",N163=0,$J163="",$J163=0,NOT(ISNUMBER($J163)),NOT(ISNUMBER(N163))),IF(AND($G163&lt;&gt;"",AND(OR(ISNUMBER(N163),N163=""),AND(ISNUMBER($J163),$J163&gt;0))),'Feuille de Donnée'!$K$13,""),IF(N163&lt;$J$165*'Feuille de Donnée'!$I$9,"Négligeable",(IF(AND(L163&gt;=$H163*(1-'Feuille de Donnée'!$E$12),L163&lt;=$H163*(1+'Feuille de Donnée'!$F$12)),'Feuille de Donnée'!$F$17,IF(L163&lt;$H163*(1-'Feuille de Donnée'!$E$12),'Feuille de Donnée'!$F$18,'Feuille de Donnée'!$F$16))&amp;""&amp;IF(AND(M163&gt;=$I163*(1-'Feuille de Donnée'!$E$27),M163&lt;=$I163*(1+'Feuille de Donnée'!$F$27)),'Feuille de Donnée'!$F$32,IF(M163&lt;$I163*(1-'Feuille de Donnée'!$E$27),'Feuille de Donnée'!$F$33,'Feuille de Donnée'!$F$31)))))</f>
        <v/>
      </c>
      <c r="S163" s="151"/>
      <c r="T163" s="110"/>
      <c r="U163" s="28"/>
      <c r="V163" s="28"/>
      <c r="W163" s="28" t="str">
        <f>IF(ISBLANK(T163),"",ROUND(U163*V163,2))</f>
        <v/>
      </c>
      <c r="X163" s="128" t="str">
        <f t="shared" ref="X163:X164" si="79">IF($H163=0,"",(U163/$H163-1))</f>
        <v/>
      </c>
      <c r="Y163" s="128" t="str">
        <f t="shared" ref="Y163:Y164" si="80">IF($I163=0,"",(V163/$I163-1))</f>
        <v/>
      </c>
      <c r="Z163" s="28" t="str">
        <f>IF(AND(ISBLANK(AB163),AA163=""),"",1+MAX(Z$18:Z162))</f>
        <v/>
      </c>
      <c r="AA163" s="150" t="str">
        <f>IF(OR(W163="",W163=0,$J163="",$J163=0,NOT(ISNUMBER($J163)),NOT(ISNUMBER(W163))),IF(AND($G163&lt;&gt;"",AND(OR(ISNUMBER(W163),W163=""),AND(ISNUMBER($J163),$J163&gt;0))),'Feuille de Donnée'!$K$13,""),IF(W163&lt;$J$165*'Feuille de Donnée'!$I$9,"Négligeable",(IF(AND(U163&gt;=$H163*(1-'Feuille de Donnée'!$E$12),U163&lt;=$H163*(1+'Feuille de Donnée'!$F$12)),'Feuille de Donnée'!$F$17,IF(U163&lt;$H163*(1-'Feuille de Donnée'!$E$12),'Feuille de Donnée'!$F$18,'Feuille de Donnée'!$F$16))&amp;""&amp;IF(AND(V163&gt;=$I163*(1-'Feuille de Donnée'!$E$27),V163&lt;=$I163*(1+'Feuille de Donnée'!$F$27)),'Feuille de Donnée'!$F$32,IF(V163&lt;$I163*(1-'Feuille de Donnée'!$E$27),'Feuille de Donnée'!$F$33,'Feuille de Donnée'!$F$31)))))</f>
        <v/>
      </c>
      <c r="AB163" s="151"/>
      <c r="AC163" s="110"/>
      <c r="AD163" s="28"/>
      <c r="AE163" s="28"/>
      <c r="AF163" s="28" t="str">
        <f>IF(ISBLANK(AC163),"",ROUND(AD163*AE163,2))</f>
        <v/>
      </c>
      <c r="AG163" s="128" t="str">
        <f t="shared" ref="AG163:AG164" si="81">IF($H163=0,"",(AD163/$H163-1))</f>
        <v/>
      </c>
      <c r="AH163" s="128" t="str">
        <f t="shared" ref="AH163:AH164" si="82">IF($I163=0,"",(AE163/$I163-1))</f>
        <v/>
      </c>
      <c r="AI163" s="28" t="str">
        <f>IF(AND(ISBLANK(AK163),AJ163=""),"",1+MAX(AI$18:AI162))</f>
        <v/>
      </c>
      <c r="AJ163" s="150" t="str">
        <f>IF(OR(AF163="",AF163=0,$J163="",$J163=0,NOT(ISNUMBER($J163)),NOT(ISNUMBER(AF163))),IF(AND($G163&lt;&gt;"",AND(OR(ISNUMBER(AF163),AF163=""),AND(ISNUMBER($J163),$J163&gt;0))),'Feuille de Donnée'!$K$13,""),IF(AF163&lt;$J$165*'Feuille de Donnée'!$I$9,"Négligeable",(IF(AND(AD163&gt;=$H163*(1-'Feuille de Donnée'!$E$12),AD163&lt;=$H163*(1+'Feuille de Donnée'!$F$12)),'Feuille de Donnée'!$F$17,IF(AD163&lt;$H163*(1-'Feuille de Donnée'!$E$12),'Feuille de Donnée'!$F$18,'Feuille de Donnée'!$F$16))&amp;""&amp;IF(AND(AE163&gt;=$I163*(1-'Feuille de Donnée'!$E$27),AE163&lt;=$I163*(1+'Feuille de Donnée'!$F$27)),'Feuille de Donnée'!$F$32,IF(AE163&lt;$I163*(1-'Feuille de Donnée'!$E$27),'Feuille de Donnée'!$F$33,'Feuille de Donnée'!$F$31)))))</f>
        <v/>
      </c>
      <c r="AK163" s="151"/>
      <c r="AL163" s="110"/>
      <c r="AM163" s="28"/>
      <c r="AN163" s="28"/>
      <c r="AO163" s="28" t="str">
        <f>IF(ISBLANK(AL163),"",ROUND(AM163*AN163,2))</f>
        <v/>
      </c>
      <c r="AP163" s="128" t="str">
        <f t="shared" ref="AP163:AP164" si="83">IF($H163=0,"",(AM163/$H163-1))</f>
        <v/>
      </c>
      <c r="AQ163" s="128" t="str">
        <f t="shared" ref="AQ163:AQ164" si="84">IF($I163=0,"",(AN163/$I163-1))</f>
        <v/>
      </c>
      <c r="AR163" s="28" t="str">
        <f>IF(AND(ISBLANK(AT163),AS163=""),"",1+MAX(AR$18:AR162))</f>
        <v/>
      </c>
      <c r="AS163" s="150" t="str">
        <f>IF(OR(AO163="",AO163=0,$J163="",$J163=0,NOT(ISNUMBER($J163)),NOT(ISNUMBER(AO163))),IF(AND($G163&lt;&gt;"",AND(OR(ISNUMBER(AO163),AO163=""),AND(ISNUMBER($J163),$J163&gt;0))),'Feuille de Donnée'!$K$13,""),IF(AO163&lt;$J$165*'Feuille de Donnée'!$I$9,"Négligeable",(IF(AND(AM163&gt;=$H163*(1-'Feuille de Donnée'!$E$12),AM163&lt;=$H163*(1+'Feuille de Donnée'!$F$12)),'Feuille de Donnée'!$F$17,IF(AM163&lt;$H163*(1-'Feuille de Donnée'!$E$12),'Feuille de Donnée'!$F$18,'Feuille de Donnée'!$F$16))&amp;""&amp;IF(AND(AN163&gt;=$I163*(1-'Feuille de Donnée'!$E$27),AN163&lt;=$I163*(1+'Feuille de Donnée'!$F$27)),'Feuille de Donnée'!$F$32,IF(AN163&lt;$I163*(1-'Feuille de Donnée'!$E$27),'Feuille de Donnée'!$F$33,'Feuille de Donnée'!$F$31)))))</f>
        <v/>
      </c>
      <c r="AT163" s="151"/>
      <c r="AU163" s="110"/>
      <c r="AV163" s="28"/>
      <c r="AW163" s="28"/>
      <c r="AX163" s="28" t="str">
        <f>IF(ISBLANK(AU163),"",ROUND(AV163*AW163,2))</f>
        <v/>
      </c>
      <c r="AY163" s="128" t="str">
        <f t="shared" ref="AY163:AY164" si="85">IF($H163=0,"",(AV163/$H163-1))</f>
        <v/>
      </c>
      <c r="AZ163" s="128" t="str">
        <f t="shared" ref="AZ163:AZ164" si="86">IF($I163=0,"",(AW163/$I163-1))</f>
        <v/>
      </c>
      <c r="BA163" s="28" t="str">
        <f>IF(AND(ISBLANK(BC163),BB163=""),"",1+MAX(BA$18:BA162))</f>
        <v/>
      </c>
      <c r="BB163" s="150" t="str">
        <f>IF(OR(AX163="",AX163=0,$J163="",$J163=0,NOT(ISNUMBER($J163)),NOT(ISNUMBER(AX163))),IF(AND($G163&lt;&gt;"",AND(OR(ISNUMBER(AX163),AX163=""),AND(ISNUMBER($J163),$J163&gt;0))),'Feuille de Donnée'!$K$13,""),IF(AX163&lt;$J$165*'Feuille de Donnée'!$I$9,"Négligeable",(IF(AND(AV163&gt;=$H163*(1-'Feuille de Donnée'!$E$12),AV163&lt;=$H163*(1+'Feuille de Donnée'!$F$12)),'Feuille de Donnée'!$F$17,IF(AV163&lt;$H163*(1-'Feuille de Donnée'!$E$12),'Feuille de Donnée'!$F$18,'Feuille de Donnée'!$F$16))&amp;""&amp;IF(AND(AW163&gt;=$I163*(1-'Feuille de Donnée'!$E$27),AW163&lt;=$I163*(1+'Feuille de Donnée'!$F$27)),'Feuille de Donnée'!$F$32,IF(AW163&lt;$I163*(1-'Feuille de Donnée'!$E$27),'Feuille de Donnée'!$F$33,'Feuille de Donnée'!$F$31)))))</f>
        <v/>
      </c>
      <c r="BC163" s="151"/>
      <c r="BD163" s="110"/>
      <c r="BE163" s="28"/>
      <c r="BF163" s="28"/>
      <c r="BG163" s="28" t="str">
        <f>IF(ISBLANK(BD163),"",ROUND(BE163*BF163,2))</f>
        <v/>
      </c>
      <c r="BH163" s="128" t="str">
        <f t="shared" ref="BH163:BH164" si="87">IF($H163=0,"",(BE163/$H163-1))</f>
        <v/>
      </c>
      <c r="BI163" s="128" t="str">
        <f t="shared" ref="BI163:BI164" si="88">IF($I163=0,"",(BF163/$I163-1))</f>
        <v/>
      </c>
      <c r="BJ163" s="28" t="str">
        <f>IF(AND(ISBLANK(BL163),BK163=""),"",1+MAX(BJ$18:BJ162))</f>
        <v/>
      </c>
      <c r="BK163" s="150" t="str">
        <f>IF(OR(BG163="",BG163=0,$J163="",$J163=0,NOT(ISNUMBER($J163)),NOT(ISNUMBER(BG163))),IF(AND($G163&lt;&gt;"",AND(OR(ISNUMBER(BG163),BG163=""),AND(ISNUMBER($J163),$J163&gt;0))),'Feuille de Donnée'!$K$13,""),IF(BG163&lt;$J$165*'Feuille de Donnée'!$I$9,"Négligeable",(IF(AND(BE163&gt;=$H163*(1-'Feuille de Donnée'!$E$12),BE163&lt;=$H163*(1+'Feuille de Donnée'!$F$12)),'Feuille de Donnée'!$F$17,IF(BE163&lt;$H163*(1-'Feuille de Donnée'!$E$12),'Feuille de Donnée'!$F$18,'Feuille de Donnée'!$F$16))&amp;""&amp;IF(AND(BF163&gt;=$I163*(1-'Feuille de Donnée'!$E$27),BF163&lt;=$I163*(1+'Feuille de Donnée'!$F$27)),'Feuille de Donnée'!$F$32,IF(BF163&lt;$I163*(1-'Feuille de Donnée'!$E$27),'Feuille de Donnée'!$F$33,'Feuille de Donnée'!$F$31)))))</f>
        <v/>
      </c>
      <c r="BL163" s="151"/>
      <c r="BM163" s="153"/>
    </row>
    <row r="164" spans="1:65" s="7" customFormat="1" x14ac:dyDescent="0.3">
      <c r="A164" s="29"/>
      <c r="B164" s="5"/>
      <c r="C164" s="5"/>
      <c r="D164" s="5"/>
      <c r="E164" s="5"/>
      <c r="F164" s="5"/>
      <c r="G164" s="30"/>
      <c r="H164" s="31"/>
      <c r="I164" s="32"/>
      <c r="J164" s="109" t="str">
        <f t="shared" si="76"/>
        <v/>
      </c>
      <c r="K164" s="110"/>
      <c r="L164" s="28"/>
      <c r="M164" s="28"/>
      <c r="N164" s="28" t="str">
        <f t="shared" ref="N164" si="89">IF(ISBLANK(K164),"",ROUND(L164*M164,2))</f>
        <v/>
      </c>
      <c r="O164" s="128" t="str">
        <f t="shared" si="77"/>
        <v/>
      </c>
      <c r="P164" s="128" t="str">
        <f t="shared" si="78"/>
        <v/>
      </c>
      <c r="Q164" s="28" t="str">
        <f>IF(AND(ISBLANK(S164),R164=""),"",1+MAX(Q$18:Q163))</f>
        <v/>
      </c>
      <c r="R164" s="150" t="str">
        <f>IF(OR(N164="",N164=0,$J164="",$J164=0,NOT(ISNUMBER($J164)),NOT(ISNUMBER(N164))),IF(AND($G164&lt;&gt;"",AND(OR(ISNUMBER(N164),N164=""),AND(ISNUMBER($J164),$J164&gt;0))),'Feuille de Donnée'!$K$13,""),IF(N164&lt;$J$165*'Feuille de Donnée'!$I$9,"Négligeable",(IF(AND(L164&gt;=$H164*(1-'Feuille de Donnée'!$E$12),L164&lt;=$H164*(1+'Feuille de Donnée'!$F$12)),'Feuille de Donnée'!$F$17,IF(L164&lt;$H164*(1-'Feuille de Donnée'!$E$12),'Feuille de Donnée'!$F$18,'Feuille de Donnée'!$F$16))&amp;""&amp;IF(AND(M164&gt;=$I164*(1-'Feuille de Donnée'!$E$27),M164&lt;=$I164*(1+'Feuille de Donnée'!$F$27)),'Feuille de Donnée'!$F$32,IF(M164&lt;$I164*(1-'Feuille de Donnée'!$E$27),'Feuille de Donnée'!$F$33,'Feuille de Donnée'!$F$31)))))</f>
        <v/>
      </c>
      <c r="S164" s="151"/>
      <c r="T164" s="110"/>
      <c r="U164" s="28"/>
      <c r="V164" s="28"/>
      <c r="W164" s="28" t="str">
        <f t="shared" ref="W164" si="90">IF(ISBLANK(T164),"",ROUND(U164*V164,2))</f>
        <v/>
      </c>
      <c r="X164" s="128" t="str">
        <f t="shared" si="79"/>
        <v/>
      </c>
      <c r="Y164" s="128" t="str">
        <f t="shared" si="80"/>
        <v/>
      </c>
      <c r="Z164" s="28" t="str">
        <f>IF(AND(ISBLANK(AB164),AA164=""),"",1+MAX(Z$18:Z163))</f>
        <v/>
      </c>
      <c r="AA164" s="150" t="str">
        <f>IF(OR(W164="",W164=0,$J164="",$J164=0,NOT(ISNUMBER($J164)),NOT(ISNUMBER(W164))),IF(AND($G164&lt;&gt;"",AND(OR(ISNUMBER(W164),W164=""),AND(ISNUMBER($J164),$J164&gt;0))),'Feuille de Donnée'!$K$13,""),IF(W164&lt;$J$165*'Feuille de Donnée'!$I$9,"Négligeable",(IF(AND(U164&gt;=$H164*(1-'Feuille de Donnée'!$E$12),U164&lt;=$H164*(1+'Feuille de Donnée'!$F$12)),'Feuille de Donnée'!$F$17,IF(U164&lt;$H164*(1-'Feuille de Donnée'!$E$12),'Feuille de Donnée'!$F$18,'Feuille de Donnée'!$F$16))&amp;""&amp;IF(AND(V164&gt;=$I164*(1-'Feuille de Donnée'!$E$27),V164&lt;=$I164*(1+'Feuille de Donnée'!$F$27)),'Feuille de Donnée'!$F$32,IF(V164&lt;$I164*(1-'Feuille de Donnée'!$E$27),'Feuille de Donnée'!$F$33,'Feuille de Donnée'!$F$31)))))</f>
        <v/>
      </c>
      <c r="AB164" s="151"/>
      <c r="AC164" s="110"/>
      <c r="AD164" s="28"/>
      <c r="AE164" s="28"/>
      <c r="AF164" s="28" t="str">
        <f t="shared" ref="AF164" si="91">IF(ISBLANK(AC164),"",ROUND(AD164*AE164,2))</f>
        <v/>
      </c>
      <c r="AG164" s="128" t="str">
        <f t="shared" si="81"/>
        <v/>
      </c>
      <c r="AH164" s="128" t="str">
        <f t="shared" si="82"/>
        <v/>
      </c>
      <c r="AI164" s="28" t="str">
        <f>IF(AND(ISBLANK(AK164),AJ164=""),"",1+MAX(AI$18:AI163))</f>
        <v/>
      </c>
      <c r="AJ164" s="150" t="str">
        <f>IF(OR(AF164="",AF164=0,$J164="",$J164=0,NOT(ISNUMBER($J164)),NOT(ISNUMBER(AF164))),IF(AND($G164&lt;&gt;"",AND(OR(ISNUMBER(AF164),AF164=""),AND(ISNUMBER($J164),$J164&gt;0))),'Feuille de Donnée'!$K$13,""),IF(AF164&lt;$J$165*'Feuille de Donnée'!$I$9,"Négligeable",(IF(AND(AD164&gt;=$H164*(1-'Feuille de Donnée'!$E$12),AD164&lt;=$H164*(1+'Feuille de Donnée'!$F$12)),'Feuille de Donnée'!$F$17,IF(AD164&lt;$H164*(1-'Feuille de Donnée'!$E$12),'Feuille de Donnée'!$F$18,'Feuille de Donnée'!$F$16))&amp;""&amp;IF(AND(AE164&gt;=$I164*(1-'Feuille de Donnée'!$E$27),AE164&lt;=$I164*(1+'Feuille de Donnée'!$F$27)),'Feuille de Donnée'!$F$32,IF(AE164&lt;$I164*(1-'Feuille de Donnée'!$E$27),'Feuille de Donnée'!$F$33,'Feuille de Donnée'!$F$31)))))</f>
        <v/>
      </c>
      <c r="AK164" s="151"/>
      <c r="AL164" s="110"/>
      <c r="AM164" s="28"/>
      <c r="AN164" s="28"/>
      <c r="AO164" s="28" t="str">
        <f t="shared" ref="AO164" si="92">IF(ISBLANK(AL164),"",ROUND(AM164*AN164,2))</f>
        <v/>
      </c>
      <c r="AP164" s="128" t="str">
        <f t="shared" si="83"/>
        <v/>
      </c>
      <c r="AQ164" s="128" t="str">
        <f t="shared" si="84"/>
        <v/>
      </c>
      <c r="AR164" s="28" t="str">
        <f>IF(AND(ISBLANK(AT164),AS164=""),"",1+MAX(AR$18:AR163))</f>
        <v/>
      </c>
      <c r="AS164" s="150" t="str">
        <f>IF(OR(AO164="",AO164=0,$J164="",$J164=0,NOT(ISNUMBER($J164)),NOT(ISNUMBER(AO164))),IF(AND($G164&lt;&gt;"",AND(OR(ISNUMBER(AO164),AO164=""),AND(ISNUMBER($J164),$J164&gt;0))),'Feuille de Donnée'!$K$13,""),IF(AO164&lt;$J$165*'Feuille de Donnée'!$I$9,"Négligeable",(IF(AND(AM164&gt;=$H164*(1-'Feuille de Donnée'!$E$12),AM164&lt;=$H164*(1+'Feuille de Donnée'!$F$12)),'Feuille de Donnée'!$F$17,IF(AM164&lt;$H164*(1-'Feuille de Donnée'!$E$12),'Feuille de Donnée'!$F$18,'Feuille de Donnée'!$F$16))&amp;""&amp;IF(AND(AN164&gt;=$I164*(1-'Feuille de Donnée'!$E$27),AN164&lt;=$I164*(1+'Feuille de Donnée'!$F$27)),'Feuille de Donnée'!$F$32,IF(AN164&lt;$I164*(1-'Feuille de Donnée'!$E$27),'Feuille de Donnée'!$F$33,'Feuille de Donnée'!$F$31)))))</f>
        <v/>
      </c>
      <c r="AT164" s="151"/>
      <c r="AU164" s="110"/>
      <c r="AV164" s="28"/>
      <c r="AW164" s="28"/>
      <c r="AX164" s="28" t="str">
        <f t="shared" ref="AX164" si="93">IF(ISBLANK(AU164),"",ROUND(AV164*AW164,2))</f>
        <v/>
      </c>
      <c r="AY164" s="128" t="str">
        <f t="shared" si="85"/>
        <v/>
      </c>
      <c r="AZ164" s="128" t="str">
        <f t="shared" si="86"/>
        <v/>
      </c>
      <c r="BA164" s="28" t="str">
        <f>IF(AND(ISBLANK(BC164),BB164=""),"",1+MAX(BA$18:BA163))</f>
        <v/>
      </c>
      <c r="BB164" s="150" t="str">
        <f>IF(OR(AX164="",AX164=0,$J164="",$J164=0,NOT(ISNUMBER($J164)),NOT(ISNUMBER(AX164))),IF(AND($G164&lt;&gt;"",AND(OR(ISNUMBER(AX164),AX164=""),AND(ISNUMBER($J164),$J164&gt;0))),'Feuille de Donnée'!$K$13,""),IF(AX164&lt;$J$165*'Feuille de Donnée'!$I$9,"Négligeable",(IF(AND(AV164&gt;=$H164*(1-'Feuille de Donnée'!$E$12),AV164&lt;=$H164*(1+'Feuille de Donnée'!$F$12)),'Feuille de Donnée'!$F$17,IF(AV164&lt;$H164*(1-'Feuille de Donnée'!$E$12),'Feuille de Donnée'!$F$18,'Feuille de Donnée'!$F$16))&amp;""&amp;IF(AND(AW164&gt;=$I164*(1-'Feuille de Donnée'!$E$27),AW164&lt;=$I164*(1+'Feuille de Donnée'!$F$27)),'Feuille de Donnée'!$F$32,IF(AW164&lt;$I164*(1-'Feuille de Donnée'!$E$27),'Feuille de Donnée'!$F$33,'Feuille de Donnée'!$F$31)))))</f>
        <v/>
      </c>
      <c r="BC164" s="151"/>
      <c r="BD164" s="110"/>
      <c r="BE164" s="28"/>
      <c r="BF164" s="28"/>
      <c r="BG164" s="28" t="str">
        <f t="shared" ref="BG164" si="94">IF(ISBLANK(BD164),"",ROUND(BE164*BF164,2))</f>
        <v/>
      </c>
      <c r="BH164" s="128" t="str">
        <f t="shared" si="87"/>
        <v/>
      </c>
      <c r="BI164" s="128" t="str">
        <f t="shared" si="88"/>
        <v/>
      </c>
      <c r="BJ164" s="28" t="str">
        <f>IF(AND(ISBLANK(BL164),BK164=""),"",1+MAX(BJ$18:BJ163))</f>
        <v/>
      </c>
      <c r="BK164" s="150" t="str">
        <f>IF(OR(BG164="",BG164=0,$J164="",$J164=0,NOT(ISNUMBER($J164)),NOT(ISNUMBER(BG164))),IF(AND($G164&lt;&gt;"",AND(OR(ISNUMBER(BG164),BG164=""),AND(ISNUMBER($J164),$J164&gt;0))),'Feuille de Donnée'!$K$13,""),IF(BG164&lt;$J$165*'Feuille de Donnée'!$I$9,"Négligeable",(IF(AND(BE164&gt;=$H164*(1-'Feuille de Donnée'!$E$12),BE164&lt;=$H164*(1+'Feuille de Donnée'!$F$12)),'Feuille de Donnée'!$F$17,IF(BE164&lt;$H164*(1-'Feuille de Donnée'!$E$12),'Feuille de Donnée'!$F$18,'Feuille de Donnée'!$F$16))&amp;""&amp;IF(AND(BF164&gt;=$I164*(1-'Feuille de Donnée'!$E$27),BF164&lt;=$I164*(1+'Feuille de Donnée'!$F$27)),'Feuille de Donnée'!$F$32,IF(BF164&lt;$I164*(1-'Feuille de Donnée'!$E$27),'Feuille de Donnée'!$F$33,'Feuille de Donnée'!$F$31)))))</f>
        <v/>
      </c>
      <c r="BL164" s="151"/>
      <c r="BM164" s="153"/>
    </row>
    <row r="165" spans="1:65" s="7" customFormat="1" ht="24" thickBot="1" x14ac:dyDescent="0.35">
      <c r="A165" s="33"/>
      <c r="B165" s="34"/>
      <c r="C165" s="34"/>
      <c r="D165" s="35" t="s">
        <v>6</v>
      </c>
      <c r="E165" s="35"/>
      <c r="F165" s="35"/>
      <c r="G165" s="36"/>
      <c r="H165" s="37"/>
      <c r="I165" s="38"/>
      <c r="J165" s="108">
        <f>SUM($J18:J164)</f>
        <v>0</v>
      </c>
      <c r="K165" s="111"/>
      <c r="L165" s="37"/>
      <c r="M165" s="37"/>
      <c r="N165" s="108">
        <f>SUM(N18:N164)</f>
        <v>0</v>
      </c>
      <c r="O165" s="36"/>
      <c r="P165" s="143" t="str">
        <f>IF($J165=0,"",N165/$J165-1)</f>
        <v/>
      </c>
      <c r="Q165" s="107">
        <f>N165-$J165</f>
        <v>0</v>
      </c>
      <c r="R165" s="107"/>
      <c r="S165" s="11"/>
      <c r="T165" s="111"/>
      <c r="U165" s="37"/>
      <c r="V165" s="37"/>
      <c r="W165" s="108">
        <f>SUM(W18:W164)</f>
        <v>0</v>
      </c>
      <c r="X165" s="36"/>
      <c r="Y165" s="143" t="str">
        <f>IF($J165=0,"",W165/$J165-1)</f>
        <v/>
      </c>
      <c r="Z165" s="107">
        <f>W165-$J165</f>
        <v>0</v>
      </c>
      <c r="AA165" s="107"/>
      <c r="AB165" s="11"/>
      <c r="AC165" s="111"/>
      <c r="AD165" s="37"/>
      <c r="AE165" s="37"/>
      <c r="AF165" s="108">
        <f>SUM(AF18:AF164)</f>
        <v>0</v>
      </c>
      <c r="AG165" s="36"/>
      <c r="AH165" s="143" t="str">
        <f>IF($J165=0,"",AF165/$J165-1)</f>
        <v/>
      </c>
      <c r="AI165" s="107">
        <f>AF165-$J165</f>
        <v>0</v>
      </c>
      <c r="AJ165" s="107"/>
      <c r="AK165" s="11"/>
      <c r="AL165" s="111"/>
      <c r="AM165" s="37"/>
      <c r="AN165" s="37"/>
      <c r="AO165" s="108">
        <f>SUM(AO18:AO164)</f>
        <v>0</v>
      </c>
      <c r="AP165" s="36"/>
      <c r="AQ165" s="143" t="str">
        <f>IF($J165=0,"",AO165/$J165-1)</f>
        <v/>
      </c>
      <c r="AR165" s="107">
        <f>AO165-$J165</f>
        <v>0</v>
      </c>
      <c r="AS165" s="107"/>
      <c r="AT165" s="11"/>
      <c r="AU165" s="111"/>
      <c r="AV165" s="37"/>
      <c r="AW165" s="37"/>
      <c r="AX165" s="108">
        <f>SUM(AX18:AX164)</f>
        <v>0</v>
      </c>
      <c r="AY165" s="36"/>
      <c r="AZ165" s="143" t="str">
        <f>IF($J165=0,"",AX165/$J165-1)</f>
        <v/>
      </c>
      <c r="BA165" s="107">
        <f>AX165-$J165</f>
        <v>0</v>
      </c>
      <c r="BB165" s="107"/>
      <c r="BC165" s="11"/>
      <c r="BD165" s="111"/>
      <c r="BE165" s="37"/>
      <c r="BF165" s="37"/>
      <c r="BG165" s="108">
        <f>SUM(BG18:BG164)</f>
        <v>0</v>
      </c>
      <c r="BH165" s="36"/>
      <c r="BI165" s="143" t="str">
        <f>IF($J165=0,"",BG165/$J165-1)</f>
        <v/>
      </c>
      <c r="BJ165" s="107">
        <f>BG165-$J165</f>
        <v>0</v>
      </c>
      <c r="BK165" s="107"/>
      <c r="BL165" s="11"/>
      <c r="BM165" s="153"/>
    </row>
    <row r="166" spans="1:65" ht="24" thickTop="1" x14ac:dyDescent="0.45">
      <c r="A166" s="2"/>
      <c r="B166" s="2"/>
      <c r="C166" s="2"/>
      <c r="D166" s="2"/>
      <c r="E166" s="2"/>
      <c r="F166" s="2"/>
      <c r="G166" s="2"/>
      <c r="H166" s="2"/>
      <c r="I166" s="39"/>
      <c r="J166" s="39"/>
    </row>
    <row r="167" spans="1:65" x14ac:dyDescent="0.45">
      <c r="I167" s="40"/>
      <c r="J167" s="40"/>
      <c r="T167" s="215" t="s">
        <v>97</v>
      </c>
      <c r="U167" s="215"/>
      <c r="V167" s="215"/>
      <c r="W167" s="215"/>
      <c r="X167" s="215"/>
      <c r="Y167" s="215"/>
      <c r="Z167" s="215"/>
      <c r="AA167" s="215"/>
      <c r="AB167" s="215"/>
      <c r="AC167" s="215" t="s">
        <v>96</v>
      </c>
      <c r="AD167" s="215"/>
      <c r="AE167" s="215"/>
      <c r="AF167" s="215"/>
      <c r="AG167" s="215"/>
      <c r="AH167" s="215"/>
      <c r="AI167" s="215"/>
      <c r="AJ167" s="215"/>
      <c r="AK167" s="215"/>
      <c r="AL167" s="215" t="s">
        <v>96</v>
      </c>
      <c r="AM167" s="215"/>
      <c r="AN167" s="215"/>
      <c r="AO167" s="215"/>
      <c r="AP167" s="215"/>
      <c r="AQ167" s="215"/>
      <c r="AR167" s="215"/>
      <c r="AS167" s="215"/>
      <c r="AT167" s="215"/>
      <c r="AU167" s="215" t="s">
        <v>96</v>
      </c>
      <c r="AV167" s="215"/>
      <c r="AW167" s="215"/>
      <c r="AX167" s="215"/>
      <c r="AY167" s="215"/>
      <c r="AZ167" s="215"/>
      <c r="BA167" s="215"/>
      <c r="BB167" s="215"/>
      <c r="BC167" s="215"/>
    </row>
    <row r="168" spans="1:65" x14ac:dyDescent="0.45">
      <c r="T168" s="41"/>
      <c r="U168" s="41"/>
      <c r="V168" s="41" t="s">
        <v>95</v>
      </c>
      <c r="W168" s="171">
        <v>83.12</v>
      </c>
      <c r="AC168" s="41"/>
      <c r="AD168" s="41"/>
      <c r="AE168" s="41" t="s">
        <v>95</v>
      </c>
      <c r="AF168" s="171">
        <v>0.95</v>
      </c>
      <c r="AG168" s="41"/>
      <c r="AH168" s="41"/>
      <c r="AI168" s="41"/>
      <c r="AJ168" s="41"/>
      <c r="AK168" s="41"/>
      <c r="AL168" s="41"/>
      <c r="AM168" s="41"/>
      <c r="AP168" s="41"/>
      <c r="AQ168" s="41" t="s">
        <v>95</v>
      </c>
      <c r="AR168" s="171">
        <v>0.95</v>
      </c>
      <c r="AS168" s="41"/>
      <c r="AT168" s="41"/>
      <c r="AU168" s="41"/>
      <c r="AV168" s="41"/>
      <c r="AY168" s="41"/>
      <c r="AZ168" s="41" t="s">
        <v>95</v>
      </c>
      <c r="BA168" s="171">
        <v>0.95</v>
      </c>
      <c r="BB168" s="41"/>
      <c r="BC168" s="41"/>
    </row>
    <row r="169" spans="1:65" x14ac:dyDescent="0.45">
      <c r="AO169" s="172"/>
      <c r="AX169" s="172"/>
    </row>
  </sheetData>
  <mergeCells count="13">
    <mergeCell ref="BD17:BL17"/>
    <mergeCell ref="AU17:BC17"/>
    <mergeCell ref="T167:AB167"/>
    <mergeCell ref="AC167:AK167"/>
    <mergeCell ref="AL167:AT167"/>
    <mergeCell ref="AU167:BC167"/>
    <mergeCell ref="D11:E11"/>
    <mergeCell ref="G17:J17"/>
    <mergeCell ref="D16:F16"/>
    <mergeCell ref="K17:S17"/>
    <mergeCell ref="AC17:AK17"/>
    <mergeCell ref="T17:AB17"/>
    <mergeCell ref="AL17:AT17"/>
  </mergeCells>
  <phoneticPr fontId="3" type="noConversion"/>
  <conditionalFormatting sqref="L19:L164 U19:U164 AD19:AD164 AM19:AM164 AV19:AV164 BE19:BE164">
    <cfRule type="expression" dxfId="31" priority="241">
      <formula>IF(OR(AND(ISNUMBER(N19),N19&gt;0),$J19=0,NOT(ISNUMBER($J19))),FALSE,IF(AND($G19&lt;&gt;"",OR(N19="",ISNUMBER(N19))),TRUE,FALSE))</formula>
    </cfRule>
  </conditionalFormatting>
  <conditionalFormatting sqref="M19:M164 V19:V164 AE19:AE164 AN19:AN164 AW19:AW164 BF19:BF164">
    <cfRule type="expression" dxfId="27" priority="183">
      <formula>IF(OR(AND(ISNUMBER(N19),N19&gt;0),$J19=0,NOT(ISNUMBER($J19))),FALSE,IF(AND($G19&lt;&gt;"",OR(N19="",ISNUMBER(N19))),TRUE,FALSE))</formula>
    </cfRule>
  </conditionalFormatting>
  <conditionalFormatting sqref="P165">
    <cfRule type="dataBar" priority="224">
      <dataBar>
        <cfvo type="num" val="-1"/>
        <cfvo type="num" val="1"/>
        <color theme="9" tint="-0.249977111117893"/>
      </dataBar>
      <extLst>
        <ext xmlns:x14="http://schemas.microsoft.com/office/spreadsheetml/2009/9/main" uri="{B025F937-C7B1-47D3-B67F-A62EFF666E3E}">
          <x14:id>{21A02CF9-18D9-4B0A-BC0A-9DD11B5E01C0}</x14:id>
        </ext>
      </extLst>
    </cfRule>
  </conditionalFormatting>
  <conditionalFormatting sqref="Y165">
    <cfRule type="dataBar" priority="175">
      <dataBar>
        <cfvo type="num" val="-1"/>
        <cfvo type="num" val="1"/>
        <color theme="9" tint="-0.249977111117893"/>
      </dataBar>
      <extLst>
        <ext xmlns:x14="http://schemas.microsoft.com/office/spreadsheetml/2009/9/main" uri="{B025F937-C7B1-47D3-B67F-A62EFF666E3E}">
          <x14:id>{03AAB94C-99C0-4CAC-BD25-AFF0DAFA7295}</x14:id>
        </ext>
      </extLst>
    </cfRule>
  </conditionalFormatting>
  <conditionalFormatting sqref="AH165">
    <cfRule type="dataBar" priority="157">
      <dataBar>
        <cfvo type="num" val="-1"/>
        <cfvo type="num" val="1"/>
        <color theme="9" tint="-0.249977111117893"/>
      </dataBar>
      <extLst>
        <ext xmlns:x14="http://schemas.microsoft.com/office/spreadsheetml/2009/9/main" uri="{B025F937-C7B1-47D3-B67F-A62EFF666E3E}">
          <x14:id>{696C80F3-BDAF-4F58-94D2-7F93B139E0F0}</x14:id>
        </ext>
      </extLst>
    </cfRule>
  </conditionalFormatting>
  <conditionalFormatting sqref="AQ165">
    <cfRule type="dataBar" priority="130">
      <dataBar>
        <cfvo type="num" val="-1"/>
        <cfvo type="num" val="1"/>
        <color theme="9" tint="-0.249977111117893"/>
      </dataBar>
      <extLst>
        <ext xmlns:x14="http://schemas.microsoft.com/office/spreadsheetml/2009/9/main" uri="{B025F937-C7B1-47D3-B67F-A62EFF666E3E}">
          <x14:id>{12629CC2-500B-418B-9200-DF459FA9A74C}</x14:id>
        </ext>
      </extLst>
    </cfRule>
  </conditionalFormatting>
  <conditionalFormatting sqref="AZ165">
    <cfRule type="dataBar" priority="28">
      <dataBar>
        <cfvo type="num" val="-1"/>
        <cfvo type="num" val="1"/>
        <color theme="9" tint="-0.249977111117893"/>
      </dataBar>
      <extLst>
        <ext xmlns:x14="http://schemas.microsoft.com/office/spreadsheetml/2009/9/main" uri="{B025F937-C7B1-47D3-B67F-A62EFF666E3E}">
          <x14:id>{9F89A12C-D00C-485C-9002-0D275DA4FC07}</x14:id>
        </ext>
      </extLst>
    </cfRule>
  </conditionalFormatting>
  <conditionalFormatting sqref="BI165">
    <cfRule type="dataBar" priority="6">
      <dataBar>
        <cfvo type="num" val="-1"/>
        <cfvo type="num" val="1"/>
        <color theme="9" tint="-0.249977111117893"/>
      </dataBar>
      <extLst>
        <ext xmlns:x14="http://schemas.microsoft.com/office/spreadsheetml/2009/9/main" uri="{B025F937-C7B1-47D3-B67F-A62EFF666E3E}">
          <x14:id>{8190430A-7565-45E4-BDC4-430F9487194B}</x14:id>
        </ext>
      </extLst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11" orientation="landscape" r:id="rId1"/>
  <headerFooter>
    <oddFooter>&amp;C&amp;P /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7" id="{404FF4F5-AB92-4107-AFA9-E8AD955B267A}">
            <xm:f>IF(OR($H19=0,N19=0),FALSE,L19&gt;($H19*(1+'Feuille de Donnée'!$F$12)))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58" id="{F7F14C33-FA32-4E02-98CA-931607771204}">
            <xm:f>IF(OR(NOT($H19&gt;0),NOT(N19&gt;0),NOT(ISNUMBER(N19))),FALSE,L19&lt;($H19*(1-'Feuille de Donnée'!$E$12)))</xm:f>
            <x14:dxf>
              <fill>
                <patternFill patternType="solid">
                  <bgColor theme="8" tint="0.59996337778862885"/>
                </patternFill>
              </fill>
            </x14:dxf>
          </x14:cfRule>
          <x14:cfRule type="expression" priority="275" id="{0173B198-3C0A-4DCA-8E9D-0BC442769A10}">
            <xm:f>IF(OR($H19=0,N19=0),FALSE,AND((L19&lt;=$H19*(1+'Feuille de Donnée'!$F$12)),(L19&gt;=$H19*(1-'Feuille de Donnée'!$E$12))))</xm:f>
            <x14:dxf>
              <fill>
                <patternFill patternType="none">
                  <bgColor auto="1"/>
                </patternFill>
              </fill>
            </x14:dxf>
          </x14:cfRule>
          <xm:sqref>L19:L164 U19:U164 AD19:AD164 AM19:AM164 AV19:AV164 BE19:BE164</xm:sqref>
        </x14:conditionalFormatting>
        <x14:conditionalFormatting xmlns:xm="http://schemas.microsoft.com/office/excel/2006/main">
          <x14:cfRule type="expression" priority="184" id="{F31EF71B-1876-4978-BB26-79C347A7E7C4}">
            <xm:f>IF(OR(NOT($I19&gt;0),NOT($J19&gt;0),NOT(ISNUMBER(N19))),FALSE,M19&lt;($I19*(1-'Feuille de Donnée'!$E$27)))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5" id="{E9584945-982E-4BEA-B996-8F7A7DF95A05}">
            <xm:f>IF(OR($I19=0,N19=0),FALSE,M19&gt;($I19*(1+'Feuille de Donnée'!$F$27)))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6" id="{534A7AB7-562C-40EB-ADD1-59709683D313}">
            <xm:f>IF(OR($I19=0,N19=0),FALSE,AND((M19&lt;=$I19*(1+'Feuille de Donnée'!$F$27)),(M19&gt;=$I$19*(1-'Feuille de Donnée'!$E$27))))</xm:f>
            <x14:dxf>
              <fill>
                <patternFill>
                  <bgColor theme="0"/>
                </patternFill>
              </fill>
            </x14:dxf>
          </x14:cfRule>
          <xm:sqref>M19:M164 V19:V164 AE19:AE164 AN19:AN164 AW19:AW164 BF19:BF164</xm:sqref>
        </x14:conditionalFormatting>
        <x14:conditionalFormatting xmlns:xm="http://schemas.microsoft.com/office/excel/2006/main">
          <x14:cfRule type="dataBar" id="{21A02CF9-18D9-4B0A-BC0A-9DD11B5E01C0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P165</xm:sqref>
        </x14:conditionalFormatting>
        <x14:conditionalFormatting xmlns:xm="http://schemas.microsoft.com/office/excel/2006/main">
          <x14:cfRule type="dataBar" id="{03AAB94C-99C0-4CAC-BD25-AFF0DAFA7295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Y165</xm:sqref>
        </x14:conditionalFormatting>
        <x14:conditionalFormatting xmlns:xm="http://schemas.microsoft.com/office/excel/2006/main">
          <x14:cfRule type="dataBar" id="{696C80F3-BDAF-4F58-94D2-7F93B139E0F0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AH165</xm:sqref>
        </x14:conditionalFormatting>
        <x14:conditionalFormatting xmlns:xm="http://schemas.microsoft.com/office/excel/2006/main">
          <x14:cfRule type="dataBar" id="{12629CC2-500B-418B-9200-DF459FA9A74C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AQ165</xm:sqref>
        </x14:conditionalFormatting>
        <x14:conditionalFormatting xmlns:xm="http://schemas.microsoft.com/office/excel/2006/main">
          <x14:cfRule type="dataBar" id="{9F89A12C-D00C-485C-9002-0D275DA4FC07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AZ165</xm:sqref>
        </x14:conditionalFormatting>
        <x14:conditionalFormatting xmlns:xm="http://schemas.microsoft.com/office/excel/2006/main">
          <x14:cfRule type="dataBar" id="{8190430A-7565-45E4-BDC4-430F9487194B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BI165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757B-9A3A-43F6-A906-8018EE18797E}">
  <sheetPr>
    <tabColor rgb="FFFFFF00"/>
  </sheetPr>
  <dimension ref="A1:BB73"/>
  <sheetViews>
    <sheetView topLeftCell="AI1" zoomScale="70" zoomScaleNormal="70" workbookViewId="0">
      <selection activeCell="AY35" sqref="AY35"/>
    </sheetView>
  </sheetViews>
  <sheetFormatPr baseColWidth="10" defaultRowHeight="14.4" outlineLevelCol="1" x14ac:dyDescent="0.3"/>
  <cols>
    <col min="1" max="1" width="3.88671875" bestFit="1" customWidth="1"/>
    <col min="2" max="2" width="13.44140625" customWidth="1"/>
    <col min="3" max="3" width="27.6640625" customWidth="1"/>
    <col min="4" max="4" width="8.5546875" customWidth="1" outlineLevel="1"/>
    <col min="5" max="5" width="20.6640625" customWidth="1"/>
    <col min="6" max="6" width="54.33203125" bestFit="1" customWidth="1"/>
    <col min="7" max="7" width="11.6640625" bestFit="1" customWidth="1"/>
    <col min="8" max="8" width="29.5546875" customWidth="1"/>
    <col min="9" max="9" width="11.109375" bestFit="1" customWidth="1"/>
    <col min="10" max="10" width="4.33203125" customWidth="1"/>
    <col min="11" max="11" width="13.44140625" customWidth="1"/>
    <col min="12" max="12" width="24.5546875" customWidth="1"/>
    <col min="13" max="13" width="8.44140625" hidden="1" customWidth="1" outlineLevel="1"/>
    <col min="14" max="14" width="20.6640625" customWidth="1" collapsed="1"/>
    <col min="15" max="15" width="54.5546875" customWidth="1"/>
    <col min="16" max="16" width="12.88671875" customWidth="1"/>
    <col min="17" max="17" width="34.44140625" customWidth="1"/>
    <col min="19" max="19" width="4.6640625" customWidth="1"/>
    <col min="20" max="20" width="13.44140625" customWidth="1"/>
    <col min="21" max="21" width="24.44140625" customWidth="1"/>
    <col min="22" max="22" width="0" hidden="1" customWidth="1" outlineLevel="1"/>
    <col min="23" max="23" width="20.6640625" customWidth="1" collapsed="1"/>
    <col min="24" max="24" width="54.33203125" customWidth="1"/>
    <col min="25" max="25" width="12.33203125" customWidth="1"/>
    <col min="26" max="26" width="38.5546875" customWidth="1"/>
    <col min="28" max="28" width="4.6640625" customWidth="1"/>
    <col min="29" max="29" width="13.44140625" customWidth="1"/>
    <col min="30" max="30" width="24.44140625" customWidth="1"/>
    <col min="31" max="31" width="0" hidden="1" customWidth="1" outlineLevel="1"/>
    <col min="32" max="32" width="20.6640625" customWidth="1" collapsed="1"/>
    <col min="33" max="33" width="54.33203125" customWidth="1"/>
    <col min="34" max="34" width="12.33203125" customWidth="1"/>
    <col min="35" max="35" width="38.5546875" customWidth="1"/>
    <col min="37" max="37" width="4.6640625" customWidth="1"/>
    <col min="38" max="38" width="13.44140625" customWidth="1"/>
    <col min="39" max="39" width="24.44140625" customWidth="1"/>
    <col min="40" max="40" width="0" hidden="1" customWidth="1" outlineLevel="1"/>
    <col min="41" max="41" width="20.6640625" customWidth="1" collapsed="1"/>
    <col min="42" max="42" width="54.33203125" customWidth="1"/>
    <col min="43" max="43" width="12.33203125" customWidth="1"/>
    <col min="44" max="44" width="38.5546875" customWidth="1"/>
    <col min="46" max="46" width="4.6640625" customWidth="1"/>
    <col min="47" max="47" width="13.44140625" customWidth="1"/>
    <col min="48" max="48" width="24.44140625" customWidth="1"/>
    <col min="49" max="49" width="0" hidden="1" customWidth="1" outlineLevel="1"/>
    <col min="50" max="50" width="20.6640625" customWidth="1" collapsed="1"/>
    <col min="51" max="51" width="54.33203125" customWidth="1"/>
    <col min="52" max="52" width="12.33203125" customWidth="1"/>
    <col min="53" max="53" width="38.5546875" customWidth="1"/>
  </cols>
  <sheetData>
    <row r="1" spans="1:54" ht="24.6" thickTop="1" thickBot="1" x14ac:dyDescent="0.35">
      <c r="A1" s="221" t="str">
        <f>ETANCHEITE!K17</f>
        <v>Entreprise 1</v>
      </c>
      <c r="B1" s="222"/>
      <c r="C1" s="222"/>
      <c r="D1" s="222"/>
      <c r="E1" s="222"/>
      <c r="F1" s="222"/>
      <c r="G1" s="222"/>
      <c r="H1" s="222"/>
      <c r="I1" s="223"/>
      <c r="J1" s="221" t="str">
        <f>ETANCHEITE!T17</f>
        <v>Entreprise 2</v>
      </c>
      <c r="K1" s="222"/>
      <c r="L1" s="222"/>
      <c r="M1" s="222"/>
      <c r="N1" s="222"/>
      <c r="O1" s="222"/>
      <c r="P1" s="222"/>
      <c r="Q1" s="222"/>
      <c r="R1" s="223"/>
      <c r="S1" s="221" t="str">
        <f>ETANCHEITE!AC17</f>
        <v>Entreprise 3</v>
      </c>
      <c r="T1" s="222"/>
      <c r="U1" s="222"/>
      <c r="V1" s="222"/>
      <c r="W1" s="222"/>
      <c r="X1" s="222"/>
      <c r="Y1" s="222"/>
      <c r="Z1" s="222"/>
      <c r="AA1" s="223"/>
      <c r="AB1" s="221" t="str">
        <f>ETANCHEITE!AL17</f>
        <v>Entreprise 4</v>
      </c>
      <c r="AC1" s="222"/>
      <c r="AD1" s="222"/>
      <c r="AE1" s="222"/>
      <c r="AF1" s="222"/>
      <c r="AG1" s="222"/>
      <c r="AH1" s="222"/>
      <c r="AI1" s="222"/>
      <c r="AJ1" s="223"/>
      <c r="AK1" s="221" t="str">
        <f>ETANCHEITE!AU17</f>
        <v>Entreprise 5</v>
      </c>
      <c r="AL1" s="222"/>
      <c r="AM1" s="222"/>
      <c r="AN1" s="222"/>
      <c r="AO1" s="222"/>
      <c r="AP1" s="222"/>
      <c r="AQ1" s="222"/>
      <c r="AR1" s="222"/>
      <c r="AS1" s="222"/>
      <c r="AT1" s="221" t="str">
        <f>ETANCHEITE!BD17</f>
        <v>Entreprise 6</v>
      </c>
      <c r="AU1" s="222"/>
      <c r="AV1" s="222"/>
      <c r="AW1" s="222"/>
      <c r="AX1" s="222"/>
      <c r="AY1" s="222"/>
      <c r="AZ1" s="222"/>
      <c r="BA1" s="222"/>
      <c r="BB1" s="222"/>
    </row>
    <row r="2" spans="1:54" ht="16.5" customHeight="1" thickTop="1" x14ac:dyDescent="0.3">
      <c r="A2" s="154" t="s">
        <v>77</v>
      </c>
      <c r="B2" s="155" t="s">
        <v>80</v>
      </c>
      <c r="C2" s="156" t="s">
        <v>81</v>
      </c>
      <c r="D2" s="142" t="s">
        <v>88</v>
      </c>
      <c r="E2" s="142" t="s">
        <v>83</v>
      </c>
      <c r="F2" s="157" t="s">
        <v>78</v>
      </c>
      <c r="G2" s="117" t="s">
        <v>1</v>
      </c>
      <c r="H2" s="144" t="s">
        <v>104</v>
      </c>
      <c r="I2" s="145" t="s">
        <v>105</v>
      </c>
      <c r="J2" s="154" t="s">
        <v>77</v>
      </c>
      <c r="K2" s="155" t="s">
        <v>80</v>
      </c>
      <c r="L2" s="156" t="s">
        <v>81</v>
      </c>
      <c r="M2" s="142" t="s">
        <v>88</v>
      </c>
      <c r="N2" s="142" t="s">
        <v>83</v>
      </c>
      <c r="O2" s="157" t="s">
        <v>78</v>
      </c>
      <c r="P2" s="117" t="s">
        <v>1</v>
      </c>
      <c r="Q2" s="144" t="s">
        <v>104</v>
      </c>
      <c r="R2" s="145" t="s">
        <v>105</v>
      </c>
      <c r="S2" s="154" t="s">
        <v>77</v>
      </c>
      <c r="T2" s="155" t="s">
        <v>80</v>
      </c>
      <c r="U2" s="156" t="s">
        <v>81</v>
      </c>
      <c r="V2" s="142" t="s">
        <v>88</v>
      </c>
      <c r="W2" s="142" t="s">
        <v>83</v>
      </c>
      <c r="X2" s="157" t="s">
        <v>78</v>
      </c>
      <c r="Y2" s="117" t="s">
        <v>1</v>
      </c>
      <c r="Z2" s="144" t="s">
        <v>104</v>
      </c>
      <c r="AA2" s="145" t="s">
        <v>105</v>
      </c>
      <c r="AB2" s="154" t="s">
        <v>77</v>
      </c>
      <c r="AC2" s="155" t="s">
        <v>80</v>
      </c>
      <c r="AD2" s="156" t="s">
        <v>81</v>
      </c>
      <c r="AE2" s="142" t="s">
        <v>88</v>
      </c>
      <c r="AF2" s="142" t="s">
        <v>83</v>
      </c>
      <c r="AG2" s="157" t="s">
        <v>78</v>
      </c>
      <c r="AH2" s="117" t="s">
        <v>1</v>
      </c>
      <c r="AI2" s="144" t="s">
        <v>104</v>
      </c>
      <c r="AJ2" s="145" t="s">
        <v>105</v>
      </c>
      <c r="AK2" s="154" t="s">
        <v>77</v>
      </c>
      <c r="AL2" s="155" t="s">
        <v>80</v>
      </c>
      <c r="AM2" s="156" t="s">
        <v>81</v>
      </c>
      <c r="AN2" s="142" t="s">
        <v>88</v>
      </c>
      <c r="AO2" s="142" t="s">
        <v>83</v>
      </c>
      <c r="AP2" s="157" t="s">
        <v>78</v>
      </c>
      <c r="AQ2" s="117" t="s">
        <v>1</v>
      </c>
      <c r="AR2" s="144" t="s">
        <v>104</v>
      </c>
      <c r="AS2" s="145" t="s">
        <v>105</v>
      </c>
      <c r="AT2" s="154" t="s">
        <v>77</v>
      </c>
      <c r="AU2" s="155" t="s">
        <v>80</v>
      </c>
      <c r="AV2" s="156" t="s">
        <v>81</v>
      </c>
      <c r="AW2" s="142" t="s">
        <v>88</v>
      </c>
      <c r="AX2" s="142" t="s">
        <v>83</v>
      </c>
      <c r="AY2" s="157" t="s">
        <v>78</v>
      </c>
      <c r="AZ2" s="117" t="s">
        <v>1</v>
      </c>
      <c r="BA2" s="144" t="s">
        <v>104</v>
      </c>
      <c r="BB2" s="145" t="s">
        <v>105</v>
      </c>
    </row>
    <row r="3" spans="1:54" ht="16.5" customHeight="1" x14ac:dyDescent="0.3">
      <c r="A3" s="158">
        <v>1</v>
      </c>
      <c r="B3" s="167" t="str">
        <f>IF(F3&lt;&gt;" ",ETANCHEITE!$D$5,"")</f>
        <v/>
      </c>
      <c r="C3" s="167" t="str">
        <f>IF(F3&lt;&gt;" ",ETANCHEITE!$D$8,"")</f>
        <v/>
      </c>
      <c r="D3" s="159" t="str">
        <f>IFERROR(MATCH(A3,ETANCHEITE!Q$19:Q$164,0)+18,"")</f>
        <v/>
      </c>
      <c r="E3" s="160" t="str" cm="1">
        <f t="array" aca="1" ref="E3" ca="1">IFERROR(IF(_xlfn.XLOOKUP(A3,ETANCHEITE!Q$19:Q$164,ETANCHEITE!$A$19:$A$164,"")&lt;&gt;"",_xlfn.XLOOKUP(A3,ETANCHEITE!Q$19:Q$164,ETANCHEITE!$A$19:$A$164,""),    INDEX(ETANCHEITE!$A:$A,MAX(_xlfn._xlws.FILTER(ROW(ETANCHEITE!$A$19:INDIRECT("'MENUISERIES EXTERIEURES'!$A" &amp; D3-1)),ETANCHEITE!$A$19:INDIRECT("'MENUISERIES EXTERIEURES'!$A" &amp; D3-1)&lt;&gt;"")))),"")&amp;"   "&amp;IFERROR(_xlfn.XLOOKUP(A3,ETANCHEITE!Q$19:Q$164,ETANCHEITE!$B$19:$B$164),"")&amp;IFERROR(_xlfn.XLOOKUP(A3,ETANCHEITE!Q$19:Q$164,ETANCHEITE!$C$19:$C$164),"")&amp;IFERROR(_xlfn.XLOOKUP(A3,ETANCHEITE!Q$19:Q$164,ETANCHEITE!$D$19:$D$164),"")&amp;IFERROR(_xlfn.XLOOKUP(A3,ETANCHEITE!Q$19:Q$164,ETANCHEITE!$E$19:$E$164),"")&amp;IFERROR(_xlfn.XLOOKUP(A3,ETANCHEITE!Q$19:Q$164,ETANCHEITE!$F$19:$F$164),"")</f>
        <v xml:space="preserve">   </v>
      </c>
      <c r="F3" s="168" t="str">
        <f>IFERROR(VLOOKUP(A3,ETANCHEITE!Q$19:S$164,2,FALSE),"")&amp;" "&amp;IFERROR(VLOOKUP(A3,ETANCHEITE!Q$19:S$164,3,FALSE),"")</f>
        <v xml:space="preserve"> </v>
      </c>
      <c r="G3" s="161" t="str">
        <f>IF(F3&lt;&gt;" ",'Feuille de Donnée'!$C$3,"")</f>
        <v/>
      </c>
      <c r="H3" s="232" t="str" cm="1">
        <f t="array" aca="1" ref="H3" ca="1">IFERROR(IF(_xlfn.XLOOKUP(A3,ETANCHEITE!Q$19:Q$89,ETANCHEITE!O$19:O$89,"")&lt;&gt;"",_xlfn.XLOOKUP(A3,ETANCHEITE!Q$19:Q$89,ETANCHEITE!O$19:O$89,""),    INDEX(ETANCHEITE!O:O,MAX(_xlfn._xlws.FILTER(ROW(ETANCHEITE!O$19:INDIRECT("'PEINTURE'!O" &amp; D3-1)),ETANCHEITE!O$19:INDIRECT("'PEINTURE'!O" &amp; D3-1)&lt;&gt;"")))),"")</f>
        <v/>
      </c>
      <c r="I3" s="233" t="str" cm="1">
        <f t="array" aca="1" ref="I3" ca="1">IFERROR(IF(_xlfn.XLOOKUP(A3,ETANCHEITE!Q$19:Q$89,ETANCHEITE!P$19:P$89,"")&lt;&gt;"",_xlfn.XLOOKUP(A3,ETANCHEITE!Q$19:Q$89,ETANCHEITE!P$19:P$89,""),    INDEX(ETANCHEITE!P:P,MAX(_xlfn._xlws.FILTER(ROW(ETANCHEITE!P$19:INDIRECT("'PEINTURE'!P" &amp; D3-1)),ETANCHEITE!P$19:INDIRECT("'PEINTURE'!P" &amp; D3-1)&lt;&gt;"")))),"")</f>
        <v/>
      </c>
      <c r="J3" s="158">
        <v>1</v>
      </c>
      <c r="K3" s="167" t="str">
        <f>IF(O3&lt;&gt;" ",ETANCHEITE!$D$5,"")</f>
        <v/>
      </c>
      <c r="L3" s="167" t="str">
        <f>IF(O3&lt;&gt;" ",ETANCHEITE!$D$8,"")</f>
        <v/>
      </c>
      <c r="M3" s="159" t="str">
        <f>IFERROR(MATCH(J3,ETANCHEITE!Z$19:Z$164,0)+18,"")</f>
        <v/>
      </c>
      <c r="N3" s="160" t="str" cm="1">
        <f t="array" aca="1" ref="N3" ca="1">IFERROR(IF(_xlfn.XLOOKUP(J3,ETANCHEITE!Z$19:Z$164,ETANCHEITE!$A$19:$A$164,"")&lt;&gt;"",_xlfn.XLOOKUP(J3,ETANCHEITE!Z$19:Z$164,ETANCHEITE!$A$19:$A$164,""),    INDEX(ETANCHEITE!$A:$A,MAX(_xlfn._xlws.FILTER(ROW(ETANCHEITE!$A$19:INDIRECT("'MENUISERIES EXTERIEURES'!$A" &amp; M3-1)),ETANCHEITE!$A$19:INDIRECT("'MENUISERIES EXTERIEURES'!$A" &amp; M3-1)&lt;&gt;"")))),"")&amp;"   "&amp;IFERROR(_xlfn.XLOOKUP(J3,ETANCHEITE!Z$19:Z$164,ETANCHEITE!$B$19:$B$164),"")&amp;IFERROR(_xlfn.XLOOKUP(J3,ETANCHEITE!Z$19:Z$164,ETANCHEITE!$C$19:$C$164),"")&amp;IFERROR(_xlfn.XLOOKUP(J3,ETANCHEITE!Z$19:Z$164,ETANCHEITE!$D$19:$D$164),"")&amp;IFERROR(_xlfn.XLOOKUP(J3,ETANCHEITE!Z$19:Z$164,ETANCHEITE!$E$19:$E$164),"")&amp;IFERROR(_xlfn.XLOOKUP(J3,ETANCHEITE!Z$19:Z$164,ETANCHEITE!$F$19:$F$164),"")</f>
        <v xml:space="preserve">   </v>
      </c>
      <c r="O3" s="168" t="str">
        <f>IFERROR(VLOOKUP(J3,ETANCHEITE!Z$19:AB$164,2,FALSE),"")&amp;" "&amp;IFERROR(VLOOKUP(J3,ETANCHEITE!Z$19:AB$164,3,FALSE),"")</f>
        <v xml:space="preserve"> </v>
      </c>
      <c r="P3" s="161" t="str">
        <f>IF(O3&lt;&gt;" ",'Feuille de Donnée'!$C$3,"")</f>
        <v/>
      </c>
      <c r="Q3" s="232" t="str" cm="1">
        <f t="array" aca="1" ref="Q3" ca="1">IFERROR(IF(_xlfn.XLOOKUP(J3,ETANCHEITE!Z$19:Z$89,ETANCHEITE!X$19:X$89,"")&lt;&gt;"",_xlfn.XLOOKUP(J3,ETANCHEITE!Z$19:Z$89,ETANCHEITE!X$19:X$89,""),    INDEX(ETANCHEITE!X:X,MAX(_xlfn._xlws.FILTER(ROW(ETANCHEITE!X$19:INDIRECT("'PEINTURE'!O" &amp; M3-1)),ETANCHEITE!X$19:INDIRECT("'PEINTURE'!O" &amp; M3-1)&lt;&gt;"")))),"")</f>
        <v/>
      </c>
      <c r="R3" s="233" t="str" cm="1">
        <f t="array" aca="1" ref="R3" ca="1">IFERROR(IF(_xlfn.XLOOKUP(J3,ETANCHEITE!Z$19:Z$89,ETANCHEITE!Y$19:Y$89,"")&lt;&gt;"",_xlfn.XLOOKUP(J3,ETANCHEITE!Z$19:Z$89,ETANCHEITE!Y$19:Y$89,""),    INDEX(ETANCHEITE!Y:Y,MAX(_xlfn._xlws.FILTER(ROW(ETANCHEITE!Y$19:INDIRECT("'PEINTURE'!P" &amp; M3-1)),ETANCHEITE!Y$19:INDIRECT("'PEINTURE'!P" &amp; M3-1)&lt;&gt;"")))),"")</f>
        <v/>
      </c>
      <c r="S3" s="158">
        <v>1</v>
      </c>
      <c r="T3" s="167" t="str">
        <f>IF(X3&lt;&gt;" ",ETANCHEITE!$D$5,"")</f>
        <v/>
      </c>
      <c r="U3" s="167" t="str">
        <f>IF(X3&lt;&gt;" ",ETANCHEITE!$D$8,"")</f>
        <v/>
      </c>
      <c r="V3" s="159" t="str">
        <f>IFERROR(MATCH(S3,ETANCHEITE!AI$19:AI$164,0)+18,"")</f>
        <v/>
      </c>
      <c r="W3" s="160" t="str" cm="1">
        <f t="array" aca="1" ref="W3" ca="1">IFERROR(IF(_xlfn.XLOOKUP(S3,ETANCHEITE!AI$19:AI$164,ETANCHEITE!$A$19:$A$164,"")&lt;&gt;"",_xlfn.XLOOKUP(S3,ETANCHEITE!AI$19:AI$164,ETANCHEITE!$A$19:$A$164,""),    INDEX(ETANCHEITE!$A:$A,MAX(_xlfn._xlws.FILTER(ROW(ETANCHEITE!$A$19:INDIRECT("'MENUISERIES EXTERIEURES'!$A" &amp; V3-1)),ETANCHEITE!$A$19:INDIRECT("'MENUISERIES EXTERIEURES'!$A" &amp; V3-1)&lt;&gt;"")))),"")&amp;"   "&amp;IFERROR(_xlfn.XLOOKUP(S3,ETANCHEITE!AI$19:AI$164,ETANCHEITE!$B$19:$B$164),"")&amp;IFERROR(_xlfn.XLOOKUP(S3,ETANCHEITE!AI$19:AI$164,ETANCHEITE!$C$19:$C$164),"")&amp;IFERROR(_xlfn.XLOOKUP(S3,ETANCHEITE!AI$19:AI$164,ETANCHEITE!$D$19:$D$164),"")&amp;IFERROR(_xlfn.XLOOKUP(S3,ETANCHEITE!AI$19:AI$164,ETANCHEITE!$E$19:$E$164),"")&amp;IFERROR(_xlfn.XLOOKUP(S3,ETANCHEITE!AI$19:AI$164,ETANCHEITE!$F$19:$F$164),"")</f>
        <v xml:space="preserve">   </v>
      </c>
      <c r="X3" s="168" t="str">
        <f>IFERROR(VLOOKUP(S3,ETANCHEITE!AI$19:AK$164,2,FALSE),"")&amp;" "&amp;IFERROR(VLOOKUP(S3,ETANCHEITE!AI$19:AK$164,3,FALSE),"")</f>
        <v xml:space="preserve"> </v>
      </c>
      <c r="Y3" s="161" t="str">
        <f>IF(X3&lt;&gt;" ",'Feuille de Donnée'!$C$3,"")</f>
        <v/>
      </c>
      <c r="Z3" s="232" t="str" cm="1">
        <f t="array" aca="1" ref="Z3" ca="1">IFERROR(IF(_xlfn.XLOOKUP(S3,ETANCHEITE!AI$19:AI$89,ETANCHEITE!AG$19:AG$89,"")&lt;&gt;"",_xlfn.XLOOKUP(S3,ETANCHEITE!AI$19:AI$89,ETANCHEITE!AG$19:AG$89,""),    INDEX(ETANCHEITE!AG:AG,MAX(_xlfn._xlws.FILTER(ROW(ETANCHEITE!AG$19:INDIRECT("'PEINTURE'!O" &amp; V3-1)),ETANCHEITE!AG$19:INDIRECT("'PEINTURE'!O" &amp; V3-1)&lt;&gt;"")))),"")</f>
        <v/>
      </c>
      <c r="AA3" s="233" t="str" cm="1">
        <f t="array" aca="1" ref="AA3" ca="1">IFERROR(IF(_xlfn.XLOOKUP(S3,ETANCHEITE!AI$19:AI$89,ETANCHEITE!AH$19:AH$89,"")&lt;&gt;"",_xlfn.XLOOKUP(S3,ETANCHEITE!AI$19:AI$89,ETANCHEITE!AH$19:AH$89,""),    INDEX(ETANCHEITE!AH:AH,MAX(_xlfn._xlws.FILTER(ROW(ETANCHEITE!AH$19:INDIRECT("'PEINTURE'!P" &amp; V3-1)),ETANCHEITE!AH$19:INDIRECT("'PEINTURE'!P" &amp; V3-1)&lt;&gt;"")))),"")</f>
        <v/>
      </c>
      <c r="AB3" s="158">
        <v>1</v>
      </c>
      <c r="AC3" s="167" t="str">
        <f>IF(AG3&lt;&gt;" ",ETANCHEITE!$D$5,"")</f>
        <v/>
      </c>
      <c r="AD3" s="167" t="str">
        <f>IF(AG3&lt;&gt;" ",ETANCHEITE!$D$8,"")</f>
        <v/>
      </c>
      <c r="AE3" s="159" t="str">
        <f>IFERROR(MATCH(AB3,ETANCHEITE!AR$19:AR$164,0)+18,"")</f>
        <v/>
      </c>
      <c r="AF3" s="160" t="str" cm="1">
        <f t="array" aca="1" ref="AF3" ca="1">IFERROR(IF(_xlfn.XLOOKUP(AB3,ETANCHEITE!AR$19:AR$164,ETANCHEITE!$A$19:$A$164,"")&lt;&gt;"",_xlfn.XLOOKUP(AB3,ETANCHEITE!AR$19:AR$164,ETANCHEITE!$A$19:$A$164,""),    INDEX(ETANCHEITE!$A:$A,MAX(_xlfn._xlws.FILTER(ROW(ETANCHEITE!$A$19:INDIRECT("'MENUISERIES EXTERIEURES'!$A" &amp; AE3-1)),ETANCHEITE!$A$19:INDIRECT("'MENUISERIES EXTERIEURES'!$A" &amp; AE3-1)&lt;&gt;"")))),"")&amp;"   "&amp;IFERROR(_xlfn.XLOOKUP(AB3,ETANCHEITE!AR$19:AR$164,ETANCHEITE!$B$19:$B$164),"")&amp;IFERROR(_xlfn.XLOOKUP(AB3,ETANCHEITE!AR$19:AR$164,ETANCHEITE!$C$19:$C$164),"")&amp;IFERROR(_xlfn.XLOOKUP(AB3,ETANCHEITE!AR$19:AR$164,ETANCHEITE!$D$19:$D$164),"")&amp;IFERROR(_xlfn.XLOOKUP(AB3,ETANCHEITE!AR$19:AR$164,ETANCHEITE!$E$19:$E$164),"")&amp;IFERROR(_xlfn.XLOOKUP(AB3,ETANCHEITE!AR$19:AR$164,ETANCHEITE!$F$19:$F$164),"")</f>
        <v xml:space="preserve">   </v>
      </c>
      <c r="AG3" s="168" t="str">
        <f>IFERROR(VLOOKUP(AB3,ETANCHEITE!AR$19:AT$164,2,FALSE),"")&amp;" "&amp;IFERROR(VLOOKUP(AB3,ETANCHEITE!AR$19:AT$164,3,FALSE),"")</f>
        <v xml:space="preserve"> </v>
      </c>
      <c r="AH3" s="161" t="str">
        <f>IF(AG3&lt;&gt;" ",'Feuille de Donnée'!$C$3,"")</f>
        <v/>
      </c>
      <c r="AI3" s="232" t="str" cm="1">
        <f t="array" aca="1" ref="AI3" ca="1">IFERROR(IF(_xlfn.XLOOKUP(AB3,ETANCHEITE!AR$19:AR$89,ETANCHEITE!AP$19:AP$89,"")&lt;&gt;"",_xlfn.XLOOKUP(AB3,ETANCHEITE!AR$19:AR$89,ETANCHEITE!AP$19:AP$89,""),    INDEX(ETANCHEITE!AP:AP,MAX(_xlfn._xlws.FILTER(ROW(ETANCHEITE!AP$19:INDIRECT("'PEINTURE'!O" &amp; AE3-1)),ETANCHEITE!AP$19:INDIRECT("'PEINTURE'!O" &amp; AE3-1)&lt;&gt;"")))),"")</f>
        <v/>
      </c>
      <c r="AJ3" s="233" t="str" cm="1">
        <f t="array" aca="1" ref="AJ3" ca="1">IFERROR(IF(_xlfn.XLOOKUP(AB3,ETANCHEITE!AR$19:AR$89,ETANCHEITE!AQ$19:AQ$89,"")&lt;&gt;"",_xlfn.XLOOKUP(AB3,ETANCHEITE!AR$19:AR$89,ETANCHEITE!AQ$19:AQ$89,""),    INDEX(ETANCHEITE!AQ:AQ,MAX(_xlfn._xlws.FILTER(ROW(ETANCHEITE!AQ$19:INDIRECT("'PEINTURE'!P" &amp; AE3-1)),ETANCHEITE!AQ$19:INDIRECT("'PEINTURE'!P" &amp; AE3-1)&lt;&gt;"")))),"")</f>
        <v/>
      </c>
      <c r="AK3" s="158">
        <v>1</v>
      </c>
      <c r="AL3" s="167" t="str">
        <f>IF(AP3&lt;&gt;" ",ETANCHEITE!$D$5,"")</f>
        <v/>
      </c>
      <c r="AM3" s="167" t="str">
        <f>IF(AP3&lt;&gt;" ",ETANCHEITE!$D$8,"")</f>
        <v/>
      </c>
      <c r="AN3" s="159" t="str">
        <f>IFERROR(MATCH(AK3,ETANCHEITE!BA$19:BA$164,0)+18,"")</f>
        <v/>
      </c>
      <c r="AO3" s="160" t="str" cm="1">
        <f t="array" aca="1" ref="AO3" ca="1">IFERROR(IF(_xlfn.XLOOKUP(AK3,ETANCHEITE!BA$19:BA$164,ETANCHEITE!$A$19:$A$164,"")&lt;&gt;"",_xlfn.XLOOKUP(AK3,ETANCHEITE!BA$19:BA$164,ETANCHEITE!$A$19:$A$164,""),    INDEX(ETANCHEITE!$A:$A,MAX(_xlfn._xlws.FILTER(ROW(ETANCHEITE!$A$19:INDIRECT("'MENUISERIES EXTERIEURES'!$A" &amp; AN3-1)),ETANCHEITE!$A$19:INDIRECT("'MENUISERIES EXTERIEURES'!$A" &amp; AN3-1)&lt;&gt;"")))),"")&amp;"   "&amp;IFERROR(_xlfn.XLOOKUP(AK3,ETANCHEITE!BA$19:BA$164,ETANCHEITE!$B$19:$B$164),"")&amp;IFERROR(_xlfn.XLOOKUP(AK3,ETANCHEITE!BA$19:BA$164,ETANCHEITE!$C$19:$C$164),"")&amp;IFERROR(_xlfn.XLOOKUP(AK3,ETANCHEITE!BA$19:BA$164,ETANCHEITE!$D$19:$D$164),"")&amp;IFERROR(_xlfn.XLOOKUP(AK3,ETANCHEITE!BA$19:BA$164,ETANCHEITE!$E$19:$E$164),"")&amp;IFERROR(_xlfn.XLOOKUP(AK3,ETANCHEITE!BA$19:BA$164,ETANCHEITE!$F$19:$F$164),"")</f>
        <v xml:space="preserve">   </v>
      </c>
      <c r="AP3" s="168" t="str">
        <f>IFERROR(VLOOKUP(AK3,ETANCHEITE!BA$19:BC$164,2,FALSE),"")&amp;" "&amp;IFERROR(VLOOKUP(AK3,ETANCHEITE!BA$19:BC$164,3,FALSE),"")</f>
        <v xml:space="preserve"> </v>
      </c>
      <c r="AQ3" s="161" t="str">
        <f>IF(AP3&lt;&gt;" ",'Feuille de Donnée'!$C$3,"")</f>
        <v/>
      </c>
      <c r="AR3" s="232" t="str" cm="1">
        <f t="array" aca="1" ref="AR3" ca="1">IFERROR(IF(_xlfn.XLOOKUP(AK3,ETANCHEITE!BA$19:BA$89,ETANCHEITE!AY$19:AY$89,"")&lt;&gt;"",_xlfn.XLOOKUP(AK3,ETANCHEITE!BA$19:BA$89,ETANCHEITE!AY$19:AY$89,""),    INDEX(ETANCHEITE!AY:AY,MAX(_xlfn._xlws.FILTER(ROW(ETANCHEITE!AY$19:INDIRECT("'PEINTURE'!O" &amp; AN3-1)),ETANCHEITE!AY$19:INDIRECT("'PEINTURE'!O" &amp; AN3-1)&lt;&gt;"")))),"")</f>
        <v/>
      </c>
      <c r="AS3" s="233" t="str" cm="1">
        <f t="array" aca="1" ref="AS3" ca="1">IFERROR(IF(_xlfn.XLOOKUP(AK3,ETANCHEITE!BA$19:BA$89,ETANCHEITE!AZ$19:AZ$89,"")&lt;&gt;"",_xlfn.XLOOKUP(AK3,ETANCHEITE!BA$19:BA$89,ETANCHEITE!AZ$19:AZ$89,""),    INDEX(ETANCHEITE!AZ:AZ,MAX(_xlfn._xlws.FILTER(ROW(ETANCHEITE!AZ$19:INDIRECT("'PEINTURE'!P" &amp; AN3-1)),ETANCHEITE!AZ$19:INDIRECT("'PEINTURE'!P" &amp; AN3-1)&lt;&gt;"")))),"")</f>
        <v/>
      </c>
      <c r="AT3" s="158">
        <v>1</v>
      </c>
      <c r="AU3" s="167" t="str">
        <f>IF(AY3&lt;&gt;" ",ETANCHEITE!$D$5,"")</f>
        <v/>
      </c>
      <c r="AV3" s="167" t="str">
        <f>IF(AY3&lt;&gt;" ",ETANCHEITE!$D$8,"")</f>
        <v/>
      </c>
      <c r="AW3" s="159" t="str">
        <f>IFERROR(MATCH(AT3,ETANCHEITE!BJ$19:BJ$164,0)+18,"")</f>
        <v/>
      </c>
      <c r="AX3" s="160" t="str" cm="1">
        <f t="array" aca="1" ref="AX3" ca="1">IFERROR(IF(_xlfn.XLOOKUP(AT3,ETANCHEITE!BJ$19:BJ$164,ETANCHEITE!$A$19:$A$164,"")&lt;&gt;"",_xlfn.XLOOKUP(AT3,ETANCHEITE!BJ$19:BJ$164,ETANCHEITE!$A$19:$A$164,""),    INDEX(ETANCHEITE!$A:$A,MAX(_xlfn._xlws.FILTER(ROW(ETANCHEITE!$A$19:INDIRECT("'MENUISERIES EXTERIEURES'!$A" &amp; AW3-1)),ETANCHEITE!$A$19:INDIRECT("'MENUISERIES EXTERIEURES'!$A" &amp; AW3-1)&lt;&gt;"")))),"")&amp;"   "&amp;IFERROR(_xlfn.XLOOKUP(AT3,ETANCHEITE!BJ$19:BJ$164,ETANCHEITE!$B$19:$B$164),"")&amp;IFERROR(_xlfn.XLOOKUP(AT3,ETANCHEITE!BJ$19:BJ$164,ETANCHEITE!$C$19:$C$164),"")&amp;IFERROR(_xlfn.XLOOKUP(AT3,ETANCHEITE!BJ$19:BJ$164,ETANCHEITE!$D$19:$D$164),"")&amp;IFERROR(_xlfn.XLOOKUP(AT3,ETANCHEITE!BJ$19:BJ$164,ETANCHEITE!$E$19:$E$164),"")&amp;IFERROR(_xlfn.XLOOKUP(AT3,ETANCHEITE!BJ$19:BJ$164,ETANCHEITE!$F$19:$F$164),"")</f>
        <v xml:space="preserve">   </v>
      </c>
      <c r="AY3" s="168" t="str">
        <f>IFERROR(VLOOKUP(AT3,ETANCHEITE!BJ$19:BL$164,2,FALSE),"")&amp;" "&amp;IFERROR(VLOOKUP(AT3,ETANCHEITE!BJ$19:BL$164,3,FALSE),"")</f>
        <v xml:space="preserve"> </v>
      </c>
      <c r="AZ3" s="161" t="str">
        <f>IF(AY3&lt;&gt;" ",'Feuille de Donnée'!$C$3,"")</f>
        <v/>
      </c>
      <c r="BA3" s="232" t="str" cm="1">
        <f t="array" aca="1" ref="BA3" ca="1">IFERROR(IF(_xlfn.XLOOKUP(AT3,ETANCHEITE!BJ$19:BJ$89,ETANCHEITE!BH$19:BH$89,"")&lt;&gt;"",_xlfn.XLOOKUP(AT3,ETANCHEITE!BJ$19:BJ$89,ETANCHEITE!BH$19:BH$89,""),    INDEX(ETANCHEITE!BH:BH,MAX(_xlfn._xlws.FILTER(ROW(ETANCHEITE!BH$19:INDIRECT("'PEINTURE'!O" &amp; AW3-1)),ETANCHEITE!BH$19:INDIRECT("'PEINTURE'!O" &amp; AW3-1)&lt;&gt;"")))),"")</f>
        <v/>
      </c>
      <c r="BB3" s="233" t="str" cm="1">
        <f t="array" aca="1" ref="BB3" ca="1">IFERROR(IF(_xlfn.XLOOKUP(AT3,ETANCHEITE!BJ$19:BJ$89,ETANCHEITE!BI$19:BI$89,"")&lt;&gt;"",_xlfn.XLOOKUP(AT3,ETANCHEITE!BJ$19:BJ$89,ETANCHEITE!BI$19:BI$89,""),    INDEX(ETANCHEITE!BI:BI,MAX(_xlfn._xlws.FILTER(ROW(ETANCHEITE!BI$19:INDIRECT("'PEINTURE'!P" &amp; AW3-1)),ETANCHEITE!BI$19:INDIRECT("'PEINTURE'!P" &amp; AW3-1)&lt;&gt;"")))),"")</f>
        <v/>
      </c>
    </row>
    <row r="4" spans="1:54" ht="15" customHeight="1" x14ac:dyDescent="0.3">
      <c r="A4" s="158">
        <v>2</v>
      </c>
      <c r="B4" s="167" t="str">
        <f>IF(F4&lt;&gt;" ",ETANCHEITE!$D$5,"")</f>
        <v/>
      </c>
      <c r="C4" s="167" t="str">
        <f>IF(F4&lt;&gt;" ",ETANCHEITE!$D$8,"")</f>
        <v/>
      </c>
      <c r="D4" s="159" t="str">
        <f>IFERROR(MATCH(A4,ETANCHEITE!Q$19:Q$164,0)+18,"")</f>
        <v/>
      </c>
      <c r="E4" s="160" t="str" cm="1">
        <f t="array" aca="1" ref="E4" ca="1">IFERROR(IF(_xlfn.XLOOKUP(A4,ETANCHEITE!Q$20:Q$165,ETANCHEITE!$A$20:$A$165,"")&lt;&gt;"",_xlfn.XLOOKUP(A4,ETANCHEITE!Q$20:Q$165,ETANCHEITE!$A$20:$A$165,""),    INDEX(ETANCHEITE!$A:$A,MAX(_xlfn._xlws.FILTER(ROW(ETANCHEITE!$A$20:INDIRECT("'MENUISERIES EXTERIEURES'!$A" &amp; D4-1)),ETANCHEITE!$A$20:INDIRECT("'MENUISERIES EXTERIEURES'!$A" &amp; D4-1)&lt;&gt;"")))),"")&amp;"   "&amp;IFERROR(_xlfn.XLOOKUP(A4,ETANCHEITE!Q$20:Q$165,ETANCHEITE!$B$20:$B$165),"")&amp;IFERROR(_xlfn.XLOOKUP(A4,ETANCHEITE!Q$20:Q$165,ETANCHEITE!$C$20:$C$165),"")&amp;IFERROR(_xlfn.XLOOKUP(A4,ETANCHEITE!Q$20:Q$165,ETANCHEITE!$D$20:$D$165),"")&amp;IFERROR(_xlfn.XLOOKUP(A4,ETANCHEITE!Q$20:Q$165,ETANCHEITE!$E$20:$E$165),"")&amp;IFERROR(_xlfn.XLOOKUP(A4,ETANCHEITE!Q$20:Q$165,ETANCHEITE!$F$20:$F$165),"")</f>
        <v xml:space="preserve">   </v>
      </c>
      <c r="F4" s="168" t="str">
        <f>IFERROR(VLOOKUP(A4,ETANCHEITE!Q$19:S$164,2,FALSE),"")&amp;" "&amp;IFERROR(VLOOKUP(A4,ETANCHEITE!Q$19:S$164,3,FALSE),"")</f>
        <v xml:space="preserve"> </v>
      </c>
      <c r="G4" s="161" t="str">
        <f>IF(F4&lt;&gt;" ",'Feuille de Donnée'!$C$3,"")</f>
        <v/>
      </c>
      <c r="H4" s="232" t="str" cm="1">
        <f t="array" aca="1" ref="H4" ca="1">IFERROR(IF(_xlfn.XLOOKUP(A4,ETANCHEITE!Q$19:Q$89,ETANCHEITE!O$19:O$89,"")&lt;&gt;"",_xlfn.XLOOKUP(A4,ETANCHEITE!Q$19:Q$89,ETANCHEITE!O$19:O$89,""),    INDEX(ETANCHEITE!O:O,MAX(_xlfn._xlws.FILTER(ROW(ETANCHEITE!O$19:INDIRECT("'PEINTURE'!O" &amp; D4-1)),ETANCHEITE!O$19:INDIRECT("'PEINTURE'!O" &amp; D4-1)&lt;&gt;"")))),"")</f>
        <v/>
      </c>
      <c r="I4" s="233" t="str" cm="1">
        <f t="array" aca="1" ref="I4" ca="1">IFERROR(IF(_xlfn.XLOOKUP(A4,ETANCHEITE!Q$19:Q$89,ETANCHEITE!P$19:P$89,"")&lt;&gt;"",_xlfn.XLOOKUP(A4,ETANCHEITE!Q$19:Q$89,ETANCHEITE!P$19:P$89,""),    INDEX(ETANCHEITE!P:P,MAX(_xlfn._xlws.FILTER(ROW(ETANCHEITE!P$19:INDIRECT("'PEINTURE'!P" &amp; D4-1)),ETANCHEITE!P$19:INDIRECT("'PEINTURE'!P" &amp; D4-1)&lt;&gt;"")))),"")</f>
        <v/>
      </c>
      <c r="J4" s="158">
        <v>2</v>
      </c>
      <c r="K4" s="167" t="str">
        <f>IF(O4&lt;&gt;" ",ETANCHEITE!$D$5,"")</f>
        <v/>
      </c>
      <c r="L4" s="167" t="str">
        <f>IF(O4&lt;&gt;" ",ETANCHEITE!$D$8,"")</f>
        <v/>
      </c>
      <c r="M4" s="159" t="str">
        <f>IFERROR(MATCH(J4,ETANCHEITE!Z$19:Z$164,0)+18,"")</f>
        <v/>
      </c>
      <c r="N4" s="160" t="str" cm="1">
        <f t="array" aca="1" ref="N4" ca="1">IFERROR(IF(_xlfn.XLOOKUP(J4,ETANCHEITE!Z$19:Z$164,ETANCHEITE!$A$19:$A$164,"")&lt;&gt;"",_xlfn.XLOOKUP(J4,ETANCHEITE!Z$19:Z$164,ETANCHEITE!$A$19:$A$164,""),    INDEX(ETANCHEITE!$A:$A,MAX(_xlfn._xlws.FILTER(ROW(ETANCHEITE!$A$19:INDIRECT("'MENUISERIES EXTERIEURES'!$A" &amp; M4-1)),ETANCHEITE!$A$19:INDIRECT("'MENUISERIES EXTERIEURES'!$A" &amp; M4-1)&lt;&gt;"")))),"")&amp;"   "&amp;IFERROR(_xlfn.XLOOKUP(J4,ETANCHEITE!Z$19:Z$164,ETANCHEITE!$B$19:$B$164),"")&amp;IFERROR(_xlfn.XLOOKUP(J4,ETANCHEITE!Z$19:Z$164,ETANCHEITE!$C$19:$C$164),"")&amp;IFERROR(_xlfn.XLOOKUP(J4,ETANCHEITE!Z$19:Z$164,ETANCHEITE!$D$19:$D$164),"")&amp;IFERROR(_xlfn.XLOOKUP(J4,ETANCHEITE!Z$19:Z$164,ETANCHEITE!$E$19:$E$164),"")&amp;IFERROR(_xlfn.XLOOKUP(J4,ETANCHEITE!Z$19:Z$164,ETANCHEITE!$F$19:$F$164),"")</f>
        <v xml:space="preserve">   </v>
      </c>
      <c r="O4" s="168" t="str">
        <f>IFERROR(VLOOKUP(J4,ETANCHEITE!Z$19:AB$164,2,FALSE),"")&amp;" "&amp;IFERROR(VLOOKUP(J4,ETANCHEITE!Z$19:AB$164,3,FALSE),"")</f>
        <v xml:space="preserve"> </v>
      </c>
      <c r="P4" s="161" t="str">
        <f>IF(O4&lt;&gt;" ",'Feuille de Donnée'!$C$3,"")</f>
        <v/>
      </c>
      <c r="Q4" s="232" t="str" cm="1">
        <f t="array" aca="1" ref="Q4" ca="1">IFERROR(IF(_xlfn.XLOOKUP(J4,ETANCHEITE!Z$19:Z$89,ETANCHEITE!X$19:X$89,"")&lt;&gt;"",_xlfn.XLOOKUP(J4,ETANCHEITE!Z$19:Z$89,ETANCHEITE!X$19:X$89,""),    INDEX(ETANCHEITE!X:X,MAX(_xlfn._xlws.FILTER(ROW(ETANCHEITE!X$19:INDIRECT("'PEINTURE'!O" &amp; M4-1)),ETANCHEITE!X$19:INDIRECT("'PEINTURE'!O" &amp; M4-1)&lt;&gt;"")))),"")</f>
        <v/>
      </c>
      <c r="R4" s="233" t="str" cm="1">
        <f t="array" aca="1" ref="R4" ca="1">IFERROR(IF(_xlfn.XLOOKUP(J4,ETANCHEITE!Z$19:Z$89,ETANCHEITE!Y$19:Y$89,"")&lt;&gt;"",_xlfn.XLOOKUP(J4,ETANCHEITE!Z$19:Z$89,ETANCHEITE!Y$19:Y$89,""),    INDEX(ETANCHEITE!Y:Y,MAX(_xlfn._xlws.FILTER(ROW(ETANCHEITE!Y$19:INDIRECT("'PEINTURE'!P" &amp; M4-1)),ETANCHEITE!Y$19:INDIRECT("'PEINTURE'!P" &amp; M4-1)&lt;&gt;"")))),"")</f>
        <v/>
      </c>
      <c r="S4" s="158">
        <v>2</v>
      </c>
      <c r="T4" s="167" t="str">
        <f>IF(X4&lt;&gt;" ",ETANCHEITE!$D$5,"")</f>
        <v/>
      </c>
      <c r="U4" s="167" t="str">
        <f>IF(X4&lt;&gt;" ",ETANCHEITE!$D$8,"")</f>
        <v/>
      </c>
      <c r="V4" s="159" t="str">
        <f>IFERROR(MATCH(S4,ETANCHEITE!AI$19:AI$164,0)+18,"")</f>
        <v/>
      </c>
      <c r="W4" s="160" t="str" cm="1">
        <f t="array" aca="1" ref="W4" ca="1">IFERROR(IF(_xlfn.XLOOKUP(S4,ETANCHEITE!AI$19:AI$164,ETANCHEITE!$A$19:$A$164,"")&lt;&gt;"",_xlfn.XLOOKUP(S4,ETANCHEITE!AI$19:AI$164,ETANCHEITE!$A$19:$A$164,""),    INDEX(ETANCHEITE!$A:$A,MAX(_xlfn._xlws.FILTER(ROW(ETANCHEITE!$A$19:INDIRECT("'MENUISERIES EXTERIEURES'!$A" &amp; V4-1)),ETANCHEITE!$A$19:INDIRECT("'MENUISERIES EXTERIEURES'!$A" &amp; V4-1)&lt;&gt;"")))),"")&amp;"   "&amp;IFERROR(_xlfn.XLOOKUP(S4,ETANCHEITE!AI$19:AI$164,ETANCHEITE!$B$19:$B$164),"")&amp;IFERROR(_xlfn.XLOOKUP(S4,ETANCHEITE!AI$19:AI$164,ETANCHEITE!$C$19:$C$164),"")&amp;IFERROR(_xlfn.XLOOKUP(S4,ETANCHEITE!AI$19:AI$164,ETANCHEITE!$D$19:$D$164),"")&amp;IFERROR(_xlfn.XLOOKUP(S4,ETANCHEITE!AI$19:AI$164,ETANCHEITE!$E$19:$E$164),"")&amp;IFERROR(_xlfn.XLOOKUP(S4,ETANCHEITE!AI$19:AI$164,ETANCHEITE!$F$19:$F$164),"")</f>
        <v xml:space="preserve">   </v>
      </c>
      <c r="X4" s="168" t="str">
        <f>IFERROR(VLOOKUP(S4,ETANCHEITE!AI$19:AK$164,2,FALSE),"")&amp;" "&amp;IFERROR(VLOOKUP(S4,ETANCHEITE!AI$19:AK$164,3,FALSE),"")</f>
        <v xml:space="preserve"> </v>
      </c>
      <c r="Y4" s="161" t="str">
        <f>IF(X4&lt;&gt;" ",'Feuille de Donnée'!$C$3,"")</f>
        <v/>
      </c>
      <c r="Z4" s="232" t="str" cm="1">
        <f t="array" aca="1" ref="Z4" ca="1">IFERROR(IF(_xlfn.XLOOKUP(S4,ETANCHEITE!AI$19:AI$89,ETANCHEITE!AG$19:AG$89,"")&lt;&gt;"",_xlfn.XLOOKUP(S4,ETANCHEITE!AI$19:AI$89,ETANCHEITE!AG$19:AG$89,""),    INDEX(ETANCHEITE!AG:AG,MAX(_xlfn._xlws.FILTER(ROW(ETANCHEITE!AG$19:INDIRECT("'PEINTURE'!O" &amp; V4-1)),ETANCHEITE!AG$19:INDIRECT("'PEINTURE'!O" &amp; V4-1)&lt;&gt;"")))),"")</f>
        <v/>
      </c>
      <c r="AA4" s="233" t="str" cm="1">
        <f t="array" aca="1" ref="AA4" ca="1">IFERROR(IF(_xlfn.XLOOKUP(S4,ETANCHEITE!AI$19:AI$89,ETANCHEITE!AH$19:AH$89,"")&lt;&gt;"",_xlfn.XLOOKUP(S4,ETANCHEITE!AI$19:AI$89,ETANCHEITE!AH$19:AH$89,""),    INDEX(ETANCHEITE!AH:AH,MAX(_xlfn._xlws.FILTER(ROW(ETANCHEITE!AH$19:INDIRECT("'PEINTURE'!P" &amp; V4-1)),ETANCHEITE!AH$19:INDIRECT("'PEINTURE'!P" &amp; V4-1)&lt;&gt;"")))),"")</f>
        <v/>
      </c>
      <c r="AB4" s="158">
        <v>2</v>
      </c>
      <c r="AC4" s="167" t="str">
        <f>IF(AG4&lt;&gt;" ",ETANCHEITE!$D$5,"")</f>
        <v/>
      </c>
      <c r="AD4" s="167" t="str">
        <f>IF(AG4&lt;&gt;" ",ETANCHEITE!$D$8,"")</f>
        <v/>
      </c>
      <c r="AE4" s="159" t="str">
        <f>IFERROR(MATCH(AB4,ETANCHEITE!AR$19:AR$164,0)+18,"")</f>
        <v/>
      </c>
      <c r="AF4" s="160" t="str" cm="1">
        <f t="array" aca="1" ref="AF4" ca="1">IFERROR(IF(_xlfn.XLOOKUP(AB4,ETANCHEITE!AR$19:AR$164,ETANCHEITE!$A$19:$A$164,"")&lt;&gt;"",_xlfn.XLOOKUP(AB4,ETANCHEITE!AR$19:AR$164,ETANCHEITE!$A$19:$A$164,""),    INDEX(ETANCHEITE!$A:$A,MAX(_xlfn._xlws.FILTER(ROW(ETANCHEITE!$A$19:INDIRECT("'MENUISERIES EXTERIEURES'!$A" &amp; AE4-1)),ETANCHEITE!$A$19:INDIRECT("'MENUISERIES EXTERIEURES'!$A" &amp; AE4-1)&lt;&gt;"")))),"")&amp;"   "&amp;IFERROR(_xlfn.XLOOKUP(AB4,ETANCHEITE!AR$19:AR$164,ETANCHEITE!$B$19:$B$164),"")&amp;IFERROR(_xlfn.XLOOKUP(AB4,ETANCHEITE!AR$19:AR$164,ETANCHEITE!$C$19:$C$164),"")&amp;IFERROR(_xlfn.XLOOKUP(AB4,ETANCHEITE!AR$19:AR$164,ETANCHEITE!$D$19:$D$164),"")&amp;IFERROR(_xlfn.XLOOKUP(AB4,ETANCHEITE!AR$19:AR$164,ETANCHEITE!$E$19:$E$164),"")&amp;IFERROR(_xlfn.XLOOKUP(AB4,ETANCHEITE!AR$19:AR$164,ETANCHEITE!$F$19:$F$164),"")</f>
        <v xml:space="preserve">   </v>
      </c>
      <c r="AG4" s="168" t="str">
        <f>IFERROR(VLOOKUP(AB4,ETANCHEITE!AR$19:AT$164,2,FALSE),"")&amp;" "&amp;IFERROR(VLOOKUP(AB4,ETANCHEITE!AR$19:AT$164,3,FALSE),"")</f>
        <v xml:space="preserve"> </v>
      </c>
      <c r="AH4" s="161" t="str">
        <f>IF(AG4&lt;&gt;" ",'Feuille de Donnée'!$C$3,"")</f>
        <v/>
      </c>
      <c r="AI4" s="232" t="str" cm="1">
        <f t="array" aca="1" ref="AI4" ca="1">IFERROR(IF(_xlfn.XLOOKUP(AB4,ETANCHEITE!AR$19:AR$89,ETANCHEITE!AP$19:AP$89,"")&lt;&gt;"",_xlfn.XLOOKUP(AB4,ETANCHEITE!AR$19:AR$89,ETANCHEITE!AP$19:AP$89,""),    INDEX(ETANCHEITE!AP:AP,MAX(_xlfn._xlws.FILTER(ROW(ETANCHEITE!AP$19:INDIRECT("'PEINTURE'!O" &amp; AE4-1)),ETANCHEITE!AP$19:INDIRECT("'PEINTURE'!O" &amp; AE4-1)&lt;&gt;"")))),"")</f>
        <v/>
      </c>
      <c r="AJ4" s="233" t="str" cm="1">
        <f t="array" aca="1" ref="AJ4" ca="1">IFERROR(IF(_xlfn.XLOOKUP(AB4,ETANCHEITE!AR$19:AR$89,ETANCHEITE!AQ$19:AQ$89,"")&lt;&gt;"",_xlfn.XLOOKUP(AB4,ETANCHEITE!AR$19:AR$89,ETANCHEITE!AQ$19:AQ$89,""),    INDEX(ETANCHEITE!AQ:AQ,MAX(_xlfn._xlws.FILTER(ROW(ETANCHEITE!AQ$19:INDIRECT("'PEINTURE'!P" &amp; AE4-1)),ETANCHEITE!AQ$19:INDIRECT("'PEINTURE'!P" &amp; AE4-1)&lt;&gt;"")))),"")</f>
        <v/>
      </c>
      <c r="AK4" s="158">
        <v>2</v>
      </c>
      <c r="AL4" s="167" t="str">
        <f>IF(AP4&lt;&gt;" ",ETANCHEITE!$D$5,"")</f>
        <v/>
      </c>
      <c r="AM4" s="167" t="str">
        <f>IF(AP4&lt;&gt;" ",ETANCHEITE!$D$8,"")</f>
        <v/>
      </c>
      <c r="AN4" s="159" t="str">
        <f>IFERROR(MATCH(AK4,ETANCHEITE!BA$19:BA$164,0)+18,"")</f>
        <v/>
      </c>
      <c r="AO4" s="160" t="str" cm="1">
        <f t="array" aca="1" ref="AO4" ca="1">IFERROR(IF(_xlfn.XLOOKUP(AK4,ETANCHEITE!BA$19:BA$164,ETANCHEITE!$A$19:$A$164,"")&lt;&gt;"",_xlfn.XLOOKUP(AK4,ETANCHEITE!BA$19:BA$164,ETANCHEITE!$A$19:$A$164,""),    INDEX(ETANCHEITE!$A:$A,MAX(_xlfn._xlws.FILTER(ROW(ETANCHEITE!$A$19:INDIRECT("'MENUISERIES EXTERIEURES'!$A" &amp; AN4-1)),ETANCHEITE!$A$19:INDIRECT("'MENUISERIES EXTERIEURES'!$A" &amp; AN4-1)&lt;&gt;"")))),"")&amp;"   "&amp;IFERROR(_xlfn.XLOOKUP(AK4,ETANCHEITE!BA$19:BA$164,ETANCHEITE!$B$19:$B$164),"")&amp;IFERROR(_xlfn.XLOOKUP(AK4,ETANCHEITE!BA$19:BA$164,ETANCHEITE!$C$19:$C$164),"")&amp;IFERROR(_xlfn.XLOOKUP(AK4,ETANCHEITE!BA$19:BA$164,ETANCHEITE!$D$19:$D$164),"")&amp;IFERROR(_xlfn.XLOOKUP(AK4,ETANCHEITE!BA$19:BA$164,ETANCHEITE!$E$19:$E$164),"")&amp;IFERROR(_xlfn.XLOOKUP(AK4,ETANCHEITE!BA$19:BA$164,ETANCHEITE!$F$19:$F$164),"")</f>
        <v xml:space="preserve">   </v>
      </c>
      <c r="AP4" s="168" t="str">
        <f>IFERROR(VLOOKUP(AK4,ETANCHEITE!BA$19:BC$164,2,FALSE),"")&amp;" "&amp;IFERROR(VLOOKUP(AK4,ETANCHEITE!BA$19:BC$164,3,FALSE),"")</f>
        <v xml:space="preserve"> </v>
      </c>
      <c r="AQ4" s="161" t="str">
        <f>IF(AP4&lt;&gt;" ",'Feuille de Donnée'!$C$3,"")</f>
        <v/>
      </c>
      <c r="AR4" s="232" t="str" cm="1">
        <f t="array" aca="1" ref="AR4" ca="1">IFERROR(IF(_xlfn.XLOOKUP(AK4,ETANCHEITE!BA$19:BA$89,ETANCHEITE!AY$19:AY$89,"")&lt;&gt;"",_xlfn.XLOOKUP(AK4,ETANCHEITE!BA$19:BA$89,ETANCHEITE!AY$19:AY$89,""),    INDEX(ETANCHEITE!AY:AY,MAX(_xlfn._xlws.FILTER(ROW(ETANCHEITE!AY$19:INDIRECT("'PEINTURE'!O" &amp; AN4-1)),ETANCHEITE!AY$19:INDIRECT("'PEINTURE'!O" &amp; AN4-1)&lt;&gt;"")))),"")</f>
        <v/>
      </c>
      <c r="AS4" s="233" t="str" cm="1">
        <f t="array" aca="1" ref="AS4" ca="1">IFERROR(IF(_xlfn.XLOOKUP(AK4,ETANCHEITE!BA$19:BA$89,ETANCHEITE!AZ$19:AZ$89,"")&lt;&gt;"",_xlfn.XLOOKUP(AK4,ETANCHEITE!BA$19:BA$89,ETANCHEITE!AZ$19:AZ$89,""),    INDEX(ETANCHEITE!AZ:AZ,MAX(_xlfn._xlws.FILTER(ROW(ETANCHEITE!AZ$19:INDIRECT("'PEINTURE'!P" &amp; AN4-1)),ETANCHEITE!AZ$19:INDIRECT("'PEINTURE'!P" &amp; AN4-1)&lt;&gt;"")))),"")</f>
        <v/>
      </c>
      <c r="AT4" s="158">
        <v>2</v>
      </c>
      <c r="AU4" s="167" t="str">
        <f>IF(AY4&lt;&gt;" ",ETANCHEITE!$D$5,"")</f>
        <v/>
      </c>
      <c r="AV4" s="167" t="str">
        <f>IF(AY4&lt;&gt;" ",ETANCHEITE!$D$8,"")</f>
        <v/>
      </c>
      <c r="AW4" s="159" t="str">
        <f>IFERROR(MATCH(AT4,ETANCHEITE!BJ$19:BJ$164,0)+18,"")</f>
        <v/>
      </c>
      <c r="AX4" s="160" t="str" cm="1">
        <f t="array" aca="1" ref="AX4" ca="1">IFERROR(IF(_xlfn.XLOOKUP(AT4,ETANCHEITE!BJ$19:BJ$164,ETANCHEITE!$A$19:$A$164,"")&lt;&gt;"",_xlfn.XLOOKUP(AT4,ETANCHEITE!BJ$19:BJ$164,ETANCHEITE!$A$19:$A$164,""),    INDEX(ETANCHEITE!$A:$A,MAX(_xlfn._xlws.FILTER(ROW(ETANCHEITE!$A$19:INDIRECT("'MENUISERIES EXTERIEURES'!$A" &amp; AW4-1)),ETANCHEITE!$A$19:INDIRECT("'MENUISERIES EXTERIEURES'!$A" &amp; AW4-1)&lt;&gt;"")))),"")&amp;"   "&amp;IFERROR(_xlfn.XLOOKUP(AT4,ETANCHEITE!BJ$19:BJ$164,ETANCHEITE!$B$19:$B$164),"")&amp;IFERROR(_xlfn.XLOOKUP(AT4,ETANCHEITE!BJ$19:BJ$164,ETANCHEITE!$C$19:$C$164),"")&amp;IFERROR(_xlfn.XLOOKUP(AT4,ETANCHEITE!BJ$19:BJ$164,ETANCHEITE!$D$19:$D$164),"")&amp;IFERROR(_xlfn.XLOOKUP(AT4,ETANCHEITE!BJ$19:BJ$164,ETANCHEITE!$E$19:$E$164),"")&amp;IFERROR(_xlfn.XLOOKUP(AT4,ETANCHEITE!BJ$19:BJ$164,ETANCHEITE!$F$19:$F$164),"")</f>
        <v xml:space="preserve">   </v>
      </c>
      <c r="AY4" s="168" t="str">
        <f>IFERROR(VLOOKUP(AT4,ETANCHEITE!BJ$19:BL$164,2,FALSE),"")&amp;" "&amp;IFERROR(VLOOKUP(AT4,ETANCHEITE!BJ$19:BL$164,3,FALSE),"")</f>
        <v xml:space="preserve"> </v>
      </c>
      <c r="AZ4" s="161" t="str">
        <f>IF(AY4&lt;&gt;" ",'Feuille de Donnée'!$C$3,"")</f>
        <v/>
      </c>
      <c r="BA4" s="232" t="str" cm="1">
        <f t="array" aca="1" ref="BA4" ca="1">IFERROR(IF(_xlfn.XLOOKUP(AT4,ETANCHEITE!BJ$19:BJ$89,ETANCHEITE!BH$19:BH$89,"")&lt;&gt;"",_xlfn.XLOOKUP(AT4,ETANCHEITE!BJ$19:BJ$89,ETANCHEITE!BH$19:BH$89,""),    INDEX(ETANCHEITE!BH:BH,MAX(_xlfn._xlws.FILTER(ROW(ETANCHEITE!BH$19:INDIRECT("'PEINTURE'!O" &amp; AW4-1)),ETANCHEITE!BH$19:INDIRECT("'PEINTURE'!O" &amp; AW4-1)&lt;&gt;"")))),"")</f>
        <v/>
      </c>
      <c r="BB4" s="233" t="str" cm="1">
        <f t="array" aca="1" ref="BB4" ca="1">IFERROR(IF(_xlfn.XLOOKUP(AT4,ETANCHEITE!BJ$19:BJ$89,ETANCHEITE!BI$19:BI$89,"")&lt;&gt;"",_xlfn.XLOOKUP(AT4,ETANCHEITE!BJ$19:BJ$89,ETANCHEITE!BI$19:BI$89,""),    INDEX(ETANCHEITE!BI:BI,MAX(_xlfn._xlws.FILTER(ROW(ETANCHEITE!BI$19:INDIRECT("'PEINTURE'!P" &amp; AW4-1)),ETANCHEITE!BI$19:INDIRECT("'PEINTURE'!P" &amp; AW4-1)&lt;&gt;"")))),"")</f>
        <v/>
      </c>
    </row>
    <row r="5" spans="1:54" ht="15" customHeight="1" x14ac:dyDescent="0.3">
      <c r="A5" s="158">
        <v>3</v>
      </c>
      <c r="B5" s="167" t="str">
        <f>IF(F5&lt;&gt;" ",ETANCHEITE!$D$5,"")</f>
        <v/>
      </c>
      <c r="C5" s="167" t="str">
        <f>IF(F5&lt;&gt;" ",ETANCHEITE!$D$8,"")</f>
        <v/>
      </c>
      <c r="D5" s="159" t="str">
        <f>IFERROR(MATCH(A5,ETANCHEITE!Q$19:Q$164,0)+18,"")</f>
        <v/>
      </c>
      <c r="E5" s="160" t="str" cm="1">
        <f t="array" aca="1" ref="E5" ca="1">IFERROR(IF(_xlfn.XLOOKUP(A5,ETANCHEITE!Q$19:Q$164,ETANCHEITE!$A$19:$A$164,"")&lt;&gt;"",_xlfn.XLOOKUP(A5,ETANCHEITE!Q$19:Q$164,ETANCHEITE!$A$19:$A$164,""),    INDEX(ETANCHEITE!$A:$A,MAX(_xlfn._xlws.FILTER(ROW(ETANCHEITE!$A$19:INDIRECT("'MENUISERIES EXTERIEURES'!$A" &amp; D5-1)),ETANCHEITE!$A$19:INDIRECT("'MENUISERIES EXTERIEURES'!$A" &amp; D5-1)&lt;&gt;"")))),"")&amp;"   "&amp;IFERROR(_xlfn.XLOOKUP(A5,ETANCHEITE!Q$19:Q$164,ETANCHEITE!$B$19:$B$164),"")&amp;IFERROR(_xlfn.XLOOKUP(A5,ETANCHEITE!Q$19:Q$164,ETANCHEITE!$C$19:$C$164),"")&amp;IFERROR(_xlfn.XLOOKUP(A5,ETANCHEITE!Q$19:Q$164,ETANCHEITE!$D$19:$D$164),"")&amp;IFERROR(_xlfn.XLOOKUP(A5,ETANCHEITE!Q$19:Q$164,ETANCHEITE!$E$19:$E$164),"")&amp;IFERROR(_xlfn.XLOOKUP(A5,ETANCHEITE!Q$19:Q$164,ETANCHEITE!$F$19:$F$164),"")</f>
        <v xml:space="preserve">   </v>
      </c>
      <c r="F5" s="168" t="str">
        <f>IFERROR(VLOOKUP(A5,ETANCHEITE!Q$19:S$164,2,FALSE),"")&amp;" "&amp;IFERROR(VLOOKUP(A5,ETANCHEITE!Q$19:S$164,3,FALSE),"")</f>
        <v xml:space="preserve"> </v>
      </c>
      <c r="G5" s="161" t="str">
        <f>IF(F5&lt;&gt;" ",'Feuille de Donnée'!$C$3,"")</f>
        <v/>
      </c>
      <c r="H5" s="232" t="str" cm="1">
        <f t="array" aca="1" ref="H5" ca="1">IFERROR(IF(_xlfn.XLOOKUP(A5,ETANCHEITE!Q$19:Q$89,ETANCHEITE!O$19:O$89,"")&lt;&gt;"",_xlfn.XLOOKUP(A5,ETANCHEITE!Q$19:Q$89,ETANCHEITE!O$19:O$89,""),    INDEX(ETANCHEITE!O:O,MAX(_xlfn._xlws.FILTER(ROW(ETANCHEITE!O$19:INDIRECT("'PEINTURE'!O" &amp; D5-1)),ETANCHEITE!O$19:INDIRECT("'PEINTURE'!O" &amp; D5-1)&lt;&gt;"")))),"")</f>
        <v/>
      </c>
      <c r="I5" s="233" t="str" cm="1">
        <f t="array" aca="1" ref="I5" ca="1">IFERROR(IF(_xlfn.XLOOKUP(A5,ETANCHEITE!Q$19:Q$89,ETANCHEITE!P$19:P$89,"")&lt;&gt;"",_xlfn.XLOOKUP(A5,ETANCHEITE!Q$19:Q$89,ETANCHEITE!P$19:P$89,""),    INDEX(ETANCHEITE!P:P,MAX(_xlfn._xlws.FILTER(ROW(ETANCHEITE!P$19:INDIRECT("'PEINTURE'!P" &amp; D5-1)),ETANCHEITE!P$19:INDIRECT("'PEINTURE'!P" &amp; D5-1)&lt;&gt;"")))),"")</f>
        <v/>
      </c>
      <c r="J5" s="158">
        <v>3</v>
      </c>
      <c r="K5" s="167" t="str">
        <f>IF(O5&lt;&gt;" ",ETANCHEITE!$D$5,"")</f>
        <v/>
      </c>
      <c r="L5" s="167" t="str">
        <f>IF(O5&lt;&gt;" ",ETANCHEITE!$D$8,"")</f>
        <v/>
      </c>
      <c r="M5" s="159" t="str">
        <f>IFERROR(MATCH(J5,ETANCHEITE!Z$19:Z$164,0)+18,"")</f>
        <v/>
      </c>
      <c r="N5" s="160" t="str" cm="1">
        <f t="array" aca="1" ref="N5" ca="1">IFERROR(IF(_xlfn.XLOOKUP(J5,ETANCHEITE!Z$19:Z$164,ETANCHEITE!$A$19:$A$164,"")&lt;&gt;"",_xlfn.XLOOKUP(J5,ETANCHEITE!Z$19:Z$164,ETANCHEITE!$A$19:$A$164,""),    INDEX(ETANCHEITE!$A:$A,MAX(_xlfn._xlws.FILTER(ROW(ETANCHEITE!$A$19:INDIRECT("'MENUISERIES EXTERIEURES'!$A" &amp; M5-1)),ETANCHEITE!$A$19:INDIRECT("'MENUISERIES EXTERIEURES'!$A" &amp; M5-1)&lt;&gt;"")))),"")&amp;"   "&amp;IFERROR(_xlfn.XLOOKUP(J5,ETANCHEITE!Z$19:Z$164,ETANCHEITE!$B$19:$B$164),"")&amp;IFERROR(_xlfn.XLOOKUP(J5,ETANCHEITE!Z$19:Z$164,ETANCHEITE!$C$19:$C$164),"")&amp;IFERROR(_xlfn.XLOOKUP(J5,ETANCHEITE!Z$19:Z$164,ETANCHEITE!$D$19:$D$164),"")&amp;IFERROR(_xlfn.XLOOKUP(J5,ETANCHEITE!Z$19:Z$164,ETANCHEITE!$E$19:$E$164),"")&amp;IFERROR(_xlfn.XLOOKUP(J5,ETANCHEITE!Z$19:Z$164,ETANCHEITE!$F$19:$F$164),"")</f>
        <v xml:space="preserve">   </v>
      </c>
      <c r="O5" s="168" t="str">
        <f>IFERROR(VLOOKUP(J5,ETANCHEITE!Z$19:AB$164,2,FALSE),"")&amp;" "&amp;IFERROR(VLOOKUP(J5,ETANCHEITE!Z$19:AB$164,3,FALSE),"")</f>
        <v xml:space="preserve"> </v>
      </c>
      <c r="P5" s="161" t="str">
        <f>IF(O5&lt;&gt;" ",'Feuille de Donnée'!$C$3,"")</f>
        <v/>
      </c>
      <c r="Q5" s="232" t="str" cm="1">
        <f t="array" aca="1" ref="Q5" ca="1">IFERROR(IF(_xlfn.XLOOKUP(J5,ETANCHEITE!Z$19:Z$89,ETANCHEITE!X$19:X$89,"")&lt;&gt;"",_xlfn.XLOOKUP(J5,ETANCHEITE!Z$19:Z$89,ETANCHEITE!X$19:X$89,""),    INDEX(ETANCHEITE!X:X,MAX(_xlfn._xlws.FILTER(ROW(ETANCHEITE!X$19:INDIRECT("'PEINTURE'!O" &amp; M5-1)),ETANCHEITE!X$19:INDIRECT("'PEINTURE'!O" &amp; M5-1)&lt;&gt;"")))),"")</f>
        <v/>
      </c>
      <c r="R5" s="233" t="str" cm="1">
        <f t="array" aca="1" ref="R5" ca="1">IFERROR(IF(_xlfn.XLOOKUP(J5,ETANCHEITE!Z$19:Z$89,ETANCHEITE!Y$19:Y$89,"")&lt;&gt;"",_xlfn.XLOOKUP(J5,ETANCHEITE!Z$19:Z$89,ETANCHEITE!Y$19:Y$89,""),    INDEX(ETANCHEITE!Y:Y,MAX(_xlfn._xlws.FILTER(ROW(ETANCHEITE!Y$19:INDIRECT("'PEINTURE'!P" &amp; M5-1)),ETANCHEITE!Y$19:INDIRECT("'PEINTURE'!P" &amp; M5-1)&lt;&gt;"")))),"")</f>
        <v/>
      </c>
      <c r="S5" s="158">
        <v>3</v>
      </c>
      <c r="T5" s="167" t="str">
        <f>IF(X5&lt;&gt;" ",ETANCHEITE!$D$5,"")</f>
        <v/>
      </c>
      <c r="U5" s="167" t="str">
        <f>IF(X5&lt;&gt;" ",ETANCHEITE!$D$8,"")</f>
        <v/>
      </c>
      <c r="V5" s="159" t="str">
        <f>IFERROR(MATCH(S5,ETANCHEITE!AI$19:AI$164,0)+18,"")</f>
        <v/>
      </c>
      <c r="W5" s="160" t="str" cm="1">
        <f t="array" aca="1" ref="W5" ca="1">IFERROR(IF(_xlfn.XLOOKUP(S5,ETANCHEITE!AI$19:AI$164,ETANCHEITE!$A$19:$A$164,"")&lt;&gt;"",_xlfn.XLOOKUP(S5,ETANCHEITE!AI$19:AI$164,ETANCHEITE!$A$19:$A$164,""),    INDEX(ETANCHEITE!$A:$A,MAX(_xlfn._xlws.FILTER(ROW(ETANCHEITE!$A$19:INDIRECT("'MENUISERIES EXTERIEURES'!$A" &amp; V5-1)),ETANCHEITE!$A$19:INDIRECT("'MENUISERIES EXTERIEURES'!$A" &amp; V5-1)&lt;&gt;"")))),"")&amp;"   "&amp;IFERROR(_xlfn.XLOOKUP(S5,ETANCHEITE!AI$19:AI$164,ETANCHEITE!$B$19:$B$164),"")&amp;IFERROR(_xlfn.XLOOKUP(S5,ETANCHEITE!AI$19:AI$164,ETANCHEITE!$C$19:$C$164),"")&amp;IFERROR(_xlfn.XLOOKUP(S5,ETANCHEITE!AI$19:AI$164,ETANCHEITE!$D$19:$D$164),"")&amp;IFERROR(_xlfn.XLOOKUP(S5,ETANCHEITE!AI$19:AI$164,ETANCHEITE!$E$19:$E$164),"")&amp;IFERROR(_xlfn.XLOOKUP(S5,ETANCHEITE!AI$19:AI$164,ETANCHEITE!$F$19:$F$164),"")</f>
        <v xml:space="preserve">   </v>
      </c>
      <c r="X5" s="168" t="str">
        <f>IFERROR(VLOOKUP(S5,ETANCHEITE!AI$19:AK$164,2,FALSE),"")&amp;" "&amp;IFERROR(VLOOKUP(S5,ETANCHEITE!AI$19:AK$164,3,FALSE),"")</f>
        <v xml:space="preserve"> </v>
      </c>
      <c r="Y5" s="161" t="str">
        <f>IF(X5&lt;&gt;" ",'Feuille de Donnée'!$C$3,"")</f>
        <v/>
      </c>
      <c r="Z5" s="232" t="str" cm="1">
        <f t="array" aca="1" ref="Z5" ca="1">IFERROR(IF(_xlfn.XLOOKUP(S5,ETANCHEITE!AI$19:AI$89,ETANCHEITE!AG$19:AG$89,"")&lt;&gt;"",_xlfn.XLOOKUP(S5,ETANCHEITE!AI$19:AI$89,ETANCHEITE!AG$19:AG$89,""),    INDEX(ETANCHEITE!AG:AG,MAX(_xlfn._xlws.FILTER(ROW(ETANCHEITE!AG$19:INDIRECT("'PEINTURE'!O" &amp; V5-1)),ETANCHEITE!AG$19:INDIRECT("'PEINTURE'!O" &amp; V5-1)&lt;&gt;"")))),"")</f>
        <v/>
      </c>
      <c r="AA5" s="233" t="str" cm="1">
        <f t="array" aca="1" ref="AA5" ca="1">IFERROR(IF(_xlfn.XLOOKUP(S5,ETANCHEITE!AI$19:AI$89,ETANCHEITE!AH$19:AH$89,"")&lt;&gt;"",_xlfn.XLOOKUP(S5,ETANCHEITE!AI$19:AI$89,ETANCHEITE!AH$19:AH$89,""),    INDEX(ETANCHEITE!AH:AH,MAX(_xlfn._xlws.FILTER(ROW(ETANCHEITE!AH$19:INDIRECT("'PEINTURE'!P" &amp; V5-1)),ETANCHEITE!AH$19:INDIRECT("'PEINTURE'!P" &amp; V5-1)&lt;&gt;"")))),"")</f>
        <v/>
      </c>
      <c r="AB5" s="158">
        <v>3</v>
      </c>
      <c r="AC5" s="167" t="str">
        <f>IF(AG5&lt;&gt;" ",ETANCHEITE!$D$5,"")</f>
        <v/>
      </c>
      <c r="AD5" s="167" t="str">
        <f>IF(AG5&lt;&gt;" ",ETANCHEITE!$D$8,"")</f>
        <v/>
      </c>
      <c r="AE5" s="159" t="str">
        <f>IFERROR(MATCH(AB5,ETANCHEITE!AR$19:AR$164,0)+18,"")</f>
        <v/>
      </c>
      <c r="AF5" s="160" t="str" cm="1">
        <f t="array" aca="1" ref="AF5" ca="1">IFERROR(IF(_xlfn.XLOOKUP(AB5,ETANCHEITE!AR$19:AR$164,ETANCHEITE!$A$19:$A$164,"")&lt;&gt;"",_xlfn.XLOOKUP(AB5,ETANCHEITE!AR$19:AR$164,ETANCHEITE!$A$19:$A$164,""),    INDEX(ETANCHEITE!$A:$A,MAX(_xlfn._xlws.FILTER(ROW(ETANCHEITE!$A$19:INDIRECT("'MENUISERIES EXTERIEURES'!$A" &amp; AE5-1)),ETANCHEITE!$A$19:INDIRECT("'MENUISERIES EXTERIEURES'!$A" &amp; AE5-1)&lt;&gt;"")))),"")&amp;"   "&amp;IFERROR(_xlfn.XLOOKUP(AB5,ETANCHEITE!AR$19:AR$164,ETANCHEITE!$B$19:$B$164),"")&amp;IFERROR(_xlfn.XLOOKUP(AB5,ETANCHEITE!AR$19:AR$164,ETANCHEITE!$C$19:$C$164),"")&amp;IFERROR(_xlfn.XLOOKUP(AB5,ETANCHEITE!AR$19:AR$164,ETANCHEITE!$D$19:$D$164),"")&amp;IFERROR(_xlfn.XLOOKUP(AB5,ETANCHEITE!AR$19:AR$164,ETANCHEITE!$E$19:$E$164),"")&amp;IFERROR(_xlfn.XLOOKUP(AB5,ETANCHEITE!AR$19:AR$164,ETANCHEITE!$F$19:$F$164),"")</f>
        <v xml:space="preserve">   </v>
      </c>
      <c r="AG5" s="168" t="str">
        <f>IFERROR(VLOOKUP(AB5,ETANCHEITE!AR$19:AT$164,2,FALSE),"")&amp;" "&amp;IFERROR(VLOOKUP(AB5,ETANCHEITE!AR$19:AT$164,3,FALSE),"")</f>
        <v xml:space="preserve"> </v>
      </c>
      <c r="AH5" s="161" t="str">
        <f>IF(AG5&lt;&gt;" ",'Feuille de Donnée'!$C$3,"")</f>
        <v/>
      </c>
      <c r="AI5" s="232" t="str" cm="1">
        <f t="array" aca="1" ref="AI5" ca="1">IFERROR(IF(_xlfn.XLOOKUP(AB5,ETANCHEITE!AR$19:AR$89,ETANCHEITE!AP$19:AP$89,"")&lt;&gt;"",_xlfn.XLOOKUP(AB5,ETANCHEITE!AR$19:AR$89,ETANCHEITE!AP$19:AP$89,""),    INDEX(ETANCHEITE!AP:AP,MAX(_xlfn._xlws.FILTER(ROW(ETANCHEITE!AP$19:INDIRECT("'PEINTURE'!O" &amp; AE5-1)),ETANCHEITE!AP$19:INDIRECT("'PEINTURE'!O" &amp; AE5-1)&lt;&gt;"")))),"")</f>
        <v/>
      </c>
      <c r="AJ5" s="233" t="str" cm="1">
        <f t="array" aca="1" ref="AJ5" ca="1">IFERROR(IF(_xlfn.XLOOKUP(AB5,ETANCHEITE!AR$19:AR$89,ETANCHEITE!AQ$19:AQ$89,"")&lt;&gt;"",_xlfn.XLOOKUP(AB5,ETANCHEITE!AR$19:AR$89,ETANCHEITE!AQ$19:AQ$89,""),    INDEX(ETANCHEITE!AQ:AQ,MAX(_xlfn._xlws.FILTER(ROW(ETANCHEITE!AQ$19:INDIRECT("'PEINTURE'!P" &amp; AE5-1)),ETANCHEITE!AQ$19:INDIRECT("'PEINTURE'!P" &amp; AE5-1)&lt;&gt;"")))),"")</f>
        <v/>
      </c>
      <c r="AK5" s="158">
        <v>3</v>
      </c>
      <c r="AL5" s="167" t="str">
        <f>IF(AP5&lt;&gt;" ",ETANCHEITE!$D$5,"")</f>
        <v/>
      </c>
      <c r="AM5" s="167" t="str">
        <f>IF(AP5&lt;&gt;" ",ETANCHEITE!$D$8,"")</f>
        <v/>
      </c>
      <c r="AN5" s="159" t="str">
        <f>IFERROR(MATCH(AK5,ETANCHEITE!BA$19:BA$164,0)+18,"")</f>
        <v/>
      </c>
      <c r="AO5" s="160" t="str" cm="1">
        <f t="array" aca="1" ref="AO5" ca="1">IFERROR(IF(_xlfn.XLOOKUP(AK5,ETANCHEITE!BA$19:BA$164,ETANCHEITE!$A$19:$A$164,"")&lt;&gt;"",_xlfn.XLOOKUP(AK5,ETANCHEITE!BA$19:BA$164,ETANCHEITE!$A$19:$A$164,""),    INDEX(ETANCHEITE!$A:$A,MAX(_xlfn._xlws.FILTER(ROW(ETANCHEITE!$A$19:INDIRECT("'MENUISERIES EXTERIEURES'!$A" &amp; AN5-1)),ETANCHEITE!$A$19:INDIRECT("'MENUISERIES EXTERIEURES'!$A" &amp; AN5-1)&lt;&gt;"")))),"")&amp;"   "&amp;IFERROR(_xlfn.XLOOKUP(AK5,ETANCHEITE!BA$19:BA$164,ETANCHEITE!$B$19:$B$164),"")&amp;IFERROR(_xlfn.XLOOKUP(AK5,ETANCHEITE!BA$19:BA$164,ETANCHEITE!$C$19:$C$164),"")&amp;IFERROR(_xlfn.XLOOKUP(AK5,ETANCHEITE!BA$19:BA$164,ETANCHEITE!$D$19:$D$164),"")&amp;IFERROR(_xlfn.XLOOKUP(AK5,ETANCHEITE!BA$19:BA$164,ETANCHEITE!$E$19:$E$164),"")&amp;IFERROR(_xlfn.XLOOKUP(AK5,ETANCHEITE!BA$19:BA$164,ETANCHEITE!$F$19:$F$164),"")</f>
        <v xml:space="preserve">   </v>
      </c>
      <c r="AP5" s="168" t="str">
        <f>IFERROR(VLOOKUP(AK5,ETANCHEITE!BA$19:BC$164,2,FALSE),"")&amp;" "&amp;IFERROR(VLOOKUP(AK5,ETANCHEITE!BA$19:BC$164,3,FALSE),"")</f>
        <v xml:space="preserve"> </v>
      </c>
      <c r="AQ5" s="161" t="str">
        <f>IF(AP5&lt;&gt;" ",'Feuille de Donnée'!$C$3,"")</f>
        <v/>
      </c>
      <c r="AR5" s="232" t="str" cm="1">
        <f t="array" aca="1" ref="AR5" ca="1">IFERROR(IF(_xlfn.XLOOKUP(AK5,ETANCHEITE!BA$19:BA$89,ETANCHEITE!AY$19:AY$89,"")&lt;&gt;"",_xlfn.XLOOKUP(AK5,ETANCHEITE!BA$19:BA$89,ETANCHEITE!AY$19:AY$89,""),    INDEX(ETANCHEITE!AY:AY,MAX(_xlfn._xlws.FILTER(ROW(ETANCHEITE!AY$19:INDIRECT("'PEINTURE'!O" &amp; AN5-1)),ETANCHEITE!AY$19:INDIRECT("'PEINTURE'!O" &amp; AN5-1)&lt;&gt;"")))),"")</f>
        <v/>
      </c>
      <c r="AS5" s="233" t="str" cm="1">
        <f t="array" aca="1" ref="AS5" ca="1">IFERROR(IF(_xlfn.XLOOKUP(AK5,ETANCHEITE!BA$19:BA$89,ETANCHEITE!AZ$19:AZ$89,"")&lt;&gt;"",_xlfn.XLOOKUP(AK5,ETANCHEITE!BA$19:BA$89,ETANCHEITE!AZ$19:AZ$89,""),    INDEX(ETANCHEITE!AZ:AZ,MAX(_xlfn._xlws.FILTER(ROW(ETANCHEITE!AZ$19:INDIRECT("'PEINTURE'!P" &amp; AN5-1)),ETANCHEITE!AZ$19:INDIRECT("'PEINTURE'!P" &amp; AN5-1)&lt;&gt;"")))),"")</f>
        <v/>
      </c>
      <c r="AT5" s="158">
        <v>3</v>
      </c>
      <c r="AU5" s="167" t="str">
        <f>IF(AY5&lt;&gt;" ",ETANCHEITE!$D$5,"")</f>
        <v/>
      </c>
      <c r="AV5" s="167" t="str">
        <f>IF(AY5&lt;&gt;" ",ETANCHEITE!$D$8,"")</f>
        <v/>
      </c>
      <c r="AW5" s="159" t="str">
        <f>IFERROR(MATCH(AT5,ETANCHEITE!BJ$19:BJ$164,0)+18,"")</f>
        <v/>
      </c>
      <c r="AX5" s="160" t="str" cm="1">
        <f t="array" aca="1" ref="AX5" ca="1">IFERROR(IF(_xlfn.XLOOKUP(AT5,ETANCHEITE!BJ$19:BJ$164,ETANCHEITE!$A$19:$A$164,"")&lt;&gt;"",_xlfn.XLOOKUP(AT5,ETANCHEITE!BJ$19:BJ$164,ETANCHEITE!$A$19:$A$164,""),    INDEX(ETANCHEITE!$A:$A,MAX(_xlfn._xlws.FILTER(ROW(ETANCHEITE!$A$19:INDIRECT("'MENUISERIES EXTERIEURES'!$A" &amp; AW5-1)),ETANCHEITE!$A$19:INDIRECT("'MENUISERIES EXTERIEURES'!$A" &amp; AW5-1)&lt;&gt;"")))),"")&amp;"   "&amp;IFERROR(_xlfn.XLOOKUP(AT5,ETANCHEITE!BJ$19:BJ$164,ETANCHEITE!$B$19:$B$164),"")&amp;IFERROR(_xlfn.XLOOKUP(AT5,ETANCHEITE!BJ$19:BJ$164,ETANCHEITE!$C$19:$C$164),"")&amp;IFERROR(_xlfn.XLOOKUP(AT5,ETANCHEITE!BJ$19:BJ$164,ETANCHEITE!$D$19:$D$164),"")&amp;IFERROR(_xlfn.XLOOKUP(AT5,ETANCHEITE!BJ$19:BJ$164,ETANCHEITE!$E$19:$E$164),"")&amp;IFERROR(_xlfn.XLOOKUP(AT5,ETANCHEITE!BJ$19:BJ$164,ETANCHEITE!$F$19:$F$164),"")</f>
        <v xml:space="preserve">   </v>
      </c>
      <c r="AY5" s="168" t="str">
        <f>IFERROR(VLOOKUP(AT5,ETANCHEITE!BJ$19:BL$164,2,FALSE),"")&amp;" "&amp;IFERROR(VLOOKUP(AT5,ETANCHEITE!BJ$19:BL$164,3,FALSE),"")</f>
        <v xml:space="preserve"> </v>
      </c>
      <c r="AZ5" s="161" t="str">
        <f>IF(AY5&lt;&gt;" ",'Feuille de Donnée'!$C$3,"")</f>
        <v/>
      </c>
      <c r="BA5" s="232" t="str" cm="1">
        <f t="array" aca="1" ref="BA5" ca="1">IFERROR(IF(_xlfn.XLOOKUP(AT5,ETANCHEITE!BJ$19:BJ$89,ETANCHEITE!BH$19:BH$89,"")&lt;&gt;"",_xlfn.XLOOKUP(AT5,ETANCHEITE!BJ$19:BJ$89,ETANCHEITE!BH$19:BH$89,""),    INDEX(ETANCHEITE!BH:BH,MAX(_xlfn._xlws.FILTER(ROW(ETANCHEITE!BH$19:INDIRECT("'PEINTURE'!O" &amp; AW5-1)),ETANCHEITE!BH$19:INDIRECT("'PEINTURE'!O" &amp; AW5-1)&lt;&gt;"")))),"")</f>
        <v/>
      </c>
      <c r="BB5" s="233" t="str" cm="1">
        <f t="array" aca="1" ref="BB5" ca="1">IFERROR(IF(_xlfn.XLOOKUP(AT5,ETANCHEITE!BJ$19:BJ$89,ETANCHEITE!BI$19:BI$89,"")&lt;&gt;"",_xlfn.XLOOKUP(AT5,ETANCHEITE!BJ$19:BJ$89,ETANCHEITE!BI$19:BI$89,""),    INDEX(ETANCHEITE!BI:BI,MAX(_xlfn._xlws.FILTER(ROW(ETANCHEITE!BI$19:INDIRECT("'PEINTURE'!P" &amp; AW5-1)),ETANCHEITE!BI$19:INDIRECT("'PEINTURE'!P" &amp; AW5-1)&lt;&gt;"")))),"")</f>
        <v/>
      </c>
    </row>
    <row r="6" spans="1:54" ht="15" customHeight="1" x14ac:dyDescent="0.3">
      <c r="A6" s="158">
        <v>4</v>
      </c>
      <c r="B6" s="167" t="str">
        <f>IF(F6&lt;&gt;" ",ETANCHEITE!$D$5,"")</f>
        <v/>
      </c>
      <c r="C6" s="167" t="str">
        <f>IF(F6&lt;&gt;" ",ETANCHEITE!$D$8,"")</f>
        <v/>
      </c>
      <c r="D6" s="159" t="str">
        <f>IFERROR(MATCH(A6,ETANCHEITE!Q$19:Q$164,0)+18,"")</f>
        <v/>
      </c>
      <c r="E6" s="160" t="str" cm="1">
        <f t="array" aca="1" ref="E6" ca="1">IFERROR(IF(_xlfn.XLOOKUP(A6,ETANCHEITE!Q$19:Q$164,ETANCHEITE!$A$19:$A$164,"")&lt;&gt;"",_xlfn.XLOOKUP(A6,ETANCHEITE!Q$19:Q$164,ETANCHEITE!$A$19:$A$164,""),    INDEX(ETANCHEITE!$A:$A,MAX(_xlfn._xlws.FILTER(ROW(ETANCHEITE!$A$19:INDIRECT("'MENUISERIES EXTERIEURES'!$A" &amp; D6-1)),ETANCHEITE!$A$19:INDIRECT("'MENUISERIES EXTERIEURES'!$A" &amp; D6-1)&lt;&gt;"")))),"")&amp;"   "&amp;IFERROR(_xlfn.XLOOKUP(A6,ETANCHEITE!Q$19:Q$164,ETANCHEITE!$B$19:$B$164),"")&amp;IFERROR(_xlfn.XLOOKUP(A6,ETANCHEITE!Q$19:Q$164,ETANCHEITE!$C$19:$C$164),"")&amp;IFERROR(_xlfn.XLOOKUP(A6,ETANCHEITE!Q$19:Q$164,ETANCHEITE!$D$19:$D$164),"")&amp;IFERROR(_xlfn.XLOOKUP(A6,ETANCHEITE!Q$19:Q$164,ETANCHEITE!$E$19:$E$164),"")&amp;IFERROR(_xlfn.XLOOKUP(A6,ETANCHEITE!Q$19:Q$164,ETANCHEITE!$F$19:$F$164),"")</f>
        <v xml:space="preserve">   </v>
      </c>
      <c r="F6" s="168" t="str">
        <f>IFERROR(VLOOKUP(A6,ETANCHEITE!Q$19:S$164,2,FALSE),"")&amp;" "&amp;IFERROR(VLOOKUP(A6,ETANCHEITE!Q$19:S$164,3,FALSE),"")</f>
        <v xml:space="preserve"> </v>
      </c>
      <c r="G6" s="161" t="str">
        <f>IF(F6&lt;&gt;" ",'Feuille de Donnée'!$C$3,"")</f>
        <v/>
      </c>
      <c r="H6" s="232" t="str" cm="1">
        <f t="array" aca="1" ref="H6" ca="1">IFERROR(IF(_xlfn.XLOOKUP(A6,ETANCHEITE!Q$19:Q$89,ETANCHEITE!O$19:O$89,"")&lt;&gt;"",_xlfn.XLOOKUP(A6,ETANCHEITE!Q$19:Q$89,ETANCHEITE!O$19:O$89,""),    INDEX(ETANCHEITE!O:O,MAX(_xlfn._xlws.FILTER(ROW(ETANCHEITE!O$19:INDIRECT("'PEINTURE'!O" &amp; D6-1)),ETANCHEITE!O$19:INDIRECT("'PEINTURE'!O" &amp; D6-1)&lt;&gt;"")))),"")</f>
        <v/>
      </c>
      <c r="I6" s="233" t="str" cm="1">
        <f t="array" aca="1" ref="I6" ca="1">IFERROR(IF(_xlfn.XLOOKUP(A6,ETANCHEITE!Q$19:Q$89,ETANCHEITE!P$19:P$89,"")&lt;&gt;"",_xlfn.XLOOKUP(A6,ETANCHEITE!Q$19:Q$89,ETANCHEITE!P$19:P$89,""),    INDEX(ETANCHEITE!P:P,MAX(_xlfn._xlws.FILTER(ROW(ETANCHEITE!P$19:INDIRECT("'PEINTURE'!P" &amp; D6-1)),ETANCHEITE!P$19:INDIRECT("'PEINTURE'!P" &amp; D6-1)&lt;&gt;"")))),"")</f>
        <v/>
      </c>
      <c r="J6" s="158">
        <v>4</v>
      </c>
      <c r="K6" s="167" t="str">
        <f>IF(O6&lt;&gt;" ",ETANCHEITE!$D$5,"")</f>
        <v/>
      </c>
      <c r="L6" s="167" t="str">
        <f>IF(O6&lt;&gt;" ",ETANCHEITE!$D$8,"")</f>
        <v/>
      </c>
      <c r="M6" s="159" t="str">
        <f>IFERROR(MATCH(J6,ETANCHEITE!Z$19:Z$164,0)+18,"")</f>
        <v/>
      </c>
      <c r="N6" s="160" t="str" cm="1">
        <f t="array" aca="1" ref="N6" ca="1">IFERROR(IF(_xlfn.XLOOKUP(J6,ETANCHEITE!Z$19:Z$164,ETANCHEITE!$A$19:$A$164,"")&lt;&gt;"",_xlfn.XLOOKUP(J6,ETANCHEITE!Z$19:Z$164,ETANCHEITE!$A$19:$A$164,""),    INDEX(ETANCHEITE!$A:$A,MAX(_xlfn._xlws.FILTER(ROW(ETANCHEITE!$A$19:INDIRECT("'MENUISERIES EXTERIEURES'!$A" &amp; M6-1)),ETANCHEITE!$A$19:INDIRECT("'MENUISERIES EXTERIEURES'!$A" &amp; M6-1)&lt;&gt;"")))),"")&amp;"   "&amp;IFERROR(_xlfn.XLOOKUP(J6,ETANCHEITE!Z$19:Z$164,ETANCHEITE!$B$19:$B$164),"")&amp;IFERROR(_xlfn.XLOOKUP(J6,ETANCHEITE!Z$19:Z$164,ETANCHEITE!$C$19:$C$164),"")&amp;IFERROR(_xlfn.XLOOKUP(J6,ETANCHEITE!Z$19:Z$164,ETANCHEITE!$D$19:$D$164),"")&amp;IFERROR(_xlfn.XLOOKUP(J6,ETANCHEITE!Z$19:Z$164,ETANCHEITE!$E$19:$E$164),"")&amp;IFERROR(_xlfn.XLOOKUP(J6,ETANCHEITE!Z$19:Z$164,ETANCHEITE!$F$19:$F$164),"")</f>
        <v xml:space="preserve">   </v>
      </c>
      <c r="O6" s="168" t="str">
        <f>IFERROR(VLOOKUP(J6,ETANCHEITE!Z$19:AB$164,2,FALSE),"")&amp;" "&amp;IFERROR(VLOOKUP(J6,ETANCHEITE!Z$19:AB$164,3,FALSE),"")</f>
        <v xml:space="preserve"> </v>
      </c>
      <c r="P6" s="161" t="str">
        <f>IF(O6&lt;&gt;" ",'Feuille de Donnée'!$C$3,"")</f>
        <v/>
      </c>
      <c r="Q6" s="232" t="str" cm="1">
        <f t="array" aca="1" ref="Q6" ca="1">IFERROR(IF(_xlfn.XLOOKUP(J6,ETANCHEITE!Z$19:Z$89,ETANCHEITE!X$19:X$89,"")&lt;&gt;"",_xlfn.XLOOKUP(J6,ETANCHEITE!Z$19:Z$89,ETANCHEITE!X$19:X$89,""),    INDEX(ETANCHEITE!X:X,MAX(_xlfn._xlws.FILTER(ROW(ETANCHEITE!X$19:INDIRECT("'PEINTURE'!O" &amp; M6-1)),ETANCHEITE!X$19:INDIRECT("'PEINTURE'!O" &amp; M6-1)&lt;&gt;"")))),"")</f>
        <v/>
      </c>
      <c r="R6" s="233" t="str" cm="1">
        <f t="array" aca="1" ref="R6" ca="1">IFERROR(IF(_xlfn.XLOOKUP(J6,ETANCHEITE!Z$19:Z$89,ETANCHEITE!Y$19:Y$89,"")&lt;&gt;"",_xlfn.XLOOKUP(J6,ETANCHEITE!Z$19:Z$89,ETANCHEITE!Y$19:Y$89,""),    INDEX(ETANCHEITE!Y:Y,MAX(_xlfn._xlws.FILTER(ROW(ETANCHEITE!Y$19:INDIRECT("'PEINTURE'!P" &amp; M6-1)),ETANCHEITE!Y$19:INDIRECT("'PEINTURE'!P" &amp; M6-1)&lt;&gt;"")))),"")</f>
        <v/>
      </c>
      <c r="S6" s="158">
        <v>4</v>
      </c>
      <c r="T6" s="167" t="str">
        <f>IF(X6&lt;&gt;" ",ETANCHEITE!$D$5,"")</f>
        <v/>
      </c>
      <c r="U6" s="167" t="str">
        <f>IF(X6&lt;&gt;" ",ETANCHEITE!$D$8,"")</f>
        <v/>
      </c>
      <c r="V6" s="159" t="str">
        <f>IFERROR(MATCH(S6,ETANCHEITE!AI$19:AI$164,0)+18,"")</f>
        <v/>
      </c>
      <c r="W6" s="160" t="str" cm="1">
        <f t="array" aca="1" ref="W6" ca="1">IFERROR(IF(_xlfn.XLOOKUP(S6,ETANCHEITE!AI$19:AI$164,ETANCHEITE!$A$19:$A$164,"")&lt;&gt;"",_xlfn.XLOOKUP(S6,ETANCHEITE!AI$19:AI$164,ETANCHEITE!$A$19:$A$164,""),    INDEX(ETANCHEITE!$A:$A,MAX(_xlfn._xlws.FILTER(ROW(ETANCHEITE!$A$19:INDIRECT("'MENUISERIES EXTERIEURES'!$A" &amp; V6-1)),ETANCHEITE!$A$19:INDIRECT("'MENUISERIES EXTERIEURES'!$A" &amp; V6-1)&lt;&gt;"")))),"")&amp;"   "&amp;IFERROR(_xlfn.XLOOKUP(S6,ETANCHEITE!AI$19:AI$164,ETANCHEITE!$B$19:$B$164),"")&amp;IFERROR(_xlfn.XLOOKUP(S6,ETANCHEITE!AI$19:AI$164,ETANCHEITE!$C$19:$C$164),"")&amp;IFERROR(_xlfn.XLOOKUP(S6,ETANCHEITE!AI$19:AI$164,ETANCHEITE!$D$19:$D$164),"")&amp;IFERROR(_xlfn.XLOOKUP(S6,ETANCHEITE!AI$19:AI$164,ETANCHEITE!$E$19:$E$164),"")&amp;IFERROR(_xlfn.XLOOKUP(S6,ETANCHEITE!AI$19:AI$164,ETANCHEITE!$F$19:$F$164),"")</f>
        <v xml:space="preserve">   </v>
      </c>
      <c r="X6" s="168" t="str">
        <f>IFERROR(VLOOKUP(S6,ETANCHEITE!AI$19:AK$164,2,FALSE),"")&amp;" "&amp;IFERROR(VLOOKUP(S6,ETANCHEITE!AI$19:AK$164,3,FALSE),"")</f>
        <v xml:space="preserve"> </v>
      </c>
      <c r="Y6" s="161" t="str">
        <f>IF(X6&lt;&gt;" ",'Feuille de Donnée'!$C$3,"")</f>
        <v/>
      </c>
      <c r="Z6" s="232" t="str" cm="1">
        <f t="array" aca="1" ref="Z6" ca="1">IFERROR(IF(_xlfn.XLOOKUP(S6,ETANCHEITE!AI$19:AI$89,ETANCHEITE!AG$19:AG$89,"")&lt;&gt;"",_xlfn.XLOOKUP(S6,ETANCHEITE!AI$19:AI$89,ETANCHEITE!AG$19:AG$89,""),    INDEX(ETANCHEITE!AG:AG,MAX(_xlfn._xlws.FILTER(ROW(ETANCHEITE!AG$19:INDIRECT("'PEINTURE'!O" &amp; V6-1)),ETANCHEITE!AG$19:INDIRECT("'PEINTURE'!O" &amp; V6-1)&lt;&gt;"")))),"")</f>
        <v/>
      </c>
      <c r="AA6" s="233" t="str" cm="1">
        <f t="array" aca="1" ref="AA6" ca="1">IFERROR(IF(_xlfn.XLOOKUP(S6,ETANCHEITE!AI$19:AI$89,ETANCHEITE!AH$19:AH$89,"")&lt;&gt;"",_xlfn.XLOOKUP(S6,ETANCHEITE!AI$19:AI$89,ETANCHEITE!AH$19:AH$89,""),    INDEX(ETANCHEITE!AH:AH,MAX(_xlfn._xlws.FILTER(ROW(ETANCHEITE!AH$19:INDIRECT("'PEINTURE'!P" &amp; V6-1)),ETANCHEITE!AH$19:INDIRECT("'PEINTURE'!P" &amp; V6-1)&lt;&gt;"")))),"")</f>
        <v/>
      </c>
      <c r="AB6" s="158">
        <v>4</v>
      </c>
      <c r="AC6" s="167" t="str">
        <f>IF(AG6&lt;&gt;" ",ETANCHEITE!$D$5,"")</f>
        <v/>
      </c>
      <c r="AD6" s="167" t="str">
        <f>IF(AG6&lt;&gt;" ",ETANCHEITE!$D$8,"")</f>
        <v/>
      </c>
      <c r="AE6" s="159" t="str">
        <f>IFERROR(MATCH(AB6,ETANCHEITE!AR$19:AR$164,0)+18,"")</f>
        <v/>
      </c>
      <c r="AF6" s="160" t="str" cm="1">
        <f t="array" aca="1" ref="AF6" ca="1">IFERROR(IF(_xlfn.XLOOKUP(AB6,ETANCHEITE!AR$19:AR$164,ETANCHEITE!$A$19:$A$164,"")&lt;&gt;"",_xlfn.XLOOKUP(AB6,ETANCHEITE!AR$19:AR$164,ETANCHEITE!$A$19:$A$164,""),    INDEX(ETANCHEITE!$A:$A,MAX(_xlfn._xlws.FILTER(ROW(ETANCHEITE!$A$19:INDIRECT("'MENUISERIES EXTERIEURES'!$A" &amp; AE6-1)),ETANCHEITE!$A$19:INDIRECT("'MENUISERIES EXTERIEURES'!$A" &amp; AE6-1)&lt;&gt;"")))),"")&amp;"   "&amp;IFERROR(_xlfn.XLOOKUP(AB6,ETANCHEITE!AR$19:AR$164,ETANCHEITE!$B$19:$B$164),"")&amp;IFERROR(_xlfn.XLOOKUP(AB6,ETANCHEITE!AR$19:AR$164,ETANCHEITE!$C$19:$C$164),"")&amp;IFERROR(_xlfn.XLOOKUP(AB6,ETANCHEITE!AR$19:AR$164,ETANCHEITE!$D$19:$D$164),"")&amp;IFERROR(_xlfn.XLOOKUP(AB6,ETANCHEITE!AR$19:AR$164,ETANCHEITE!$E$19:$E$164),"")&amp;IFERROR(_xlfn.XLOOKUP(AB6,ETANCHEITE!AR$19:AR$164,ETANCHEITE!$F$19:$F$164),"")</f>
        <v xml:space="preserve">   </v>
      </c>
      <c r="AG6" s="168" t="str">
        <f>IFERROR(VLOOKUP(AB6,ETANCHEITE!AR$19:AT$164,2,FALSE),"")&amp;" "&amp;IFERROR(VLOOKUP(AB6,ETANCHEITE!AR$19:AT$164,3,FALSE),"")</f>
        <v xml:space="preserve"> </v>
      </c>
      <c r="AH6" s="161" t="str">
        <f>IF(AG6&lt;&gt;" ",'Feuille de Donnée'!$C$3,"")</f>
        <v/>
      </c>
      <c r="AI6" s="232" t="str" cm="1">
        <f t="array" aca="1" ref="AI6" ca="1">IFERROR(IF(_xlfn.XLOOKUP(AB6,ETANCHEITE!AR$19:AR$89,ETANCHEITE!AP$19:AP$89,"")&lt;&gt;"",_xlfn.XLOOKUP(AB6,ETANCHEITE!AR$19:AR$89,ETANCHEITE!AP$19:AP$89,""),    INDEX(ETANCHEITE!AP:AP,MAX(_xlfn._xlws.FILTER(ROW(ETANCHEITE!AP$19:INDIRECT("'PEINTURE'!O" &amp; AE6-1)),ETANCHEITE!AP$19:INDIRECT("'PEINTURE'!O" &amp; AE6-1)&lt;&gt;"")))),"")</f>
        <v/>
      </c>
      <c r="AJ6" s="233" t="str" cm="1">
        <f t="array" aca="1" ref="AJ6" ca="1">IFERROR(IF(_xlfn.XLOOKUP(AB6,ETANCHEITE!AR$19:AR$89,ETANCHEITE!AQ$19:AQ$89,"")&lt;&gt;"",_xlfn.XLOOKUP(AB6,ETANCHEITE!AR$19:AR$89,ETANCHEITE!AQ$19:AQ$89,""),    INDEX(ETANCHEITE!AQ:AQ,MAX(_xlfn._xlws.FILTER(ROW(ETANCHEITE!AQ$19:INDIRECT("'PEINTURE'!P" &amp; AE6-1)),ETANCHEITE!AQ$19:INDIRECT("'PEINTURE'!P" &amp; AE6-1)&lt;&gt;"")))),"")</f>
        <v/>
      </c>
      <c r="AK6" s="158">
        <v>4</v>
      </c>
      <c r="AL6" s="167" t="str">
        <f>IF(AP6&lt;&gt;" ",ETANCHEITE!$D$5,"")</f>
        <v/>
      </c>
      <c r="AM6" s="167" t="str">
        <f>IF(AP6&lt;&gt;" ",ETANCHEITE!$D$8,"")</f>
        <v/>
      </c>
      <c r="AN6" s="159" t="str">
        <f>IFERROR(MATCH(AK6,ETANCHEITE!BA$19:BA$164,0)+18,"")</f>
        <v/>
      </c>
      <c r="AO6" s="160" t="str" cm="1">
        <f t="array" aca="1" ref="AO6" ca="1">IFERROR(IF(_xlfn.XLOOKUP(AK6,ETANCHEITE!BA$19:BA$164,ETANCHEITE!$A$19:$A$164,"")&lt;&gt;"",_xlfn.XLOOKUP(AK6,ETANCHEITE!BA$19:BA$164,ETANCHEITE!$A$19:$A$164,""),    INDEX(ETANCHEITE!$A:$A,MAX(_xlfn._xlws.FILTER(ROW(ETANCHEITE!$A$19:INDIRECT("'MENUISERIES EXTERIEURES'!$A" &amp; AN6-1)),ETANCHEITE!$A$19:INDIRECT("'MENUISERIES EXTERIEURES'!$A" &amp; AN6-1)&lt;&gt;"")))),"")&amp;"   "&amp;IFERROR(_xlfn.XLOOKUP(AK6,ETANCHEITE!BA$19:BA$164,ETANCHEITE!$B$19:$B$164),"")&amp;IFERROR(_xlfn.XLOOKUP(AK6,ETANCHEITE!BA$19:BA$164,ETANCHEITE!$C$19:$C$164),"")&amp;IFERROR(_xlfn.XLOOKUP(AK6,ETANCHEITE!BA$19:BA$164,ETANCHEITE!$D$19:$D$164),"")&amp;IFERROR(_xlfn.XLOOKUP(AK6,ETANCHEITE!BA$19:BA$164,ETANCHEITE!$E$19:$E$164),"")&amp;IFERROR(_xlfn.XLOOKUP(AK6,ETANCHEITE!BA$19:BA$164,ETANCHEITE!$F$19:$F$164),"")</f>
        <v xml:space="preserve">   </v>
      </c>
      <c r="AP6" s="168" t="str">
        <f>IFERROR(VLOOKUP(AK6,ETANCHEITE!BA$19:BC$164,2,FALSE),"")&amp;" "&amp;IFERROR(VLOOKUP(AK6,ETANCHEITE!BA$19:BC$164,3,FALSE),"")</f>
        <v xml:space="preserve"> </v>
      </c>
      <c r="AQ6" s="161" t="str">
        <f>IF(AP6&lt;&gt;" ",'Feuille de Donnée'!$C$3,"")</f>
        <v/>
      </c>
      <c r="AR6" s="232" t="str" cm="1">
        <f t="array" aca="1" ref="AR6" ca="1">IFERROR(IF(_xlfn.XLOOKUP(AK6,ETANCHEITE!BA$19:BA$89,ETANCHEITE!AY$19:AY$89,"")&lt;&gt;"",_xlfn.XLOOKUP(AK6,ETANCHEITE!BA$19:BA$89,ETANCHEITE!AY$19:AY$89,""),    INDEX(ETANCHEITE!AY:AY,MAX(_xlfn._xlws.FILTER(ROW(ETANCHEITE!AY$19:INDIRECT("'PEINTURE'!O" &amp; AN6-1)),ETANCHEITE!AY$19:INDIRECT("'PEINTURE'!O" &amp; AN6-1)&lt;&gt;"")))),"")</f>
        <v/>
      </c>
      <c r="AS6" s="233" t="str" cm="1">
        <f t="array" aca="1" ref="AS6" ca="1">IFERROR(IF(_xlfn.XLOOKUP(AK6,ETANCHEITE!BA$19:BA$89,ETANCHEITE!AZ$19:AZ$89,"")&lt;&gt;"",_xlfn.XLOOKUP(AK6,ETANCHEITE!BA$19:BA$89,ETANCHEITE!AZ$19:AZ$89,""),    INDEX(ETANCHEITE!AZ:AZ,MAX(_xlfn._xlws.FILTER(ROW(ETANCHEITE!AZ$19:INDIRECT("'PEINTURE'!P" &amp; AN6-1)),ETANCHEITE!AZ$19:INDIRECT("'PEINTURE'!P" &amp; AN6-1)&lt;&gt;"")))),"")</f>
        <v/>
      </c>
      <c r="AT6" s="158">
        <v>4</v>
      </c>
      <c r="AU6" s="167" t="str">
        <f>IF(AY6&lt;&gt;" ",ETANCHEITE!$D$5,"")</f>
        <v/>
      </c>
      <c r="AV6" s="167" t="str">
        <f>IF(AY6&lt;&gt;" ",ETANCHEITE!$D$8,"")</f>
        <v/>
      </c>
      <c r="AW6" s="159" t="str">
        <f>IFERROR(MATCH(AT6,ETANCHEITE!BJ$19:BJ$164,0)+18,"")</f>
        <v/>
      </c>
      <c r="AX6" s="160" t="str" cm="1">
        <f t="array" aca="1" ref="AX6" ca="1">IFERROR(IF(_xlfn.XLOOKUP(AT6,ETANCHEITE!BJ$19:BJ$164,ETANCHEITE!$A$19:$A$164,"")&lt;&gt;"",_xlfn.XLOOKUP(AT6,ETANCHEITE!BJ$19:BJ$164,ETANCHEITE!$A$19:$A$164,""),    INDEX(ETANCHEITE!$A:$A,MAX(_xlfn._xlws.FILTER(ROW(ETANCHEITE!$A$19:INDIRECT("'MENUISERIES EXTERIEURES'!$A" &amp; AW6-1)),ETANCHEITE!$A$19:INDIRECT("'MENUISERIES EXTERIEURES'!$A" &amp; AW6-1)&lt;&gt;"")))),"")&amp;"   "&amp;IFERROR(_xlfn.XLOOKUP(AT6,ETANCHEITE!BJ$19:BJ$164,ETANCHEITE!$B$19:$B$164),"")&amp;IFERROR(_xlfn.XLOOKUP(AT6,ETANCHEITE!BJ$19:BJ$164,ETANCHEITE!$C$19:$C$164),"")&amp;IFERROR(_xlfn.XLOOKUP(AT6,ETANCHEITE!BJ$19:BJ$164,ETANCHEITE!$D$19:$D$164),"")&amp;IFERROR(_xlfn.XLOOKUP(AT6,ETANCHEITE!BJ$19:BJ$164,ETANCHEITE!$E$19:$E$164),"")&amp;IFERROR(_xlfn.XLOOKUP(AT6,ETANCHEITE!BJ$19:BJ$164,ETANCHEITE!$F$19:$F$164),"")</f>
        <v xml:space="preserve">   </v>
      </c>
      <c r="AY6" s="168" t="str">
        <f>IFERROR(VLOOKUP(AT6,ETANCHEITE!BJ$19:BL$164,2,FALSE),"")&amp;" "&amp;IFERROR(VLOOKUP(AT6,ETANCHEITE!BJ$19:BL$164,3,FALSE),"")</f>
        <v xml:space="preserve"> </v>
      </c>
      <c r="AZ6" s="161" t="str">
        <f>IF(AY6&lt;&gt;" ",'Feuille de Donnée'!$C$3,"")</f>
        <v/>
      </c>
      <c r="BA6" s="232" t="str" cm="1">
        <f t="array" aca="1" ref="BA6" ca="1">IFERROR(IF(_xlfn.XLOOKUP(AT6,ETANCHEITE!BJ$19:BJ$89,ETANCHEITE!BH$19:BH$89,"")&lt;&gt;"",_xlfn.XLOOKUP(AT6,ETANCHEITE!BJ$19:BJ$89,ETANCHEITE!BH$19:BH$89,""),    INDEX(ETANCHEITE!BH:BH,MAX(_xlfn._xlws.FILTER(ROW(ETANCHEITE!BH$19:INDIRECT("'PEINTURE'!O" &amp; AW6-1)),ETANCHEITE!BH$19:INDIRECT("'PEINTURE'!O" &amp; AW6-1)&lt;&gt;"")))),"")</f>
        <v/>
      </c>
      <c r="BB6" s="233" t="str" cm="1">
        <f t="array" aca="1" ref="BB6" ca="1">IFERROR(IF(_xlfn.XLOOKUP(AT6,ETANCHEITE!BJ$19:BJ$89,ETANCHEITE!BI$19:BI$89,"")&lt;&gt;"",_xlfn.XLOOKUP(AT6,ETANCHEITE!BJ$19:BJ$89,ETANCHEITE!BI$19:BI$89,""),    INDEX(ETANCHEITE!BI:BI,MAX(_xlfn._xlws.FILTER(ROW(ETANCHEITE!BI$19:INDIRECT("'PEINTURE'!P" &amp; AW6-1)),ETANCHEITE!BI$19:INDIRECT("'PEINTURE'!P" &amp; AW6-1)&lt;&gt;"")))),"")</f>
        <v/>
      </c>
    </row>
    <row r="7" spans="1:54" ht="15" customHeight="1" x14ac:dyDescent="0.3">
      <c r="A7" s="158">
        <v>5</v>
      </c>
      <c r="B7" s="167" t="str">
        <f>IF(F7&lt;&gt;" ",ETANCHEITE!$D$5,"")</f>
        <v/>
      </c>
      <c r="C7" s="167" t="str">
        <f>IF(F7&lt;&gt;" ",ETANCHEITE!$D$8,"")</f>
        <v/>
      </c>
      <c r="D7" s="159" t="str">
        <f>IFERROR(MATCH(A7,ETANCHEITE!Q$19:Q$164,0)+18,"")</f>
        <v/>
      </c>
      <c r="E7" s="160" t="str" cm="1">
        <f t="array" aca="1" ref="E7" ca="1">IFERROR(IF(_xlfn.XLOOKUP(A7,ETANCHEITE!Q$19:Q$164,ETANCHEITE!$A$19:$A$164,"")&lt;&gt;"",_xlfn.XLOOKUP(A7,ETANCHEITE!Q$19:Q$164,ETANCHEITE!$A$19:$A$164,""),    INDEX(ETANCHEITE!$A:$A,MAX(_xlfn._xlws.FILTER(ROW(ETANCHEITE!$A$19:INDIRECT("'MENUISERIES EXTERIEURES'!$A" &amp; D7-1)),ETANCHEITE!$A$19:INDIRECT("'MENUISERIES EXTERIEURES'!$A" &amp; D7-1)&lt;&gt;"")))),"")&amp;"   "&amp;IFERROR(_xlfn.XLOOKUP(A7,ETANCHEITE!Q$19:Q$164,ETANCHEITE!$B$19:$B$164),"")&amp;IFERROR(_xlfn.XLOOKUP(A7,ETANCHEITE!Q$19:Q$164,ETANCHEITE!$C$19:$C$164),"")&amp;IFERROR(_xlfn.XLOOKUP(A7,ETANCHEITE!Q$19:Q$164,ETANCHEITE!$D$19:$D$164),"")&amp;IFERROR(_xlfn.XLOOKUP(A7,ETANCHEITE!Q$19:Q$164,ETANCHEITE!$E$19:$E$164),"")&amp;IFERROR(_xlfn.XLOOKUP(A7,ETANCHEITE!Q$19:Q$164,ETANCHEITE!$F$19:$F$164),"")</f>
        <v xml:space="preserve">   </v>
      </c>
      <c r="F7" s="168" t="str">
        <f>IFERROR(VLOOKUP(A7,ETANCHEITE!Q$19:S$164,2,FALSE),"")&amp;" "&amp;IFERROR(VLOOKUP(A7,ETANCHEITE!Q$19:S$164,3,FALSE),"")</f>
        <v xml:space="preserve"> </v>
      </c>
      <c r="G7" s="161" t="str">
        <f>IF(F7&lt;&gt;" ",'Feuille de Donnée'!$C$3,"")</f>
        <v/>
      </c>
      <c r="H7" s="232" t="str" cm="1">
        <f t="array" aca="1" ref="H7" ca="1">IFERROR(IF(_xlfn.XLOOKUP(A7,ETANCHEITE!Q$19:Q$89,ETANCHEITE!O$19:O$89,"")&lt;&gt;"",_xlfn.XLOOKUP(A7,ETANCHEITE!Q$19:Q$89,ETANCHEITE!O$19:O$89,""),    INDEX(ETANCHEITE!O:O,MAX(_xlfn._xlws.FILTER(ROW(ETANCHEITE!O$19:INDIRECT("'PEINTURE'!O" &amp; D7-1)),ETANCHEITE!O$19:INDIRECT("'PEINTURE'!O" &amp; D7-1)&lt;&gt;"")))),"")</f>
        <v/>
      </c>
      <c r="I7" s="233" t="str" cm="1">
        <f t="array" aca="1" ref="I7" ca="1">IFERROR(IF(_xlfn.XLOOKUP(A7,ETANCHEITE!Q$19:Q$89,ETANCHEITE!P$19:P$89,"")&lt;&gt;"",_xlfn.XLOOKUP(A7,ETANCHEITE!Q$19:Q$89,ETANCHEITE!P$19:P$89,""),    INDEX(ETANCHEITE!P:P,MAX(_xlfn._xlws.FILTER(ROW(ETANCHEITE!P$19:INDIRECT("'PEINTURE'!P" &amp; D7-1)),ETANCHEITE!P$19:INDIRECT("'PEINTURE'!P" &amp; D7-1)&lt;&gt;"")))),"")</f>
        <v/>
      </c>
      <c r="J7" s="158">
        <v>5</v>
      </c>
      <c r="K7" s="167" t="str">
        <f>IF(O7&lt;&gt;" ",ETANCHEITE!$D$5,"")</f>
        <v/>
      </c>
      <c r="L7" s="167" t="str">
        <f>IF(O7&lt;&gt;" ",ETANCHEITE!$D$8,"")</f>
        <v/>
      </c>
      <c r="M7" s="159" t="str">
        <f>IFERROR(MATCH(J7,ETANCHEITE!Z$19:Z$164,0)+18,"")</f>
        <v/>
      </c>
      <c r="N7" s="160" t="str" cm="1">
        <f t="array" aca="1" ref="N7" ca="1">IFERROR(IF(_xlfn.XLOOKUP(J7,ETANCHEITE!Z$19:Z$164,ETANCHEITE!$A$19:$A$164,"")&lt;&gt;"",_xlfn.XLOOKUP(J7,ETANCHEITE!Z$19:Z$164,ETANCHEITE!$A$19:$A$164,""),    INDEX(ETANCHEITE!$A:$A,MAX(_xlfn._xlws.FILTER(ROW(ETANCHEITE!$A$19:INDIRECT("'MENUISERIES EXTERIEURES'!$A" &amp; M7-1)),ETANCHEITE!$A$19:INDIRECT("'MENUISERIES EXTERIEURES'!$A" &amp; M7-1)&lt;&gt;"")))),"")&amp;"   "&amp;IFERROR(_xlfn.XLOOKUP(J7,ETANCHEITE!Z$19:Z$164,ETANCHEITE!$B$19:$B$164),"")&amp;IFERROR(_xlfn.XLOOKUP(J7,ETANCHEITE!Z$19:Z$164,ETANCHEITE!$C$19:$C$164),"")&amp;IFERROR(_xlfn.XLOOKUP(J7,ETANCHEITE!Z$19:Z$164,ETANCHEITE!$D$19:$D$164),"")&amp;IFERROR(_xlfn.XLOOKUP(J7,ETANCHEITE!Z$19:Z$164,ETANCHEITE!$E$19:$E$164),"")&amp;IFERROR(_xlfn.XLOOKUP(J7,ETANCHEITE!Z$19:Z$164,ETANCHEITE!$F$19:$F$164),"")</f>
        <v xml:space="preserve">   </v>
      </c>
      <c r="O7" s="168" t="str">
        <f>IFERROR(VLOOKUP(J7,ETANCHEITE!Z$19:AB$164,2,FALSE),"")&amp;" "&amp;IFERROR(VLOOKUP(J7,ETANCHEITE!Z$19:AB$164,3,FALSE),"")</f>
        <v xml:space="preserve"> </v>
      </c>
      <c r="P7" s="161" t="str">
        <f>IF(O7&lt;&gt;" ",'Feuille de Donnée'!$C$3,"")</f>
        <v/>
      </c>
      <c r="Q7" s="232" t="str" cm="1">
        <f t="array" aca="1" ref="Q7" ca="1">IFERROR(IF(_xlfn.XLOOKUP(J7,ETANCHEITE!Z$19:Z$89,ETANCHEITE!X$19:X$89,"")&lt;&gt;"",_xlfn.XLOOKUP(J7,ETANCHEITE!Z$19:Z$89,ETANCHEITE!X$19:X$89,""),    INDEX(ETANCHEITE!X:X,MAX(_xlfn._xlws.FILTER(ROW(ETANCHEITE!X$19:INDIRECT("'PEINTURE'!O" &amp; M7-1)),ETANCHEITE!X$19:INDIRECT("'PEINTURE'!O" &amp; M7-1)&lt;&gt;"")))),"")</f>
        <v/>
      </c>
      <c r="R7" s="233" t="str" cm="1">
        <f t="array" aca="1" ref="R7" ca="1">IFERROR(IF(_xlfn.XLOOKUP(J7,ETANCHEITE!Z$19:Z$89,ETANCHEITE!Y$19:Y$89,"")&lt;&gt;"",_xlfn.XLOOKUP(J7,ETANCHEITE!Z$19:Z$89,ETANCHEITE!Y$19:Y$89,""),    INDEX(ETANCHEITE!Y:Y,MAX(_xlfn._xlws.FILTER(ROW(ETANCHEITE!Y$19:INDIRECT("'PEINTURE'!P" &amp; M7-1)),ETANCHEITE!Y$19:INDIRECT("'PEINTURE'!P" &amp; M7-1)&lt;&gt;"")))),"")</f>
        <v/>
      </c>
      <c r="S7" s="158">
        <v>5</v>
      </c>
      <c r="T7" s="167" t="str">
        <f>IF(X7&lt;&gt;" ",ETANCHEITE!$D$5,"")</f>
        <v/>
      </c>
      <c r="U7" s="167" t="str">
        <f>IF(X7&lt;&gt;" ",ETANCHEITE!$D$8,"")</f>
        <v/>
      </c>
      <c r="V7" s="159" t="str">
        <f>IFERROR(MATCH(S7,ETANCHEITE!AI$19:AI$164,0)+18,"")</f>
        <v/>
      </c>
      <c r="W7" s="160" t="str" cm="1">
        <f t="array" aca="1" ref="W7" ca="1">IFERROR(IF(_xlfn.XLOOKUP(S7,ETANCHEITE!AI$19:AI$164,ETANCHEITE!$A$19:$A$164,"")&lt;&gt;"",_xlfn.XLOOKUP(S7,ETANCHEITE!AI$19:AI$164,ETANCHEITE!$A$19:$A$164,""),    INDEX(ETANCHEITE!$A:$A,MAX(_xlfn._xlws.FILTER(ROW(ETANCHEITE!$A$19:INDIRECT("'MENUISERIES EXTERIEURES'!$A" &amp; V7-1)),ETANCHEITE!$A$19:INDIRECT("'MENUISERIES EXTERIEURES'!$A" &amp; V7-1)&lt;&gt;"")))),"")&amp;"   "&amp;IFERROR(_xlfn.XLOOKUP(S7,ETANCHEITE!AI$19:AI$164,ETANCHEITE!$B$19:$B$164),"")&amp;IFERROR(_xlfn.XLOOKUP(S7,ETANCHEITE!AI$19:AI$164,ETANCHEITE!$C$19:$C$164),"")&amp;IFERROR(_xlfn.XLOOKUP(S7,ETANCHEITE!AI$19:AI$164,ETANCHEITE!$D$19:$D$164),"")&amp;IFERROR(_xlfn.XLOOKUP(S7,ETANCHEITE!AI$19:AI$164,ETANCHEITE!$E$19:$E$164),"")&amp;IFERROR(_xlfn.XLOOKUP(S7,ETANCHEITE!AI$19:AI$164,ETANCHEITE!$F$19:$F$164),"")</f>
        <v xml:space="preserve">   </v>
      </c>
      <c r="X7" s="168" t="str">
        <f>IFERROR(VLOOKUP(S7,ETANCHEITE!AI$19:AK$164,2,FALSE),"")&amp;" "&amp;IFERROR(VLOOKUP(S7,ETANCHEITE!AI$19:AK$164,3,FALSE),"")</f>
        <v xml:space="preserve"> </v>
      </c>
      <c r="Y7" s="161" t="str">
        <f>IF(X7&lt;&gt;" ",'Feuille de Donnée'!$C$3,"")</f>
        <v/>
      </c>
      <c r="Z7" s="232" t="str" cm="1">
        <f t="array" aca="1" ref="Z7" ca="1">IFERROR(IF(_xlfn.XLOOKUP(S7,ETANCHEITE!AI$19:AI$89,ETANCHEITE!AG$19:AG$89,"")&lt;&gt;"",_xlfn.XLOOKUP(S7,ETANCHEITE!AI$19:AI$89,ETANCHEITE!AG$19:AG$89,""),    INDEX(ETANCHEITE!AG:AG,MAX(_xlfn._xlws.FILTER(ROW(ETANCHEITE!AG$19:INDIRECT("'PEINTURE'!O" &amp; V7-1)),ETANCHEITE!AG$19:INDIRECT("'PEINTURE'!O" &amp; V7-1)&lt;&gt;"")))),"")</f>
        <v/>
      </c>
      <c r="AA7" s="233" t="str" cm="1">
        <f t="array" aca="1" ref="AA7" ca="1">IFERROR(IF(_xlfn.XLOOKUP(S7,ETANCHEITE!AI$19:AI$89,ETANCHEITE!AH$19:AH$89,"")&lt;&gt;"",_xlfn.XLOOKUP(S7,ETANCHEITE!AI$19:AI$89,ETANCHEITE!AH$19:AH$89,""),    INDEX(ETANCHEITE!AH:AH,MAX(_xlfn._xlws.FILTER(ROW(ETANCHEITE!AH$19:INDIRECT("'PEINTURE'!P" &amp; V7-1)),ETANCHEITE!AH$19:INDIRECT("'PEINTURE'!P" &amp; V7-1)&lt;&gt;"")))),"")</f>
        <v/>
      </c>
      <c r="AB7" s="158">
        <v>5</v>
      </c>
      <c r="AC7" s="167" t="str">
        <f>IF(AG7&lt;&gt;" ",ETANCHEITE!$D$5,"")</f>
        <v/>
      </c>
      <c r="AD7" s="167" t="str">
        <f>IF(AG7&lt;&gt;" ",ETANCHEITE!$D$8,"")</f>
        <v/>
      </c>
      <c r="AE7" s="159" t="str">
        <f>IFERROR(MATCH(AB7,ETANCHEITE!AR$19:AR$164,0)+18,"")</f>
        <v/>
      </c>
      <c r="AF7" s="160" t="str" cm="1">
        <f t="array" aca="1" ref="AF7" ca="1">IFERROR(IF(_xlfn.XLOOKUP(AB7,ETANCHEITE!AR$19:AR$164,ETANCHEITE!$A$19:$A$164,"")&lt;&gt;"",_xlfn.XLOOKUP(AB7,ETANCHEITE!AR$19:AR$164,ETANCHEITE!$A$19:$A$164,""),    INDEX(ETANCHEITE!$A:$A,MAX(_xlfn._xlws.FILTER(ROW(ETANCHEITE!$A$19:INDIRECT("'MENUISERIES EXTERIEURES'!$A" &amp; AE7-1)),ETANCHEITE!$A$19:INDIRECT("'MENUISERIES EXTERIEURES'!$A" &amp; AE7-1)&lt;&gt;"")))),"")&amp;"   "&amp;IFERROR(_xlfn.XLOOKUP(AB7,ETANCHEITE!AR$19:AR$164,ETANCHEITE!$B$19:$B$164),"")&amp;IFERROR(_xlfn.XLOOKUP(AB7,ETANCHEITE!AR$19:AR$164,ETANCHEITE!$C$19:$C$164),"")&amp;IFERROR(_xlfn.XLOOKUP(AB7,ETANCHEITE!AR$19:AR$164,ETANCHEITE!$D$19:$D$164),"")&amp;IFERROR(_xlfn.XLOOKUP(AB7,ETANCHEITE!AR$19:AR$164,ETANCHEITE!$E$19:$E$164),"")&amp;IFERROR(_xlfn.XLOOKUP(AB7,ETANCHEITE!AR$19:AR$164,ETANCHEITE!$F$19:$F$164),"")</f>
        <v xml:space="preserve">   </v>
      </c>
      <c r="AG7" s="168" t="str">
        <f>IFERROR(VLOOKUP(AB7,ETANCHEITE!AR$19:AT$164,2,FALSE),"")&amp;" "&amp;IFERROR(VLOOKUP(AB7,ETANCHEITE!AR$19:AT$164,3,FALSE),"")</f>
        <v xml:space="preserve"> </v>
      </c>
      <c r="AH7" s="161" t="str">
        <f>IF(AG7&lt;&gt;" ",'Feuille de Donnée'!$C$3,"")</f>
        <v/>
      </c>
      <c r="AI7" s="232" t="str" cm="1">
        <f t="array" aca="1" ref="AI7" ca="1">IFERROR(IF(_xlfn.XLOOKUP(AB7,ETANCHEITE!AR$19:AR$89,ETANCHEITE!AP$19:AP$89,"")&lt;&gt;"",_xlfn.XLOOKUP(AB7,ETANCHEITE!AR$19:AR$89,ETANCHEITE!AP$19:AP$89,""),    INDEX(ETANCHEITE!AP:AP,MAX(_xlfn._xlws.FILTER(ROW(ETANCHEITE!AP$19:INDIRECT("'PEINTURE'!O" &amp; AE7-1)),ETANCHEITE!AP$19:INDIRECT("'PEINTURE'!O" &amp; AE7-1)&lt;&gt;"")))),"")</f>
        <v/>
      </c>
      <c r="AJ7" s="233" t="str" cm="1">
        <f t="array" aca="1" ref="AJ7" ca="1">IFERROR(IF(_xlfn.XLOOKUP(AB7,ETANCHEITE!AR$19:AR$89,ETANCHEITE!AQ$19:AQ$89,"")&lt;&gt;"",_xlfn.XLOOKUP(AB7,ETANCHEITE!AR$19:AR$89,ETANCHEITE!AQ$19:AQ$89,""),    INDEX(ETANCHEITE!AQ:AQ,MAX(_xlfn._xlws.FILTER(ROW(ETANCHEITE!AQ$19:INDIRECT("'PEINTURE'!P" &amp; AE7-1)),ETANCHEITE!AQ$19:INDIRECT("'PEINTURE'!P" &amp; AE7-1)&lt;&gt;"")))),"")</f>
        <v/>
      </c>
      <c r="AK7" s="158">
        <v>5</v>
      </c>
      <c r="AL7" s="167" t="str">
        <f>IF(AP7&lt;&gt;" ",ETANCHEITE!$D$5,"")</f>
        <v/>
      </c>
      <c r="AM7" s="167" t="str">
        <f>IF(AP7&lt;&gt;" ",ETANCHEITE!$D$8,"")</f>
        <v/>
      </c>
      <c r="AN7" s="159" t="str">
        <f>IFERROR(MATCH(AK7,ETANCHEITE!BA$19:BA$164,0)+18,"")</f>
        <v/>
      </c>
      <c r="AO7" s="160" t="str" cm="1">
        <f t="array" aca="1" ref="AO7" ca="1">IFERROR(IF(_xlfn.XLOOKUP(AK7,ETANCHEITE!BA$19:BA$164,ETANCHEITE!$A$19:$A$164,"")&lt;&gt;"",_xlfn.XLOOKUP(AK7,ETANCHEITE!BA$19:BA$164,ETANCHEITE!$A$19:$A$164,""),    INDEX(ETANCHEITE!$A:$A,MAX(_xlfn._xlws.FILTER(ROW(ETANCHEITE!$A$19:INDIRECT("'MENUISERIES EXTERIEURES'!$A" &amp; AN7-1)),ETANCHEITE!$A$19:INDIRECT("'MENUISERIES EXTERIEURES'!$A" &amp; AN7-1)&lt;&gt;"")))),"")&amp;"   "&amp;IFERROR(_xlfn.XLOOKUP(AK7,ETANCHEITE!BA$19:BA$164,ETANCHEITE!$B$19:$B$164),"")&amp;IFERROR(_xlfn.XLOOKUP(AK7,ETANCHEITE!BA$19:BA$164,ETANCHEITE!$C$19:$C$164),"")&amp;IFERROR(_xlfn.XLOOKUP(AK7,ETANCHEITE!BA$19:BA$164,ETANCHEITE!$D$19:$D$164),"")&amp;IFERROR(_xlfn.XLOOKUP(AK7,ETANCHEITE!BA$19:BA$164,ETANCHEITE!$E$19:$E$164),"")&amp;IFERROR(_xlfn.XLOOKUP(AK7,ETANCHEITE!BA$19:BA$164,ETANCHEITE!$F$19:$F$164),"")</f>
        <v xml:space="preserve">   </v>
      </c>
      <c r="AP7" s="168" t="str">
        <f>IFERROR(VLOOKUP(AK7,ETANCHEITE!BA$19:BC$164,2,FALSE),"")&amp;" "&amp;IFERROR(VLOOKUP(AK7,ETANCHEITE!BA$19:BC$164,3,FALSE),"")</f>
        <v xml:space="preserve"> </v>
      </c>
      <c r="AQ7" s="161" t="str">
        <f>IF(AP7&lt;&gt;" ",'Feuille de Donnée'!$C$3,"")</f>
        <v/>
      </c>
      <c r="AR7" s="232" t="str" cm="1">
        <f t="array" aca="1" ref="AR7" ca="1">IFERROR(IF(_xlfn.XLOOKUP(AK7,ETANCHEITE!BA$19:BA$89,ETANCHEITE!AY$19:AY$89,"")&lt;&gt;"",_xlfn.XLOOKUP(AK7,ETANCHEITE!BA$19:BA$89,ETANCHEITE!AY$19:AY$89,""),    INDEX(ETANCHEITE!AY:AY,MAX(_xlfn._xlws.FILTER(ROW(ETANCHEITE!AY$19:INDIRECT("'PEINTURE'!O" &amp; AN7-1)),ETANCHEITE!AY$19:INDIRECT("'PEINTURE'!O" &amp; AN7-1)&lt;&gt;"")))),"")</f>
        <v/>
      </c>
      <c r="AS7" s="233" t="str" cm="1">
        <f t="array" aca="1" ref="AS7" ca="1">IFERROR(IF(_xlfn.XLOOKUP(AK7,ETANCHEITE!BA$19:BA$89,ETANCHEITE!AZ$19:AZ$89,"")&lt;&gt;"",_xlfn.XLOOKUP(AK7,ETANCHEITE!BA$19:BA$89,ETANCHEITE!AZ$19:AZ$89,""),    INDEX(ETANCHEITE!AZ:AZ,MAX(_xlfn._xlws.FILTER(ROW(ETANCHEITE!AZ$19:INDIRECT("'PEINTURE'!P" &amp; AN7-1)),ETANCHEITE!AZ$19:INDIRECT("'PEINTURE'!P" &amp; AN7-1)&lt;&gt;"")))),"")</f>
        <v/>
      </c>
      <c r="AT7" s="158">
        <v>5</v>
      </c>
      <c r="AU7" s="167" t="str">
        <f>IF(AY7&lt;&gt;" ",ETANCHEITE!$D$5,"")</f>
        <v/>
      </c>
      <c r="AV7" s="167" t="str">
        <f>IF(AY7&lt;&gt;" ",ETANCHEITE!$D$8,"")</f>
        <v/>
      </c>
      <c r="AW7" s="159" t="str">
        <f>IFERROR(MATCH(AT7,ETANCHEITE!BJ$19:BJ$164,0)+18,"")</f>
        <v/>
      </c>
      <c r="AX7" s="160" t="str" cm="1">
        <f t="array" aca="1" ref="AX7" ca="1">IFERROR(IF(_xlfn.XLOOKUP(AT7,ETANCHEITE!BJ$19:BJ$164,ETANCHEITE!$A$19:$A$164,"")&lt;&gt;"",_xlfn.XLOOKUP(AT7,ETANCHEITE!BJ$19:BJ$164,ETANCHEITE!$A$19:$A$164,""),    INDEX(ETANCHEITE!$A:$A,MAX(_xlfn._xlws.FILTER(ROW(ETANCHEITE!$A$19:INDIRECT("'MENUISERIES EXTERIEURES'!$A" &amp; AW7-1)),ETANCHEITE!$A$19:INDIRECT("'MENUISERIES EXTERIEURES'!$A" &amp; AW7-1)&lt;&gt;"")))),"")&amp;"   "&amp;IFERROR(_xlfn.XLOOKUP(AT7,ETANCHEITE!BJ$19:BJ$164,ETANCHEITE!$B$19:$B$164),"")&amp;IFERROR(_xlfn.XLOOKUP(AT7,ETANCHEITE!BJ$19:BJ$164,ETANCHEITE!$C$19:$C$164),"")&amp;IFERROR(_xlfn.XLOOKUP(AT7,ETANCHEITE!BJ$19:BJ$164,ETANCHEITE!$D$19:$D$164),"")&amp;IFERROR(_xlfn.XLOOKUP(AT7,ETANCHEITE!BJ$19:BJ$164,ETANCHEITE!$E$19:$E$164),"")&amp;IFERROR(_xlfn.XLOOKUP(AT7,ETANCHEITE!BJ$19:BJ$164,ETANCHEITE!$F$19:$F$164),"")</f>
        <v xml:space="preserve">   </v>
      </c>
      <c r="AY7" s="168" t="str">
        <f>IFERROR(VLOOKUP(AT7,ETANCHEITE!BJ$19:BL$164,2,FALSE),"")&amp;" "&amp;IFERROR(VLOOKUP(AT7,ETANCHEITE!BJ$19:BL$164,3,FALSE),"")</f>
        <v xml:space="preserve"> </v>
      </c>
      <c r="AZ7" s="161" t="str">
        <f>IF(AY7&lt;&gt;" ",'Feuille de Donnée'!$C$3,"")</f>
        <v/>
      </c>
      <c r="BA7" s="232" t="str" cm="1">
        <f t="array" aca="1" ref="BA7" ca="1">IFERROR(IF(_xlfn.XLOOKUP(AT7,ETANCHEITE!BJ$19:BJ$89,ETANCHEITE!BH$19:BH$89,"")&lt;&gt;"",_xlfn.XLOOKUP(AT7,ETANCHEITE!BJ$19:BJ$89,ETANCHEITE!BH$19:BH$89,""),    INDEX(ETANCHEITE!BH:BH,MAX(_xlfn._xlws.FILTER(ROW(ETANCHEITE!BH$19:INDIRECT("'PEINTURE'!O" &amp; AW7-1)),ETANCHEITE!BH$19:INDIRECT("'PEINTURE'!O" &amp; AW7-1)&lt;&gt;"")))),"")</f>
        <v/>
      </c>
      <c r="BB7" s="233" t="str" cm="1">
        <f t="array" aca="1" ref="BB7" ca="1">IFERROR(IF(_xlfn.XLOOKUP(AT7,ETANCHEITE!BJ$19:BJ$89,ETANCHEITE!BI$19:BI$89,"")&lt;&gt;"",_xlfn.XLOOKUP(AT7,ETANCHEITE!BJ$19:BJ$89,ETANCHEITE!BI$19:BI$89,""),    INDEX(ETANCHEITE!BI:BI,MAX(_xlfn._xlws.FILTER(ROW(ETANCHEITE!BI$19:INDIRECT("'PEINTURE'!P" &amp; AW7-1)),ETANCHEITE!BI$19:INDIRECT("'PEINTURE'!P" &amp; AW7-1)&lt;&gt;"")))),"")</f>
        <v/>
      </c>
    </row>
    <row r="8" spans="1:54" ht="15" customHeight="1" x14ac:dyDescent="0.3">
      <c r="A8" s="158">
        <v>6</v>
      </c>
      <c r="B8" s="167" t="str">
        <f>IF(F8&lt;&gt;" ",ETANCHEITE!$D$5,"")</f>
        <v/>
      </c>
      <c r="C8" s="167" t="str">
        <f>IF(F8&lt;&gt;" ",ETANCHEITE!$D$8,"")</f>
        <v/>
      </c>
      <c r="D8" s="159" t="str">
        <f>IFERROR(MATCH(A8,ETANCHEITE!Q$19:Q$164,0)+18,"")</f>
        <v/>
      </c>
      <c r="E8" s="160" t="str" cm="1">
        <f t="array" aca="1" ref="E8" ca="1">IFERROR(IF(_xlfn.XLOOKUP(A8,ETANCHEITE!Q$19:Q$164,ETANCHEITE!$A$19:$A$164,"")&lt;&gt;"",_xlfn.XLOOKUP(A8,ETANCHEITE!Q$19:Q$164,ETANCHEITE!$A$19:$A$164,""),    INDEX(ETANCHEITE!$A:$A,MAX(_xlfn._xlws.FILTER(ROW(ETANCHEITE!$A$19:INDIRECT("'MENUISERIES EXTERIEURES'!$A" &amp; D8-1)),ETANCHEITE!$A$19:INDIRECT("'MENUISERIES EXTERIEURES'!$A" &amp; D8-1)&lt;&gt;"")))),"")&amp;"   "&amp;IFERROR(_xlfn.XLOOKUP(A8,ETANCHEITE!Q$19:Q$164,ETANCHEITE!$B$19:$B$164),"")&amp;IFERROR(_xlfn.XLOOKUP(A8,ETANCHEITE!Q$19:Q$164,ETANCHEITE!$C$19:$C$164),"")&amp;IFERROR(_xlfn.XLOOKUP(A8,ETANCHEITE!Q$19:Q$164,ETANCHEITE!$D$19:$D$164),"")&amp;IFERROR(_xlfn.XLOOKUP(A8,ETANCHEITE!Q$19:Q$164,ETANCHEITE!$E$19:$E$164),"")&amp;IFERROR(_xlfn.XLOOKUP(A8,ETANCHEITE!Q$19:Q$164,ETANCHEITE!$F$19:$F$164),"")</f>
        <v xml:space="preserve">   </v>
      </c>
      <c r="F8" s="168" t="str">
        <f>IFERROR(VLOOKUP(A8,ETANCHEITE!Q$19:S$164,2,FALSE),"")&amp;" "&amp;IFERROR(VLOOKUP(A8,ETANCHEITE!Q$19:S$164,3,FALSE),"")</f>
        <v xml:space="preserve"> </v>
      </c>
      <c r="G8" s="161" t="str">
        <f>IF(F8&lt;&gt;" ",'Feuille de Donnée'!$C$3,"")</f>
        <v/>
      </c>
      <c r="H8" s="232" t="str" cm="1">
        <f t="array" aca="1" ref="H8" ca="1">IFERROR(IF(_xlfn.XLOOKUP(A8,ETANCHEITE!Q$19:Q$89,ETANCHEITE!O$19:O$89,"")&lt;&gt;"",_xlfn.XLOOKUP(A8,ETANCHEITE!Q$19:Q$89,ETANCHEITE!O$19:O$89,""),    INDEX(ETANCHEITE!O:O,MAX(_xlfn._xlws.FILTER(ROW(ETANCHEITE!O$19:INDIRECT("'PEINTURE'!O" &amp; D8-1)),ETANCHEITE!O$19:INDIRECT("'PEINTURE'!O" &amp; D8-1)&lt;&gt;"")))),"")</f>
        <v/>
      </c>
      <c r="I8" s="233" t="str" cm="1">
        <f t="array" aca="1" ref="I8" ca="1">IFERROR(IF(_xlfn.XLOOKUP(A8,ETANCHEITE!Q$19:Q$89,ETANCHEITE!P$19:P$89,"")&lt;&gt;"",_xlfn.XLOOKUP(A8,ETANCHEITE!Q$19:Q$89,ETANCHEITE!P$19:P$89,""),    INDEX(ETANCHEITE!P:P,MAX(_xlfn._xlws.FILTER(ROW(ETANCHEITE!P$19:INDIRECT("'PEINTURE'!P" &amp; D8-1)),ETANCHEITE!P$19:INDIRECT("'PEINTURE'!P" &amp; D8-1)&lt;&gt;"")))),"")</f>
        <v/>
      </c>
      <c r="J8" s="158">
        <v>6</v>
      </c>
      <c r="K8" s="167" t="str">
        <f>IF(O8&lt;&gt;" ",ETANCHEITE!$D$5,"")</f>
        <v/>
      </c>
      <c r="L8" s="167" t="str">
        <f>IF(O8&lt;&gt;" ",ETANCHEITE!$D$8,"")</f>
        <v/>
      </c>
      <c r="M8" s="159" t="str">
        <f>IFERROR(MATCH(J8,ETANCHEITE!Z$19:Z$164,0)+18,"")</f>
        <v/>
      </c>
      <c r="N8" s="160" t="str" cm="1">
        <f t="array" aca="1" ref="N8" ca="1">IFERROR(IF(_xlfn.XLOOKUP(J8,ETANCHEITE!Z$19:Z$164,ETANCHEITE!$A$19:$A$164,"")&lt;&gt;"",_xlfn.XLOOKUP(J8,ETANCHEITE!Z$19:Z$164,ETANCHEITE!$A$19:$A$164,""),    INDEX(ETANCHEITE!$A:$A,MAX(_xlfn._xlws.FILTER(ROW(ETANCHEITE!$A$19:INDIRECT("'MENUISERIES EXTERIEURES'!$A" &amp; M8-1)),ETANCHEITE!$A$19:INDIRECT("'MENUISERIES EXTERIEURES'!$A" &amp; M8-1)&lt;&gt;"")))),"")&amp;"   "&amp;IFERROR(_xlfn.XLOOKUP(J8,ETANCHEITE!Z$19:Z$164,ETANCHEITE!$B$19:$B$164),"")&amp;IFERROR(_xlfn.XLOOKUP(J8,ETANCHEITE!Z$19:Z$164,ETANCHEITE!$C$19:$C$164),"")&amp;IFERROR(_xlfn.XLOOKUP(J8,ETANCHEITE!Z$19:Z$164,ETANCHEITE!$D$19:$D$164),"")&amp;IFERROR(_xlfn.XLOOKUP(J8,ETANCHEITE!Z$19:Z$164,ETANCHEITE!$E$19:$E$164),"")&amp;IFERROR(_xlfn.XLOOKUP(J8,ETANCHEITE!Z$19:Z$164,ETANCHEITE!$F$19:$F$164),"")</f>
        <v xml:space="preserve">   </v>
      </c>
      <c r="O8" s="168" t="str">
        <f>IFERROR(VLOOKUP(J8,ETANCHEITE!Z$19:AB$164,2,FALSE),"")&amp;" "&amp;IFERROR(VLOOKUP(J8,ETANCHEITE!Z$19:AB$164,3,FALSE),"")</f>
        <v xml:space="preserve"> </v>
      </c>
      <c r="P8" s="161" t="str">
        <f>IF(O8&lt;&gt;" ",'Feuille de Donnée'!$C$3,"")</f>
        <v/>
      </c>
      <c r="Q8" s="232" t="str" cm="1">
        <f t="array" aca="1" ref="Q8" ca="1">IFERROR(IF(_xlfn.XLOOKUP(J8,ETANCHEITE!Z$19:Z$89,ETANCHEITE!X$19:X$89,"")&lt;&gt;"",_xlfn.XLOOKUP(J8,ETANCHEITE!Z$19:Z$89,ETANCHEITE!X$19:X$89,""),    INDEX(ETANCHEITE!X:X,MAX(_xlfn._xlws.FILTER(ROW(ETANCHEITE!X$19:INDIRECT("'PEINTURE'!O" &amp; M8-1)),ETANCHEITE!X$19:INDIRECT("'PEINTURE'!O" &amp; M8-1)&lt;&gt;"")))),"")</f>
        <v/>
      </c>
      <c r="R8" s="233" t="str" cm="1">
        <f t="array" aca="1" ref="R8" ca="1">IFERROR(IF(_xlfn.XLOOKUP(J8,ETANCHEITE!Z$19:Z$89,ETANCHEITE!Y$19:Y$89,"")&lt;&gt;"",_xlfn.XLOOKUP(J8,ETANCHEITE!Z$19:Z$89,ETANCHEITE!Y$19:Y$89,""),    INDEX(ETANCHEITE!Y:Y,MAX(_xlfn._xlws.FILTER(ROW(ETANCHEITE!Y$19:INDIRECT("'PEINTURE'!P" &amp; M8-1)),ETANCHEITE!Y$19:INDIRECT("'PEINTURE'!P" &amp; M8-1)&lt;&gt;"")))),"")</f>
        <v/>
      </c>
      <c r="S8" s="158">
        <v>6</v>
      </c>
      <c r="T8" s="167" t="str">
        <f>IF(X8&lt;&gt;" ",ETANCHEITE!$D$5,"")</f>
        <v/>
      </c>
      <c r="U8" s="167" t="str">
        <f>IF(X8&lt;&gt;" ",ETANCHEITE!$D$8,"")</f>
        <v/>
      </c>
      <c r="V8" s="159" t="str">
        <f>IFERROR(MATCH(S8,ETANCHEITE!AI$19:AI$164,0)+18,"")</f>
        <v/>
      </c>
      <c r="W8" s="160" t="str" cm="1">
        <f t="array" aca="1" ref="W8" ca="1">IFERROR(IF(_xlfn.XLOOKUP(S8,ETANCHEITE!AI$19:AI$164,ETANCHEITE!$A$19:$A$164,"")&lt;&gt;"",_xlfn.XLOOKUP(S8,ETANCHEITE!AI$19:AI$164,ETANCHEITE!$A$19:$A$164,""),    INDEX(ETANCHEITE!$A:$A,MAX(_xlfn._xlws.FILTER(ROW(ETANCHEITE!$A$19:INDIRECT("'MENUISERIES EXTERIEURES'!$A" &amp; V8-1)),ETANCHEITE!$A$19:INDIRECT("'MENUISERIES EXTERIEURES'!$A" &amp; V8-1)&lt;&gt;"")))),"")&amp;"   "&amp;IFERROR(_xlfn.XLOOKUP(S8,ETANCHEITE!AI$19:AI$164,ETANCHEITE!$B$19:$B$164),"")&amp;IFERROR(_xlfn.XLOOKUP(S8,ETANCHEITE!AI$19:AI$164,ETANCHEITE!$C$19:$C$164),"")&amp;IFERROR(_xlfn.XLOOKUP(S8,ETANCHEITE!AI$19:AI$164,ETANCHEITE!$D$19:$D$164),"")&amp;IFERROR(_xlfn.XLOOKUP(S8,ETANCHEITE!AI$19:AI$164,ETANCHEITE!$E$19:$E$164),"")&amp;IFERROR(_xlfn.XLOOKUP(S8,ETANCHEITE!AI$19:AI$164,ETANCHEITE!$F$19:$F$164),"")</f>
        <v xml:space="preserve">   </v>
      </c>
      <c r="X8" s="168" t="str">
        <f>IFERROR(VLOOKUP(S8,ETANCHEITE!AI$19:AK$164,2,FALSE),"")&amp;" "&amp;IFERROR(VLOOKUP(S8,ETANCHEITE!AI$19:AK$164,3,FALSE),"")</f>
        <v xml:space="preserve"> </v>
      </c>
      <c r="Y8" s="161" t="str">
        <f>IF(X8&lt;&gt;" ",'Feuille de Donnée'!$C$3,"")</f>
        <v/>
      </c>
      <c r="Z8" s="232" t="str" cm="1">
        <f t="array" aca="1" ref="Z8" ca="1">IFERROR(IF(_xlfn.XLOOKUP(S8,ETANCHEITE!AI$19:AI$89,ETANCHEITE!AG$19:AG$89,"")&lt;&gt;"",_xlfn.XLOOKUP(S8,ETANCHEITE!AI$19:AI$89,ETANCHEITE!AG$19:AG$89,""),    INDEX(ETANCHEITE!AG:AG,MAX(_xlfn._xlws.FILTER(ROW(ETANCHEITE!AG$19:INDIRECT("'PEINTURE'!O" &amp; V8-1)),ETANCHEITE!AG$19:INDIRECT("'PEINTURE'!O" &amp; V8-1)&lt;&gt;"")))),"")</f>
        <v/>
      </c>
      <c r="AA8" s="233" t="str" cm="1">
        <f t="array" aca="1" ref="AA8" ca="1">IFERROR(IF(_xlfn.XLOOKUP(S8,ETANCHEITE!AI$19:AI$89,ETANCHEITE!AH$19:AH$89,"")&lt;&gt;"",_xlfn.XLOOKUP(S8,ETANCHEITE!AI$19:AI$89,ETANCHEITE!AH$19:AH$89,""),    INDEX(ETANCHEITE!AH:AH,MAX(_xlfn._xlws.FILTER(ROW(ETANCHEITE!AH$19:INDIRECT("'PEINTURE'!P" &amp; V8-1)),ETANCHEITE!AH$19:INDIRECT("'PEINTURE'!P" &amp; V8-1)&lt;&gt;"")))),"")</f>
        <v/>
      </c>
      <c r="AB8" s="158">
        <v>6</v>
      </c>
      <c r="AC8" s="167" t="str">
        <f>IF(AG8&lt;&gt;" ",ETANCHEITE!$D$5,"")</f>
        <v/>
      </c>
      <c r="AD8" s="167" t="str">
        <f>IF(AG8&lt;&gt;" ",ETANCHEITE!$D$8,"")</f>
        <v/>
      </c>
      <c r="AE8" s="159" t="str">
        <f>IFERROR(MATCH(AB8,ETANCHEITE!AR$19:AR$164,0)+18,"")</f>
        <v/>
      </c>
      <c r="AF8" s="160" t="str" cm="1">
        <f t="array" aca="1" ref="AF8" ca="1">IFERROR(IF(_xlfn.XLOOKUP(AB8,ETANCHEITE!AR$19:AR$164,ETANCHEITE!$A$19:$A$164,"")&lt;&gt;"",_xlfn.XLOOKUP(AB8,ETANCHEITE!AR$19:AR$164,ETANCHEITE!$A$19:$A$164,""),    INDEX(ETANCHEITE!$A:$A,MAX(_xlfn._xlws.FILTER(ROW(ETANCHEITE!$A$19:INDIRECT("'MENUISERIES EXTERIEURES'!$A" &amp; AE8-1)),ETANCHEITE!$A$19:INDIRECT("'MENUISERIES EXTERIEURES'!$A" &amp; AE8-1)&lt;&gt;"")))),"")&amp;"   "&amp;IFERROR(_xlfn.XLOOKUP(AB8,ETANCHEITE!AR$19:AR$164,ETANCHEITE!$B$19:$B$164),"")&amp;IFERROR(_xlfn.XLOOKUP(AB8,ETANCHEITE!AR$19:AR$164,ETANCHEITE!$C$19:$C$164),"")&amp;IFERROR(_xlfn.XLOOKUP(AB8,ETANCHEITE!AR$19:AR$164,ETANCHEITE!$D$19:$D$164),"")&amp;IFERROR(_xlfn.XLOOKUP(AB8,ETANCHEITE!AR$19:AR$164,ETANCHEITE!$E$19:$E$164),"")&amp;IFERROR(_xlfn.XLOOKUP(AB8,ETANCHEITE!AR$19:AR$164,ETANCHEITE!$F$19:$F$164),"")</f>
        <v xml:space="preserve">   </v>
      </c>
      <c r="AG8" s="168" t="str">
        <f>IFERROR(VLOOKUP(AB8,ETANCHEITE!AR$19:AT$164,2,FALSE),"")&amp;" "&amp;IFERROR(VLOOKUP(AB8,ETANCHEITE!AR$19:AT$164,3,FALSE),"")</f>
        <v xml:space="preserve"> </v>
      </c>
      <c r="AH8" s="161" t="str">
        <f>IF(AG8&lt;&gt;" ",'Feuille de Donnée'!$C$3,"")</f>
        <v/>
      </c>
      <c r="AI8" s="232" t="str" cm="1">
        <f t="array" aca="1" ref="AI8" ca="1">IFERROR(IF(_xlfn.XLOOKUP(AB8,ETANCHEITE!AR$19:AR$89,ETANCHEITE!AP$19:AP$89,"")&lt;&gt;"",_xlfn.XLOOKUP(AB8,ETANCHEITE!AR$19:AR$89,ETANCHEITE!AP$19:AP$89,""),    INDEX(ETANCHEITE!AP:AP,MAX(_xlfn._xlws.FILTER(ROW(ETANCHEITE!AP$19:INDIRECT("'PEINTURE'!O" &amp; AE8-1)),ETANCHEITE!AP$19:INDIRECT("'PEINTURE'!O" &amp; AE8-1)&lt;&gt;"")))),"")</f>
        <v/>
      </c>
      <c r="AJ8" s="233" t="str" cm="1">
        <f t="array" aca="1" ref="AJ8" ca="1">IFERROR(IF(_xlfn.XLOOKUP(AB8,ETANCHEITE!AR$19:AR$89,ETANCHEITE!AQ$19:AQ$89,"")&lt;&gt;"",_xlfn.XLOOKUP(AB8,ETANCHEITE!AR$19:AR$89,ETANCHEITE!AQ$19:AQ$89,""),    INDEX(ETANCHEITE!AQ:AQ,MAX(_xlfn._xlws.FILTER(ROW(ETANCHEITE!AQ$19:INDIRECT("'PEINTURE'!P" &amp; AE8-1)),ETANCHEITE!AQ$19:INDIRECT("'PEINTURE'!P" &amp; AE8-1)&lt;&gt;"")))),"")</f>
        <v/>
      </c>
      <c r="AK8" s="158">
        <v>6</v>
      </c>
      <c r="AL8" s="167" t="str">
        <f>IF(AP8&lt;&gt;" ",ETANCHEITE!$D$5,"")</f>
        <v/>
      </c>
      <c r="AM8" s="167" t="str">
        <f>IF(AP8&lt;&gt;" ",ETANCHEITE!$D$8,"")</f>
        <v/>
      </c>
      <c r="AN8" s="159" t="str">
        <f>IFERROR(MATCH(AK8,ETANCHEITE!BA$19:BA$164,0)+18,"")</f>
        <v/>
      </c>
      <c r="AO8" s="160" t="str" cm="1">
        <f t="array" aca="1" ref="AO8" ca="1">IFERROR(IF(_xlfn.XLOOKUP(AK8,ETANCHEITE!BA$19:BA$164,ETANCHEITE!$A$19:$A$164,"")&lt;&gt;"",_xlfn.XLOOKUP(AK8,ETANCHEITE!BA$19:BA$164,ETANCHEITE!$A$19:$A$164,""),    INDEX(ETANCHEITE!$A:$A,MAX(_xlfn._xlws.FILTER(ROW(ETANCHEITE!$A$19:INDIRECT("'MENUISERIES EXTERIEURES'!$A" &amp; AN8-1)),ETANCHEITE!$A$19:INDIRECT("'MENUISERIES EXTERIEURES'!$A" &amp; AN8-1)&lt;&gt;"")))),"")&amp;"   "&amp;IFERROR(_xlfn.XLOOKUP(AK8,ETANCHEITE!BA$19:BA$164,ETANCHEITE!$B$19:$B$164),"")&amp;IFERROR(_xlfn.XLOOKUP(AK8,ETANCHEITE!BA$19:BA$164,ETANCHEITE!$C$19:$C$164),"")&amp;IFERROR(_xlfn.XLOOKUP(AK8,ETANCHEITE!BA$19:BA$164,ETANCHEITE!$D$19:$D$164),"")&amp;IFERROR(_xlfn.XLOOKUP(AK8,ETANCHEITE!BA$19:BA$164,ETANCHEITE!$E$19:$E$164),"")&amp;IFERROR(_xlfn.XLOOKUP(AK8,ETANCHEITE!BA$19:BA$164,ETANCHEITE!$F$19:$F$164),"")</f>
        <v xml:space="preserve">   </v>
      </c>
      <c r="AP8" s="168" t="str">
        <f>IFERROR(VLOOKUP(AK8,ETANCHEITE!BA$19:BC$164,2,FALSE),"")&amp;" "&amp;IFERROR(VLOOKUP(AK8,ETANCHEITE!BA$19:BC$164,3,FALSE),"")</f>
        <v xml:space="preserve"> </v>
      </c>
      <c r="AQ8" s="161" t="str">
        <f>IF(AP8&lt;&gt;" ",'Feuille de Donnée'!$C$3,"")</f>
        <v/>
      </c>
      <c r="AR8" s="232" t="str" cm="1">
        <f t="array" aca="1" ref="AR8" ca="1">IFERROR(IF(_xlfn.XLOOKUP(AK8,ETANCHEITE!BA$19:BA$89,ETANCHEITE!AY$19:AY$89,"")&lt;&gt;"",_xlfn.XLOOKUP(AK8,ETANCHEITE!BA$19:BA$89,ETANCHEITE!AY$19:AY$89,""),    INDEX(ETANCHEITE!AY:AY,MAX(_xlfn._xlws.FILTER(ROW(ETANCHEITE!AY$19:INDIRECT("'PEINTURE'!O" &amp; AN8-1)),ETANCHEITE!AY$19:INDIRECT("'PEINTURE'!O" &amp; AN8-1)&lt;&gt;"")))),"")</f>
        <v/>
      </c>
      <c r="AS8" s="233" t="str" cm="1">
        <f t="array" aca="1" ref="AS8" ca="1">IFERROR(IF(_xlfn.XLOOKUP(AK8,ETANCHEITE!BA$19:BA$89,ETANCHEITE!AZ$19:AZ$89,"")&lt;&gt;"",_xlfn.XLOOKUP(AK8,ETANCHEITE!BA$19:BA$89,ETANCHEITE!AZ$19:AZ$89,""),    INDEX(ETANCHEITE!AZ:AZ,MAX(_xlfn._xlws.FILTER(ROW(ETANCHEITE!AZ$19:INDIRECT("'PEINTURE'!P" &amp; AN8-1)),ETANCHEITE!AZ$19:INDIRECT("'PEINTURE'!P" &amp; AN8-1)&lt;&gt;"")))),"")</f>
        <v/>
      </c>
      <c r="AT8" s="158">
        <v>6</v>
      </c>
      <c r="AU8" s="167" t="str">
        <f>IF(AY8&lt;&gt;" ",ETANCHEITE!$D$5,"")</f>
        <v/>
      </c>
      <c r="AV8" s="167" t="str">
        <f>IF(AY8&lt;&gt;" ",ETANCHEITE!$D$8,"")</f>
        <v/>
      </c>
      <c r="AW8" s="159" t="str">
        <f>IFERROR(MATCH(AT8,ETANCHEITE!BJ$19:BJ$164,0)+18,"")</f>
        <v/>
      </c>
      <c r="AX8" s="160" t="str" cm="1">
        <f t="array" aca="1" ref="AX8" ca="1">IFERROR(IF(_xlfn.XLOOKUP(AT8,ETANCHEITE!BJ$19:BJ$164,ETANCHEITE!$A$19:$A$164,"")&lt;&gt;"",_xlfn.XLOOKUP(AT8,ETANCHEITE!BJ$19:BJ$164,ETANCHEITE!$A$19:$A$164,""),    INDEX(ETANCHEITE!$A:$A,MAX(_xlfn._xlws.FILTER(ROW(ETANCHEITE!$A$19:INDIRECT("'MENUISERIES EXTERIEURES'!$A" &amp; AW8-1)),ETANCHEITE!$A$19:INDIRECT("'MENUISERIES EXTERIEURES'!$A" &amp; AW8-1)&lt;&gt;"")))),"")&amp;"   "&amp;IFERROR(_xlfn.XLOOKUP(AT8,ETANCHEITE!BJ$19:BJ$164,ETANCHEITE!$B$19:$B$164),"")&amp;IFERROR(_xlfn.XLOOKUP(AT8,ETANCHEITE!BJ$19:BJ$164,ETANCHEITE!$C$19:$C$164),"")&amp;IFERROR(_xlfn.XLOOKUP(AT8,ETANCHEITE!BJ$19:BJ$164,ETANCHEITE!$D$19:$D$164),"")&amp;IFERROR(_xlfn.XLOOKUP(AT8,ETANCHEITE!BJ$19:BJ$164,ETANCHEITE!$E$19:$E$164),"")&amp;IFERROR(_xlfn.XLOOKUP(AT8,ETANCHEITE!BJ$19:BJ$164,ETANCHEITE!$F$19:$F$164),"")</f>
        <v xml:space="preserve">   </v>
      </c>
      <c r="AY8" s="168" t="str">
        <f>IFERROR(VLOOKUP(AT8,ETANCHEITE!BJ$19:BL$164,2,FALSE),"")&amp;" "&amp;IFERROR(VLOOKUP(AT8,ETANCHEITE!BJ$19:BL$164,3,FALSE),"")</f>
        <v xml:space="preserve"> </v>
      </c>
      <c r="AZ8" s="161" t="str">
        <f>IF(AY8&lt;&gt;" ",'Feuille de Donnée'!$C$3,"")</f>
        <v/>
      </c>
      <c r="BA8" s="232" t="str" cm="1">
        <f t="array" aca="1" ref="BA8" ca="1">IFERROR(IF(_xlfn.XLOOKUP(AT8,ETANCHEITE!BJ$19:BJ$89,ETANCHEITE!BH$19:BH$89,"")&lt;&gt;"",_xlfn.XLOOKUP(AT8,ETANCHEITE!BJ$19:BJ$89,ETANCHEITE!BH$19:BH$89,""),    INDEX(ETANCHEITE!BH:BH,MAX(_xlfn._xlws.FILTER(ROW(ETANCHEITE!BH$19:INDIRECT("'PEINTURE'!O" &amp; AW8-1)),ETANCHEITE!BH$19:INDIRECT("'PEINTURE'!O" &amp; AW8-1)&lt;&gt;"")))),"")</f>
        <v/>
      </c>
      <c r="BB8" s="233" t="str" cm="1">
        <f t="array" aca="1" ref="BB8" ca="1">IFERROR(IF(_xlfn.XLOOKUP(AT8,ETANCHEITE!BJ$19:BJ$89,ETANCHEITE!BI$19:BI$89,"")&lt;&gt;"",_xlfn.XLOOKUP(AT8,ETANCHEITE!BJ$19:BJ$89,ETANCHEITE!BI$19:BI$89,""),    INDEX(ETANCHEITE!BI:BI,MAX(_xlfn._xlws.FILTER(ROW(ETANCHEITE!BI$19:INDIRECT("'PEINTURE'!P" &amp; AW8-1)),ETANCHEITE!BI$19:INDIRECT("'PEINTURE'!P" &amp; AW8-1)&lt;&gt;"")))),"")</f>
        <v/>
      </c>
    </row>
    <row r="9" spans="1:54" ht="15" customHeight="1" x14ac:dyDescent="0.3">
      <c r="A9" s="158">
        <v>7</v>
      </c>
      <c r="B9" s="167" t="str">
        <f>IF(F9&lt;&gt;" ",ETANCHEITE!$D$5,"")</f>
        <v/>
      </c>
      <c r="C9" s="167" t="str">
        <f>IF(F9&lt;&gt;" ",ETANCHEITE!$D$8,"")</f>
        <v/>
      </c>
      <c r="D9" s="159" t="str">
        <f>IFERROR(MATCH(A9,ETANCHEITE!Q$19:Q$164,0)+18,"")</f>
        <v/>
      </c>
      <c r="E9" s="160" t="str" cm="1">
        <f t="array" aca="1" ref="E9" ca="1">IFERROR(IF(_xlfn.XLOOKUP(A9,ETANCHEITE!Q$19:Q$164,ETANCHEITE!$A$19:$A$164,"")&lt;&gt;"",_xlfn.XLOOKUP(A9,ETANCHEITE!Q$19:Q$164,ETANCHEITE!$A$19:$A$164,""),    INDEX(ETANCHEITE!$A:$A,MAX(_xlfn._xlws.FILTER(ROW(ETANCHEITE!$A$19:INDIRECT("'MENUISERIES EXTERIEURES'!$A" &amp; D9-1)),ETANCHEITE!$A$19:INDIRECT("'MENUISERIES EXTERIEURES'!$A" &amp; D9-1)&lt;&gt;"")))),"")&amp;"   "&amp;IFERROR(_xlfn.XLOOKUP(A9,ETANCHEITE!Q$19:Q$164,ETANCHEITE!$B$19:$B$164),"")&amp;IFERROR(_xlfn.XLOOKUP(A9,ETANCHEITE!Q$19:Q$164,ETANCHEITE!$C$19:$C$164),"")&amp;IFERROR(_xlfn.XLOOKUP(A9,ETANCHEITE!Q$19:Q$164,ETANCHEITE!$D$19:$D$164),"")&amp;IFERROR(_xlfn.XLOOKUP(A9,ETANCHEITE!Q$19:Q$164,ETANCHEITE!$E$19:$E$164),"")&amp;IFERROR(_xlfn.XLOOKUP(A9,ETANCHEITE!Q$19:Q$164,ETANCHEITE!$F$19:$F$164),"")</f>
        <v xml:space="preserve">   </v>
      </c>
      <c r="F9" s="168" t="str">
        <f>IFERROR(VLOOKUP(A9,ETANCHEITE!Q$19:S$164,2,FALSE),"")&amp;" "&amp;IFERROR(VLOOKUP(A9,ETANCHEITE!Q$19:S$164,3,FALSE),"")</f>
        <v xml:space="preserve"> </v>
      </c>
      <c r="G9" s="161" t="str">
        <f>IF(F9&lt;&gt;" ",'Feuille de Donnée'!$C$3,"")</f>
        <v/>
      </c>
      <c r="H9" s="232" t="str" cm="1">
        <f t="array" aca="1" ref="H9" ca="1">IFERROR(IF(_xlfn.XLOOKUP(A9,ETANCHEITE!Q$19:Q$89,ETANCHEITE!O$19:O$89,"")&lt;&gt;"",_xlfn.XLOOKUP(A9,ETANCHEITE!Q$19:Q$89,ETANCHEITE!O$19:O$89,""),    INDEX(ETANCHEITE!O:O,MAX(_xlfn._xlws.FILTER(ROW(ETANCHEITE!O$19:INDIRECT("'PEINTURE'!O" &amp; D9-1)),ETANCHEITE!O$19:INDIRECT("'PEINTURE'!O" &amp; D9-1)&lt;&gt;"")))),"")</f>
        <v/>
      </c>
      <c r="I9" s="233" t="str" cm="1">
        <f t="array" aca="1" ref="I9" ca="1">IFERROR(IF(_xlfn.XLOOKUP(A9,ETANCHEITE!Q$19:Q$89,ETANCHEITE!P$19:P$89,"")&lt;&gt;"",_xlfn.XLOOKUP(A9,ETANCHEITE!Q$19:Q$89,ETANCHEITE!P$19:P$89,""),    INDEX(ETANCHEITE!P:P,MAX(_xlfn._xlws.FILTER(ROW(ETANCHEITE!P$19:INDIRECT("'PEINTURE'!P" &amp; D9-1)),ETANCHEITE!P$19:INDIRECT("'PEINTURE'!P" &amp; D9-1)&lt;&gt;"")))),"")</f>
        <v/>
      </c>
      <c r="J9" s="158">
        <v>7</v>
      </c>
      <c r="K9" s="167" t="str">
        <f>IF(O9&lt;&gt;" ",ETANCHEITE!$D$5,"")</f>
        <v/>
      </c>
      <c r="L9" s="167" t="str">
        <f>IF(O9&lt;&gt;" ",ETANCHEITE!$D$8,"")</f>
        <v/>
      </c>
      <c r="M9" s="159" t="str">
        <f>IFERROR(MATCH(J9,ETANCHEITE!Z$19:Z$164,0)+18,"")</f>
        <v/>
      </c>
      <c r="N9" s="160" t="str" cm="1">
        <f t="array" aca="1" ref="N9" ca="1">IFERROR(IF(_xlfn.XLOOKUP(J9,ETANCHEITE!Z$19:Z$164,ETANCHEITE!$A$19:$A$164,"")&lt;&gt;"",_xlfn.XLOOKUP(J9,ETANCHEITE!Z$19:Z$164,ETANCHEITE!$A$19:$A$164,""),    INDEX(ETANCHEITE!$A:$A,MAX(_xlfn._xlws.FILTER(ROW(ETANCHEITE!$A$19:INDIRECT("'MENUISERIES EXTERIEURES'!$A" &amp; M9-1)),ETANCHEITE!$A$19:INDIRECT("'MENUISERIES EXTERIEURES'!$A" &amp; M9-1)&lt;&gt;"")))),"")&amp;"   "&amp;IFERROR(_xlfn.XLOOKUP(J9,ETANCHEITE!Z$19:Z$164,ETANCHEITE!$B$19:$B$164),"")&amp;IFERROR(_xlfn.XLOOKUP(J9,ETANCHEITE!Z$19:Z$164,ETANCHEITE!$C$19:$C$164),"")&amp;IFERROR(_xlfn.XLOOKUP(J9,ETANCHEITE!Z$19:Z$164,ETANCHEITE!$D$19:$D$164),"")&amp;IFERROR(_xlfn.XLOOKUP(J9,ETANCHEITE!Z$19:Z$164,ETANCHEITE!$E$19:$E$164),"")&amp;IFERROR(_xlfn.XLOOKUP(J9,ETANCHEITE!Z$19:Z$164,ETANCHEITE!$F$19:$F$164),"")</f>
        <v xml:space="preserve">   </v>
      </c>
      <c r="O9" s="168" t="str">
        <f>IFERROR(VLOOKUP(J9,ETANCHEITE!Z$19:AB$164,2,FALSE),"")&amp;" "&amp;IFERROR(VLOOKUP(J9,ETANCHEITE!Z$19:AB$164,3,FALSE),"")</f>
        <v xml:space="preserve"> </v>
      </c>
      <c r="P9" s="161" t="str">
        <f>IF(O9&lt;&gt;" ",'Feuille de Donnée'!$C$3,"")</f>
        <v/>
      </c>
      <c r="Q9" s="232" t="str" cm="1">
        <f t="array" aca="1" ref="Q9" ca="1">IFERROR(IF(_xlfn.XLOOKUP(J9,ETANCHEITE!Z$19:Z$89,ETANCHEITE!X$19:X$89,"")&lt;&gt;"",_xlfn.XLOOKUP(J9,ETANCHEITE!Z$19:Z$89,ETANCHEITE!X$19:X$89,""),    INDEX(ETANCHEITE!X:X,MAX(_xlfn._xlws.FILTER(ROW(ETANCHEITE!X$19:INDIRECT("'PEINTURE'!O" &amp; M9-1)),ETANCHEITE!X$19:INDIRECT("'PEINTURE'!O" &amp; M9-1)&lt;&gt;"")))),"")</f>
        <v/>
      </c>
      <c r="R9" s="233" t="str" cm="1">
        <f t="array" aca="1" ref="R9" ca="1">IFERROR(IF(_xlfn.XLOOKUP(J9,ETANCHEITE!Z$19:Z$89,ETANCHEITE!Y$19:Y$89,"")&lt;&gt;"",_xlfn.XLOOKUP(J9,ETANCHEITE!Z$19:Z$89,ETANCHEITE!Y$19:Y$89,""),    INDEX(ETANCHEITE!Y:Y,MAX(_xlfn._xlws.FILTER(ROW(ETANCHEITE!Y$19:INDIRECT("'PEINTURE'!P" &amp; M9-1)),ETANCHEITE!Y$19:INDIRECT("'PEINTURE'!P" &amp; M9-1)&lt;&gt;"")))),"")</f>
        <v/>
      </c>
      <c r="S9" s="158">
        <v>7</v>
      </c>
      <c r="T9" s="167" t="str">
        <f>IF(X9&lt;&gt;" ",ETANCHEITE!$D$5,"")</f>
        <v/>
      </c>
      <c r="U9" s="167" t="str">
        <f>IF(X9&lt;&gt;" ",ETANCHEITE!$D$8,"")</f>
        <v/>
      </c>
      <c r="V9" s="159" t="str">
        <f>IFERROR(MATCH(S9,ETANCHEITE!AI$19:AI$164,0)+18,"")</f>
        <v/>
      </c>
      <c r="W9" s="160" t="str" cm="1">
        <f t="array" aca="1" ref="W9" ca="1">IFERROR(IF(_xlfn.XLOOKUP(S9,ETANCHEITE!AI$19:AI$164,ETANCHEITE!$A$19:$A$164,"")&lt;&gt;"",_xlfn.XLOOKUP(S9,ETANCHEITE!AI$19:AI$164,ETANCHEITE!$A$19:$A$164,""),    INDEX(ETANCHEITE!$A:$A,MAX(_xlfn._xlws.FILTER(ROW(ETANCHEITE!$A$19:INDIRECT("'MENUISERIES EXTERIEURES'!$A" &amp; V9-1)),ETANCHEITE!$A$19:INDIRECT("'MENUISERIES EXTERIEURES'!$A" &amp; V9-1)&lt;&gt;"")))),"")&amp;"   "&amp;IFERROR(_xlfn.XLOOKUP(S9,ETANCHEITE!AI$19:AI$164,ETANCHEITE!$B$19:$B$164),"")&amp;IFERROR(_xlfn.XLOOKUP(S9,ETANCHEITE!AI$19:AI$164,ETANCHEITE!$C$19:$C$164),"")&amp;IFERROR(_xlfn.XLOOKUP(S9,ETANCHEITE!AI$19:AI$164,ETANCHEITE!$D$19:$D$164),"")&amp;IFERROR(_xlfn.XLOOKUP(S9,ETANCHEITE!AI$19:AI$164,ETANCHEITE!$E$19:$E$164),"")&amp;IFERROR(_xlfn.XLOOKUP(S9,ETANCHEITE!AI$19:AI$164,ETANCHEITE!$F$19:$F$164),"")</f>
        <v xml:space="preserve">   </v>
      </c>
      <c r="X9" s="168" t="str">
        <f>IFERROR(VLOOKUP(S9,ETANCHEITE!AI$19:AK$164,2,FALSE),"")&amp;" "&amp;IFERROR(VLOOKUP(S9,ETANCHEITE!AI$19:AK$164,3,FALSE),"")</f>
        <v xml:space="preserve"> </v>
      </c>
      <c r="Y9" s="161" t="str">
        <f>IF(X9&lt;&gt;" ",'Feuille de Donnée'!$C$3,"")</f>
        <v/>
      </c>
      <c r="Z9" s="232" t="str" cm="1">
        <f t="array" aca="1" ref="Z9" ca="1">IFERROR(IF(_xlfn.XLOOKUP(S9,ETANCHEITE!AI$19:AI$89,ETANCHEITE!AG$19:AG$89,"")&lt;&gt;"",_xlfn.XLOOKUP(S9,ETANCHEITE!AI$19:AI$89,ETANCHEITE!AG$19:AG$89,""),    INDEX(ETANCHEITE!AG:AG,MAX(_xlfn._xlws.FILTER(ROW(ETANCHEITE!AG$19:INDIRECT("'PEINTURE'!O" &amp; V9-1)),ETANCHEITE!AG$19:INDIRECT("'PEINTURE'!O" &amp; V9-1)&lt;&gt;"")))),"")</f>
        <v/>
      </c>
      <c r="AA9" s="233" t="str" cm="1">
        <f t="array" aca="1" ref="AA9" ca="1">IFERROR(IF(_xlfn.XLOOKUP(S9,ETANCHEITE!AI$19:AI$89,ETANCHEITE!AH$19:AH$89,"")&lt;&gt;"",_xlfn.XLOOKUP(S9,ETANCHEITE!AI$19:AI$89,ETANCHEITE!AH$19:AH$89,""),    INDEX(ETANCHEITE!AH:AH,MAX(_xlfn._xlws.FILTER(ROW(ETANCHEITE!AH$19:INDIRECT("'PEINTURE'!P" &amp; V9-1)),ETANCHEITE!AH$19:INDIRECT("'PEINTURE'!P" &amp; V9-1)&lt;&gt;"")))),"")</f>
        <v/>
      </c>
      <c r="AB9" s="158">
        <v>7</v>
      </c>
      <c r="AC9" s="167" t="str">
        <f>IF(AG9&lt;&gt;" ",ETANCHEITE!$D$5,"")</f>
        <v/>
      </c>
      <c r="AD9" s="167" t="str">
        <f>IF(AG9&lt;&gt;" ",ETANCHEITE!$D$8,"")</f>
        <v/>
      </c>
      <c r="AE9" s="159" t="str">
        <f>IFERROR(MATCH(AB9,ETANCHEITE!AR$19:AR$164,0)+18,"")</f>
        <v/>
      </c>
      <c r="AF9" s="160" t="str" cm="1">
        <f t="array" aca="1" ref="AF9" ca="1">IFERROR(IF(_xlfn.XLOOKUP(AB9,ETANCHEITE!AR$19:AR$164,ETANCHEITE!$A$19:$A$164,"")&lt;&gt;"",_xlfn.XLOOKUP(AB9,ETANCHEITE!AR$19:AR$164,ETANCHEITE!$A$19:$A$164,""),    INDEX(ETANCHEITE!$A:$A,MAX(_xlfn._xlws.FILTER(ROW(ETANCHEITE!$A$19:INDIRECT("'MENUISERIES EXTERIEURES'!$A" &amp; AE9-1)),ETANCHEITE!$A$19:INDIRECT("'MENUISERIES EXTERIEURES'!$A" &amp; AE9-1)&lt;&gt;"")))),"")&amp;"   "&amp;IFERROR(_xlfn.XLOOKUP(AB9,ETANCHEITE!AR$19:AR$164,ETANCHEITE!$B$19:$B$164),"")&amp;IFERROR(_xlfn.XLOOKUP(AB9,ETANCHEITE!AR$19:AR$164,ETANCHEITE!$C$19:$C$164),"")&amp;IFERROR(_xlfn.XLOOKUP(AB9,ETANCHEITE!AR$19:AR$164,ETANCHEITE!$D$19:$D$164),"")&amp;IFERROR(_xlfn.XLOOKUP(AB9,ETANCHEITE!AR$19:AR$164,ETANCHEITE!$E$19:$E$164),"")&amp;IFERROR(_xlfn.XLOOKUP(AB9,ETANCHEITE!AR$19:AR$164,ETANCHEITE!$F$19:$F$164),"")</f>
        <v xml:space="preserve">   </v>
      </c>
      <c r="AG9" s="168" t="str">
        <f>IFERROR(VLOOKUP(AB9,ETANCHEITE!AR$19:AT$164,2,FALSE),"")&amp;" "&amp;IFERROR(VLOOKUP(AB9,ETANCHEITE!AR$19:AT$164,3,FALSE),"")</f>
        <v xml:space="preserve"> </v>
      </c>
      <c r="AH9" s="161" t="str">
        <f>IF(AG9&lt;&gt;" ",'Feuille de Donnée'!$C$3,"")</f>
        <v/>
      </c>
      <c r="AI9" s="232" t="str" cm="1">
        <f t="array" aca="1" ref="AI9" ca="1">IFERROR(IF(_xlfn.XLOOKUP(AB9,ETANCHEITE!AR$19:AR$89,ETANCHEITE!AP$19:AP$89,"")&lt;&gt;"",_xlfn.XLOOKUP(AB9,ETANCHEITE!AR$19:AR$89,ETANCHEITE!AP$19:AP$89,""),    INDEX(ETANCHEITE!AP:AP,MAX(_xlfn._xlws.FILTER(ROW(ETANCHEITE!AP$19:INDIRECT("'PEINTURE'!O" &amp; AE9-1)),ETANCHEITE!AP$19:INDIRECT("'PEINTURE'!O" &amp; AE9-1)&lt;&gt;"")))),"")</f>
        <v/>
      </c>
      <c r="AJ9" s="233" t="str" cm="1">
        <f t="array" aca="1" ref="AJ9" ca="1">IFERROR(IF(_xlfn.XLOOKUP(AB9,ETANCHEITE!AR$19:AR$89,ETANCHEITE!AQ$19:AQ$89,"")&lt;&gt;"",_xlfn.XLOOKUP(AB9,ETANCHEITE!AR$19:AR$89,ETANCHEITE!AQ$19:AQ$89,""),    INDEX(ETANCHEITE!AQ:AQ,MAX(_xlfn._xlws.FILTER(ROW(ETANCHEITE!AQ$19:INDIRECT("'PEINTURE'!P" &amp; AE9-1)),ETANCHEITE!AQ$19:INDIRECT("'PEINTURE'!P" &amp; AE9-1)&lt;&gt;"")))),"")</f>
        <v/>
      </c>
      <c r="AK9" s="158">
        <v>7</v>
      </c>
      <c r="AL9" s="167" t="str">
        <f>IF(AP9&lt;&gt;" ",ETANCHEITE!$D$5,"")</f>
        <v/>
      </c>
      <c r="AM9" s="167" t="str">
        <f>IF(AP9&lt;&gt;" ",ETANCHEITE!$D$8,"")</f>
        <v/>
      </c>
      <c r="AN9" s="159" t="str">
        <f>IFERROR(MATCH(AK9,ETANCHEITE!BA$19:BA$164,0)+18,"")</f>
        <v/>
      </c>
      <c r="AO9" s="160" t="str" cm="1">
        <f t="array" aca="1" ref="AO9" ca="1">IFERROR(IF(_xlfn.XLOOKUP(AK9,ETANCHEITE!BA$19:BA$164,ETANCHEITE!$A$19:$A$164,"")&lt;&gt;"",_xlfn.XLOOKUP(AK9,ETANCHEITE!BA$19:BA$164,ETANCHEITE!$A$19:$A$164,""),    INDEX(ETANCHEITE!$A:$A,MAX(_xlfn._xlws.FILTER(ROW(ETANCHEITE!$A$19:INDIRECT("'MENUISERIES EXTERIEURES'!$A" &amp; AN9-1)),ETANCHEITE!$A$19:INDIRECT("'MENUISERIES EXTERIEURES'!$A" &amp; AN9-1)&lt;&gt;"")))),"")&amp;"   "&amp;IFERROR(_xlfn.XLOOKUP(AK9,ETANCHEITE!BA$19:BA$164,ETANCHEITE!$B$19:$B$164),"")&amp;IFERROR(_xlfn.XLOOKUP(AK9,ETANCHEITE!BA$19:BA$164,ETANCHEITE!$C$19:$C$164),"")&amp;IFERROR(_xlfn.XLOOKUP(AK9,ETANCHEITE!BA$19:BA$164,ETANCHEITE!$D$19:$D$164),"")&amp;IFERROR(_xlfn.XLOOKUP(AK9,ETANCHEITE!BA$19:BA$164,ETANCHEITE!$E$19:$E$164),"")&amp;IFERROR(_xlfn.XLOOKUP(AK9,ETANCHEITE!BA$19:BA$164,ETANCHEITE!$F$19:$F$164),"")</f>
        <v xml:space="preserve">   </v>
      </c>
      <c r="AP9" s="168" t="str">
        <f>IFERROR(VLOOKUP(AK9,ETANCHEITE!BA$19:BC$164,2,FALSE),"")&amp;" "&amp;IFERROR(VLOOKUP(AK9,ETANCHEITE!BA$19:BC$164,3,FALSE),"")</f>
        <v xml:space="preserve"> </v>
      </c>
      <c r="AQ9" s="161" t="str">
        <f>IF(AP9&lt;&gt;" ",'Feuille de Donnée'!$C$3,"")</f>
        <v/>
      </c>
      <c r="AR9" s="232" t="str" cm="1">
        <f t="array" aca="1" ref="AR9" ca="1">IFERROR(IF(_xlfn.XLOOKUP(AK9,ETANCHEITE!BA$19:BA$89,ETANCHEITE!AY$19:AY$89,"")&lt;&gt;"",_xlfn.XLOOKUP(AK9,ETANCHEITE!BA$19:BA$89,ETANCHEITE!AY$19:AY$89,""),    INDEX(ETANCHEITE!AY:AY,MAX(_xlfn._xlws.FILTER(ROW(ETANCHEITE!AY$19:INDIRECT("'PEINTURE'!O" &amp; AN9-1)),ETANCHEITE!AY$19:INDIRECT("'PEINTURE'!O" &amp; AN9-1)&lt;&gt;"")))),"")</f>
        <v/>
      </c>
      <c r="AS9" s="233" t="str" cm="1">
        <f t="array" aca="1" ref="AS9" ca="1">IFERROR(IF(_xlfn.XLOOKUP(AK9,ETANCHEITE!BA$19:BA$89,ETANCHEITE!AZ$19:AZ$89,"")&lt;&gt;"",_xlfn.XLOOKUP(AK9,ETANCHEITE!BA$19:BA$89,ETANCHEITE!AZ$19:AZ$89,""),    INDEX(ETANCHEITE!AZ:AZ,MAX(_xlfn._xlws.FILTER(ROW(ETANCHEITE!AZ$19:INDIRECT("'PEINTURE'!P" &amp; AN9-1)),ETANCHEITE!AZ$19:INDIRECT("'PEINTURE'!P" &amp; AN9-1)&lt;&gt;"")))),"")</f>
        <v/>
      </c>
      <c r="AT9" s="158">
        <v>7</v>
      </c>
      <c r="AU9" s="167" t="str">
        <f>IF(AY9&lt;&gt;" ",ETANCHEITE!$D$5,"")</f>
        <v/>
      </c>
      <c r="AV9" s="167" t="str">
        <f>IF(AY9&lt;&gt;" ",ETANCHEITE!$D$8,"")</f>
        <v/>
      </c>
      <c r="AW9" s="159" t="str">
        <f>IFERROR(MATCH(AT9,ETANCHEITE!BJ$19:BJ$164,0)+18,"")</f>
        <v/>
      </c>
      <c r="AX9" s="160" t="str" cm="1">
        <f t="array" aca="1" ref="AX9" ca="1">IFERROR(IF(_xlfn.XLOOKUP(AT9,ETANCHEITE!BJ$19:BJ$164,ETANCHEITE!$A$19:$A$164,"")&lt;&gt;"",_xlfn.XLOOKUP(AT9,ETANCHEITE!BJ$19:BJ$164,ETANCHEITE!$A$19:$A$164,""),    INDEX(ETANCHEITE!$A:$A,MAX(_xlfn._xlws.FILTER(ROW(ETANCHEITE!$A$19:INDIRECT("'MENUISERIES EXTERIEURES'!$A" &amp; AW9-1)),ETANCHEITE!$A$19:INDIRECT("'MENUISERIES EXTERIEURES'!$A" &amp; AW9-1)&lt;&gt;"")))),"")&amp;"   "&amp;IFERROR(_xlfn.XLOOKUP(AT9,ETANCHEITE!BJ$19:BJ$164,ETANCHEITE!$B$19:$B$164),"")&amp;IFERROR(_xlfn.XLOOKUP(AT9,ETANCHEITE!BJ$19:BJ$164,ETANCHEITE!$C$19:$C$164),"")&amp;IFERROR(_xlfn.XLOOKUP(AT9,ETANCHEITE!BJ$19:BJ$164,ETANCHEITE!$D$19:$D$164),"")&amp;IFERROR(_xlfn.XLOOKUP(AT9,ETANCHEITE!BJ$19:BJ$164,ETANCHEITE!$E$19:$E$164),"")&amp;IFERROR(_xlfn.XLOOKUP(AT9,ETANCHEITE!BJ$19:BJ$164,ETANCHEITE!$F$19:$F$164),"")</f>
        <v xml:space="preserve">   </v>
      </c>
      <c r="AY9" s="168" t="str">
        <f>IFERROR(VLOOKUP(AT9,ETANCHEITE!BJ$19:BL$164,2,FALSE),"")&amp;" "&amp;IFERROR(VLOOKUP(AT9,ETANCHEITE!BJ$19:BL$164,3,FALSE),"")</f>
        <v xml:space="preserve"> </v>
      </c>
      <c r="AZ9" s="161" t="str">
        <f>IF(AY9&lt;&gt;" ",'Feuille de Donnée'!$C$3,"")</f>
        <v/>
      </c>
      <c r="BA9" s="232" t="str" cm="1">
        <f t="array" aca="1" ref="BA9" ca="1">IFERROR(IF(_xlfn.XLOOKUP(AT9,ETANCHEITE!BJ$19:BJ$89,ETANCHEITE!BH$19:BH$89,"")&lt;&gt;"",_xlfn.XLOOKUP(AT9,ETANCHEITE!BJ$19:BJ$89,ETANCHEITE!BH$19:BH$89,""),    INDEX(ETANCHEITE!BH:BH,MAX(_xlfn._xlws.FILTER(ROW(ETANCHEITE!BH$19:INDIRECT("'PEINTURE'!O" &amp; AW9-1)),ETANCHEITE!BH$19:INDIRECT("'PEINTURE'!O" &amp; AW9-1)&lt;&gt;"")))),"")</f>
        <v/>
      </c>
      <c r="BB9" s="233" t="str" cm="1">
        <f t="array" aca="1" ref="BB9" ca="1">IFERROR(IF(_xlfn.XLOOKUP(AT9,ETANCHEITE!BJ$19:BJ$89,ETANCHEITE!BI$19:BI$89,"")&lt;&gt;"",_xlfn.XLOOKUP(AT9,ETANCHEITE!BJ$19:BJ$89,ETANCHEITE!BI$19:BI$89,""),    INDEX(ETANCHEITE!BI:BI,MAX(_xlfn._xlws.FILTER(ROW(ETANCHEITE!BI$19:INDIRECT("'PEINTURE'!P" &amp; AW9-1)),ETANCHEITE!BI$19:INDIRECT("'PEINTURE'!P" &amp; AW9-1)&lt;&gt;"")))),"")</f>
        <v/>
      </c>
    </row>
    <row r="10" spans="1:54" ht="15" customHeight="1" x14ac:dyDescent="0.3">
      <c r="A10" s="158">
        <v>8</v>
      </c>
      <c r="B10" s="167" t="str">
        <f>IF(F10&lt;&gt;" ",ETANCHEITE!$D$5,"")</f>
        <v/>
      </c>
      <c r="C10" s="167" t="str">
        <f>IF(F10&lt;&gt;" ",ETANCHEITE!$D$8,"")</f>
        <v/>
      </c>
      <c r="D10" s="159" t="str">
        <f>IFERROR(MATCH(A10,ETANCHEITE!Q$19:Q$164,0)+18,"")</f>
        <v/>
      </c>
      <c r="E10" s="160" t="str" cm="1">
        <f t="array" aca="1" ref="E10" ca="1">IFERROR(IF(_xlfn.XLOOKUP(A10,ETANCHEITE!Q$19:Q$164,ETANCHEITE!$A$19:$A$164,"")&lt;&gt;"",_xlfn.XLOOKUP(A10,ETANCHEITE!Q$19:Q$164,ETANCHEITE!$A$19:$A$164,""),    INDEX(ETANCHEITE!$A:$A,MAX(_xlfn._xlws.FILTER(ROW(ETANCHEITE!$A$19:INDIRECT("'MENUISERIES EXTERIEURES'!$A" &amp; D10-1)),ETANCHEITE!$A$19:INDIRECT("'MENUISERIES EXTERIEURES'!$A" &amp; D10-1)&lt;&gt;"")))),"")&amp;"   "&amp;IFERROR(_xlfn.XLOOKUP(A10,ETANCHEITE!Q$19:Q$164,ETANCHEITE!$B$19:$B$164),"")&amp;IFERROR(_xlfn.XLOOKUP(A10,ETANCHEITE!Q$19:Q$164,ETANCHEITE!$C$19:$C$164),"")&amp;IFERROR(_xlfn.XLOOKUP(A10,ETANCHEITE!Q$19:Q$164,ETANCHEITE!$D$19:$D$164),"")&amp;IFERROR(_xlfn.XLOOKUP(A10,ETANCHEITE!Q$19:Q$164,ETANCHEITE!$E$19:$E$164),"")&amp;IFERROR(_xlfn.XLOOKUP(A10,ETANCHEITE!Q$19:Q$164,ETANCHEITE!$F$19:$F$164),"")</f>
        <v xml:space="preserve">   </v>
      </c>
      <c r="F10" s="168" t="str">
        <f>IFERROR(VLOOKUP(A10,ETANCHEITE!Q$19:S$164,2,FALSE),"")&amp;" "&amp;IFERROR(VLOOKUP(A10,ETANCHEITE!Q$19:S$164,3,FALSE),"")</f>
        <v xml:space="preserve"> </v>
      </c>
      <c r="G10" s="161" t="str">
        <f>IF(F10&lt;&gt;" ",'Feuille de Donnée'!$C$3,"")</f>
        <v/>
      </c>
      <c r="H10" s="232" t="str" cm="1">
        <f t="array" aca="1" ref="H10" ca="1">IFERROR(IF(_xlfn.XLOOKUP(A10,ETANCHEITE!Q$19:Q$89,ETANCHEITE!O$19:O$89,"")&lt;&gt;"",_xlfn.XLOOKUP(A10,ETANCHEITE!Q$19:Q$89,ETANCHEITE!O$19:O$89,""),    INDEX(ETANCHEITE!O:O,MAX(_xlfn._xlws.FILTER(ROW(ETANCHEITE!O$19:INDIRECT("'PEINTURE'!O" &amp; D10-1)),ETANCHEITE!O$19:INDIRECT("'PEINTURE'!O" &amp; D10-1)&lt;&gt;"")))),"")</f>
        <v/>
      </c>
      <c r="I10" s="233" t="str" cm="1">
        <f t="array" aca="1" ref="I10" ca="1">IFERROR(IF(_xlfn.XLOOKUP(A10,ETANCHEITE!Q$19:Q$89,ETANCHEITE!P$19:P$89,"")&lt;&gt;"",_xlfn.XLOOKUP(A10,ETANCHEITE!Q$19:Q$89,ETANCHEITE!P$19:P$89,""),    INDEX(ETANCHEITE!P:P,MAX(_xlfn._xlws.FILTER(ROW(ETANCHEITE!P$19:INDIRECT("'PEINTURE'!P" &amp; D10-1)),ETANCHEITE!P$19:INDIRECT("'PEINTURE'!P" &amp; D10-1)&lt;&gt;"")))),"")</f>
        <v/>
      </c>
      <c r="J10" s="158">
        <v>8</v>
      </c>
      <c r="K10" s="167" t="str">
        <f>IF(O10&lt;&gt;" ",ETANCHEITE!$D$5,"")</f>
        <v/>
      </c>
      <c r="L10" s="167" t="str">
        <f>IF(O10&lt;&gt;" ",ETANCHEITE!$D$8,"")</f>
        <v/>
      </c>
      <c r="M10" s="159" t="str">
        <f>IFERROR(MATCH(J10,ETANCHEITE!Z$19:Z$164,0)+18,"")</f>
        <v/>
      </c>
      <c r="N10" s="160" t="str" cm="1">
        <f t="array" aca="1" ref="N10" ca="1">IFERROR(IF(_xlfn.XLOOKUP(J10,ETANCHEITE!Z$19:Z$164,ETANCHEITE!$A$19:$A$164,"")&lt;&gt;"",_xlfn.XLOOKUP(J10,ETANCHEITE!Z$19:Z$164,ETANCHEITE!$A$19:$A$164,""),    INDEX(ETANCHEITE!$A:$A,MAX(_xlfn._xlws.FILTER(ROW(ETANCHEITE!$A$19:INDIRECT("'MENUISERIES EXTERIEURES'!$A" &amp; M10-1)),ETANCHEITE!$A$19:INDIRECT("'MENUISERIES EXTERIEURES'!$A" &amp; M10-1)&lt;&gt;"")))),"")&amp;"   "&amp;IFERROR(_xlfn.XLOOKUP(J10,ETANCHEITE!Z$19:Z$164,ETANCHEITE!$B$19:$B$164),"")&amp;IFERROR(_xlfn.XLOOKUP(J10,ETANCHEITE!Z$19:Z$164,ETANCHEITE!$C$19:$C$164),"")&amp;IFERROR(_xlfn.XLOOKUP(J10,ETANCHEITE!Z$19:Z$164,ETANCHEITE!$D$19:$D$164),"")&amp;IFERROR(_xlfn.XLOOKUP(J10,ETANCHEITE!Z$19:Z$164,ETANCHEITE!$E$19:$E$164),"")&amp;IFERROR(_xlfn.XLOOKUP(J10,ETANCHEITE!Z$19:Z$164,ETANCHEITE!$F$19:$F$164),"")</f>
        <v xml:space="preserve">   </v>
      </c>
      <c r="O10" s="168" t="str">
        <f>IFERROR(VLOOKUP(J10,ETANCHEITE!Z$19:AB$164,2,FALSE),"")&amp;" "&amp;IFERROR(VLOOKUP(J10,ETANCHEITE!Z$19:AB$164,3,FALSE),"")</f>
        <v xml:space="preserve"> </v>
      </c>
      <c r="P10" s="161" t="str">
        <f>IF(O10&lt;&gt;" ",'Feuille de Donnée'!$C$3,"")</f>
        <v/>
      </c>
      <c r="Q10" s="232" t="str" cm="1">
        <f t="array" aca="1" ref="Q10" ca="1">IFERROR(IF(_xlfn.XLOOKUP(J10,ETANCHEITE!Z$19:Z$89,ETANCHEITE!X$19:X$89,"")&lt;&gt;"",_xlfn.XLOOKUP(J10,ETANCHEITE!Z$19:Z$89,ETANCHEITE!X$19:X$89,""),    INDEX(ETANCHEITE!X:X,MAX(_xlfn._xlws.FILTER(ROW(ETANCHEITE!X$19:INDIRECT("'PEINTURE'!O" &amp; M10-1)),ETANCHEITE!X$19:INDIRECT("'PEINTURE'!O" &amp; M10-1)&lt;&gt;"")))),"")</f>
        <v/>
      </c>
      <c r="R10" s="233" t="str" cm="1">
        <f t="array" aca="1" ref="R10" ca="1">IFERROR(IF(_xlfn.XLOOKUP(J10,ETANCHEITE!Z$19:Z$89,ETANCHEITE!Y$19:Y$89,"")&lt;&gt;"",_xlfn.XLOOKUP(J10,ETANCHEITE!Z$19:Z$89,ETANCHEITE!Y$19:Y$89,""),    INDEX(ETANCHEITE!Y:Y,MAX(_xlfn._xlws.FILTER(ROW(ETANCHEITE!Y$19:INDIRECT("'PEINTURE'!P" &amp; M10-1)),ETANCHEITE!Y$19:INDIRECT("'PEINTURE'!P" &amp; M10-1)&lt;&gt;"")))),"")</f>
        <v/>
      </c>
      <c r="S10" s="158">
        <v>8</v>
      </c>
      <c r="T10" s="167" t="str">
        <f>IF(X10&lt;&gt;" ",ETANCHEITE!$D$5,"")</f>
        <v/>
      </c>
      <c r="U10" s="167" t="str">
        <f>IF(X10&lt;&gt;" ",ETANCHEITE!$D$8,"")</f>
        <v/>
      </c>
      <c r="V10" s="159" t="str">
        <f>IFERROR(MATCH(S10,ETANCHEITE!AI$19:AI$164,0)+18,"")</f>
        <v/>
      </c>
      <c r="W10" s="160" t="str" cm="1">
        <f t="array" aca="1" ref="W10" ca="1">IFERROR(IF(_xlfn.XLOOKUP(S10,ETANCHEITE!AI$19:AI$164,ETANCHEITE!$A$19:$A$164,"")&lt;&gt;"",_xlfn.XLOOKUP(S10,ETANCHEITE!AI$19:AI$164,ETANCHEITE!$A$19:$A$164,""),    INDEX(ETANCHEITE!$A:$A,MAX(_xlfn._xlws.FILTER(ROW(ETANCHEITE!$A$19:INDIRECT("'MENUISERIES EXTERIEURES'!$A" &amp; V10-1)),ETANCHEITE!$A$19:INDIRECT("'MENUISERIES EXTERIEURES'!$A" &amp; V10-1)&lt;&gt;"")))),"")&amp;"   "&amp;IFERROR(_xlfn.XLOOKUP(S10,ETANCHEITE!AI$19:AI$164,ETANCHEITE!$B$19:$B$164),"")&amp;IFERROR(_xlfn.XLOOKUP(S10,ETANCHEITE!AI$19:AI$164,ETANCHEITE!$C$19:$C$164),"")&amp;IFERROR(_xlfn.XLOOKUP(S10,ETANCHEITE!AI$19:AI$164,ETANCHEITE!$D$19:$D$164),"")&amp;IFERROR(_xlfn.XLOOKUP(S10,ETANCHEITE!AI$19:AI$164,ETANCHEITE!$E$19:$E$164),"")&amp;IFERROR(_xlfn.XLOOKUP(S10,ETANCHEITE!AI$19:AI$164,ETANCHEITE!$F$19:$F$164),"")</f>
        <v xml:space="preserve">   </v>
      </c>
      <c r="X10" s="168" t="str">
        <f>IFERROR(VLOOKUP(S10,ETANCHEITE!AI$19:AK$164,2,FALSE),"")&amp;" "&amp;IFERROR(VLOOKUP(S10,ETANCHEITE!AI$19:AK$164,3,FALSE),"")</f>
        <v xml:space="preserve"> </v>
      </c>
      <c r="Y10" s="161" t="str">
        <f>IF(X10&lt;&gt;" ",'Feuille de Donnée'!$C$3,"")</f>
        <v/>
      </c>
      <c r="Z10" s="232" t="str" cm="1">
        <f t="array" aca="1" ref="Z10" ca="1">IFERROR(IF(_xlfn.XLOOKUP(S10,ETANCHEITE!AI$19:AI$89,ETANCHEITE!AG$19:AG$89,"")&lt;&gt;"",_xlfn.XLOOKUP(S10,ETANCHEITE!AI$19:AI$89,ETANCHEITE!AG$19:AG$89,""),    INDEX(ETANCHEITE!AG:AG,MAX(_xlfn._xlws.FILTER(ROW(ETANCHEITE!AG$19:INDIRECT("'PEINTURE'!O" &amp; V10-1)),ETANCHEITE!AG$19:INDIRECT("'PEINTURE'!O" &amp; V10-1)&lt;&gt;"")))),"")</f>
        <v/>
      </c>
      <c r="AA10" s="233" t="str" cm="1">
        <f t="array" aca="1" ref="AA10" ca="1">IFERROR(IF(_xlfn.XLOOKUP(S10,ETANCHEITE!AI$19:AI$89,ETANCHEITE!AH$19:AH$89,"")&lt;&gt;"",_xlfn.XLOOKUP(S10,ETANCHEITE!AI$19:AI$89,ETANCHEITE!AH$19:AH$89,""),    INDEX(ETANCHEITE!AH:AH,MAX(_xlfn._xlws.FILTER(ROW(ETANCHEITE!AH$19:INDIRECT("'PEINTURE'!P" &amp; V10-1)),ETANCHEITE!AH$19:INDIRECT("'PEINTURE'!P" &amp; V10-1)&lt;&gt;"")))),"")</f>
        <v/>
      </c>
      <c r="AB10" s="158">
        <v>8</v>
      </c>
      <c r="AC10" s="167" t="str">
        <f>IF(AG10&lt;&gt;" ",ETANCHEITE!$D$5,"")</f>
        <v/>
      </c>
      <c r="AD10" s="167" t="str">
        <f>IF(AG10&lt;&gt;" ",ETANCHEITE!$D$8,"")</f>
        <v/>
      </c>
      <c r="AE10" s="159" t="str">
        <f>IFERROR(MATCH(AB10,ETANCHEITE!AR$19:AR$164,0)+18,"")</f>
        <v/>
      </c>
      <c r="AF10" s="160" t="str" cm="1">
        <f t="array" aca="1" ref="AF10" ca="1">IFERROR(IF(_xlfn.XLOOKUP(AB10,ETANCHEITE!AR$19:AR$164,ETANCHEITE!$A$19:$A$164,"")&lt;&gt;"",_xlfn.XLOOKUP(AB10,ETANCHEITE!AR$19:AR$164,ETANCHEITE!$A$19:$A$164,""),    INDEX(ETANCHEITE!$A:$A,MAX(_xlfn._xlws.FILTER(ROW(ETANCHEITE!$A$19:INDIRECT("'MENUISERIES EXTERIEURES'!$A" &amp; AE10-1)),ETANCHEITE!$A$19:INDIRECT("'MENUISERIES EXTERIEURES'!$A" &amp; AE10-1)&lt;&gt;"")))),"")&amp;"   "&amp;IFERROR(_xlfn.XLOOKUP(AB10,ETANCHEITE!AR$19:AR$164,ETANCHEITE!$B$19:$B$164),"")&amp;IFERROR(_xlfn.XLOOKUP(AB10,ETANCHEITE!AR$19:AR$164,ETANCHEITE!$C$19:$C$164),"")&amp;IFERROR(_xlfn.XLOOKUP(AB10,ETANCHEITE!AR$19:AR$164,ETANCHEITE!$D$19:$D$164),"")&amp;IFERROR(_xlfn.XLOOKUP(AB10,ETANCHEITE!AR$19:AR$164,ETANCHEITE!$E$19:$E$164),"")&amp;IFERROR(_xlfn.XLOOKUP(AB10,ETANCHEITE!AR$19:AR$164,ETANCHEITE!$F$19:$F$164),"")</f>
        <v xml:space="preserve">   </v>
      </c>
      <c r="AG10" s="168" t="str">
        <f>IFERROR(VLOOKUP(AB10,ETANCHEITE!AR$19:AT$164,2,FALSE),"")&amp;" "&amp;IFERROR(VLOOKUP(AB10,ETANCHEITE!AR$19:AT$164,3,FALSE),"")</f>
        <v xml:space="preserve"> </v>
      </c>
      <c r="AH10" s="161" t="str">
        <f>IF(AG10&lt;&gt;" ",'Feuille de Donnée'!$C$3,"")</f>
        <v/>
      </c>
      <c r="AI10" s="232" t="str" cm="1">
        <f t="array" aca="1" ref="AI10" ca="1">IFERROR(IF(_xlfn.XLOOKUP(AB10,ETANCHEITE!AR$19:AR$89,ETANCHEITE!AP$19:AP$89,"")&lt;&gt;"",_xlfn.XLOOKUP(AB10,ETANCHEITE!AR$19:AR$89,ETANCHEITE!AP$19:AP$89,""),    INDEX(ETANCHEITE!AP:AP,MAX(_xlfn._xlws.FILTER(ROW(ETANCHEITE!AP$19:INDIRECT("'PEINTURE'!O" &amp; AE10-1)),ETANCHEITE!AP$19:INDIRECT("'PEINTURE'!O" &amp; AE10-1)&lt;&gt;"")))),"")</f>
        <v/>
      </c>
      <c r="AJ10" s="233" t="str" cm="1">
        <f t="array" aca="1" ref="AJ10" ca="1">IFERROR(IF(_xlfn.XLOOKUP(AB10,ETANCHEITE!AR$19:AR$89,ETANCHEITE!AQ$19:AQ$89,"")&lt;&gt;"",_xlfn.XLOOKUP(AB10,ETANCHEITE!AR$19:AR$89,ETANCHEITE!AQ$19:AQ$89,""),    INDEX(ETANCHEITE!AQ:AQ,MAX(_xlfn._xlws.FILTER(ROW(ETANCHEITE!AQ$19:INDIRECT("'PEINTURE'!P" &amp; AE10-1)),ETANCHEITE!AQ$19:INDIRECT("'PEINTURE'!P" &amp; AE10-1)&lt;&gt;"")))),"")</f>
        <v/>
      </c>
      <c r="AK10" s="158">
        <v>8</v>
      </c>
      <c r="AL10" s="167" t="str">
        <f>IF(AP10&lt;&gt;" ",ETANCHEITE!$D$5,"")</f>
        <v/>
      </c>
      <c r="AM10" s="167" t="str">
        <f>IF(AP10&lt;&gt;" ",ETANCHEITE!$D$8,"")</f>
        <v/>
      </c>
      <c r="AN10" s="159" t="str">
        <f>IFERROR(MATCH(AK10,ETANCHEITE!BA$19:BA$164,0)+18,"")</f>
        <v/>
      </c>
      <c r="AO10" s="160" t="str" cm="1">
        <f t="array" aca="1" ref="AO10" ca="1">IFERROR(IF(_xlfn.XLOOKUP(AK10,ETANCHEITE!BA$19:BA$164,ETANCHEITE!$A$19:$A$164,"")&lt;&gt;"",_xlfn.XLOOKUP(AK10,ETANCHEITE!BA$19:BA$164,ETANCHEITE!$A$19:$A$164,""),    INDEX(ETANCHEITE!$A:$A,MAX(_xlfn._xlws.FILTER(ROW(ETANCHEITE!$A$19:INDIRECT("'MENUISERIES EXTERIEURES'!$A" &amp; AN10-1)),ETANCHEITE!$A$19:INDIRECT("'MENUISERIES EXTERIEURES'!$A" &amp; AN10-1)&lt;&gt;"")))),"")&amp;"   "&amp;IFERROR(_xlfn.XLOOKUP(AK10,ETANCHEITE!BA$19:BA$164,ETANCHEITE!$B$19:$B$164),"")&amp;IFERROR(_xlfn.XLOOKUP(AK10,ETANCHEITE!BA$19:BA$164,ETANCHEITE!$C$19:$C$164),"")&amp;IFERROR(_xlfn.XLOOKUP(AK10,ETANCHEITE!BA$19:BA$164,ETANCHEITE!$D$19:$D$164),"")&amp;IFERROR(_xlfn.XLOOKUP(AK10,ETANCHEITE!BA$19:BA$164,ETANCHEITE!$E$19:$E$164),"")&amp;IFERROR(_xlfn.XLOOKUP(AK10,ETANCHEITE!BA$19:BA$164,ETANCHEITE!$F$19:$F$164),"")</f>
        <v xml:space="preserve">   </v>
      </c>
      <c r="AP10" s="168" t="str">
        <f>IFERROR(VLOOKUP(AK10,ETANCHEITE!BA$19:BC$164,2,FALSE),"")&amp;" "&amp;IFERROR(VLOOKUP(AK10,ETANCHEITE!BA$19:BC$164,3,FALSE),"")</f>
        <v xml:space="preserve"> </v>
      </c>
      <c r="AQ10" s="161" t="str">
        <f>IF(AP10&lt;&gt;" ",'Feuille de Donnée'!$C$3,"")</f>
        <v/>
      </c>
      <c r="AR10" s="232" t="str" cm="1">
        <f t="array" aca="1" ref="AR10" ca="1">IFERROR(IF(_xlfn.XLOOKUP(AK10,ETANCHEITE!BA$19:BA$89,ETANCHEITE!AY$19:AY$89,"")&lt;&gt;"",_xlfn.XLOOKUP(AK10,ETANCHEITE!BA$19:BA$89,ETANCHEITE!AY$19:AY$89,""),    INDEX(ETANCHEITE!AY:AY,MAX(_xlfn._xlws.FILTER(ROW(ETANCHEITE!AY$19:INDIRECT("'PEINTURE'!O" &amp; AN10-1)),ETANCHEITE!AY$19:INDIRECT("'PEINTURE'!O" &amp; AN10-1)&lt;&gt;"")))),"")</f>
        <v/>
      </c>
      <c r="AS10" s="233" t="str" cm="1">
        <f t="array" aca="1" ref="AS10" ca="1">IFERROR(IF(_xlfn.XLOOKUP(AK10,ETANCHEITE!BA$19:BA$89,ETANCHEITE!AZ$19:AZ$89,"")&lt;&gt;"",_xlfn.XLOOKUP(AK10,ETANCHEITE!BA$19:BA$89,ETANCHEITE!AZ$19:AZ$89,""),    INDEX(ETANCHEITE!AZ:AZ,MAX(_xlfn._xlws.FILTER(ROW(ETANCHEITE!AZ$19:INDIRECT("'PEINTURE'!P" &amp; AN10-1)),ETANCHEITE!AZ$19:INDIRECT("'PEINTURE'!P" &amp; AN10-1)&lt;&gt;"")))),"")</f>
        <v/>
      </c>
      <c r="AT10" s="158">
        <v>8</v>
      </c>
      <c r="AU10" s="167" t="str">
        <f>IF(AY10&lt;&gt;" ",ETANCHEITE!$D$5,"")</f>
        <v/>
      </c>
      <c r="AV10" s="167" t="str">
        <f>IF(AY10&lt;&gt;" ",ETANCHEITE!$D$8,"")</f>
        <v/>
      </c>
      <c r="AW10" s="159" t="str">
        <f>IFERROR(MATCH(AT10,ETANCHEITE!BJ$19:BJ$164,0)+18,"")</f>
        <v/>
      </c>
      <c r="AX10" s="160" t="str" cm="1">
        <f t="array" aca="1" ref="AX10" ca="1">IFERROR(IF(_xlfn.XLOOKUP(AT10,ETANCHEITE!BJ$19:BJ$164,ETANCHEITE!$A$19:$A$164,"")&lt;&gt;"",_xlfn.XLOOKUP(AT10,ETANCHEITE!BJ$19:BJ$164,ETANCHEITE!$A$19:$A$164,""),    INDEX(ETANCHEITE!$A:$A,MAX(_xlfn._xlws.FILTER(ROW(ETANCHEITE!$A$19:INDIRECT("'MENUISERIES EXTERIEURES'!$A" &amp; AW10-1)),ETANCHEITE!$A$19:INDIRECT("'MENUISERIES EXTERIEURES'!$A" &amp; AW10-1)&lt;&gt;"")))),"")&amp;"   "&amp;IFERROR(_xlfn.XLOOKUP(AT10,ETANCHEITE!BJ$19:BJ$164,ETANCHEITE!$B$19:$B$164),"")&amp;IFERROR(_xlfn.XLOOKUP(AT10,ETANCHEITE!BJ$19:BJ$164,ETANCHEITE!$C$19:$C$164),"")&amp;IFERROR(_xlfn.XLOOKUP(AT10,ETANCHEITE!BJ$19:BJ$164,ETANCHEITE!$D$19:$D$164),"")&amp;IFERROR(_xlfn.XLOOKUP(AT10,ETANCHEITE!BJ$19:BJ$164,ETANCHEITE!$E$19:$E$164),"")&amp;IFERROR(_xlfn.XLOOKUP(AT10,ETANCHEITE!BJ$19:BJ$164,ETANCHEITE!$F$19:$F$164),"")</f>
        <v xml:space="preserve">   </v>
      </c>
      <c r="AY10" s="168" t="str">
        <f>IFERROR(VLOOKUP(AT10,ETANCHEITE!BJ$19:BL$164,2,FALSE),"")&amp;" "&amp;IFERROR(VLOOKUP(AT10,ETANCHEITE!BJ$19:BL$164,3,FALSE),"")</f>
        <v xml:space="preserve"> </v>
      </c>
      <c r="AZ10" s="161" t="str">
        <f>IF(AY10&lt;&gt;" ",'Feuille de Donnée'!$C$3,"")</f>
        <v/>
      </c>
      <c r="BA10" s="232" t="str" cm="1">
        <f t="array" aca="1" ref="BA10" ca="1">IFERROR(IF(_xlfn.XLOOKUP(AT10,ETANCHEITE!BJ$19:BJ$89,ETANCHEITE!BH$19:BH$89,"")&lt;&gt;"",_xlfn.XLOOKUP(AT10,ETANCHEITE!BJ$19:BJ$89,ETANCHEITE!BH$19:BH$89,""),    INDEX(ETANCHEITE!BH:BH,MAX(_xlfn._xlws.FILTER(ROW(ETANCHEITE!BH$19:INDIRECT("'PEINTURE'!O" &amp; AW10-1)),ETANCHEITE!BH$19:INDIRECT("'PEINTURE'!O" &amp; AW10-1)&lt;&gt;"")))),"")</f>
        <v/>
      </c>
      <c r="BB10" s="233" t="str" cm="1">
        <f t="array" aca="1" ref="BB10" ca="1">IFERROR(IF(_xlfn.XLOOKUP(AT10,ETANCHEITE!BJ$19:BJ$89,ETANCHEITE!BI$19:BI$89,"")&lt;&gt;"",_xlfn.XLOOKUP(AT10,ETANCHEITE!BJ$19:BJ$89,ETANCHEITE!BI$19:BI$89,""),    INDEX(ETANCHEITE!BI:BI,MAX(_xlfn._xlws.FILTER(ROW(ETANCHEITE!BI$19:INDIRECT("'PEINTURE'!P" &amp; AW10-1)),ETANCHEITE!BI$19:INDIRECT("'PEINTURE'!P" &amp; AW10-1)&lt;&gt;"")))),"")</f>
        <v/>
      </c>
    </row>
    <row r="11" spans="1:54" ht="15" customHeight="1" x14ac:dyDescent="0.3">
      <c r="A11" s="158">
        <v>9</v>
      </c>
      <c r="B11" s="167" t="str">
        <f>IF(F11&lt;&gt;" ",ETANCHEITE!$D$5,"")</f>
        <v/>
      </c>
      <c r="C11" s="167" t="str">
        <f>IF(F11&lt;&gt;" ",ETANCHEITE!$D$8,"")</f>
        <v/>
      </c>
      <c r="D11" s="159" t="str">
        <f>IFERROR(MATCH(A11,ETANCHEITE!Q$19:Q$164,0)+18,"")</f>
        <v/>
      </c>
      <c r="E11" s="160" t="str" cm="1">
        <f t="array" aca="1" ref="E11" ca="1">IFERROR(IF(_xlfn.XLOOKUP(A11,ETANCHEITE!Q$19:Q$164,ETANCHEITE!$A$19:$A$164,"")&lt;&gt;"",_xlfn.XLOOKUP(A11,ETANCHEITE!Q$19:Q$164,ETANCHEITE!$A$19:$A$164,""),    INDEX(ETANCHEITE!$A:$A,MAX(_xlfn._xlws.FILTER(ROW(ETANCHEITE!$A$19:INDIRECT("'MENUISERIES EXTERIEURES'!$A" &amp; D11-1)),ETANCHEITE!$A$19:INDIRECT("'MENUISERIES EXTERIEURES'!$A" &amp; D11-1)&lt;&gt;"")))),"")&amp;"   "&amp;IFERROR(_xlfn.XLOOKUP(A11,ETANCHEITE!Q$19:Q$164,ETANCHEITE!$B$19:$B$164),"")&amp;IFERROR(_xlfn.XLOOKUP(A11,ETANCHEITE!Q$19:Q$164,ETANCHEITE!$C$19:$C$164),"")&amp;IFERROR(_xlfn.XLOOKUP(A11,ETANCHEITE!Q$19:Q$164,ETANCHEITE!$D$19:$D$164),"")&amp;IFERROR(_xlfn.XLOOKUP(A11,ETANCHEITE!Q$19:Q$164,ETANCHEITE!$E$19:$E$164),"")&amp;IFERROR(_xlfn.XLOOKUP(A11,ETANCHEITE!Q$19:Q$164,ETANCHEITE!$F$19:$F$164),"")</f>
        <v xml:space="preserve">   </v>
      </c>
      <c r="F11" s="168" t="str">
        <f>IFERROR(VLOOKUP(A11,ETANCHEITE!Q$19:S$164,2,FALSE),"")&amp;" "&amp;IFERROR(VLOOKUP(A11,ETANCHEITE!Q$19:S$164,3,FALSE),"")</f>
        <v xml:space="preserve"> </v>
      </c>
      <c r="G11" s="161" t="str">
        <f>IF(F11&lt;&gt;" ",'Feuille de Donnée'!$C$3,"")</f>
        <v/>
      </c>
      <c r="H11" s="232" t="str" cm="1">
        <f t="array" aca="1" ref="H11" ca="1">IFERROR(IF(_xlfn.XLOOKUP(A11,ETANCHEITE!Q$19:Q$89,ETANCHEITE!O$19:O$89,"")&lt;&gt;"",_xlfn.XLOOKUP(A11,ETANCHEITE!Q$19:Q$89,ETANCHEITE!O$19:O$89,""),    INDEX(ETANCHEITE!O:O,MAX(_xlfn._xlws.FILTER(ROW(ETANCHEITE!O$19:INDIRECT("'PEINTURE'!O" &amp; D11-1)),ETANCHEITE!O$19:INDIRECT("'PEINTURE'!O" &amp; D11-1)&lt;&gt;"")))),"")</f>
        <v/>
      </c>
      <c r="I11" s="233" t="str" cm="1">
        <f t="array" aca="1" ref="I11" ca="1">IFERROR(IF(_xlfn.XLOOKUP(A11,ETANCHEITE!Q$19:Q$89,ETANCHEITE!P$19:P$89,"")&lt;&gt;"",_xlfn.XLOOKUP(A11,ETANCHEITE!Q$19:Q$89,ETANCHEITE!P$19:P$89,""),    INDEX(ETANCHEITE!P:P,MAX(_xlfn._xlws.FILTER(ROW(ETANCHEITE!P$19:INDIRECT("'PEINTURE'!P" &amp; D11-1)),ETANCHEITE!P$19:INDIRECT("'PEINTURE'!P" &amp; D11-1)&lt;&gt;"")))),"")</f>
        <v/>
      </c>
      <c r="J11" s="158">
        <v>9</v>
      </c>
      <c r="K11" s="167" t="str">
        <f>IF(O11&lt;&gt;" ",ETANCHEITE!$D$5,"")</f>
        <v/>
      </c>
      <c r="L11" s="167" t="str">
        <f>IF(O11&lt;&gt;" ",ETANCHEITE!$D$8,"")</f>
        <v/>
      </c>
      <c r="M11" s="159" t="str">
        <f>IFERROR(MATCH(J11,ETANCHEITE!Z$19:Z$164,0)+18,"")</f>
        <v/>
      </c>
      <c r="N11" s="160" t="str" cm="1">
        <f t="array" aca="1" ref="N11" ca="1">IFERROR(IF(_xlfn.XLOOKUP(J11,ETANCHEITE!Z$19:Z$164,ETANCHEITE!$A$19:$A$164,"")&lt;&gt;"",_xlfn.XLOOKUP(J11,ETANCHEITE!Z$19:Z$164,ETANCHEITE!$A$19:$A$164,""),    INDEX(ETANCHEITE!$A:$A,MAX(_xlfn._xlws.FILTER(ROW(ETANCHEITE!$A$19:INDIRECT("'MENUISERIES EXTERIEURES'!$A" &amp; M11-1)),ETANCHEITE!$A$19:INDIRECT("'MENUISERIES EXTERIEURES'!$A" &amp; M11-1)&lt;&gt;"")))),"")&amp;"   "&amp;IFERROR(_xlfn.XLOOKUP(J11,ETANCHEITE!Z$19:Z$164,ETANCHEITE!$B$19:$B$164),"")&amp;IFERROR(_xlfn.XLOOKUP(J11,ETANCHEITE!Z$19:Z$164,ETANCHEITE!$C$19:$C$164),"")&amp;IFERROR(_xlfn.XLOOKUP(J11,ETANCHEITE!Z$19:Z$164,ETANCHEITE!$D$19:$D$164),"")&amp;IFERROR(_xlfn.XLOOKUP(J11,ETANCHEITE!Z$19:Z$164,ETANCHEITE!$E$19:$E$164),"")&amp;IFERROR(_xlfn.XLOOKUP(J11,ETANCHEITE!Z$19:Z$164,ETANCHEITE!$F$19:$F$164),"")</f>
        <v xml:space="preserve">   </v>
      </c>
      <c r="O11" s="168" t="str">
        <f>IFERROR(VLOOKUP(J11,ETANCHEITE!Z$19:AB$164,2,FALSE),"")&amp;" "&amp;IFERROR(VLOOKUP(J11,ETANCHEITE!Z$19:AB$164,3,FALSE),"")</f>
        <v xml:space="preserve"> </v>
      </c>
      <c r="P11" s="161" t="str">
        <f>IF(O11&lt;&gt;" ",'Feuille de Donnée'!$C$3,"")</f>
        <v/>
      </c>
      <c r="Q11" s="232" t="str" cm="1">
        <f t="array" aca="1" ref="Q11" ca="1">IFERROR(IF(_xlfn.XLOOKUP(J11,ETANCHEITE!Z$19:Z$89,ETANCHEITE!X$19:X$89,"")&lt;&gt;"",_xlfn.XLOOKUP(J11,ETANCHEITE!Z$19:Z$89,ETANCHEITE!X$19:X$89,""),    INDEX(ETANCHEITE!X:X,MAX(_xlfn._xlws.FILTER(ROW(ETANCHEITE!X$19:INDIRECT("'PEINTURE'!O" &amp; M11-1)),ETANCHEITE!X$19:INDIRECT("'PEINTURE'!O" &amp; M11-1)&lt;&gt;"")))),"")</f>
        <v/>
      </c>
      <c r="R11" s="233" t="str" cm="1">
        <f t="array" aca="1" ref="R11" ca="1">IFERROR(IF(_xlfn.XLOOKUP(J11,ETANCHEITE!Z$19:Z$89,ETANCHEITE!Y$19:Y$89,"")&lt;&gt;"",_xlfn.XLOOKUP(J11,ETANCHEITE!Z$19:Z$89,ETANCHEITE!Y$19:Y$89,""),    INDEX(ETANCHEITE!Y:Y,MAX(_xlfn._xlws.FILTER(ROW(ETANCHEITE!Y$19:INDIRECT("'PEINTURE'!P" &amp; M11-1)),ETANCHEITE!Y$19:INDIRECT("'PEINTURE'!P" &amp; M11-1)&lt;&gt;"")))),"")</f>
        <v/>
      </c>
      <c r="S11" s="158">
        <v>9</v>
      </c>
      <c r="T11" s="167" t="str">
        <f>IF(X11&lt;&gt;" ",ETANCHEITE!$D$5,"")</f>
        <v/>
      </c>
      <c r="U11" s="167" t="str">
        <f>IF(X11&lt;&gt;" ",ETANCHEITE!$D$8,"")</f>
        <v/>
      </c>
      <c r="V11" s="159" t="str">
        <f>IFERROR(MATCH(S11,ETANCHEITE!AI$19:AI$164,0)+18,"")</f>
        <v/>
      </c>
      <c r="W11" s="160" t="str" cm="1">
        <f t="array" aca="1" ref="W11" ca="1">IFERROR(IF(_xlfn.XLOOKUP(S11,ETANCHEITE!AI$19:AI$164,ETANCHEITE!$A$19:$A$164,"")&lt;&gt;"",_xlfn.XLOOKUP(S11,ETANCHEITE!AI$19:AI$164,ETANCHEITE!$A$19:$A$164,""),    INDEX(ETANCHEITE!$A:$A,MAX(_xlfn._xlws.FILTER(ROW(ETANCHEITE!$A$19:INDIRECT("'MENUISERIES EXTERIEURES'!$A" &amp; V11-1)),ETANCHEITE!$A$19:INDIRECT("'MENUISERIES EXTERIEURES'!$A" &amp; V11-1)&lt;&gt;"")))),"")&amp;"   "&amp;IFERROR(_xlfn.XLOOKUP(S11,ETANCHEITE!AI$19:AI$164,ETANCHEITE!$B$19:$B$164),"")&amp;IFERROR(_xlfn.XLOOKUP(S11,ETANCHEITE!AI$19:AI$164,ETANCHEITE!$C$19:$C$164),"")&amp;IFERROR(_xlfn.XLOOKUP(S11,ETANCHEITE!AI$19:AI$164,ETANCHEITE!$D$19:$D$164),"")&amp;IFERROR(_xlfn.XLOOKUP(S11,ETANCHEITE!AI$19:AI$164,ETANCHEITE!$E$19:$E$164),"")&amp;IFERROR(_xlfn.XLOOKUP(S11,ETANCHEITE!AI$19:AI$164,ETANCHEITE!$F$19:$F$164),"")</f>
        <v xml:space="preserve">   </v>
      </c>
      <c r="X11" s="168" t="str">
        <f>IFERROR(VLOOKUP(S11,ETANCHEITE!AI$19:AK$164,2,FALSE),"")&amp;" "&amp;IFERROR(VLOOKUP(S11,ETANCHEITE!AI$19:AK$164,3,FALSE),"")</f>
        <v xml:space="preserve"> </v>
      </c>
      <c r="Y11" s="161" t="str">
        <f>IF(X11&lt;&gt;" ",'Feuille de Donnée'!$C$3,"")</f>
        <v/>
      </c>
      <c r="Z11" s="232" t="str" cm="1">
        <f t="array" aca="1" ref="Z11" ca="1">IFERROR(IF(_xlfn.XLOOKUP(S11,ETANCHEITE!AI$19:AI$89,ETANCHEITE!AG$19:AG$89,"")&lt;&gt;"",_xlfn.XLOOKUP(S11,ETANCHEITE!AI$19:AI$89,ETANCHEITE!AG$19:AG$89,""),    INDEX(ETANCHEITE!AG:AG,MAX(_xlfn._xlws.FILTER(ROW(ETANCHEITE!AG$19:INDIRECT("'PEINTURE'!O" &amp; V11-1)),ETANCHEITE!AG$19:INDIRECT("'PEINTURE'!O" &amp; V11-1)&lt;&gt;"")))),"")</f>
        <v/>
      </c>
      <c r="AA11" s="233" t="str" cm="1">
        <f t="array" aca="1" ref="AA11" ca="1">IFERROR(IF(_xlfn.XLOOKUP(S11,ETANCHEITE!AI$19:AI$89,ETANCHEITE!AH$19:AH$89,"")&lt;&gt;"",_xlfn.XLOOKUP(S11,ETANCHEITE!AI$19:AI$89,ETANCHEITE!AH$19:AH$89,""),    INDEX(ETANCHEITE!AH:AH,MAX(_xlfn._xlws.FILTER(ROW(ETANCHEITE!AH$19:INDIRECT("'PEINTURE'!P" &amp; V11-1)),ETANCHEITE!AH$19:INDIRECT("'PEINTURE'!P" &amp; V11-1)&lt;&gt;"")))),"")</f>
        <v/>
      </c>
      <c r="AB11" s="158">
        <v>9</v>
      </c>
      <c r="AC11" s="167" t="str">
        <f>IF(AG11&lt;&gt;" ",ETANCHEITE!$D$5,"")</f>
        <v/>
      </c>
      <c r="AD11" s="167" t="str">
        <f>IF(AG11&lt;&gt;" ",ETANCHEITE!$D$8,"")</f>
        <v/>
      </c>
      <c r="AE11" s="159" t="str">
        <f>IFERROR(MATCH(AB11,ETANCHEITE!AR$19:AR$164,0)+18,"")</f>
        <v/>
      </c>
      <c r="AF11" s="160" t="str" cm="1">
        <f t="array" aca="1" ref="AF11" ca="1">IFERROR(IF(_xlfn.XLOOKUP(AB11,ETANCHEITE!AR$19:AR$164,ETANCHEITE!$A$19:$A$164,"")&lt;&gt;"",_xlfn.XLOOKUP(AB11,ETANCHEITE!AR$19:AR$164,ETANCHEITE!$A$19:$A$164,""),    INDEX(ETANCHEITE!$A:$A,MAX(_xlfn._xlws.FILTER(ROW(ETANCHEITE!$A$19:INDIRECT("'MENUISERIES EXTERIEURES'!$A" &amp; AE11-1)),ETANCHEITE!$A$19:INDIRECT("'MENUISERIES EXTERIEURES'!$A" &amp; AE11-1)&lt;&gt;"")))),"")&amp;"   "&amp;IFERROR(_xlfn.XLOOKUP(AB11,ETANCHEITE!AR$19:AR$164,ETANCHEITE!$B$19:$B$164),"")&amp;IFERROR(_xlfn.XLOOKUP(AB11,ETANCHEITE!AR$19:AR$164,ETANCHEITE!$C$19:$C$164),"")&amp;IFERROR(_xlfn.XLOOKUP(AB11,ETANCHEITE!AR$19:AR$164,ETANCHEITE!$D$19:$D$164),"")&amp;IFERROR(_xlfn.XLOOKUP(AB11,ETANCHEITE!AR$19:AR$164,ETANCHEITE!$E$19:$E$164),"")&amp;IFERROR(_xlfn.XLOOKUP(AB11,ETANCHEITE!AR$19:AR$164,ETANCHEITE!$F$19:$F$164),"")</f>
        <v xml:space="preserve">   </v>
      </c>
      <c r="AG11" s="168" t="str">
        <f>IFERROR(VLOOKUP(AB11,ETANCHEITE!AR$19:AT$164,2,FALSE),"")&amp;" "&amp;IFERROR(VLOOKUP(AB11,ETANCHEITE!AR$19:AT$164,3,FALSE),"")</f>
        <v xml:space="preserve"> </v>
      </c>
      <c r="AH11" s="161" t="str">
        <f>IF(AG11&lt;&gt;" ",'Feuille de Donnée'!$C$3,"")</f>
        <v/>
      </c>
      <c r="AI11" s="232" t="str" cm="1">
        <f t="array" aca="1" ref="AI11" ca="1">IFERROR(IF(_xlfn.XLOOKUP(AB11,ETANCHEITE!AR$19:AR$89,ETANCHEITE!AP$19:AP$89,"")&lt;&gt;"",_xlfn.XLOOKUP(AB11,ETANCHEITE!AR$19:AR$89,ETANCHEITE!AP$19:AP$89,""),    INDEX(ETANCHEITE!AP:AP,MAX(_xlfn._xlws.FILTER(ROW(ETANCHEITE!AP$19:INDIRECT("'PEINTURE'!O" &amp; AE11-1)),ETANCHEITE!AP$19:INDIRECT("'PEINTURE'!O" &amp; AE11-1)&lt;&gt;"")))),"")</f>
        <v/>
      </c>
      <c r="AJ11" s="233" t="str" cm="1">
        <f t="array" aca="1" ref="AJ11" ca="1">IFERROR(IF(_xlfn.XLOOKUP(AB11,ETANCHEITE!AR$19:AR$89,ETANCHEITE!AQ$19:AQ$89,"")&lt;&gt;"",_xlfn.XLOOKUP(AB11,ETANCHEITE!AR$19:AR$89,ETANCHEITE!AQ$19:AQ$89,""),    INDEX(ETANCHEITE!AQ:AQ,MAX(_xlfn._xlws.FILTER(ROW(ETANCHEITE!AQ$19:INDIRECT("'PEINTURE'!P" &amp; AE11-1)),ETANCHEITE!AQ$19:INDIRECT("'PEINTURE'!P" &amp; AE11-1)&lt;&gt;"")))),"")</f>
        <v/>
      </c>
      <c r="AK11" s="158">
        <v>9</v>
      </c>
      <c r="AL11" s="167" t="str">
        <f>IF(AP11&lt;&gt;" ",ETANCHEITE!$D$5,"")</f>
        <v/>
      </c>
      <c r="AM11" s="167" t="str">
        <f>IF(AP11&lt;&gt;" ",ETANCHEITE!$D$8,"")</f>
        <v/>
      </c>
      <c r="AN11" s="159" t="str">
        <f>IFERROR(MATCH(AK11,ETANCHEITE!BA$19:BA$164,0)+18,"")</f>
        <v/>
      </c>
      <c r="AO11" s="160" t="str" cm="1">
        <f t="array" aca="1" ref="AO11" ca="1">IFERROR(IF(_xlfn.XLOOKUP(AK11,ETANCHEITE!BA$19:BA$164,ETANCHEITE!$A$19:$A$164,"")&lt;&gt;"",_xlfn.XLOOKUP(AK11,ETANCHEITE!BA$19:BA$164,ETANCHEITE!$A$19:$A$164,""),    INDEX(ETANCHEITE!$A:$A,MAX(_xlfn._xlws.FILTER(ROW(ETANCHEITE!$A$19:INDIRECT("'MENUISERIES EXTERIEURES'!$A" &amp; AN11-1)),ETANCHEITE!$A$19:INDIRECT("'MENUISERIES EXTERIEURES'!$A" &amp; AN11-1)&lt;&gt;"")))),"")&amp;"   "&amp;IFERROR(_xlfn.XLOOKUP(AK11,ETANCHEITE!BA$19:BA$164,ETANCHEITE!$B$19:$B$164),"")&amp;IFERROR(_xlfn.XLOOKUP(AK11,ETANCHEITE!BA$19:BA$164,ETANCHEITE!$C$19:$C$164),"")&amp;IFERROR(_xlfn.XLOOKUP(AK11,ETANCHEITE!BA$19:BA$164,ETANCHEITE!$D$19:$D$164),"")&amp;IFERROR(_xlfn.XLOOKUP(AK11,ETANCHEITE!BA$19:BA$164,ETANCHEITE!$E$19:$E$164),"")&amp;IFERROR(_xlfn.XLOOKUP(AK11,ETANCHEITE!BA$19:BA$164,ETANCHEITE!$F$19:$F$164),"")</f>
        <v xml:space="preserve">   </v>
      </c>
      <c r="AP11" s="168" t="str">
        <f>IFERROR(VLOOKUP(AK11,ETANCHEITE!BA$19:BC$164,2,FALSE),"")&amp;" "&amp;IFERROR(VLOOKUP(AK11,ETANCHEITE!BA$19:BC$164,3,FALSE),"")</f>
        <v xml:space="preserve"> </v>
      </c>
      <c r="AQ11" s="161" t="str">
        <f>IF(AP11&lt;&gt;" ",'Feuille de Donnée'!$C$3,"")</f>
        <v/>
      </c>
      <c r="AR11" s="232" t="str" cm="1">
        <f t="array" aca="1" ref="AR11" ca="1">IFERROR(IF(_xlfn.XLOOKUP(AK11,ETANCHEITE!BA$19:BA$89,ETANCHEITE!AY$19:AY$89,"")&lt;&gt;"",_xlfn.XLOOKUP(AK11,ETANCHEITE!BA$19:BA$89,ETANCHEITE!AY$19:AY$89,""),    INDEX(ETANCHEITE!AY:AY,MAX(_xlfn._xlws.FILTER(ROW(ETANCHEITE!AY$19:INDIRECT("'PEINTURE'!O" &amp; AN11-1)),ETANCHEITE!AY$19:INDIRECT("'PEINTURE'!O" &amp; AN11-1)&lt;&gt;"")))),"")</f>
        <v/>
      </c>
      <c r="AS11" s="233" t="str" cm="1">
        <f t="array" aca="1" ref="AS11" ca="1">IFERROR(IF(_xlfn.XLOOKUP(AK11,ETANCHEITE!BA$19:BA$89,ETANCHEITE!AZ$19:AZ$89,"")&lt;&gt;"",_xlfn.XLOOKUP(AK11,ETANCHEITE!BA$19:BA$89,ETANCHEITE!AZ$19:AZ$89,""),    INDEX(ETANCHEITE!AZ:AZ,MAX(_xlfn._xlws.FILTER(ROW(ETANCHEITE!AZ$19:INDIRECT("'PEINTURE'!P" &amp; AN11-1)),ETANCHEITE!AZ$19:INDIRECT("'PEINTURE'!P" &amp; AN11-1)&lt;&gt;"")))),"")</f>
        <v/>
      </c>
      <c r="AT11" s="158">
        <v>9</v>
      </c>
      <c r="AU11" s="167" t="str">
        <f>IF(AY11&lt;&gt;" ",ETANCHEITE!$D$5,"")</f>
        <v/>
      </c>
      <c r="AV11" s="167" t="str">
        <f>IF(AY11&lt;&gt;" ",ETANCHEITE!$D$8,"")</f>
        <v/>
      </c>
      <c r="AW11" s="159" t="str">
        <f>IFERROR(MATCH(AT11,ETANCHEITE!BJ$19:BJ$164,0)+18,"")</f>
        <v/>
      </c>
      <c r="AX11" s="160" t="str" cm="1">
        <f t="array" aca="1" ref="AX11" ca="1">IFERROR(IF(_xlfn.XLOOKUP(AT11,ETANCHEITE!BJ$19:BJ$164,ETANCHEITE!$A$19:$A$164,"")&lt;&gt;"",_xlfn.XLOOKUP(AT11,ETANCHEITE!BJ$19:BJ$164,ETANCHEITE!$A$19:$A$164,""),    INDEX(ETANCHEITE!$A:$A,MAX(_xlfn._xlws.FILTER(ROW(ETANCHEITE!$A$19:INDIRECT("'MENUISERIES EXTERIEURES'!$A" &amp; AW11-1)),ETANCHEITE!$A$19:INDIRECT("'MENUISERIES EXTERIEURES'!$A" &amp; AW11-1)&lt;&gt;"")))),"")&amp;"   "&amp;IFERROR(_xlfn.XLOOKUP(AT11,ETANCHEITE!BJ$19:BJ$164,ETANCHEITE!$B$19:$B$164),"")&amp;IFERROR(_xlfn.XLOOKUP(AT11,ETANCHEITE!BJ$19:BJ$164,ETANCHEITE!$C$19:$C$164),"")&amp;IFERROR(_xlfn.XLOOKUP(AT11,ETANCHEITE!BJ$19:BJ$164,ETANCHEITE!$D$19:$D$164),"")&amp;IFERROR(_xlfn.XLOOKUP(AT11,ETANCHEITE!BJ$19:BJ$164,ETANCHEITE!$E$19:$E$164),"")&amp;IFERROR(_xlfn.XLOOKUP(AT11,ETANCHEITE!BJ$19:BJ$164,ETANCHEITE!$F$19:$F$164),"")</f>
        <v xml:space="preserve">   </v>
      </c>
      <c r="AY11" s="168" t="str">
        <f>IFERROR(VLOOKUP(AT11,ETANCHEITE!BJ$19:BL$164,2,FALSE),"")&amp;" "&amp;IFERROR(VLOOKUP(AT11,ETANCHEITE!BJ$19:BL$164,3,FALSE),"")</f>
        <v xml:space="preserve"> </v>
      </c>
      <c r="AZ11" s="161" t="str">
        <f>IF(AY11&lt;&gt;" ",'Feuille de Donnée'!$C$3,"")</f>
        <v/>
      </c>
      <c r="BA11" s="232" t="str" cm="1">
        <f t="array" aca="1" ref="BA11" ca="1">IFERROR(IF(_xlfn.XLOOKUP(AT11,ETANCHEITE!BJ$19:BJ$89,ETANCHEITE!BH$19:BH$89,"")&lt;&gt;"",_xlfn.XLOOKUP(AT11,ETANCHEITE!BJ$19:BJ$89,ETANCHEITE!BH$19:BH$89,""),    INDEX(ETANCHEITE!BH:BH,MAX(_xlfn._xlws.FILTER(ROW(ETANCHEITE!BH$19:INDIRECT("'PEINTURE'!O" &amp; AW11-1)),ETANCHEITE!BH$19:INDIRECT("'PEINTURE'!O" &amp; AW11-1)&lt;&gt;"")))),"")</f>
        <v/>
      </c>
      <c r="BB11" s="233" t="str" cm="1">
        <f t="array" aca="1" ref="BB11" ca="1">IFERROR(IF(_xlfn.XLOOKUP(AT11,ETANCHEITE!BJ$19:BJ$89,ETANCHEITE!BI$19:BI$89,"")&lt;&gt;"",_xlfn.XLOOKUP(AT11,ETANCHEITE!BJ$19:BJ$89,ETANCHEITE!BI$19:BI$89,""),    INDEX(ETANCHEITE!BI:BI,MAX(_xlfn._xlws.FILTER(ROW(ETANCHEITE!BI$19:INDIRECT("'PEINTURE'!P" &amp; AW11-1)),ETANCHEITE!BI$19:INDIRECT("'PEINTURE'!P" &amp; AW11-1)&lt;&gt;"")))),"")</f>
        <v/>
      </c>
    </row>
    <row r="12" spans="1:54" ht="15" customHeight="1" x14ac:dyDescent="0.3">
      <c r="A12" s="158">
        <v>10</v>
      </c>
      <c r="B12" s="167" t="str">
        <f>IF(F12&lt;&gt;" ",ETANCHEITE!$D$5,"")</f>
        <v/>
      </c>
      <c r="C12" s="167" t="str">
        <f>IF(F12&lt;&gt;" ",ETANCHEITE!$D$8,"")</f>
        <v/>
      </c>
      <c r="D12" s="159" t="str">
        <f>IFERROR(MATCH(A12,ETANCHEITE!Q$19:Q$164,0)+18,"")</f>
        <v/>
      </c>
      <c r="E12" s="160" t="str" cm="1">
        <f t="array" aca="1" ref="E12" ca="1">IFERROR(IF(_xlfn.XLOOKUP(A12,ETANCHEITE!Q$19:Q$164,ETANCHEITE!$A$19:$A$164,"")&lt;&gt;"",_xlfn.XLOOKUP(A12,ETANCHEITE!Q$19:Q$164,ETANCHEITE!$A$19:$A$164,""),    INDEX(ETANCHEITE!$A:$A,MAX(_xlfn._xlws.FILTER(ROW(ETANCHEITE!$A$19:INDIRECT("'MENUISERIES EXTERIEURES'!$A" &amp; D12-1)),ETANCHEITE!$A$19:INDIRECT("'MENUISERIES EXTERIEURES'!$A" &amp; D12-1)&lt;&gt;"")))),"")&amp;"   "&amp;IFERROR(_xlfn.XLOOKUP(A12,ETANCHEITE!Q$19:Q$164,ETANCHEITE!$B$19:$B$164),"")&amp;IFERROR(_xlfn.XLOOKUP(A12,ETANCHEITE!Q$19:Q$164,ETANCHEITE!$C$19:$C$164),"")&amp;IFERROR(_xlfn.XLOOKUP(A12,ETANCHEITE!Q$19:Q$164,ETANCHEITE!$D$19:$D$164),"")&amp;IFERROR(_xlfn.XLOOKUP(A12,ETANCHEITE!Q$19:Q$164,ETANCHEITE!$E$19:$E$164),"")&amp;IFERROR(_xlfn.XLOOKUP(A12,ETANCHEITE!Q$19:Q$164,ETANCHEITE!$F$19:$F$164),"")</f>
        <v xml:space="preserve">   </v>
      </c>
      <c r="F12" s="168" t="str">
        <f>IFERROR(VLOOKUP(A12,ETANCHEITE!Q$19:S$164,2,FALSE),"")&amp;" "&amp;IFERROR(VLOOKUP(A12,ETANCHEITE!Q$19:S$164,3,FALSE),"")</f>
        <v xml:space="preserve"> </v>
      </c>
      <c r="G12" s="161" t="str">
        <f>IF(F12&lt;&gt;" ",'Feuille de Donnée'!$C$3,"")</f>
        <v/>
      </c>
      <c r="H12" s="232" t="str" cm="1">
        <f t="array" aca="1" ref="H12" ca="1">IFERROR(IF(_xlfn.XLOOKUP(A12,ETANCHEITE!Q$19:Q$89,ETANCHEITE!O$19:O$89,"")&lt;&gt;"",_xlfn.XLOOKUP(A12,ETANCHEITE!Q$19:Q$89,ETANCHEITE!O$19:O$89,""),    INDEX(ETANCHEITE!O:O,MAX(_xlfn._xlws.FILTER(ROW(ETANCHEITE!O$19:INDIRECT("'PEINTURE'!O" &amp; D12-1)),ETANCHEITE!O$19:INDIRECT("'PEINTURE'!O" &amp; D12-1)&lt;&gt;"")))),"")</f>
        <v/>
      </c>
      <c r="I12" s="233" t="str" cm="1">
        <f t="array" aca="1" ref="I12" ca="1">IFERROR(IF(_xlfn.XLOOKUP(A12,ETANCHEITE!Q$19:Q$89,ETANCHEITE!P$19:P$89,"")&lt;&gt;"",_xlfn.XLOOKUP(A12,ETANCHEITE!Q$19:Q$89,ETANCHEITE!P$19:P$89,""),    INDEX(ETANCHEITE!P:P,MAX(_xlfn._xlws.FILTER(ROW(ETANCHEITE!P$19:INDIRECT("'PEINTURE'!P" &amp; D12-1)),ETANCHEITE!P$19:INDIRECT("'PEINTURE'!P" &amp; D12-1)&lt;&gt;"")))),"")</f>
        <v/>
      </c>
      <c r="J12" s="158">
        <v>10</v>
      </c>
      <c r="K12" s="167" t="str">
        <f>IF(O12&lt;&gt;" ",ETANCHEITE!$D$5,"")</f>
        <v/>
      </c>
      <c r="L12" s="167" t="str">
        <f>IF(O12&lt;&gt;" ",ETANCHEITE!$D$8,"")</f>
        <v/>
      </c>
      <c r="M12" s="159" t="str">
        <f>IFERROR(MATCH(J12,ETANCHEITE!Z$19:Z$164,0)+18,"")</f>
        <v/>
      </c>
      <c r="N12" s="160" t="str" cm="1">
        <f t="array" aca="1" ref="N12" ca="1">IFERROR(IF(_xlfn.XLOOKUP(J12,ETANCHEITE!Z$19:Z$164,ETANCHEITE!$A$19:$A$164,"")&lt;&gt;"",_xlfn.XLOOKUP(J12,ETANCHEITE!Z$19:Z$164,ETANCHEITE!$A$19:$A$164,""),    INDEX(ETANCHEITE!$A:$A,MAX(_xlfn._xlws.FILTER(ROW(ETANCHEITE!$A$19:INDIRECT("'MENUISERIES EXTERIEURES'!$A" &amp; M12-1)),ETANCHEITE!$A$19:INDIRECT("'MENUISERIES EXTERIEURES'!$A" &amp; M12-1)&lt;&gt;"")))),"")&amp;"   "&amp;IFERROR(_xlfn.XLOOKUP(J12,ETANCHEITE!Z$19:Z$164,ETANCHEITE!$B$19:$B$164),"")&amp;IFERROR(_xlfn.XLOOKUP(J12,ETANCHEITE!Z$19:Z$164,ETANCHEITE!$C$19:$C$164),"")&amp;IFERROR(_xlfn.XLOOKUP(J12,ETANCHEITE!Z$19:Z$164,ETANCHEITE!$D$19:$D$164),"")&amp;IFERROR(_xlfn.XLOOKUP(J12,ETANCHEITE!Z$19:Z$164,ETANCHEITE!$E$19:$E$164),"")&amp;IFERROR(_xlfn.XLOOKUP(J12,ETANCHEITE!Z$19:Z$164,ETANCHEITE!$F$19:$F$164),"")</f>
        <v xml:space="preserve">   </v>
      </c>
      <c r="O12" s="168" t="str">
        <f>IFERROR(VLOOKUP(J12,ETANCHEITE!Z$19:AB$164,2,FALSE),"")&amp;" "&amp;IFERROR(VLOOKUP(J12,ETANCHEITE!Z$19:AB$164,3,FALSE),"")</f>
        <v xml:space="preserve"> </v>
      </c>
      <c r="P12" s="161" t="str">
        <f>IF(O12&lt;&gt;" ",'Feuille de Donnée'!$C$3,"")</f>
        <v/>
      </c>
      <c r="Q12" s="232" t="str" cm="1">
        <f t="array" aca="1" ref="Q12" ca="1">IFERROR(IF(_xlfn.XLOOKUP(J12,ETANCHEITE!Z$19:Z$89,ETANCHEITE!X$19:X$89,"")&lt;&gt;"",_xlfn.XLOOKUP(J12,ETANCHEITE!Z$19:Z$89,ETANCHEITE!X$19:X$89,""),    INDEX(ETANCHEITE!X:X,MAX(_xlfn._xlws.FILTER(ROW(ETANCHEITE!X$19:INDIRECT("'PEINTURE'!O" &amp; M12-1)),ETANCHEITE!X$19:INDIRECT("'PEINTURE'!O" &amp; M12-1)&lt;&gt;"")))),"")</f>
        <v/>
      </c>
      <c r="R12" s="233" t="str" cm="1">
        <f t="array" aca="1" ref="R12" ca="1">IFERROR(IF(_xlfn.XLOOKUP(J12,ETANCHEITE!Z$19:Z$89,ETANCHEITE!Y$19:Y$89,"")&lt;&gt;"",_xlfn.XLOOKUP(J12,ETANCHEITE!Z$19:Z$89,ETANCHEITE!Y$19:Y$89,""),    INDEX(ETANCHEITE!Y:Y,MAX(_xlfn._xlws.FILTER(ROW(ETANCHEITE!Y$19:INDIRECT("'PEINTURE'!P" &amp; M12-1)),ETANCHEITE!Y$19:INDIRECT("'PEINTURE'!P" &amp; M12-1)&lt;&gt;"")))),"")</f>
        <v/>
      </c>
      <c r="S12" s="158">
        <v>10</v>
      </c>
      <c r="T12" s="167" t="str">
        <f>IF(X12&lt;&gt;" ",ETANCHEITE!$D$5,"")</f>
        <v/>
      </c>
      <c r="U12" s="167" t="str">
        <f>IF(X12&lt;&gt;" ",ETANCHEITE!$D$8,"")</f>
        <v/>
      </c>
      <c r="V12" s="159" t="str">
        <f>IFERROR(MATCH(S12,ETANCHEITE!AI$19:AI$164,0)+18,"")</f>
        <v/>
      </c>
      <c r="W12" s="160" t="str" cm="1">
        <f t="array" aca="1" ref="W12" ca="1">IFERROR(IF(_xlfn.XLOOKUP(S12,ETANCHEITE!AI$19:AI$164,ETANCHEITE!$A$19:$A$164,"")&lt;&gt;"",_xlfn.XLOOKUP(S12,ETANCHEITE!AI$19:AI$164,ETANCHEITE!$A$19:$A$164,""),    INDEX(ETANCHEITE!$A:$A,MAX(_xlfn._xlws.FILTER(ROW(ETANCHEITE!$A$19:INDIRECT("'MENUISERIES EXTERIEURES'!$A" &amp; V12-1)),ETANCHEITE!$A$19:INDIRECT("'MENUISERIES EXTERIEURES'!$A" &amp; V12-1)&lt;&gt;"")))),"")&amp;"   "&amp;IFERROR(_xlfn.XLOOKUP(S12,ETANCHEITE!AI$19:AI$164,ETANCHEITE!$B$19:$B$164),"")&amp;IFERROR(_xlfn.XLOOKUP(S12,ETANCHEITE!AI$19:AI$164,ETANCHEITE!$C$19:$C$164),"")&amp;IFERROR(_xlfn.XLOOKUP(S12,ETANCHEITE!AI$19:AI$164,ETANCHEITE!$D$19:$D$164),"")&amp;IFERROR(_xlfn.XLOOKUP(S12,ETANCHEITE!AI$19:AI$164,ETANCHEITE!$E$19:$E$164),"")&amp;IFERROR(_xlfn.XLOOKUP(S12,ETANCHEITE!AI$19:AI$164,ETANCHEITE!$F$19:$F$164),"")</f>
        <v xml:space="preserve">   </v>
      </c>
      <c r="X12" s="168" t="str">
        <f>IFERROR(VLOOKUP(S12,ETANCHEITE!AI$19:AK$164,2,FALSE),"")&amp;" "&amp;IFERROR(VLOOKUP(S12,ETANCHEITE!AI$19:AK$164,3,FALSE),"")</f>
        <v xml:space="preserve"> </v>
      </c>
      <c r="Y12" s="161" t="str">
        <f>IF(X12&lt;&gt;" ",'Feuille de Donnée'!$C$3,"")</f>
        <v/>
      </c>
      <c r="Z12" s="232" t="str" cm="1">
        <f t="array" aca="1" ref="Z12" ca="1">IFERROR(IF(_xlfn.XLOOKUP(S12,ETANCHEITE!AI$19:AI$89,ETANCHEITE!AG$19:AG$89,"")&lt;&gt;"",_xlfn.XLOOKUP(S12,ETANCHEITE!AI$19:AI$89,ETANCHEITE!AG$19:AG$89,""),    INDEX(ETANCHEITE!AG:AG,MAX(_xlfn._xlws.FILTER(ROW(ETANCHEITE!AG$19:INDIRECT("'PEINTURE'!O" &amp; V12-1)),ETANCHEITE!AG$19:INDIRECT("'PEINTURE'!O" &amp; V12-1)&lt;&gt;"")))),"")</f>
        <v/>
      </c>
      <c r="AA12" s="233" t="str" cm="1">
        <f t="array" aca="1" ref="AA12" ca="1">IFERROR(IF(_xlfn.XLOOKUP(S12,ETANCHEITE!AI$19:AI$89,ETANCHEITE!AH$19:AH$89,"")&lt;&gt;"",_xlfn.XLOOKUP(S12,ETANCHEITE!AI$19:AI$89,ETANCHEITE!AH$19:AH$89,""),    INDEX(ETANCHEITE!AH:AH,MAX(_xlfn._xlws.FILTER(ROW(ETANCHEITE!AH$19:INDIRECT("'PEINTURE'!P" &amp; V12-1)),ETANCHEITE!AH$19:INDIRECT("'PEINTURE'!P" &amp; V12-1)&lt;&gt;"")))),"")</f>
        <v/>
      </c>
      <c r="AB12" s="158">
        <v>10</v>
      </c>
      <c r="AC12" s="167" t="str">
        <f>IF(AG12&lt;&gt;" ",ETANCHEITE!$D$5,"")</f>
        <v/>
      </c>
      <c r="AD12" s="167" t="str">
        <f>IF(AG12&lt;&gt;" ",ETANCHEITE!$D$8,"")</f>
        <v/>
      </c>
      <c r="AE12" s="159" t="str">
        <f>IFERROR(MATCH(AB12,ETANCHEITE!AR$19:AR$164,0)+18,"")</f>
        <v/>
      </c>
      <c r="AF12" s="160" t="str" cm="1">
        <f t="array" aca="1" ref="AF12" ca="1">IFERROR(IF(_xlfn.XLOOKUP(AB12,ETANCHEITE!AR$19:AR$164,ETANCHEITE!$A$19:$A$164,"")&lt;&gt;"",_xlfn.XLOOKUP(AB12,ETANCHEITE!AR$19:AR$164,ETANCHEITE!$A$19:$A$164,""),    INDEX(ETANCHEITE!$A:$A,MAX(_xlfn._xlws.FILTER(ROW(ETANCHEITE!$A$19:INDIRECT("'MENUISERIES EXTERIEURES'!$A" &amp; AE12-1)),ETANCHEITE!$A$19:INDIRECT("'MENUISERIES EXTERIEURES'!$A" &amp; AE12-1)&lt;&gt;"")))),"")&amp;"   "&amp;IFERROR(_xlfn.XLOOKUP(AB12,ETANCHEITE!AR$19:AR$164,ETANCHEITE!$B$19:$B$164),"")&amp;IFERROR(_xlfn.XLOOKUP(AB12,ETANCHEITE!AR$19:AR$164,ETANCHEITE!$C$19:$C$164),"")&amp;IFERROR(_xlfn.XLOOKUP(AB12,ETANCHEITE!AR$19:AR$164,ETANCHEITE!$D$19:$D$164),"")&amp;IFERROR(_xlfn.XLOOKUP(AB12,ETANCHEITE!AR$19:AR$164,ETANCHEITE!$E$19:$E$164),"")&amp;IFERROR(_xlfn.XLOOKUP(AB12,ETANCHEITE!AR$19:AR$164,ETANCHEITE!$F$19:$F$164),"")</f>
        <v xml:space="preserve">   </v>
      </c>
      <c r="AG12" s="168" t="str">
        <f>IFERROR(VLOOKUP(AB12,ETANCHEITE!AR$19:AT$164,2,FALSE),"")&amp;" "&amp;IFERROR(VLOOKUP(AB12,ETANCHEITE!AR$19:AT$164,3,FALSE),"")</f>
        <v xml:space="preserve"> </v>
      </c>
      <c r="AH12" s="161" t="str">
        <f>IF(AG12&lt;&gt;" ",'Feuille de Donnée'!$C$3,"")</f>
        <v/>
      </c>
      <c r="AI12" s="232" t="str" cm="1">
        <f t="array" aca="1" ref="AI12" ca="1">IFERROR(IF(_xlfn.XLOOKUP(AB12,ETANCHEITE!AR$19:AR$89,ETANCHEITE!AP$19:AP$89,"")&lt;&gt;"",_xlfn.XLOOKUP(AB12,ETANCHEITE!AR$19:AR$89,ETANCHEITE!AP$19:AP$89,""),    INDEX(ETANCHEITE!AP:AP,MAX(_xlfn._xlws.FILTER(ROW(ETANCHEITE!AP$19:INDIRECT("'PEINTURE'!O" &amp; AE12-1)),ETANCHEITE!AP$19:INDIRECT("'PEINTURE'!O" &amp; AE12-1)&lt;&gt;"")))),"")</f>
        <v/>
      </c>
      <c r="AJ12" s="233" t="str" cm="1">
        <f t="array" aca="1" ref="AJ12" ca="1">IFERROR(IF(_xlfn.XLOOKUP(AB12,ETANCHEITE!AR$19:AR$89,ETANCHEITE!AQ$19:AQ$89,"")&lt;&gt;"",_xlfn.XLOOKUP(AB12,ETANCHEITE!AR$19:AR$89,ETANCHEITE!AQ$19:AQ$89,""),    INDEX(ETANCHEITE!AQ:AQ,MAX(_xlfn._xlws.FILTER(ROW(ETANCHEITE!AQ$19:INDIRECT("'PEINTURE'!P" &amp; AE12-1)),ETANCHEITE!AQ$19:INDIRECT("'PEINTURE'!P" &amp; AE12-1)&lt;&gt;"")))),"")</f>
        <v/>
      </c>
      <c r="AK12" s="158">
        <v>10</v>
      </c>
      <c r="AL12" s="167" t="str">
        <f>IF(AP12&lt;&gt;" ",ETANCHEITE!$D$5,"")</f>
        <v/>
      </c>
      <c r="AM12" s="167" t="str">
        <f>IF(AP12&lt;&gt;" ",ETANCHEITE!$D$8,"")</f>
        <v/>
      </c>
      <c r="AN12" s="159" t="str">
        <f>IFERROR(MATCH(AK12,ETANCHEITE!BA$19:BA$164,0)+18,"")</f>
        <v/>
      </c>
      <c r="AO12" s="160" t="str" cm="1">
        <f t="array" aca="1" ref="AO12" ca="1">IFERROR(IF(_xlfn.XLOOKUP(AK12,ETANCHEITE!BA$19:BA$164,ETANCHEITE!$A$19:$A$164,"")&lt;&gt;"",_xlfn.XLOOKUP(AK12,ETANCHEITE!BA$19:BA$164,ETANCHEITE!$A$19:$A$164,""),    INDEX(ETANCHEITE!$A:$A,MAX(_xlfn._xlws.FILTER(ROW(ETANCHEITE!$A$19:INDIRECT("'MENUISERIES EXTERIEURES'!$A" &amp; AN12-1)),ETANCHEITE!$A$19:INDIRECT("'MENUISERIES EXTERIEURES'!$A" &amp; AN12-1)&lt;&gt;"")))),"")&amp;"   "&amp;IFERROR(_xlfn.XLOOKUP(AK12,ETANCHEITE!BA$19:BA$164,ETANCHEITE!$B$19:$B$164),"")&amp;IFERROR(_xlfn.XLOOKUP(AK12,ETANCHEITE!BA$19:BA$164,ETANCHEITE!$C$19:$C$164),"")&amp;IFERROR(_xlfn.XLOOKUP(AK12,ETANCHEITE!BA$19:BA$164,ETANCHEITE!$D$19:$D$164),"")&amp;IFERROR(_xlfn.XLOOKUP(AK12,ETANCHEITE!BA$19:BA$164,ETANCHEITE!$E$19:$E$164),"")&amp;IFERROR(_xlfn.XLOOKUP(AK12,ETANCHEITE!BA$19:BA$164,ETANCHEITE!$F$19:$F$164),"")</f>
        <v xml:space="preserve">   </v>
      </c>
      <c r="AP12" s="168" t="str">
        <f>IFERROR(VLOOKUP(AK12,ETANCHEITE!BA$19:BC$164,2,FALSE),"")&amp;" "&amp;IFERROR(VLOOKUP(AK12,ETANCHEITE!BA$19:BC$164,3,FALSE),"")</f>
        <v xml:space="preserve"> </v>
      </c>
      <c r="AQ12" s="161" t="str">
        <f>IF(AP12&lt;&gt;" ",'Feuille de Donnée'!$C$3,"")</f>
        <v/>
      </c>
      <c r="AR12" s="232" t="str" cm="1">
        <f t="array" aca="1" ref="AR12" ca="1">IFERROR(IF(_xlfn.XLOOKUP(AK12,ETANCHEITE!BA$19:BA$89,ETANCHEITE!AY$19:AY$89,"")&lt;&gt;"",_xlfn.XLOOKUP(AK12,ETANCHEITE!BA$19:BA$89,ETANCHEITE!AY$19:AY$89,""),    INDEX(ETANCHEITE!AY:AY,MAX(_xlfn._xlws.FILTER(ROW(ETANCHEITE!AY$19:INDIRECT("'PEINTURE'!O" &amp; AN12-1)),ETANCHEITE!AY$19:INDIRECT("'PEINTURE'!O" &amp; AN12-1)&lt;&gt;"")))),"")</f>
        <v/>
      </c>
      <c r="AS12" s="233" t="str" cm="1">
        <f t="array" aca="1" ref="AS12" ca="1">IFERROR(IF(_xlfn.XLOOKUP(AK12,ETANCHEITE!BA$19:BA$89,ETANCHEITE!AZ$19:AZ$89,"")&lt;&gt;"",_xlfn.XLOOKUP(AK12,ETANCHEITE!BA$19:BA$89,ETANCHEITE!AZ$19:AZ$89,""),    INDEX(ETANCHEITE!AZ:AZ,MAX(_xlfn._xlws.FILTER(ROW(ETANCHEITE!AZ$19:INDIRECT("'PEINTURE'!P" &amp; AN12-1)),ETANCHEITE!AZ$19:INDIRECT("'PEINTURE'!P" &amp; AN12-1)&lt;&gt;"")))),"")</f>
        <v/>
      </c>
      <c r="AT12" s="158">
        <v>10</v>
      </c>
      <c r="AU12" s="167" t="str">
        <f>IF(AY12&lt;&gt;" ",ETANCHEITE!$D$5,"")</f>
        <v/>
      </c>
      <c r="AV12" s="167" t="str">
        <f>IF(AY12&lt;&gt;" ",ETANCHEITE!$D$8,"")</f>
        <v/>
      </c>
      <c r="AW12" s="159" t="str">
        <f>IFERROR(MATCH(AT12,ETANCHEITE!BJ$19:BJ$164,0)+18,"")</f>
        <v/>
      </c>
      <c r="AX12" s="160" t="str" cm="1">
        <f t="array" aca="1" ref="AX12" ca="1">IFERROR(IF(_xlfn.XLOOKUP(AT12,ETANCHEITE!BJ$19:BJ$164,ETANCHEITE!$A$19:$A$164,"")&lt;&gt;"",_xlfn.XLOOKUP(AT12,ETANCHEITE!BJ$19:BJ$164,ETANCHEITE!$A$19:$A$164,""),    INDEX(ETANCHEITE!$A:$A,MAX(_xlfn._xlws.FILTER(ROW(ETANCHEITE!$A$19:INDIRECT("'MENUISERIES EXTERIEURES'!$A" &amp; AW12-1)),ETANCHEITE!$A$19:INDIRECT("'MENUISERIES EXTERIEURES'!$A" &amp; AW12-1)&lt;&gt;"")))),"")&amp;"   "&amp;IFERROR(_xlfn.XLOOKUP(AT12,ETANCHEITE!BJ$19:BJ$164,ETANCHEITE!$B$19:$B$164),"")&amp;IFERROR(_xlfn.XLOOKUP(AT12,ETANCHEITE!BJ$19:BJ$164,ETANCHEITE!$C$19:$C$164),"")&amp;IFERROR(_xlfn.XLOOKUP(AT12,ETANCHEITE!BJ$19:BJ$164,ETANCHEITE!$D$19:$D$164),"")&amp;IFERROR(_xlfn.XLOOKUP(AT12,ETANCHEITE!BJ$19:BJ$164,ETANCHEITE!$E$19:$E$164),"")&amp;IFERROR(_xlfn.XLOOKUP(AT12,ETANCHEITE!BJ$19:BJ$164,ETANCHEITE!$F$19:$F$164),"")</f>
        <v xml:space="preserve">   </v>
      </c>
      <c r="AY12" s="168" t="str">
        <f>IFERROR(VLOOKUP(AT12,ETANCHEITE!BJ$19:BL$164,2,FALSE),"")&amp;" "&amp;IFERROR(VLOOKUP(AT12,ETANCHEITE!BJ$19:BL$164,3,FALSE),"")</f>
        <v xml:space="preserve"> </v>
      </c>
      <c r="AZ12" s="161" t="str">
        <f>IF(AY12&lt;&gt;" ",'Feuille de Donnée'!$C$3,"")</f>
        <v/>
      </c>
      <c r="BA12" s="232" t="str" cm="1">
        <f t="array" aca="1" ref="BA12" ca="1">IFERROR(IF(_xlfn.XLOOKUP(AT12,ETANCHEITE!BJ$19:BJ$89,ETANCHEITE!BH$19:BH$89,"")&lt;&gt;"",_xlfn.XLOOKUP(AT12,ETANCHEITE!BJ$19:BJ$89,ETANCHEITE!BH$19:BH$89,""),    INDEX(ETANCHEITE!BH:BH,MAX(_xlfn._xlws.FILTER(ROW(ETANCHEITE!BH$19:INDIRECT("'PEINTURE'!O" &amp; AW12-1)),ETANCHEITE!BH$19:INDIRECT("'PEINTURE'!O" &amp; AW12-1)&lt;&gt;"")))),"")</f>
        <v/>
      </c>
      <c r="BB12" s="233" t="str" cm="1">
        <f t="array" aca="1" ref="BB12" ca="1">IFERROR(IF(_xlfn.XLOOKUP(AT12,ETANCHEITE!BJ$19:BJ$89,ETANCHEITE!BI$19:BI$89,"")&lt;&gt;"",_xlfn.XLOOKUP(AT12,ETANCHEITE!BJ$19:BJ$89,ETANCHEITE!BI$19:BI$89,""),    INDEX(ETANCHEITE!BI:BI,MAX(_xlfn._xlws.FILTER(ROW(ETANCHEITE!BI$19:INDIRECT("'PEINTURE'!P" &amp; AW12-1)),ETANCHEITE!BI$19:INDIRECT("'PEINTURE'!P" &amp; AW12-1)&lt;&gt;"")))),"")</f>
        <v/>
      </c>
    </row>
    <row r="13" spans="1:54" ht="15" customHeight="1" x14ac:dyDescent="0.3">
      <c r="A13" s="158">
        <v>11</v>
      </c>
      <c r="B13" s="167" t="str">
        <f>IF(F13&lt;&gt;" ",ETANCHEITE!$D$5,"")</f>
        <v/>
      </c>
      <c r="C13" s="167" t="str">
        <f>IF(F13&lt;&gt;" ",ETANCHEITE!$D$8,"")</f>
        <v/>
      </c>
      <c r="D13" s="159" t="str">
        <f>IFERROR(MATCH(A13,ETANCHEITE!Q$19:Q$164,0)+18,"")</f>
        <v/>
      </c>
      <c r="E13" s="160" t="str" cm="1">
        <f t="array" aca="1" ref="E13" ca="1">IFERROR(IF(_xlfn.XLOOKUP(A13,ETANCHEITE!Q$19:Q$164,ETANCHEITE!$A$19:$A$164,"")&lt;&gt;"",_xlfn.XLOOKUP(A13,ETANCHEITE!Q$19:Q$164,ETANCHEITE!$A$19:$A$164,""),    INDEX(ETANCHEITE!$A:$A,MAX(_xlfn._xlws.FILTER(ROW(ETANCHEITE!$A$19:INDIRECT("'MENUISERIES EXTERIEURES'!$A" &amp; D13-1)),ETANCHEITE!$A$19:INDIRECT("'MENUISERIES EXTERIEURES'!$A" &amp; D13-1)&lt;&gt;"")))),"")&amp;"   "&amp;IFERROR(_xlfn.XLOOKUP(A13,ETANCHEITE!Q$19:Q$164,ETANCHEITE!$B$19:$B$164),"")&amp;IFERROR(_xlfn.XLOOKUP(A13,ETANCHEITE!Q$19:Q$164,ETANCHEITE!$C$19:$C$164),"")&amp;IFERROR(_xlfn.XLOOKUP(A13,ETANCHEITE!Q$19:Q$164,ETANCHEITE!$D$19:$D$164),"")&amp;IFERROR(_xlfn.XLOOKUP(A13,ETANCHEITE!Q$19:Q$164,ETANCHEITE!$E$19:$E$164),"")&amp;IFERROR(_xlfn.XLOOKUP(A13,ETANCHEITE!Q$19:Q$164,ETANCHEITE!$F$19:$F$164),"")</f>
        <v xml:space="preserve">   </v>
      </c>
      <c r="F13" s="168" t="str">
        <f>IFERROR(VLOOKUP(A13,ETANCHEITE!Q$19:S$164,2,FALSE),"")&amp;" "&amp;IFERROR(VLOOKUP(A13,ETANCHEITE!Q$19:S$164,3,FALSE),"")</f>
        <v xml:space="preserve"> </v>
      </c>
      <c r="G13" s="161" t="str">
        <f>IF(F13&lt;&gt;" ",'Feuille de Donnée'!$C$3,"")</f>
        <v/>
      </c>
      <c r="H13" s="232" t="str" cm="1">
        <f t="array" aca="1" ref="H13" ca="1">IFERROR(IF(_xlfn.XLOOKUP(A13,ETANCHEITE!Q$19:Q$89,ETANCHEITE!O$19:O$89,"")&lt;&gt;"",_xlfn.XLOOKUP(A13,ETANCHEITE!Q$19:Q$89,ETANCHEITE!O$19:O$89,""),    INDEX(ETANCHEITE!O:O,MAX(_xlfn._xlws.FILTER(ROW(ETANCHEITE!O$19:INDIRECT("'PEINTURE'!O" &amp; D13-1)),ETANCHEITE!O$19:INDIRECT("'PEINTURE'!O" &amp; D13-1)&lt;&gt;"")))),"")</f>
        <v/>
      </c>
      <c r="I13" s="233" t="str" cm="1">
        <f t="array" aca="1" ref="I13" ca="1">IFERROR(IF(_xlfn.XLOOKUP(A13,ETANCHEITE!Q$19:Q$89,ETANCHEITE!P$19:P$89,"")&lt;&gt;"",_xlfn.XLOOKUP(A13,ETANCHEITE!Q$19:Q$89,ETANCHEITE!P$19:P$89,""),    INDEX(ETANCHEITE!P:P,MAX(_xlfn._xlws.FILTER(ROW(ETANCHEITE!P$19:INDIRECT("'PEINTURE'!P" &amp; D13-1)),ETANCHEITE!P$19:INDIRECT("'PEINTURE'!P" &amp; D13-1)&lt;&gt;"")))),"")</f>
        <v/>
      </c>
      <c r="J13" s="158">
        <v>11</v>
      </c>
      <c r="K13" s="167" t="str">
        <f>IF(O13&lt;&gt;" ",ETANCHEITE!$D$5,"")</f>
        <v/>
      </c>
      <c r="L13" s="167" t="str">
        <f>IF(O13&lt;&gt;" ",ETANCHEITE!$D$8,"")</f>
        <v/>
      </c>
      <c r="M13" s="159" t="str">
        <f>IFERROR(MATCH(J13,ETANCHEITE!Z$19:Z$164,0)+18,"")</f>
        <v/>
      </c>
      <c r="N13" s="160" t="str" cm="1">
        <f t="array" aca="1" ref="N13" ca="1">IFERROR(IF(_xlfn.XLOOKUP(J13,ETANCHEITE!Z$19:Z$164,ETANCHEITE!$A$19:$A$164,"")&lt;&gt;"",_xlfn.XLOOKUP(J13,ETANCHEITE!Z$19:Z$164,ETANCHEITE!$A$19:$A$164,""),    INDEX(ETANCHEITE!$A:$A,MAX(_xlfn._xlws.FILTER(ROW(ETANCHEITE!$A$19:INDIRECT("'MENUISERIES EXTERIEURES'!$A" &amp; M13-1)),ETANCHEITE!$A$19:INDIRECT("'MENUISERIES EXTERIEURES'!$A" &amp; M13-1)&lt;&gt;"")))),"")&amp;"   "&amp;IFERROR(_xlfn.XLOOKUP(J13,ETANCHEITE!Z$19:Z$164,ETANCHEITE!$B$19:$B$164),"")&amp;IFERROR(_xlfn.XLOOKUP(J13,ETANCHEITE!Z$19:Z$164,ETANCHEITE!$C$19:$C$164),"")&amp;IFERROR(_xlfn.XLOOKUP(J13,ETANCHEITE!Z$19:Z$164,ETANCHEITE!$D$19:$D$164),"")&amp;IFERROR(_xlfn.XLOOKUP(J13,ETANCHEITE!Z$19:Z$164,ETANCHEITE!$E$19:$E$164),"")&amp;IFERROR(_xlfn.XLOOKUP(J13,ETANCHEITE!Z$19:Z$164,ETANCHEITE!$F$19:$F$164),"")</f>
        <v xml:space="preserve">   </v>
      </c>
      <c r="O13" s="168" t="str">
        <f>IFERROR(VLOOKUP(J13,ETANCHEITE!Z$19:AB$164,2,FALSE),"")&amp;" "&amp;IFERROR(VLOOKUP(J13,ETANCHEITE!Z$19:AB$164,3,FALSE),"")</f>
        <v xml:space="preserve"> </v>
      </c>
      <c r="P13" s="161" t="str">
        <f>IF(O13&lt;&gt;" ",'Feuille de Donnée'!$C$3,"")</f>
        <v/>
      </c>
      <c r="Q13" s="232" t="str" cm="1">
        <f t="array" aca="1" ref="Q13" ca="1">IFERROR(IF(_xlfn.XLOOKUP(J13,ETANCHEITE!Z$19:Z$89,ETANCHEITE!X$19:X$89,"")&lt;&gt;"",_xlfn.XLOOKUP(J13,ETANCHEITE!Z$19:Z$89,ETANCHEITE!X$19:X$89,""),    INDEX(ETANCHEITE!X:X,MAX(_xlfn._xlws.FILTER(ROW(ETANCHEITE!X$19:INDIRECT("'PEINTURE'!O" &amp; M13-1)),ETANCHEITE!X$19:INDIRECT("'PEINTURE'!O" &amp; M13-1)&lt;&gt;"")))),"")</f>
        <v/>
      </c>
      <c r="R13" s="233" t="str" cm="1">
        <f t="array" aca="1" ref="R13" ca="1">IFERROR(IF(_xlfn.XLOOKUP(J13,ETANCHEITE!Z$19:Z$89,ETANCHEITE!Y$19:Y$89,"")&lt;&gt;"",_xlfn.XLOOKUP(J13,ETANCHEITE!Z$19:Z$89,ETANCHEITE!Y$19:Y$89,""),    INDEX(ETANCHEITE!Y:Y,MAX(_xlfn._xlws.FILTER(ROW(ETANCHEITE!Y$19:INDIRECT("'PEINTURE'!P" &amp; M13-1)),ETANCHEITE!Y$19:INDIRECT("'PEINTURE'!P" &amp; M13-1)&lt;&gt;"")))),"")</f>
        <v/>
      </c>
      <c r="S13" s="158">
        <v>11</v>
      </c>
      <c r="T13" s="167" t="str">
        <f>IF(X13&lt;&gt;" ",ETANCHEITE!$D$5,"")</f>
        <v/>
      </c>
      <c r="U13" s="167" t="str">
        <f>IF(X13&lt;&gt;" ",ETANCHEITE!$D$8,"")</f>
        <v/>
      </c>
      <c r="V13" s="159" t="str">
        <f>IFERROR(MATCH(S13,ETANCHEITE!AI$19:AI$164,0)+18,"")</f>
        <v/>
      </c>
      <c r="W13" s="160" t="str" cm="1">
        <f t="array" aca="1" ref="W13" ca="1">IFERROR(IF(_xlfn.XLOOKUP(S13,ETANCHEITE!AI$19:AI$164,ETANCHEITE!$A$19:$A$164,"")&lt;&gt;"",_xlfn.XLOOKUP(S13,ETANCHEITE!AI$19:AI$164,ETANCHEITE!$A$19:$A$164,""),    INDEX(ETANCHEITE!$A:$A,MAX(_xlfn._xlws.FILTER(ROW(ETANCHEITE!$A$19:INDIRECT("'MENUISERIES EXTERIEURES'!$A" &amp; V13-1)),ETANCHEITE!$A$19:INDIRECT("'MENUISERIES EXTERIEURES'!$A" &amp; V13-1)&lt;&gt;"")))),"")&amp;"   "&amp;IFERROR(_xlfn.XLOOKUP(S13,ETANCHEITE!AI$19:AI$164,ETANCHEITE!$B$19:$B$164),"")&amp;IFERROR(_xlfn.XLOOKUP(S13,ETANCHEITE!AI$19:AI$164,ETANCHEITE!$C$19:$C$164),"")&amp;IFERROR(_xlfn.XLOOKUP(S13,ETANCHEITE!AI$19:AI$164,ETANCHEITE!$D$19:$D$164),"")&amp;IFERROR(_xlfn.XLOOKUP(S13,ETANCHEITE!AI$19:AI$164,ETANCHEITE!$E$19:$E$164),"")&amp;IFERROR(_xlfn.XLOOKUP(S13,ETANCHEITE!AI$19:AI$164,ETANCHEITE!$F$19:$F$164),"")</f>
        <v xml:space="preserve">   </v>
      </c>
      <c r="X13" s="168" t="str">
        <f>IFERROR(VLOOKUP(S13,ETANCHEITE!AI$19:AK$164,2,FALSE),"")&amp;" "&amp;IFERROR(VLOOKUP(S13,ETANCHEITE!AI$19:AK$164,3,FALSE),"")</f>
        <v xml:space="preserve"> </v>
      </c>
      <c r="Y13" s="161" t="str">
        <f>IF(X13&lt;&gt;" ",'Feuille de Donnée'!$C$3,"")</f>
        <v/>
      </c>
      <c r="Z13" s="232" t="str" cm="1">
        <f t="array" aca="1" ref="Z13" ca="1">IFERROR(IF(_xlfn.XLOOKUP(S13,ETANCHEITE!AI$19:AI$89,ETANCHEITE!AG$19:AG$89,"")&lt;&gt;"",_xlfn.XLOOKUP(S13,ETANCHEITE!AI$19:AI$89,ETANCHEITE!AG$19:AG$89,""),    INDEX(ETANCHEITE!AG:AG,MAX(_xlfn._xlws.FILTER(ROW(ETANCHEITE!AG$19:INDIRECT("'PEINTURE'!O" &amp; V13-1)),ETANCHEITE!AG$19:INDIRECT("'PEINTURE'!O" &amp; V13-1)&lt;&gt;"")))),"")</f>
        <v/>
      </c>
      <c r="AA13" s="233" t="str" cm="1">
        <f t="array" aca="1" ref="AA13" ca="1">IFERROR(IF(_xlfn.XLOOKUP(S13,ETANCHEITE!AI$19:AI$89,ETANCHEITE!AH$19:AH$89,"")&lt;&gt;"",_xlfn.XLOOKUP(S13,ETANCHEITE!AI$19:AI$89,ETANCHEITE!AH$19:AH$89,""),    INDEX(ETANCHEITE!AH:AH,MAX(_xlfn._xlws.FILTER(ROW(ETANCHEITE!AH$19:INDIRECT("'PEINTURE'!P" &amp; V13-1)),ETANCHEITE!AH$19:INDIRECT("'PEINTURE'!P" &amp; V13-1)&lt;&gt;"")))),"")</f>
        <v/>
      </c>
      <c r="AB13" s="158">
        <v>11</v>
      </c>
      <c r="AC13" s="167" t="str">
        <f>IF(AG13&lt;&gt;" ",ETANCHEITE!$D$5,"")</f>
        <v/>
      </c>
      <c r="AD13" s="167" t="str">
        <f>IF(AG13&lt;&gt;" ",ETANCHEITE!$D$8,"")</f>
        <v/>
      </c>
      <c r="AE13" s="159" t="str">
        <f>IFERROR(MATCH(AB13,ETANCHEITE!AR$19:AR$164,0)+18,"")</f>
        <v/>
      </c>
      <c r="AF13" s="160" t="str" cm="1">
        <f t="array" aca="1" ref="AF13" ca="1">IFERROR(IF(_xlfn.XLOOKUP(AB13,ETANCHEITE!AR$19:AR$164,ETANCHEITE!$A$19:$A$164,"")&lt;&gt;"",_xlfn.XLOOKUP(AB13,ETANCHEITE!AR$19:AR$164,ETANCHEITE!$A$19:$A$164,""),    INDEX(ETANCHEITE!$A:$A,MAX(_xlfn._xlws.FILTER(ROW(ETANCHEITE!$A$19:INDIRECT("'MENUISERIES EXTERIEURES'!$A" &amp; AE13-1)),ETANCHEITE!$A$19:INDIRECT("'MENUISERIES EXTERIEURES'!$A" &amp; AE13-1)&lt;&gt;"")))),"")&amp;"   "&amp;IFERROR(_xlfn.XLOOKUP(AB13,ETANCHEITE!AR$19:AR$164,ETANCHEITE!$B$19:$B$164),"")&amp;IFERROR(_xlfn.XLOOKUP(AB13,ETANCHEITE!AR$19:AR$164,ETANCHEITE!$C$19:$C$164),"")&amp;IFERROR(_xlfn.XLOOKUP(AB13,ETANCHEITE!AR$19:AR$164,ETANCHEITE!$D$19:$D$164),"")&amp;IFERROR(_xlfn.XLOOKUP(AB13,ETANCHEITE!AR$19:AR$164,ETANCHEITE!$E$19:$E$164),"")&amp;IFERROR(_xlfn.XLOOKUP(AB13,ETANCHEITE!AR$19:AR$164,ETANCHEITE!$F$19:$F$164),"")</f>
        <v xml:space="preserve">   </v>
      </c>
      <c r="AG13" s="168" t="str">
        <f>IFERROR(VLOOKUP(AB13,ETANCHEITE!AR$19:AT$164,2,FALSE),"")&amp;" "&amp;IFERROR(VLOOKUP(AB13,ETANCHEITE!AR$19:AT$164,3,FALSE),"")</f>
        <v xml:space="preserve"> </v>
      </c>
      <c r="AH13" s="161" t="str">
        <f>IF(AG13&lt;&gt;" ",'Feuille de Donnée'!$C$3,"")</f>
        <v/>
      </c>
      <c r="AI13" s="232" t="str" cm="1">
        <f t="array" aca="1" ref="AI13" ca="1">IFERROR(IF(_xlfn.XLOOKUP(AB13,ETANCHEITE!AR$19:AR$89,ETANCHEITE!AP$19:AP$89,"")&lt;&gt;"",_xlfn.XLOOKUP(AB13,ETANCHEITE!AR$19:AR$89,ETANCHEITE!AP$19:AP$89,""),    INDEX(ETANCHEITE!AP:AP,MAX(_xlfn._xlws.FILTER(ROW(ETANCHEITE!AP$19:INDIRECT("'PEINTURE'!O" &amp; AE13-1)),ETANCHEITE!AP$19:INDIRECT("'PEINTURE'!O" &amp; AE13-1)&lt;&gt;"")))),"")</f>
        <v/>
      </c>
      <c r="AJ13" s="233" t="str" cm="1">
        <f t="array" aca="1" ref="AJ13" ca="1">IFERROR(IF(_xlfn.XLOOKUP(AB13,ETANCHEITE!AR$19:AR$89,ETANCHEITE!AQ$19:AQ$89,"")&lt;&gt;"",_xlfn.XLOOKUP(AB13,ETANCHEITE!AR$19:AR$89,ETANCHEITE!AQ$19:AQ$89,""),    INDEX(ETANCHEITE!AQ:AQ,MAX(_xlfn._xlws.FILTER(ROW(ETANCHEITE!AQ$19:INDIRECT("'PEINTURE'!P" &amp; AE13-1)),ETANCHEITE!AQ$19:INDIRECT("'PEINTURE'!P" &amp; AE13-1)&lt;&gt;"")))),"")</f>
        <v/>
      </c>
      <c r="AK13" s="158">
        <v>11</v>
      </c>
      <c r="AL13" s="167" t="str">
        <f>IF(AP13&lt;&gt;" ",ETANCHEITE!$D$5,"")</f>
        <v/>
      </c>
      <c r="AM13" s="167" t="str">
        <f>IF(AP13&lt;&gt;" ",ETANCHEITE!$D$8,"")</f>
        <v/>
      </c>
      <c r="AN13" s="159" t="str">
        <f>IFERROR(MATCH(AK13,ETANCHEITE!BA$19:BA$164,0)+18,"")</f>
        <v/>
      </c>
      <c r="AO13" s="160" t="str" cm="1">
        <f t="array" aca="1" ref="AO13" ca="1">IFERROR(IF(_xlfn.XLOOKUP(AK13,ETANCHEITE!BA$19:BA$164,ETANCHEITE!$A$19:$A$164,"")&lt;&gt;"",_xlfn.XLOOKUP(AK13,ETANCHEITE!BA$19:BA$164,ETANCHEITE!$A$19:$A$164,""),    INDEX(ETANCHEITE!$A:$A,MAX(_xlfn._xlws.FILTER(ROW(ETANCHEITE!$A$19:INDIRECT("'MENUISERIES EXTERIEURES'!$A" &amp; AN13-1)),ETANCHEITE!$A$19:INDIRECT("'MENUISERIES EXTERIEURES'!$A" &amp; AN13-1)&lt;&gt;"")))),"")&amp;"   "&amp;IFERROR(_xlfn.XLOOKUP(AK13,ETANCHEITE!BA$19:BA$164,ETANCHEITE!$B$19:$B$164),"")&amp;IFERROR(_xlfn.XLOOKUP(AK13,ETANCHEITE!BA$19:BA$164,ETANCHEITE!$C$19:$C$164),"")&amp;IFERROR(_xlfn.XLOOKUP(AK13,ETANCHEITE!BA$19:BA$164,ETANCHEITE!$D$19:$D$164),"")&amp;IFERROR(_xlfn.XLOOKUP(AK13,ETANCHEITE!BA$19:BA$164,ETANCHEITE!$E$19:$E$164),"")&amp;IFERROR(_xlfn.XLOOKUP(AK13,ETANCHEITE!BA$19:BA$164,ETANCHEITE!$F$19:$F$164),"")</f>
        <v xml:space="preserve">   </v>
      </c>
      <c r="AP13" s="168" t="str">
        <f>IFERROR(VLOOKUP(AK13,ETANCHEITE!BA$19:BC$164,2,FALSE),"")&amp;" "&amp;IFERROR(VLOOKUP(AK13,ETANCHEITE!BA$19:BC$164,3,FALSE),"")</f>
        <v xml:space="preserve"> </v>
      </c>
      <c r="AQ13" s="161" t="str">
        <f>IF(AP13&lt;&gt;" ",'Feuille de Donnée'!$C$3,"")</f>
        <v/>
      </c>
      <c r="AR13" s="232" t="str" cm="1">
        <f t="array" aca="1" ref="AR13" ca="1">IFERROR(IF(_xlfn.XLOOKUP(AK13,ETANCHEITE!BA$19:BA$89,ETANCHEITE!AY$19:AY$89,"")&lt;&gt;"",_xlfn.XLOOKUP(AK13,ETANCHEITE!BA$19:BA$89,ETANCHEITE!AY$19:AY$89,""),    INDEX(ETANCHEITE!AY:AY,MAX(_xlfn._xlws.FILTER(ROW(ETANCHEITE!AY$19:INDIRECT("'PEINTURE'!O" &amp; AN13-1)),ETANCHEITE!AY$19:INDIRECT("'PEINTURE'!O" &amp; AN13-1)&lt;&gt;"")))),"")</f>
        <v/>
      </c>
      <c r="AS13" s="233" t="str" cm="1">
        <f t="array" aca="1" ref="AS13" ca="1">IFERROR(IF(_xlfn.XLOOKUP(AK13,ETANCHEITE!BA$19:BA$89,ETANCHEITE!AZ$19:AZ$89,"")&lt;&gt;"",_xlfn.XLOOKUP(AK13,ETANCHEITE!BA$19:BA$89,ETANCHEITE!AZ$19:AZ$89,""),    INDEX(ETANCHEITE!AZ:AZ,MAX(_xlfn._xlws.FILTER(ROW(ETANCHEITE!AZ$19:INDIRECT("'PEINTURE'!P" &amp; AN13-1)),ETANCHEITE!AZ$19:INDIRECT("'PEINTURE'!P" &amp; AN13-1)&lt;&gt;"")))),"")</f>
        <v/>
      </c>
      <c r="AT13" s="158">
        <v>11</v>
      </c>
      <c r="AU13" s="167" t="str">
        <f>IF(AY13&lt;&gt;" ",ETANCHEITE!$D$5,"")</f>
        <v/>
      </c>
      <c r="AV13" s="167" t="str">
        <f>IF(AY13&lt;&gt;" ",ETANCHEITE!$D$8,"")</f>
        <v/>
      </c>
      <c r="AW13" s="159" t="str">
        <f>IFERROR(MATCH(AT13,ETANCHEITE!BJ$19:BJ$164,0)+18,"")</f>
        <v/>
      </c>
      <c r="AX13" s="160" t="str" cm="1">
        <f t="array" aca="1" ref="AX13" ca="1">IFERROR(IF(_xlfn.XLOOKUP(AT13,ETANCHEITE!BJ$19:BJ$164,ETANCHEITE!$A$19:$A$164,"")&lt;&gt;"",_xlfn.XLOOKUP(AT13,ETANCHEITE!BJ$19:BJ$164,ETANCHEITE!$A$19:$A$164,""),    INDEX(ETANCHEITE!$A:$A,MAX(_xlfn._xlws.FILTER(ROW(ETANCHEITE!$A$19:INDIRECT("'MENUISERIES EXTERIEURES'!$A" &amp; AW13-1)),ETANCHEITE!$A$19:INDIRECT("'MENUISERIES EXTERIEURES'!$A" &amp; AW13-1)&lt;&gt;"")))),"")&amp;"   "&amp;IFERROR(_xlfn.XLOOKUP(AT13,ETANCHEITE!BJ$19:BJ$164,ETANCHEITE!$B$19:$B$164),"")&amp;IFERROR(_xlfn.XLOOKUP(AT13,ETANCHEITE!BJ$19:BJ$164,ETANCHEITE!$C$19:$C$164),"")&amp;IFERROR(_xlfn.XLOOKUP(AT13,ETANCHEITE!BJ$19:BJ$164,ETANCHEITE!$D$19:$D$164),"")&amp;IFERROR(_xlfn.XLOOKUP(AT13,ETANCHEITE!BJ$19:BJ$164,ETANCHEITE!$E$19:$E$164),"")&amp;IFERROR(_xlfn.XLOOKUP(AT13,ETANCHEITE!BJ$19:BJ$164,ETANCHEITE!$F$19:$F$164),"")</f>
        <v xml:space="preserve">   </v>
      </c>
      <c r="AY13" s="168" t="str">
        <f>IFERROR(VLOOKUP(AT13,ETANCHEITE!BJ$19:BL$164,2,FALSE),"")&amp;" "&amp;IFERROR(VLOOKUP(AT13,ETANCHEITE!BJ$19:BL$164,3,FALSE),"")</f>
        <v xml:space="preserve"> </v>
      </c>
      <c r="AZ13" s="161" t="str">
        <f>IF(AY13&lt;&gt;" ",'Feuille de Donnée'!$C$3,"")</f>
        <v/>
      </c>
      <c r="BA13" s="232" t="str" cm="1">
        <f t="array" aca="1" ref="BA13" ca="1">IFERROR(IF(_xlfn.XLOOKUP(AT13,ETANCHEITE!BJ$19:BJ$89,ETANCHEITE!BH$19:BH$89,"")&lt;&gt;"",_xlfn.XLOOKUP(AT13,ETANCHEITE!BJ$19:BJ$89,ETANCHEITE!BH$19:BH$89,""),    INDEX(ETANCHEITE!BH:BH,MAX(_xlfn._xlws.FILTER(ROW(ETANCHEITE!BH$19:INDIRECT("'PEINTURE'!O" &amp; AW13-1)),ETANCHEITE!BH$19:INDIRECT("'PEINTURE'!O" &amp; AW13-1)&lt;&gt;"")))),"")</f>
        <v/>
      </c>
      <c r="BB13" s="233" t="str" cm="1">
        <f t="array" aca="1" ref="BB13" ca="1">IFERROR(IF(_xlfn.XLOOKUP(AT13,ETANCHEITE!BJ$19:BJ$89,ETANCHEITE!BI$19:BI$89,"")&lt;&gt;"",_xlfn.XLOOKUP(AT13,ETANCHEITE!BJ$19:BJ$89,ETANCHEITE!BI$19:BI$89,""),    INDEX(ETANCHEITE!BI:BI,MAX(_xlfn._xlws.FILTER(ROW(ETANCHEITE!BI$19:INDIRECT("'PEINTURE'!P" &amp; AW13-1)),ETANCHEITE!BI$19:INDIRECT("'PEINTURE'!P" &amp; AW13-1)&lt;&gt;"")))),"")</f>
        <v/>
      </c>
    </row>
    <row r="14" spans="1:54" ht="15" customHeight="1" x14ac:dyDescent="0.3">
      <c r="A14" s="158">
        <v>12</v>
      </c>
      <c r="B14" s="167" t="str">
        <f>IF(F14&lt;&gt;" ",ETANCHEITE!$D$5,"")</f>
        <v/>
      </c>
      <c r="C14" s="167" t="str">
        <f>IF(F14&lt;&gt;" ",ETANCHEITE!$D$8,"")</f>
        <v/>
      </c>
      <c r="D14" s="159" t="str">
        <f>IFERROR(MATCH(A14,ETANCHEITE!Q$19:Q$164,0)+18,"")</f>
        <v/>
      </c>
      <c r="E14" s="160" t="str" cm="1">
        <f t="array" aca="1" ref="E14" ca="1">IFERROR(IF(_xlfn.XLOOKUP(A14,ETANCHEITE!Q$19:Q$164,ETANCHEITE!$A$19:$A$164,"")&lt;&gt;"",_xlfn.XLOOKUP(A14,ETANCHEITE!Q$19:Q$164,ETANCHEITE!$A$19:$A$164,""),    INDEX(ETANCHEITE!$A:$A,MAX(_xlfn._xlws.FILTER(ROW(ETANCHEITE!$A$19:INDIRECT("'MENUISERIES EXTERIEURES'!$A" &amp; D14-1)),ETANCHEITE!$A$19:INDIRECT("'MENUISERIES EXTERIEURES'!$A" &amp; D14-1)&lt;&gt;"")))),"")&amp;"   "&amp;IFERROR(_xlfn.XLOOKUP(A14,ETANCHEITE!Q$19:Q$164,ETANCHEITE!$B$19:$B$164),"")&amp;IFERROR(_xlfn.XLOOKUP(A14,ETANCHEITE!Q$19:Q$164,ETANCHEITE!$C$19:$C$164),"")&amp;IFERROR(_xlfn.XLOOKUP(A14,ETANCHEITE!Q$19:Q$164,ETANCHEITE!$D$19:$D$164),"")&amp;IFERROR(_xlfn.XLOOKUP(A14,ETANCHEITE!Q$19:Q$164,ETANCHEITE!$E$19:$E$164),"")&amp;IFERROR(_xlfn.XLOOKUP(A14,ETANCHEITE!Q$19:Q$164,ETANCHEITE!$F$19:$F$164),"")</f>
        <v xml:space="preserve">   </v>
      </c>
      <c r="F14" s="168" t="str">
        <f>IFERROR(VLOOKUP(A14,ETANCHEITE!Q$19:S$164,2,FALSE),"")&amp;" "&amp;IFERROR(VLOOKUP(A14,ETANCHEITE!Q$19:S$164,3,FALSE),"")</f>
        <v xml:space="preserve"> </v>
      </c>
      <c r="G14" s="161" t="str">
        <f>IF(F14&lt;&gt;" ",'Feuille de Donnée'!$C$3,"")</f>
        <v/>
      </c>
      <c r="H14" s="232" t="str" cm="1">
        <f t="array" aca="1" ref="H14" ca="1">IFERROR(IF(_xlfn.XLOOKUP(A14,ETANCHEITE!Q$19:Q$89,ETANCHEITE!O$19:O$89,"")&lt;&gt;"",_xlfn.XLOOKUP(A14,ETANCHEITE!Q$19:Q$89,ETANCHEITE!O$19:O$89,""),    INDEX(ETANCHEITE!O:O,MAX(_xlfn._xlws.FILTER(ROW(ETANCHEITE!O$19:INDIRECT("'PEINTURE'!O" &amp; D14-1)),ETANCHEITE!O$19:INDIRECT("'PEINTURE'!O" &amp; D14-1)&lt;&gt;"")))),"")</f>
        <v/>
      </c>
      <c r="I14" s="233" t="str" cm="1">
        <f t="array" aca="1" ref="I14" ca="1">IFERROR(IF(_xlfn.XLOOKUP(A14,ETANCHEITE!Q$19:Q$89,ETANCHEITE!P$19:P$89,"")&lt;&gt;"",_xlfn.XLOOKUP(A14,ETANCHEITE!Q$19:Q$89,ETANCHEITE!P$19:P$89,""),    INDEX(ETANCHEITE!P:P,MAX(_xlfn._xlws.FILTER(ROW(ETANCHEITE!P$19:INDIRECT("'PEINTURE'!P" &amp; D14-1)),ETANCHEITE!P$19:INDIRECT("'PEINTURE'!P" &amp; D14-1)&lt;&gt;"")))),"")</f>
        <v/>
      </c>
      <c r="J14" s="158">
        <v>12</v>
      </c>
      <c r="K14" s="167" t="str">
        <f>IF(O14&lt;&gt;" ",ETANCHEITE!$D$5,"")</f>
        <v/>
      </c>
      <c r="L14" s="167" t="str">
        <f>IF(O14&lt;&gt;" ",ETANCHEITE!$D$8,"")</f>
        <v/>
      </c>
      <c r="M14" s="159" t="str">
        <f>IFERROR(MATCH(J14,ETANCHEITE!Z$19:Z$164,0)+18,"")</f>
        <v/>
      </c>
      <c r="N14" s="160" t="str" cm="1">
        <f t="array" aca="1" ref="N14" ca="1">IFERROR(IF(_xlfn.XLOOKUP(J14,ETANCHEITE!Z$19:Z$164,ETANCHEITE!$A$19:$A$164,"")&lt;&gt;"",_xlfn.XLOOKUP(J14,ETANCHEITE!Z$19:Z$164,ETANCHEITE!$A$19:$A$164,""),    INDEX(ETANCHEITE!$A:$A,MAX(_xlfn._xlws.FILTER(ROW(ETANCHEITE!$A$19:INDIRECT("'MENUISERIES EXTERIEURES'!$A" &amp; M14-1)),ETANCHEITE!$A$19:INDIRECT("'MENUISERIES EXTERIEURES'!$A" &amp; M14-1)&lt;&gt;"")))),"")&amp;"   "&amp;IFERROR(_xlfn.XLOOKUP(J14,ETANCHEITE!Z$19:Z$164,ETANCHEITE!$B$19:$B$164),"")&amp;IFERROR(_xlfn.XLOOKUP(J14,ETANCHEITE!Z$19:Z$164,ETANCHEITE!$C$19:$C$164),"")&amp;IFERROR(_xlfn.XLOOKUP(J14,ETANCHEITE!Z$19:Z$164,ETANCHEITE!$D$19:$D$164),"")&amp;IFERROR(_xlfn.XLOOKUP(J14,ETANCHEITE!Z$19:Z$164,ETANCHEITE!$E$19:$E$164),"")&amp;IFERROR(_xlfn.XLOOKUP(J14,ETANCHEITE!Z$19:Z$164,ETANCHEITE!$F$19:$F$164),"")</f>
        <v xml:space="preserve">   </v>
      </c>
      <c r="O14" s="168" t="str">
        <f>IFERROR(VLOOKUP(J14,ETANCHEITE!Z$19:AB$164,2,FALSE),"")&amp;" "&amp;IFERROR(VLOOKUP(J14,ETANCHEITE!Z$19:AB$164,3,FALSE),"")</f>
        <v xml:space="preserve"> </v>
      </c>
      <c r="P14" s="161" t="str">
        <f>IF(O14&lt;&gt;" ",'Feuille de Donnée'!$C$3,"")</f>
        <v/>
      </c>
      <c r="Q14" s="232" t="str" cm="1">
        <f t="array" aca="1" ref="Q14" ca="1">IFERROR(IF(_xlfn.XLOOKUP(J14,ETANCHEITE!Z$19:Z$89,ETANCHEITE!X$19:X$89,"")&lt;&gt;"",_xlfn.XLOOKUP(J14,ETANCHEITE!Z$19:Z$89,ETANCHEITE!X$19:X$89,""),    INDEX(ETANCHEITE!X:X,MAX(_xlfn._xlws.FILTER(ROW(ETANCHEITE!X$19:INDIRECT("'PEINTURE'!O" &amp; M14-1)),ETANCHEITE!X$19:INDIRECT("'PEINTURE'!O" &amp; M14-1)&lt;&gt;"")))),"")</f>
        <v/>
      </c>
      <c r="R14" s="233" t="str" cm="1">
        <f t="array" aca="1" ref="R14" ca="1">IFERROR(IF(_xlfn.XLOOKUP(J14,ETANCHEITE!Z$19:Z$89,ETANCHEITE!Y$19:Y$89,"")&lt;&gt;"",_xlfn.XLOOKUP(J14,ETANCHEITE!Z$19:Z$89,ETANCHEITE!Y$19:Y$89,""),    INDEX(ETANCHEITE!Y:Y,MAX(_xlfn._xlws.FILTER(ROW(ETANCHEITE!Y$19:INDIRECT("'PEINTURE'!P" &amp; M14-1)),ETANCHEITE!Y$19:INDIRECT("'PEINTURE'!P" &amp; M14-1)&lt;&gt;"")))),"")</f>
        <v/>
      </c>
      <c r="S14" s="158">
        <v>12</v>
      </c>
      <c r="T14" s="167" t="str">
        <f>IF(X14&lt;&gt;" ",ETANCHEITE!$D$5,"")</f>
        <v/>
      </c>
      <c r="U14" s="167" t="str">
        <f>IF(X14&lt;&gt;" ",ETANCHEITE!$D$8,"")</f>
        <v/>
      </c>
      <c r="V14" s="159" t="str">
        <f>IFERROR(MATCH(S14,ETANCHEITE!AI$19:AI$164,0)+18,"")</f>
        <v/>
      </c>
      <c r="W14" s="160" t="str" cm="1">
        <f t="array" aca="1" ref="W14" ca="1">IFERROR(IF(_xlfn.XLOOKUP(S14,ETANCHEITE!AI$19:AI$164,ETANCHEITE!$A$19:$A$164,"")&lt;&gt;"",_xlfn.XLOOKUP(S14,ETANCHEITE!AI$19:AI$164,ETANCHEITE!$A$19:$A$164,""),    INDEX(ETANCHEITE!$A:$A,MAX(_xlfn._xlws.FILTER(ROW(ETANCHEITE!$A$19:INDIRECT("'MENUISERIES EXTERIEURES'!$A" &amp; V14-1)),ETANCHEITE!$A$19:INDIRECT("'MENUISERIES EXTERIEURES'!$A" &amp; V14-1)&lt;&gt;"")))),"")&amp;"   "&amp;IFERROR(_xlfn.XLOOKUP(S14,ETANCHEITE!AI$19:AI$164,ETANCHEITE!$B$19:$B$164),"")&amp;IFERROR(_xlfn.XLOOKUP(S14,ETANCHEITE!AI$19:AI$164,ETANCHEITE!$C$19:$C$164),"")&amp;IFERROR(_xlfn.XLOOKUP(S14,ETANCHEITE!AI$19:AI$164,ETANCHEITE!$D$19:$D$164),"")&amp;IFERROR(_xlfn.XLOOKUP(S14,ETANCHEITE!AI$19:AI$164,ETANCHEITE!$E$19:$E$164),"")&amp;IFERROR(_xlfn.XLOOKUP(S14,ETANCHEITE!AI$19:AI$164,ETANCHEITE!$F$19:$F$164),"")</f>
        <v xml:space="preserve">   </v>
      </c>
      <c r="X14" s="168" t="str">
        <f>IFERROR(VLOOKUP(S14,ETANCHEITE!AI$19:AK$164,2,FALSE),"")&amp;" "&amp;IFERROR(VLOOKUP(S14,ETANCHEITE!AI$19:AK$164,3,FALSE),"")</f>
        <v xml:space="preserve"> </v>
      </c>
      <c r="Y14" s="161" t="str">
        <f>IF(X14&lt;&gt;" ",'Feuille de Donnée'!$C$3,"")</f>
        <v/>
      </c>
      <c r="Z14" s="232" t="str" cm="1">
        <f t="array" aca="1" ref="Z14" ca="1">IFERROR(IF(_xlfn.XLOOKUP(S14,ETANCHEITE!AI$19:AI$89,ETANCHEITE!AG$19:AG$89,"")&lt;&gt;"",_xlfn.XLOOKUP(S14,ETANCHEITE!AI$19:AI$89,ETANCHEITE!AG$19:AG$89,""),    INDEX(ETANCHEITE!AG:AG,MAX(_xlfn._xlws.FILTER(ROW(ETANCHEITE!AG$19:INDIRECT("'PEINTURE'!O" &amp; V14-1)),ETANCHEITE!AG$19:INDIRECT("'PEINTURE'!O" &amp; V14-1)&lt;&gt;"")))),"")</f>
        <v/>
      </c>
      <c r="AA14" s="233" t="str" cm="1">
        <f t="array" aca="1" ref="AA14" ca="1">IFERROR(IF(_xlfn.XLOOKUP(S14,ETANCHEITE!AI$19:AI$89,ETANCHEITE!AH$19:AH$89,"")&lt;&gt;"",_xlfn.XLOOKUP(S14,ETANCHEITE!AI$19:AI$89,ETANCHEITE!AH$19:AH$89,""),    INDEX(ETANCHEITE!AH:AH,MAX(_xlfn._xlws.FILTER(ROW(ETANCHEITE!AH$19:INDIRECT("'PEINTURE'!P" &amp; V14-1)),ETANCHEITE!AH$19:INDIRECT("'PEINTURE'!P" &amp; V14-1)&lt;&gt;"")))),"")</f>
        <v/>
      </c>
      <c r="AB14" s="158">
        <v>12</v>
      </c>
      <c r="AC14" s="167" t="str">
        <f>IF(AG14&lt;&gt;" ",ETANCHEITE!$D$5,"")</f>
        <v/>
      </c>
      <c r="AD14" s="167" t="str">
        <f>IF(AG14&lt;&gt;" ",ETANCHEITE!$D$8,"")</f>
        <v/>
      </c>
      <c r="AE14" s="159" t="str">
        <f>IFERROR(MATCH(AB14,ETANCHEITE!AR$19:AR$164,0)+18,"")</f>
        <v/>
      </c>
      <c r="AF14" s="160" t="str" cm="1">
        <f t="array" aca="1" ref="AF14" ca="1">IFERROR(IF(_xlfn.XLOOKUP(AB14,ETANCHEITE!AR$19:AR$164,ETANCHEITE!$A$19:$A$164,"")&lt;&gt;"",_xlfn.XLOOKUP(AB14,ETANCHEITE!AR$19:AR$164,ETANCHEITE!$A$19:$A$164,""),    INDEX(ETANCHEITE!$A:$A,MAX(_xlfn._xlws.FILTER(ROW(ETANCHEITE!$A$19:INDIRECT("'MENUISERIES EXTERIEURES'!$A" &amp; AE14-1)),ETANCHEITE!$A$19:INDIRECT("'MENUISERIES EXTERIEURES'!$A" &amp; AE14-1)&lt;&gt;"")))),"")&amp;"   "&amp;IFERROR(_xlfn.XLOOKUP(AB14,ETANCHEITE!AR$19:AR$164,ETANCHEITE!$B$19:$B$164),"")&amp;IFERROR(_xlfn.XLOOKUP(AB14,ETANCHEITE!AR$19:AR$164,ETANCHEITE!$C$19:$C$164),"")&amp;IFERROR(_xlfn.XLOOKUP(AB14,ETANCHEITE!AR$19:AR$164,ETANCHEITE!$D$19:$D$164),"")&amp;IFERROR(_xlfn.XLOOKUP(AB14,ETANCHEITE!AR$19:AR$164,ETANCHEITE!$E$19:$E$164),"")&amp;IFERROR(_xlfn.XLOOKUP(AB14,ETANCHEITE!AR$19:AR$164,ETANCHEITE!$F$19:$F$164),"")</f>
        <v xml:space="preserve">   </v>
      </c>
      <c r="AG14" s="168" t="str">
        <f>IFERROR(VLOOKUP(AB14,ETANCHEITE!AR$19:AT$164,2,FALSE),"")&amp;" "&amp;IFERROR(VLOOKUP(AB14,ETANCHEITE!AR$19:AT$164,3,FALSE),"")</f>
        <v xml:space="preserve"> </v>
      </c>
      <c r="AH14" s="161" t="str">
        <f>IF(AG14&lt;&gt;" ",'Feuille de Donnée'!$C$3,"")</f>
        <v/>
      </c>
      <c r="AI14" s="232" t="str" cm="1">
        <f t="array" aca="1" ref="AI14" ca="1">IFERROR(IF(_xlfn.XLOOKUP(AB14,ETANCHEITE!AR$19:AR$89,ETANCHEITE!AP$19:AP$89,"")&lt;&gt;"",_xlfn.XLOOKUP(AB14,ETANCHEITE!AR$19:AR$89,ETANCHEITE!AP$19:AP$89,""),    INDEX(ETANCHEITE!AP:AP,MAX(_xlfn._xlws.FILTER(ROW(ETANCHEITE!AP$19:INDIRECT("'PEINTURE'!O" &amp; AE14-1)),ETANCHEITE!AP$19:INDIRECT("'PEINTURE'!O" &amp; AE14-1)&lt;&gt;"")))),"")</f>
        <v/>
      </c>
      <c r="AJ14" s="233" t="str" cm="1">
        <f t="array" aca="1" ref="AJ14" ca="1">IFERROR(IF(_xlfn.XLOOKUP(AB14,ETANCHEITE!AR$19:AR$89,ETANCHEITE!AQ$19:AQ$89,"")&lt;&gt;"",_xlfn.XLOOKUP(AB14,ETANCHEITE!AR$19:AR$89,ETANCHEITE!AQ$19:AQ$89,""),    INDEX(ETANCHEITE!AQ:AQ,MAX(_xlfn._xlws.FILTER(ROW(ETANCHEITE!AQ$19:INDIRECT("'PEINTURE'!P" &amp; AE14-1)),ETANCHEITE!AQ$19:INDIRECT("'PEINTURE'!P" &amp; AE14-1)&lt;&gt;"")))),"")</f>
        <v/>
      </c>
      <c r="AK14" s="158">
        <v>12</v>
      </c>
      <c r="AL14" s="167" t="str">
        <f>IF(AP14&lt;&gt;" ",ETANCHEITE!$D$5,"")</f>
        <v/>
      </c>
      <c r="AM14" s="167" t="str">
        <f>IF(AP14&lt;&gt;" ",ETANCHEITE!$D$8,"")</f>
        <v/>
      </c>
      <c r="AN14" s="159" t="str">
        <f>IFERROR(MATCH(AK14,ETANCHEITE!BA$19:BA$164,0)+18,"")</f>
        <v/>
      </c>
      <c r="AO14" s="160" t="str" cm="1">
        <f t="array" aca="1" ref="AO14" ca="1">IFERROR(IF(_xlfn.XLOOKUP(AK14,ETANCHEITE!BA$19:BA$164,ETANCHEITE!$A$19:$A$164,"")&lt;&gt;"",_xlfn.XLOOKUP(AK14,ETANCHEITE!BA$19:BA$164,ETANCHEITE!$A$19:$A$164,""),    INDEX(ETANCHEITE!$A:$A,MAX(_xlfn._xlws.FILTER(ROW(ETANCHEITE!$A$19:INDIRECT("'MENUISERIES EXTERIEURES'!$A" &amp; AN14-1)),ETANCHEITE!$A$19:INDIRECT("'MENUISERIES EXTERIEURES'!$A" &amp; AN14-1)&lt;&gt;"")))),"")&amp;"   "&amp;IFERROR(_xlfn.XLOOKUP(AK14,ETANCHEITE!BA$19:BA$164,ETANCHEITE!$B$19:$B$164),"")&amp;IFERROR(_xlfn.XLOOKUP(AK14,ETANCHEITE!BA$19:BA$164,ETANCHEITE!$C$19:$C$164),"")&amp;IFERROR(_xlfn.XLOOKUP(AK14,ETANCHEITE!BA$19:BA$164,ETANCHEITE!$D$19:$D$164),"")&amp;IFERROR(_xlfn.XLOOKUP(AK14,ETANCHEITE!BA$19:BA$164,ETANCHEITE!$E$19:$E$164),"")&amp;IFERROR(_xlfn.XLOOKUP(AK14,ETANCHEITE!BA$19:BA$164,ETANCHEITE!$F$19:$F$164),"")</f>
        <v xml:space="preserve">   </v>
      </c>
      <c r="AP14" s="168" t="str">
        <f>IFERROR(VLOOKUP(AK14,ETANCHEITE!BA$19:BC$164,2,FALSE),"")&amp;" "&amp;IFERROR(VLOOKUP(AK14,ETANCHEITE!BA$19:BC$164,3,FALSE),"")</f>
        <v xml:space="preserve"> </v>
      </c>
      <c r="AQ14" s="161" t="str">
        <f>IF(AP14&lt;&gt;" ",'Feuille de Donnée'!$C$3,"")</f>
        <v/>
      </c>
      <c r="AR14" s="232" t="str" cm="1">
        <f t="array" aca="1" ref="AR14" ca="1">IFERROR(IF(_xlfn.XLOOKUP(AK14,ETANCHEITE!BA$19:BA$89,ETANCHEITE!AY$19:AY$89,"")&lt;&gt;"",_xlfn.XLOOKUP(AK14,ETANCHEITE!BA$19:BA$89,ETANCHEITE!AY$19:AY$89,""),    INDEX(ETANCHEITE!AY:AY,MAX(_xlfn._xlws.FILTER(ROW(ETANCHEITE!AY$19:INDIRECT("'PEINTURE'!O" &amp; AN14-1)),ETANCHEITE!AY$19:INDIRECT("'PEINTURE'!O" &amp; AN14-1)&lt;&gt;"")))),"")</f>
        <v/>
      </c>
      <c r="AS14" s="233" t="str" cm="1">
        <f t="array" aca="1" ref="AS14" ca="1">IFERROR(IF(_xlfn.XLOOKUP(AK14,ETANCHEITE!BA$19:BA$89,ETANCHEITE!AZ$19:AZ$89,"")&lt;&gt;"",_xlfn.XLOOKUP(AK14,ETANCHEITE!BA$19:BA$89,ETANCHEITE!AZ$19:AZ$89,""),    INDEX(ETANCHEITE!AZ:AZ,MAX(_xlfn._xlws.FILTER(ROW(ETANCHEITE!AZ$19:INDIRECT("'PEINTURE'!P" &amp; AN14-1)),ETANCHEITE!AZ$19:INDIRECT("'PEINTURE'!P" &amp; AN14-1)&lt;&gt;"")))),"")</f>
        <v/>
      </c>
      <c r="AT14" s="158">
        <v>12</v>
      </c>
      <c r="AU14" s="167" t="str">
        <f>IF(AY14&lt;&gt;" ",ETANCHEITE!$D$5,"")</f>
        <v/>
      </c>
      <c r="AV14" s="167" t="str">
        <f>IF(AY14&lt;&gt;" ",ETANCHEITE!$D$8,"")</f>
        <v/>
      </c>
      <c r="AW14" s="159" t="str">
        <f>IFERROR(MATCH(AT14,ETANCHEITE!BJ$19:BJ$164,0)+18,"")</f>
        <v/>
      </c>
      <c r="AX14" s="160" t="str" cm="1">
        <f t="array" aca="1" ref="AX14" ca="1">IFERROR(IF(_xlfn.XLOOKUP(AT14,ETANCHEITE!BJ$19:BJ$164,ETANCHEITE!$A$19:$A$164,"")&lt;&gt;"",_xlfn.XLOOKUP(AT14,ETANCHEITE!BJ$19:BJ$164,ETANCHEITE!$A$19:$A$164,""),    INDEX(ETANCHEITE!$A:$A,MAX(_xlfn._xlws.FILTER(ROW(ETANCHEITE!$A$19:INDIRECT("'MENUISERIES EXTERIEURES'!$A" &amp; AW14-1)),ETANCHEITE!$A$19:INDIRECT("'MENUISERIES EXTERIEURES'!$A" &amp; AW14-1)&lt;&gt;"")))),"")&amp;"   "&amp;IFERROR(_xlfn.XLOOKUP(AT14,ETANCHEITE!BJ$19:BJ$164,ETANCHEITE!$B$19:$B$164),"")&amp;IFERROR(_xlfn.XLOOKUP(AT14,ETANCHEITE!BJ$19:BJ$164,ETANCHEITE!$C$19:$C$164),"")&amp;IFERROR(_xlfn.XLOOKUP(AT14,ETANCHEITE!BJ$19:BJ$164,ETANCHEITE!$D$19:$D$164),"")&amp;IFERROR(_xlfn.XLOOKUP(AT14,ETANCHEITE!BJ$19:BJ$164,ETANCHEITE!$E$19:$E$164),"")&amp;IFERROR(_xlfn.XLOOKUP(AT14,ETANCHEITE!BJ$19:BJ$164,ETANCHEITE!$F$19:$F$164),"")</f>
        <v xml:space="preserve">   </v>
      </c>
      <c r="AY14" s="168" t="str">
        <f>IFERROR(VLOOKUP(AT14,ETANCHEITE!BJ$19:BL$164,2,FALSE),"")&amp;" "&amp;IFERROR(VLOOKUP(AT14,ETANCHEITE!BJ$19:BL$164,3,FALSE),"")</f>
        <v xml:space="preserve"> </v>
      </c>
      <c r="AZ14" s="161" t="str">
        <f>IF(AY14&lt;&gt;" ",'Feuille de Donnée'!$C$3,"")</f>
        <v/>
      </c>
      <c r="BA14" s="232" t="str" cm="1">
        <f t="array" aca="1" ref="BA14" ca="1">IFERROR(IF(_xlfn.XLOOKUP(AT14,ETANCHEITE!BJ$19:BJ$89,ETANCHEITE!BH$19:BH$89,"")&lt;&gt;"",_xlfn.XLOOKUP(AT14,ETANCHEITE!BJ$19:BJ$89,ETANCHEITE!BH$19:BH$89,""),    INDEX(ETANCHEITE!BH:BH,MAX(_xlfn._xlws.FILTER(ROW(ETANCHEITE!BH$19:INDIRECT("'PEINTURE'!O" &amp; AW14-1)),ETANCHEITE!BH$19:INDIRECT("'PEINTURE'!O" &amp; AW14-1)&lt;&gt;"")))),"")</f>
        <v/>
      </c>
      <c r="BB14" s="233" t="str" cm="1">
        <f t="array" aca="1" ref="BB14" ca="1">IFERROR(IF(_xlfn.XLOOKUP(AT14,ETANCHEITE!BJ$19:BJ$89,ETANCHEITE!BI$19:BI$89,"")&lt;&gt;"",_xlfn.XLOOKUP(AT14,ETANCHEITE!BJ$19:BJ$89,ETANCHEITE!BI$19:BI$89,""),    INDEX(ETANCHEITE!BI:BI,MAX(_xlfn._xlws.FILTER(ROW(ETANCHEITE!BI$19:INDIRECT("'PEINTURE'!P" &amp; AW14-1)),ETANCHEITE!BI$19:INDIRECT("'PEINTURE'!P" &amp; AW14-1)&lt;&gt;"")))),"")</f>
        <v/>
      </c>
    </row>
    <row r="15" spans="1:54" ht="15" customHeight="1" x14ac:dyDescent="0.3">
      <c r="A15" s="158">
        <v>13</v>
      </c>
      <c r="B15" s="167" t="str">
        <f>IF(F15&lt;&gt;" ",ETANCHEITE!$D$5,"")</f>
        <v/>
      </c>
      <c r="C15" s="167" t="str">
        <f>IF(F15&lt;&gt;" ",ETANCHEITE!$D$8,"")</f>
        <v/>
      </c>
      <c r="D15" s="159" t="str">
        <f>IFERROR(MATCH(A15,ETANCHEITE!Q$19:Q$164,0)+18,"")</f>
        <v/>
      </c>
      <c r="E15" s="160" t="str" cm="1">
        <f t="array" aca="1" ref="E15" ca="1">IFERROR(IF(_xlfn.XLOOKUP(A15,ETANCHEITE!Q$19:Q$164,ETANCHEITE!$A$19:$A$164,"")&lt;&gt;"",_xlfn.XLOOKUP(A15,ETANCHEITE!Q$19:Q$164,ETANCHEITE!$A$19:$A$164,""),    INDEX(ETANCHEITE!$A:$A,MAX(_xlfn._xlws.FILTER(ROW(ETANCHEITE!$A$19:INDIRECT("'MENUISERIES EXTERIEURES'!$A" &amp; D15-1)),ETANCHEITE!$A$19:INDIRECT("'MENUISERIES EXTERIEURES'!$A" &amp; D15-1)&lt;&gt;"")))),"")&amp;"   "&amp;IFERROR(_xlfn.XLOOKUP(A15,ETANCHEITE!Q$19:Q$164,ETANCHEITE!$B$19:$B$164),"")&amp;IFERROR(_xlfn.XLOOKUP(A15,ETANCHEITE!Q$19:Q$164,ETANCHEITE!$C$19:$C$164),"")&amp;IFERROR(_xlfn.XLOOKUP(A15,ETANCHEITE!Q$19:Q$164,ETANCHEITE!$D$19:$D$164),"")&amp;IFERROR(_xlfn.XLOOKUP(A15,ETANCHEITE!Q$19:Q$164,ETANCHEITE!$E$19:$E$164),"")&amp;IFERROR(_xlfn.XLOOKUP(A15,ETANCHEITE!Q$19:Q$164,ETANCHEITE!$F$19:$F$164),"")</f>
        <v xml:space="preserve">   </v>
      </c>
      <c r="F15" s="168" t="str">
        <f>IFERROR(VLOOKUP(A15,ETANCHEITE!Q$19:S$164,2,FALSE),"")&amp;" "&amp;IFERROR(VLOOKUP(A15,ETANCHEITE!Q$19:S$164,3,FALSE),"")</f>
        <v xml:space="preserve"> </v>
      </c>
      <c r="G15" s="161" t="str">
        <f>IF(F15&lt;&gt;" ",'Feuille de Donnée'!$C$3,"")</f>
        <v/>
      </c>
      <c r="H15" s="232" t="str" cm="1">
        <f t="array" aca="1" ref="H15" ca="1">IFERROR(IF(_xlfn.XLOOKUP(A15,ETANCHEITE!Q$19:Q$89,ETANCHEITE!O$19:O$89,"")&lt;&gt;"",_xlfn.XLOOKUP(A15,ETANCHEITE!Q$19:Q$89,ETANCHEITE!O$19:O$89,""),    INDEX(ETANCHEITE!O:O,MAX(_xlfn._xlws.FILTER(ROW(ETANCHEITE!O$19:INDIRECT("'PEINTURE'!O" &amp; D15-1)),ETANCHEITE!O$19:INDIRECT("'PEINTURE'!O" &amp; D15-1)&lt;&gt;"")))),"")</f>
        <v/>
      </c>
      <c r="I15" s="233" t="str" cm="1">
        <f t="array" aca="1" ref="I15" ca="1">IFERROR(IF(_xlfn.XLOOKUP(A15,ETANCHEITE!Q$19:Q$89,ETANCHEITE!P$19:P$89,"")&lt;&gt;"",_xlfn.XLOOKUP(A15,ETANCHEITE!Q$19:Q$89,ETANCHEITE!P$19:P$89,""),    INDEX(ETANCHEITE!P:P,MAX(_xlfn._xlws.FILTER(ROW(ETANCHEITE!P$19:INDIRECT("'PEINTURE'!P" &amp; D15-1)),ETANCHEITE!P$19:INDIRECT("'PEINTURE'!P" &amp; D15-1)&lt;&gt;"")))),"")</f>
        <v/>
      </c>
      <c r="J15" s="158">
        <v>13</v>
      </c>
      <c r="K15" s="167" t="str">
        <f>IF(O15&lt;&gt;" ",ETANCHEITE!$D$5,"")</f>
        <v/>
      </c>
      <c r="L15" s="167" t="str">
        <f>IF(O15&lt;&gt;" ",ETANCHEITE!$D$8,"")</f>
        <v/>
      </c>
      <c r="M15" s="159" t="str">
        <f>IFERROR(MATCH(J15,ETANCHEITE!Z$19:Z$164,0)+18,"")</f>
        <v/>
      </c>
      <c r="N15" s="160" t="str" cm="1">
        <f t="array" aca="1" ref="N15" ca="1">IFERROR(IF(_xlfn.XLOOKUP(J15,ETANCHEITE!Z$19:Z$164,ETANCHEITE!$A$19:$A$164,"")&lt;&gt;"",_xlfn.XLOOKUP(J15,ETANCHEITE!Z$19:Z$164,ETANCHEITE!$A$19:$A$164,""),    INDEX(ETANCHEITE!$A:$A,MAX(_xlfn._xlws.FILTER(ROW(ETANCHEITE!$A$19:INDIRECT("'MENUISERIES EXTERIEURES'!$A" &amp; M15-1)),ETANCHEITE!$A$19:INDIRECT("'MENUISERIES EXTERIEURES'!$A" &amp; M15-1)&lt;&gt;"")))),"")&amp;"   "&amp;IFERROR(_xlfn.XLOOKUP(J15,ETANCHEITE!Z$19:Z$164,ETANCHEITE!$B$19:$B$164),"")&amp;IFERROR(_xlfn.XLOOKUP(J15,ETANCHEITE!Z$19:Z$164,ETANCHEITE!$C$19:$C$164),"")&amp;IFERROR(_xlfn.XLOOKUP(J15,ETANCHEITE!Z$19:Z$164,ETANCHEITE!$D$19:$D$164),"")&amp;IFERROR(_xlfn.XLOOKUP(J15,ETANCHEITE!Z$19:Z$164,ETANCHEITE!$E$19:$E$164),"")&amp;IFERROR(_xlfn.XLOOKUP(J15,ETANCHEITE!Z$19:Z$164,ETANCHEITE!$F$19:$F$164),"")</f>
        <v xml:space="preserve">   </v>
      </c>
      <c r="O15" s="168" t="str">
        <f>IFERROR(VLOOKUP(J15,ETANCHEITE!Z$19:AB$164,2,FALSE),"")&amp;" "&amp;IFERROR(VLOOKUP(J15,ETANCHEITE!Z$19:AB$164,3,FALSE),"")</f>
        <v xml:space="preserve"> </v>
      </c>
      <c r="P15" s="161" t="str">
        <f>IF(O15&lt;&gt;" ",'Feuille de Donnée'!$C$3,"")</f>
        <v/>
      </c>
      <c r="Q15" s="232" t="str" cm="1">
        <f t="array" aca="1" ref="Q15" ca="1">IFERROR(IF(_xlfn.XLOOKUP(J15,ETANCHEITE!Z$19:Z$89,ETANCHEITE!X$19:X$89,"")&lt;&gt;"",_xlfn.XLOOKUP(J15,ETANCHEITE!Z$19:Z$89,ETANCHEITE!X$19:X$89,""),    INDEX(ETANCHEITE!X:X,MAX(_xlfn._xlws.FILTER(ROW(ETANCHEITE!X$19:INDIRECT("'PEINTURE'!O" &amp; M15-1)),ETANCHEITE!X$19:INDIRECT("'PEINTURE'!O" &amp; M15-1)&lt;&gt;"")))),"")</f>
        <v/>
      </c>
      <c r="R15" s="233" t="str" cm="1">
        <f t="array" aca="1" ref="R15" ca="1">IFERROR(IF(_xlfn.XLOOKUP(J15,ETANCHEITE!Z$19:Z$89,ETANCHEITE!Y$19:Y$89,"")&lt;&gt;"",_xlfn.XLOOKUP(J15,ETANCHEITE!Z$19:Z$89,ETANCHEITE!Y$19:Y$89,""),    INDEX(ETANCHEITE!Y:Y,MAX(_xlfn._xlws.FILTER(ROW(ETANCHEITE!Y$19:INDIRECT("'PEINTURE'!P" &amp; M15-1)),ETANCHEITE!Y$19:INDIRECT("'PEINTURE'!P" &amp; M15-1)&lt;&gt;"")))),"")</f>
        <v/>
      </c>
      <c r="S15" s="158">
        <v>13</v>
      </c>
      <c r="T15" s="167" t="str">
        <f>IF(X15&lt;&gt;" ",ETANCHEITE!$D$5,"")</f>
        <v/>
      </c>
      <c r="U15" s="167" t="str">
        <f>IF(X15&lt;&gt;" ",ETANCHEITE!$D$8,"")</f>
        <v/>
      </c>
      <c r="V15" s="159" t="str">
        <f>IFERROR(MATCH(S15,ETANCHEITE!AI$19:AI$164,0)+18,"")</f>
        <v/>
      </c>
      <c r="W15" s="160" t="str" cm="1">
        <f t="array" aca="1" ref="W15" ca="1">IFERROR(IF(_xlfn.XLOOKUP(S15,ETANCHEITE!AI$19:AI$164,ETANCHEITE!$A$19:$A$164,"")&lt;&gt;"",_xlfn.XLOOKUP(S15,ETANCHEITE!AI$19:AI$164,ETANCHEITE!$A$19:$A$164,""),    INDEX(ETANCHEITE!$A:$A,MAX(_xlfn._xlws.FILTER(ROW(ETANCHEITE!$A$19:INDIRECT("'MENUISERIES EXTERIEURES'!$A" &amp; V15-1)),ETANCHEITE!$A$19:INDIRECT("'MENUISERIES EXTERIEURES'!$A" &amp; V15-1)&lt;&gt;"")))),"")&amp;"   "&amp;IFERROR(_xlfn.XLOOKUP(S15,ETANCHEITE!AI$19:AI$164,ETANCHEITE!$B$19:$B$164),"")&amp;IFERROR(_xlfn.XLOOKUP(S15,ETANCHEITE!AI$19:AI$164,ETANCHEITE!$C$19:$C$164),"")&amp;IFERROR(_xlfn.XLOOKUP(S15,ETANCHEITE!AI$19:AI$164,ETANCHEITE!$D$19:$D$164),"")&amp;IFERROR(_xlfn.XLOOKUP(S15,ETANCHEITE!AI$19:AI$164,ETANCHEITE!$E$19:$E$164),"")&amp;IFERROR(_xlfn.XLOOKUP(S15,ETANCHEITE!AI$19:AI$164,ETANCHEITE!$F$19:$F$164),"")</f>
        <v xml:space="preserve">   </v>
      </c>
      <c r="X15" s="168" t="str">
        <f>IFERROR(VLOOKUP(S15,ETANCHEITE!AI$19:AK$164,2,FALSE),"")&amp;" "&amp;IFERROR(VLOOKUP(S15,ETANCHEITE!AI$19:AK$164,3,FALSE),"")</f>
        <v xml:space="preserve"> </v>
      </c>
      <c r="Y15" s="161" t="str">
        <f>IF(X15&lt;&gt;" ",'Feuille de Donnée'!$C$3,"")</f>
        <v/>
      </c>
      <c r="Z15" s="232" t="str" cm="1">
        <f t="array" aca="1" ref="Z15" ca="1">IFERROR(IF(_xlfn.XLOOKUP(S15,ETANCHEITE!AI$19:AI$89,ETANCHEITE!AG$19:AG$89,"")&lt;&gt;"",_xlfn.XLOOKUP(S15,ETANCHEITE!AI$19:AI$89,ETANCHEITE!AG$19:AG$89,""),    INDEX(ETANCHEITE!AG:AG,MAX(_xlfn._xlws.FILTER(ROW(ETANCHEITE!AG$19:INDIRECT("'PEINTURE'!O" &amp; V15-1)),ETANCHEITE!AG$19:INDIRECT("'PEINTURE'!O" &amp; V15-1)&lt;&gt;"")))),"")</f>
        <v/>
      </c>
      <c r="AA15" s="233" t="str" cm="1">
        <f t="array" aca="1" ref="AA15" ca="1">IFERROR(IF(_xlfn.XLOOKUP(S15,ETANCHEITE!AI$19:AI$89,ETANCHEITE!AH$19:AH$89,"")&lt;&gt;"",_xlfn.XLOOKUP(S15,ETANCHEITE!AI$19:AI$89,ETANCHEITE!AH$19:AH$89,""),    INDEX(ETANCHEITE!AH:AH,MAX(_xlfn._xlws.FILTER(ROW(ETANCHEITE!AH$19:INDIRECT("'PEINTURE'!P" &amp; V15-1)),ETANCHEITE!AH$19:INDIRECT("'PEINTURE'!P" &amp; V15-1)&lt;&gt;"")))),"")</f>
        <v/>
      </c>
      <c r="AB15" s="158">
        <v>13</v>
      </c>
      <c r="AC15" s="167" t="str">
        <f>IF(AG15&lt;&gt;" ",ETANCHEITE!$D$5,"")</f>
        <v/>
      </c>
      <c r="AD15" s="167" t="str">
        <f>IF(AG15&lt;&gt;" ",ETANCHEITE!$D$8,"")</f>
        <v/>
      </c>
      <c r="AE15" s="159" t="str">
        <f>IFERROR(MATCH(AB15,ETANCHEITE!AR$19:AR$164,0)+18,"")</f>
        <v/>
      </c>
      <c r="AF15" s="160" t="str" cm="1">
        <f t="array" aca="1" ref="AF15" ca="1">IFERROR(IF(_xlfn.XLOOKUP(AB15,ETANCHEITE!AR$19:AR$164,ETANCHEITE!$A$19:$A$164,"")&lt;&gt;"",_xlfn.XLOOKUP(AB15,ETANCHEITE!AR$19:AR$164,ETANCHEITE!$A$19:$A$164,""),    INDEX(ETANCHEITE!$A:$A,MAX(_xlfn._xlws.FILTER(ROW(ETANCHEITE!$A$19:INDIRECT("'MENUISERIES EXTERIEURES'!$A" &amp; AE15-1)),ETANCHEITE!$A$19:INDIRECT("'MENUISERIES EXTERIEURES'!$A" &amp; AE15-1)&lt;&gt;"")))),"")&amp;"   "&amp;IFERROR(_xlfn.XLOOKUP(AB15,ETANCHEITE!AR$19:AR$164,ETANCHEITE!$B$19:$B$164),"")&amp;IFERROR(_xlfn.XLOOKUP(AB15,ETANCHEITE!AR$19:AR$164,ETANCHEITE!$C$19:$C$164),"")&amp;IFERROR(_xlfn.XLOOKUP(AB15,ETANCHEITE!AR$19:AR$164,ETANCHEITE!$D$19:$D$164),"")&amp;IFERROR(_xlfn.XLOOKUP(AB15,ETANCHEITE!AR$19:AR$164,ETANCHEITE!$E$19:$E$164),"")&amp;IFERROR(_xlfn.XLOOKUP(AB15,ETANCHEITE!AR$19:AR$164,ETANCHEITE!$F$19:$F$164),"")</f>
        <v xml:space="preserve">   </v>
      </c>
      <c r="AG15" s="168" t="str">
        <f>IFERROR(VLOOKUP(AB15,ETANCHEITE!AR$19:AT$164,2,FALSE),"")&amp;" "&amp;IFERROR(VLOOKUP(AB15,ETANCHEITE!AR$19:AT$164,3,FALSE),"")</f>
        <v xml:space="preserve"> </v>
      </c>
      <c r="AH15" s="161" t="str">
        <f>IF(AG15&lt;&gt;" ",'Feuille de Donnée'!$C$3,"")</f>
        <v/>
      </c>
      <c r="AI15" s="232" t="str" cm="1">
        <f t="array" aca="1" ref="AI15" ca="1">IFERROR(IF(_xlfn.XLOOKUP(AB15,ETANCHEITE!AR$19:AR$89,ETANCHEITE!AP$19:AP$89,"")&lt;&gt;"",_xlfn.XLOOKUP(AB15,ETANCHEITE!AR$19:AR$89,ETANCHEITE!AP$19:AP$89,""),    INDEX(ETANCHEITE!AP:AP,MAX(_xlfn._xlws.FILTER(ROW(ETANCHEITE!AP$19:INDIRECT("'PEINTURE'!O" &amp; AE15-1)),ETANCHEITE!AP$19:INDIRECT("'PEINTURE'!O" &amp; AE15-1)&lt;&gt;"")))),"")</f>
        <v/>
      </c>
      <c r="AJ15" s="233" t="str" cm="1">
        <f t="array" aca="1" ref="AJ15" ca="1">IFERROR(IF(_xlfn.XLOOKUP(AB15,ETANCHEITE!AR$19:AR$89,ETANCHEITE!AQ$19:AQ$89,"")&lt;&gt;"",_xlfn.XLOOKUP(AB15,ETANCHEITE!AR$19:AR$89,ETANCHEITE!AQ$19:AQ$89,""),    INDEX(ETANCHEITE!AQ:AQ,MAX(_xlfn._xlws.FILTER(ROW(ETANCHEITE!AQ$19:INDIRECT("'PEINTURE'!P" &amp; AE15-1)),ETANCHEITE!AQ$19:INDIRECT("'PEINTURE'!P" &amp; AE15-1)&lt;&gt;"")))),"")</f>
        <v/>
      </c>
      <c r="AK15" s="158">
        <v>13</v>
      </c>
      <c r="AL15" s="167" t="str">
        <f>IF(AP15&lt;&gt;" ",ETANCHEITE!$D$5,"")</f>
        <v/>
      </c>
      <c r="AM15" s="167" t="str">
        <f>IF(AP15&lt;&gt;" ",ETANCHEITE!$D$8,"")</f>
        <v/>
      </c>
      <c r="AN15" s="159" t="str">
        <f>IFERROR(MATCH(AK15,ETANCHEITE!BA$19:BA$164,0)+18,"")</f>
        <v/>
      </c>
      <c r="AO15" s="160" t="str" cm="1">
        <f t="array" aca="1" ref="AO15" ca="1">IFERROR(IF(_xlfn.XLOOKUP(AK15,ETANCHEITE!BA$19:BA$164,ETANCHEITE!$A$19:$A$164,"")&lt;&gt;"",_xlfn.XLOOKUP(AK15,ETANCHEITE!BA$19:BA$164,ETANCHEITE!$A$19:$A$164,""),    INDEX(ETANCHEITE!$A:$A,MAX(_xlfn._xlws.FILTER(ROW(ETANCHEITE!$A$19:INDIRECT("'MENUISERIES EXTERIEURES'!$A" &amp; AN15-1)),ETANCHEITE!$A$19:INDIRECT("'MENUISERIES EXTERIEURES'!$A" &amp; AN15-1)&lt;&gt;"")))),"")&amp;"   "&amp;IFERROR(_xlfn.XLOOKUP(AK15,ETANCHEITE!BA$19:BA$164,ETANCHEITE!$B$19:$B$164),"")&amp;IFERROR(_xlfn.XLOOKUP(AK15,ETANCHEITE!BA$19:BA$164,ETANCHEITE!$C$19:$C$164),"")&amp;IFERROR(_xlfn.XLOOKUP(AK15,ETANCHEITE!BA$19:BA$164,ETANCHEITE!$D$19:$D$164),"")&amp;IFERROR(_xlfn.XLOOKUP(AK15,ETANCHEITE!BA$19:BA$164,ETANCHEITE!$E$19:$E$164),"")&amp;IFERROR(_xlfn.XLOOKUP(AK15,ETANCHEITE!BA$19:BA$164,ETANCHEITE!$F$19:$F$164),"")</f>
        <v xml:space="preserve">   </v>
      </c>
      <c r="AP15" s="168" t="str">
        <f>IFERROR(VLOOKUP(AK15,ETANCHEITE!BA$19:BC$164,2,FALSE),"")&amp;" "&amp;IFERROR(VLOOKUP(AK15,ETANCHEITE!BA$19:BC$164,3,FALSE),"")</f>
        <v xml:space="preserve"> </v>
      </c>
      <c r="AQ15" s="161" t="str">
        <f>IF(AP15&lt;&gt;" ",'Feuille de Donnée'!$C$3,"")</f>
        <v/>
      </c>
      <c r="AR15" s="232" t="str" cm="1">
        <f t="array" aca="1" ref="AR15" ca="1">IFERROR(IF(_xlfn.XLOOKUP(AK15,ETANCHEITE!BA$19:BA$89,ETANCHEITE!AY$19:AY$89,"")&lt;&gt;"",_xlfn.XLOOKUP(AK15,ETANCHEITE!BA$19:BA$89,ETANCHEITE!AY$19:AY$89,""),    INDEX(ETANCHEITE!AY:AY,MAX(_xlfn._xlws.FILTER(ROW(ETANCHEITE!AY$19:INDIRECT("'PEINTURE'!O" &amp; AN15-1)),ETANCHEITE!AY$19:INDIRECT("'PEINTURE'!O" &amp; AN15-1)&lt;&gt;"")))),"")</f>
        <v/>
      </c>
      <c r="AS15" s="233" t="str" cm="1">
        <f t="array" aca="1" ref="AS15" ca="1">IFERROR(IF(_xlfn.XLOOKUP(AK15,ETANCHEITE!BA$19:BA$89,ETANCHEITE!AZ$19:AZ$89,"")&lt;&gt;"",_xlfn.XLOOKUP(AK15,ETANCHEITE!BA$19:BA$89,ETANCHEITE!AZ$19:AZ$89,""),    INDEX(ETANCHEITE!AZ:AZ,MAX(_xlfn._xlws.FILTER(ROW(ETANCHEITE!AZ$19:INDIRECT("'PEINTURE'!P" &amp; AN15-1)),ETANCHEITE!AZ$19:INDIRECT("'PEINTURE'!P" &amp; AN15-1)&lt;&gt;"")))),"")</f>
        <v/>
      </c>
      <c r="AT15" s="158">
        <v>13</v>
      </c>
      <c r="AU15" s="167" t="str">
        <f>IF(AY15&lt;&gt;" ",ETANCHEITE!$D$5,"")</f>
        <v/>
      </c>
      <c r="AV15" s="167" t="str">
        <f>IF(AY15&lt;&gt;" ",ETANCHEITE!$D$8,"")</f>
        <v/>
      </c>
      <c r="AW15" s="159" t="str">
        <f>IFERROR(MATCH(AT15,ETANCHEITE!BJ$19:BJ$164,0)+18,"")</f>
        <v/>
      </c>
      <c r="AX15" s="160" t="str" cm="1">
        <f t="array" aca="1" ref="AX15" ca="1">IFERROR(IF(_xlfn.XLOOKUP(AT15,ETANCHEITE!BJ$19:BJ$164,ETANCHEITE!$A$19:$A$164,"")&lt;&gt;"",_xlfn.XLOOKUP(AT15,ETANCHEITE!BJ$19:BJ$164,ETANCHEITE!$A$19:$A$164,""),    INDEX(ETANCHEITE!$A:$A,MAX(_xlfn._xlws.FILTER(ROW(ETANCHEITE!$A$19:INDIRECT("'MENUISERIES EXTERIEURES'!$A" &amp; AW15-1)),ETANCHEITE!$A$19:INDIRECT("'MENUISERIES EXTERIEURES'!$A" &amp; AW15-1)&lt;&gt;"")))),"")&amp;"   "&amp;IFERROR(_xlfn.XLOOKUP(AT15,ETANCHEITE!BJ$19:BJ$164,ETANCHEITE!$B$19:$B$164),"")&amp;IFERROR(_xlfn.XLOOKUP(AT15,ETANCHEITE!BJ$19:BJ$164,ETANCHEITE!$C$19:$C$164),"")&amp;IFERROR(_xlfn.XLOOKUP(AT15,ETANCHEITE!BJ$19:BJ$164,ETANCHEITE!$D$19:$D$164),"")&amp;IFERROR(_xlfn.XLOOKUP(AT15,ETANCHEITE!BJ$19:BJ$164,ETANCHEITE!$E$19:$E$164),"")&amp;IFERROR(_xlfn.XLOOKUP(AT15,ETANCHEITE!BJ$19:BJ$164,ETANCHEITE!$F$19:$F$164),"")</f>
        <v xml:space="preserve">   </v>
      </c>
      <c r="AY15" s="168" t="str">
        <f>IFERROR(VLOOKUP(AT15,ETANCHEITE!BJ$19:BL$164,2,FALSE),"")&amp;" "&amp;IFERROR(VLOOKUP(AT15,ETANCHEITE!BJ$19:BL$164,3,FALSE),"")</f>
        <v xml:space="preserve"> </v>
      </c>
      <c r="AZ15" s="161" t="str">
        <f>IF(AY15&lt;&gt;" ",'Feuille de Donnée'!$C$3,"")</f>
        <v/>
      </c>
      <c r="BA15" s="232" t="str" cm="1">
        <f t="array" aca="1" ref="BA15" ca="1">IFERROR(IF(_xlfn.XLOOKUP(AT15,ETANCHEITE!BJ$19:BJ$89,ETANCHEITE!BH$19:BH$89,"")&lt;&gt;"",_xlfn.XLOOKUP(AT15,ETANCHEITE!BJ$19:BJ$89,ETANCHEITE!BH$19:BH$89,""),    INDEX(ETANCHEITE!BH:BH,MAX(_xlfn._xlws.FILTER(ROW(ETANCHEITE!BH$19:INDIRECT("'PEINTURE'!O" &amp; AW15-1)),ETANCHEITE!BH$19:INDIRECT("'PEINTURE'!O" &amp; AW15-1)&lt;&gt;"")))),"")</f>
        <v/>
      </c>
      <c r="BB15" s="233" t="str" cm="1">
        <f t="array" aca="1" ref="BB15" ca="1">IFERROR(IF(_xlfn.XLOOKUP(AT15,ETANCHEITE!BJ$19:BJ$89,ETANCHEITE!BI$19:BI$89,"")&lt;&gt;"",_xlfn.XLOOKUP(AT15,ETANCHEITE!BJ$19:BJ$89,ETANCHEITE!BI$19:BI$89,""),    INDEX(ETANCHEITE!BI:BI,MAX(_xlfn._xlws.FILTER(ROW(ETANCHEITE!BI$19:INDIRECT("'PEINTURE'!P" &amp; AW15-1)),ETANCHEITE!BI$19:INDIRECT("'PEINTURE'!P" &amp; AW15-1)&lt;&gt;"")))),"")</f>
        <v/>
      </c>
    </row>
    <row r="16" spans="1:54" ht="15" customHeight="1" x14ac:dyDescent="0.3">
      <c r="A16" s="158">
        <v>14</v>
      </c>
      <c r="B16" s="167" t="str">
        <f>IF(F16&lt;&gt;" ",ETANCHEITE!$D$5,"")</f>
        <v/>
      </c>
      <c r="C16" s="167" t="str">
        <f>IF(F16&lt;&gt;" ",ETANCHEITE!$D$8,"")</f>
        <v/>
      </c>
      <c r="D16" s="159" t="str">
        <f>IFERROR(MATCH(A16,ETANCHEITE!Q$19:Q$164,0)+18,"")</f>
        <v/>
      </c>
      <c r="E16" s="160" t="str" cm="1">
        <f t="array" aca="1" ref="E16" ca="1">IFERROR(IF(_xlfn.XLOOKUP(A16,ETANCHEITE!Q$19:Q$164,ETANCHEITE!$A$19:$A$164,"")&lt;&gt;"",_xlfn.XLOOKUP(A16,ETANCHEITE!Q$19:Q$164,ETANCHEITE!$A$19:$A$164,""),    INDEX(ETANCHEITE!$A:$A,MAX(_xlfn._xlws.FILTER(ROW(ETANCHEITE!$A$19:INDIRECT("'MENUISERIES EXTERIEURES'!$A" &amp; D16-1)),ETANCHEITE!$A$19:INDIRECT("'MENUISERIES EXTERIEURES'!$A" &amp; D16-1)&lt;&gt;"")))),"")&amp;"   "&amp;IFERROR(_xlfn.XLOOKUP(A16,ETANCHEITE!Q$19:Q$164,ETANCHEITE!$B$19:$B$164),"")&amp;IFERROR(_xlfn.XLOOKUP(A16,ETANCHEITE!Q$19:Q$164,ETANCHEITE!$C$19:$C$164),"")&amp;IFERROR(_xlfn.XLOOKUP(A16,ETANCHEITE!Q$19:Q$164,ETANCHEITE!$D$19:$D$164),"")&amp;IFERROR(_xlfn.XLOOKUP(A16,ETANCHEITE!Q$19:Q$164,ETANCHEITE!$E$19:$E$164),"")&amp;IFERROR(_xlfn.XLOOKUP(A16,ETANCHEITE!Q$19:Q$164,ETANCHEITE!$F$19:$F$164),"")</f>
        <v xml:space="preserve">   </v>
      </c>
      <c r="F16" s="168" t="str">
        <f>IFERROR(VLOOKUP(A16,ETANCHEITE!Q$19:S$164,2,FALSE),"")&amp;" "&amp;IFERROR(VLOOKUP(A16,ETANCHEITE!Q$19:S$164,3,FALSE),"")</f>
        <v xml:space="preserve"> </v>
      </c>
      <c r="G16" s="161" t="str">
        <f>IF(F16&lt;&gt;" ",'Feuille de Donnée'!$C$3,"")</f>
        <v/>
      </c>
      <c r="H16" s="232" t="str" cm="1">
        <f t="array" aca="1" ref="H16" ca="1">IFERROR(IF(_xlfn.XLOOKUP(A16,ETANCHEITE!Q$19:Q$89,ETANCHEITE!O$19:O$89,"")&lt;&gt;"",_xlfn.XLOOKUP(A16,ETANCHEITE!Q$19:Q$89,ETANCHEITE!O$19:O$89,""),    INDEX(ETANCHEITE!O:O,MAX(_xlfn._xlws.FILTER(ROW(ETANCHEITE!O$19:INDIRECT("'PEINTURE'!O" &amp; D16-1)),ETANCHEITE!O$19:INDIRECT("'PEINTURE'!O" &amp; D16-1)&lt;&gt;"")))),"")</f>
        <v/>
      </c>
      <c r="I16" s="233" t="str" cm="1">
        <f t="array" aca="1" ref="I16" ca="1">IFERROR(IF(_xlfn.XLOOKUP(A16,ETANCHEITE!Q$19:Q$89,ETANCHEITE!P$19:P$89,"")&lt;&gt;"",_xlfn.XLOOKUP(A16,ETANCHEITE!Q$19:Q$89,ETANCHEITE!P$19:P$89,""),    INDEX(ETANCHEITE!P:P,MAX(_xlfn._xlws.FILTER(ROW(ETANCHEITE!P$19:INDIRECT("'PEINTURE'!P" &amp; D16-1)),ETANCHEITE!P$19:INDIRECT("'PEINTURE'!P" &amp; D16-1)&lt;&gt;"")))),"")</f>
        <v/>
      </c>
      <c r="J16" s="158">
        <v>14</v>
      </c>
      <c r="K16" s="167" t="str">
        <f>IF(O16&lt;&gt;" ",ETANCHEITE!$D$5,"")</f>
        <v/>
      </c>
      <c r="L16" s="167" t="str">
        <f>IF(O16&lt;&gt;" ",ETANCHEITE!$D$8,"")</f>
        <v/>
      </c>
      <c r="M16" s="159" t="str">
        <f>IFERROR(MATCH(J16,ETANCHEITE!Z$19:Z$164,0)+18,"")</f>
        <v/>
      </c>
      <c r="N16" s="160" t="str" cm="1">
        <f t="array" aca="1" ref="N16" ca="1">IFERROR(IF(_xlfn.XLOOKUP(J16,ETANCHEITE!Z$19:Z$164,ETANCHEITE!$A$19:$A$164,"")&lt;&gt;"",_xlfn.XLOOKUP(J16,ETANCHEITE!Z$19:Z$164,ETANCHEITE!$A$19:$A$164,""),    INDEX(ETANCHEITE!$A:$A,MAX(_xlfn._xlws.FILTER(ROW(ETANCHEITE!$A$19:INDIRECT("'MENUISERIES EXTERIEURES'!$A" &amp; M16-1)),ETANCHEITE!$A$19:INDIRECT("'MENUISERIES EXTERIEURES'!$A" &amp; M16-1)&lt;&gt;"")))),"")&amp;"   "&amp;IFERROR(_xlfn.XLOOKUP(J16,ETANCHEITE!Z$19:Z$164,ETANCHEITE!$B$19:$B$164),"")&amp;IFERROR(_xlfn.XLOOKUP(J16,ETANCHEITE!Z$19:Z$164,ETANCHEITE!$C$19:$C$164),"")&amp;IFERROR(_xlfn.XLOOKUP(J16,ETANCHEITE!Z$19:Z$164,ETANCHEITE!$D$19:$D$164),"")&amp;IFERROR(_xlfn.XLOOKUP(J16,ETANCHEITE!Z$19:Z$164,ETANCHEITE!$E$19:$E$164),"")&amp;IFERROR(_xlfn.XLOOKUP(J16,ETANCHEITE!Z$19:Z$164,ETANCHEITE!$F$19:$F$164),"")</f>
        <v xml:space="preserve">   </v>
      </c>
      <c r="O16" s="168" t="str">
        <f>IFERROR(VLOOKUP(J16,ETANCHEITE!Z$19:AB$164,2,FALSE),"")&amp;" "&amp;IFERROR(VLOOKUP(J16,ETANCHEITE!Z$19:AB$164,3,FALSE),"")</f>
        <v xml:space="preserve"> </v>
      </c>
      <c r="P16" s="161" t="str">
        <f>IF(O16&lt;&gt;" ",'Feuille de Donnée'!$C$3,"")</f>
        <v/>
      </c>
      <c r="Q16" s="232" t="str" cm="1">
        <f t="array" aca="1" ref="Q16" ca="1">IFERROR(IF(_xlfn.XLOOKUP(J16,ETANCHEITE!Z$19:Z$89,ETANCHEITE!X$19:X$89,"")&lt;&gt;"",_xlfn.XLOOKUP(J16,ETANCHEITE!Z$19:Z$89,ETANCHEITE!X$19:X$89,""),    INDEX(ETANCHEITE!X:X,MAX(_xlfn._xlws.FILTER(ROW(ETANCHEITE!X$19:INDIRECT("'PEINTURE'!O" &amp; M16-1)),ETANCHEITE!X$19:INDIRECT("'PEINTURE'!O" &amp; M16-1)&lt;&gt;"")))),"")</f>
        <v/>
      </c>
      <c r="R16" s="233" t="str" cm="1">
        <f t="array" aca="1" ref="R16" ca="1">IFERROR(IF(_xlfn.XLOOKUP(J16,ETANCHEITE!Z$19:Z$89,ETANCHEITE!Y$19:Y$89,"")&lt;&gt;"",_xlfn.XLOOKUP(J16,ETANCHEITE!Z$19:Z$89,ETANCHEITE!Y$19:Y$89,""),    INDEX(ETANCHEITE!Y:Y,MAX(_xlfn._xlws.FILTER(ROW(ETANCHEITE!Y$19:INDIRECT("'PEINTURE'!P" &amp; M16-1)),ETANCHEITE!Y$19:INDIRECT("'PEINTURE'!P" &amp; M16-1)&lt;&gt;"")))),"")</f>
        <v/>
      </c>
      <c r="S16" s="158">
        <v>14</v>
      </c>
      <c r="T16" s="167" t="str">
        <f>IF(X16&lt;&gt;" ",ETANCHEITE!$D$5,"")</f>
        <v/>
      </c>
      <c r="U16" s="167" t="str">
        <f>IF(X16&lt;&gt;" ",ETANCHEITE!$D$8,"")</f>
        <v/>
      </c>
      <c r="V16" s="159" t="str">
        <f>IFERROR(MATCH(S16,ETANCHEITE!AI$19:AI$164,0)+18,"")</f>
        <v/>
      </c>
      <c r="W16" s="160" t="str" cm="1">
        <f t="array" aca="1" ref="W16" ca="1">IFERROR(IF(_xlfn.XLOOKUP(S16,ETANCHEITE!AI$19:AI$164,ETANCHEITE!$A$19:$A$164,"")&lt;&gt;"",_xlfn.XLOOKUP(S16,ETANCHEITE!AI$19:AI$164,ETANCHEITE!$A$19:$A$164,""),    INDEX(ETANCHEITE!$A:$A,MAX(_xlfn._xlws.FILTER(ROW(ETANCHEITE!$A$19:INDIRECT("'MENUISERIES EXTERIEURES'!$A" &amp; V16-1)),ETANCHEITE!$A$19:INDIRECT("'MENUISERIES EXTERIEURES'!$A" &amp; V16-1)&lt;&gt;"")))),"")&amp;"   "&amp;IFERROR(_xlfn.XLOOKUP(S16,ETANCHEITE!AI$19:AI$164,ETANCHEITE!$B$19:$B$164),"")&amp;IFERROR(_xlfn.XLOOKUP(S16,ETANCHEITE!AI$19:AI$164,ETANCHEITE!$C$19:$C$164),"")&amp;IFERROR(_xlfn.XLOOKUP(S16,ETANCHEITE!AI$19:AI$164,ETANCHEITE!$D$19:$D$164),"")&amp;IFERROR(_xlfn.XLOOKUP(S16,ETANCHEITE!AI$19:AI$164,ETANCHEITE!$E$19:$E$164),"")&amp;IFERROR(_xlfn.XLOOKUP(S16,ETANCHEITE!AI$19:AI$164,ETANCHEITE!$F$19:$F$164),"")</f>
        <v xml:space="preserve">   </v>
      </c>
      <c r="X16" s="168" t="str">
        <f>IFERROR(VLOOKUP(S16,ETANCHEITE!AI$19:AK$164,2,FALSE),"")&amp;" "&amp;IFERROR(VLOOKUP(S16,ETANCHEITE!AI$19:AK$164,3,FALSE),"")</f>
        <v xml:space="preserve"> </v>
      </c>
      <c r="Y16" s="161" t="str">
        <f>IF(X16&lt;&gt;" ",'Feuille de Donnée'!$C$3,"")</f>
        <v/>
      </c>
      <c r="Z16" s="232" t="str" cm="1">
        <f t="array" aca="1" ref="Z16" ca="1">IFERROR(IF(_xlfn.XLOOKUP(S16,ETANCHEITE!AI$19:AI$89,ETANCHEITE!AG$19:AG$89,"")&lt;&gt;"",_xlfn.XLOOKUP(S16,ETANCHEITE!AI$19:AI$89,ETANCHEITE!AG$19:AG$89,""),    INDEX(ETANCHEITE!AG:AG,MAX(_xlfn._xlws.FILTER(ROW(ETANCHEITE!AG$19:INDIRECT("'PEINTURE'!O" &amp; V16-1)),ETANCHEITE!AG$19:INDIRECT("'PEINTURE'!O" &amp; V16-1)&lt;&gt;"")))),"")</f>
        <v/>
      </c>
      <c r="AA16" s="233" t="str" cm="1">
        <f t="array" aca="1" ref="AA16" ca="1">IFERROR(IF(_xlfn.XLOOKUP(S16,ETANCHEITE!AI$19:AI$89,ETANCHEITE!AH$19:AH$89,"")&lt;&gt;"",_xlfn.XLOOKUP(S16,ETANCHEITE!AI$19:AI$89,ETANCHEITE!AH$19:AH$89,""),    INDEX(ETANCHEITE!AH:AH,MAX(_xlfn._xlws.FILTER(ROW(ETANCHEITE!AH$19:INDIRECT("'PEINTURE'!P" &amp; V16-1)),ETANCHEITE!AH$19:INDIRECT("'PEINTURE'!P" &amp; V16-1)&lt;&gt;"")))),"")</f>
        <v/>
      </c>
      <c r="AB16" s="158">
        <v>14</v>
      </c>
      <c r="AC16" s="167" t="str">
        <f>IF(AG16&lt;&gt;" ",ETANCHEITE!$D$5,"")</f>
        <v/>
      </c>
      <c r="AD16" s="167" t="str">
        <f>IF(AG16&lt;&gt;" ",ETANCHEITE!$D$8,"")</f>
        <v/>
      </c>
      <c r="AE16" s="159" t="str">
        <f>IFERROR(MATCH(AB16,ETANCHEITE!AR$19:AR$164,0)+18,"")</f>
        <v/>
      </c>
      <c r="AF16" s="160" t="str" cm="1">
        <f t="array" aca="1" ref="AF16" ca="1">IFERROR(IF(_xlfn.XLOOKUP(AB16,ETANCHEITE!AR$19:AR$164,ETANCHEITE!$A$19:$A$164,"")&lt;&gt;"",_xlfn.XLOOKUP(AB16,ETANCHEITE!AR$19:AR$164,ETANCHEITE!$A$19:$A$164,""),    INDEX(ETANCHEITE!$A:$A,MAX(_xlfn._xlws.FILTER(ROW(ETANCHEITE!$A$19:INDIRECT("'MENUISERIES EXTERIEURES'!$A" &amp; AE16-1)),ETANCHEITE!$A$19:INDIRECT("'MENUISERIES EXTERIEURES'!$A" &amp; AE16-1)&lt;&gt;"")))),"")&amp;"   "&amp;IFERROR(_xlfn.XLOOKUP(AB16,ETANCHEITE!AR$19:AR$164,ETANCHEITE!$B$19:$B$164),"")&amp;IFERROR(_xlfn.XLOOKUP(AB16,ETANCHEITE!AR$19:AR$164,ETANCHEITE!$C$19:$C$164),"")&amp;IFERROR(_xlfn.XLOOKUP(AB16,ETANCHEITE!AR$19:AR$164,ETANCHEITE!$D$19:$D$164),"")&amp;IFERROR(_xlfn.XLOOKUP(AB16,ETANCHEITE!AR$19:AR$164,ETANCHEITE!$E$19:$E$164),"")&amp;IFERROR(_xlfn.XLOOKUP(AB16,ETANCHEITE!AR$19:AR$164,ETANCHEITE!$F$19:$F$164),"")</f>
        <v xml:space="preserve">   </v>
      </c>
      <c r="AG16" s="168" t="str">
        <f>IFERROR(VLOOKUP(AB16,ETANCHEITE!AR$19:AT$164,2,FALSE),"")&amp;" "&amp;IFERROR(VLOOKUP(AB16,ETANCHEITE!AR$19:AT$164,3,FALSE),"")</f>
        <v xml:space="preserve"> </v>
      </c>
      <c r="AH16" s="161" t="str">
        <f>IF(AG16&lt;&gt;" ",'Feuille de Donnée'!$C$3,"")</f>
        <v/>
      </c>
      <c r="AI16" s="232" t="str" cm="1">
        <f t="array" aca="1" ref="AI16" ca="1">IFERROR(IF(_xlfn.XLOOKUP(AB16,ETANCHEITE!AR$19:AR$89,ETANCHEITE!AP$19:AP$89,"")&lt;&gt;"",_xlfn.XLOOKUP(AB16,ETANCHEITE!AR$19:AR$89,ETANCHEITE!AP$19:AP$89,""),    INDEX(ETANCHEITE!AP:AP,MAX(_xlfn._xlws.FILTER(ROW(ETANCHEITE!AP$19:INDIRECT("'PEINTURE'!O" &amp; AE16-1)),ETANCHEITE!AP$19:INDIRECT("'PEINTURE'!O" &amp; AE16-1)&lt;&gt;"")))),"")</f>
        <v/>
      </c>
      <c r="AJ16" s="233" t="str" cm="1">
        <f t="array" aca="1" ref="AJ16" ca="1">IFERROR(IF(_xlfn.XLOOKUP(AB16,ETANCHEITE!AR$19:AR$89,ETANCHEITE!AQ$19:AQ$89,"")&lt;&gt;"",_xlfn.XLOOKUP(AB16,ETANCHEITE!AR$19:AR$89,ETANCHEITE!AQ$19:AQ$89,""),    INDEX(ETANCHEITE!AQ:AQ,MAX(_xlfn._xlws.FILTER(ROW(ETANCHEITE!AQ$19:INDIRECT("'PEINTURE'!P" &amp; AE16-1)),ETANCHEITE!AQ$19:INDIRECT("'PEINTURE'!P" &amp; AE16-1)&lt;&gt;"")))),"")</f>
        <v/>
      </c>
      <c r="AK16" s="158">
        <v>14</v>
      </c>
      <c r="AL16" s="167" t="str">
        <f>IF(AP16&lt;&gt;" ",ETANCHEITE!$D$5,"")</f>
        <v/>
      </c>
      <c r="AM16" s="167" t="str">
        <f>IF(AP16&lt;&gt;" ",ETANCHEITE!$D$8,"")</f>
        <v/>
      </c>
      <c r="AN16" s="159" t="str">
        <f>IFERROR(MATCH(AK16,ETANCHEITE!BA$19:BA$164,0)+18,"")</f>
        <v/>
      </c>
      <c r="AO16" s="160" t="str" cm="1">
        <f t="array" aca="1" ref="AO16" ca="1">IFERROR(IF(_xlfn.XLOOKUP(AK16,ETANCHEITE!BA$19:BA$164,ETANCHEITE!$A$19:$A$164,"")&lt;&gt;"",_xlfn.XLOOKUP(AK16,ETANCHEITE!BA$19:BA$164,ETANCHEITE!$A$19:$A$164,""),    INDEX(ETANCHEITE!$A:$A,MAX(_xlfn._xlws.FILTER(ROW(ETANCHEITE!$A$19:INDIRECT("'MENUISERIES EXTERIEURES'!$A" &amp; AN16-1)),ETANCHEITE!$A$19:INDIRECT("'MENUISERIES EXTERIEURES'!$A" &amp; AN16-1)&lt;&gt;"")))),"")&amp;"   "&amp;IFERROR(_xlfn.XLOOKUP(AK16,ETANCHEITE!BA$19:BA$164,ETANCHEITE!$B$19:$B$164),"")&amp;IFERROR(_xlfn.XLOOKUP(AK16,ETANCHEITE!BA$19:BA$164,ETANCHEITE!$C$19:$C$164),"")&amp;IFERROR(_xlfn.XLOOKUP(AK16,ETANCHEITE!BA$19:BA$164,ETANCHEITE!$D$19:$D$164),"")&amp;IFERROR(_xlfn.XLOOKUP(AK16,ETANCHEITE!BA$19:BA$164,ETANCHEITE!$E$19:$E$164),"")&amp;IFERROR(_xlfn.XLOOKUP(AK16,ETANCHEITE!BA$19:BA$164,ETANCHEITE!$F$19:$F$164),"")</f>
        <v xml:space="preserve">   </v>
      </c>
      <c r="AP16" s="168" t="str">
        <f>IFERROR(VLOOKUP(AK16,ETANCHEITE!BA$19:BC$164,2,FALSE),"")&amp;" "&amp;IFERROR(VLOOKUP(AK16,ETANCHEITE!BA$19:BC$164,3,FALSE),"")</f>
        <v xml:space="preserve"> </v>
      </c>
      <c r="AQ16" s="161" t="str">
        <f>IF(AP16&lt;&gt;" ",'Feuille de Donnée'!$C$3,"")</f>
        <v/>
      </c>
      <c r="AR16" s="232" t="str" cm="1">
        <f t="array" aca="1" ref="AR16" ca="1">IFERROR(IF(_xlfn.XLOOKUP(AK16,ETANCHEITE!BA$19:BA$89,ETANCHEITE!AY$19:AY$89,"")&lt;&gt;"",_xlfn.XLOOKUP(AK16,ETANCHEITE!BA$19:BA$89,ETANCHEITE!AY$19:AY$89,""),    INDEX(ETANCHEITE!AY:AY,MAX(_xlfn._xlws.FILTER(ROW(ETANCHEITE!AY$19:INDIRECT("'PEINTURE'!O" &amp; AN16-1)),ETANCHEITE!AY$19:INDIRECT("'PEINTURE'!O" &amp; AN16-1)&lt;&gt;"")))),"")</f>
        <v/>
      </c>
      <c r="AS16" s="233" t="str" cm="1">
        <f t="array" aca="1" ref="AS16" ca="1">IFERROR(IF(_xlfn.XLOOKUP(AK16,ETANCHEITE!BA$19:BA$89,ETANCHEITE!AZ$19:AZ$89,"")&lt;&gt;"",_xlfn.XLOOKUP(AK16,ETANCHEITE!BA$19:BA$89,ETANCHEITE!AZ$19:AZ$89,""),    INDEX(ETANCHEITE!AZ:AZ,MAX(_xlfn._xlws.FILTER(ROW(ETANCHEITE!AZ$19:INDIRECT("'PEINTURE'!P" &amp; AN16-1)),ETANCHEITE!AZ$19:INDIRECT("'PEINTURE'!P" &amp; AN16-1)&lt;&gt;"")))),"")</f>
        <v/>
      </c>
      <c r="AT16" s="158">
        <v>14</v>
      </c>
      <c r="AU16" s="167" t="str">
        <f>IF(AY16&lt;&gt;" ",ETANCHEITE!$D$5,"")</f>
        <v/>
      </c>
      <c r="AV16" s="167" t="str">
        <f>IF(AY16&lt;&gt;" ",ETANCHEITE!$D$8,"")</f>
        <v/>
      </c>
      <c r="AW16" s="159" t="str">
        <f>IFERROR(MATCH(AT16,ETANCHEITE!BJ$19:BJ$164,0)+18,"")</f>
        <v/>
      </c>
      <c r="AX16" s="160" t="str" cm="1">
        <f t="array" aca="1" ref="AX16" ca="1">IFERROR(IF(_xlfn.XLOOKUP(AT16,ETANCHEITE!BJ$19:BJ$164,ETANCHEITE!$A$19:$A$164,"")&lt;&gt;"",_xlfn.XLOOKUP(AT16,ETANCHEITE!BJ$19:BJ$164,ETANCHEITE!$A$19:$A$164,""),    INDEX(ETANCHEITE!$A:$A,MAX(_xlfn._xlws.FILTER(ROW(ETANCHEITE!$A$19:INDIRECT("'MENUISERIES EXTERIEURES'!$A" &amp; AW16-1)),ETANCHEITE!$A$19:INDIRECT("'MENUISERIES EXTERIEURES'!$A" &amp; AW16-1)&lt;&gt;"")))),"")&amp;"   "&amp;IFERROR(_xlfn.XLOOKUP(AT16,ETANCHEITE!BJ$19:BJ$164,ETANCHEITE!$B$19:$B$164),"")&amp;IFERROR(_xlfn.XLOOKUP(AT16,ETANCHEITE!BJ$19:BJ$164,ETANCHEITE!$C$19:$C$164),"")&amp;IFERROR(_xlfn.XLOOKUP(AT16,ETANCHEITE!BJ$19:BJ$164,ETANCHEITE!$D$19:$D$164),"")&amp;IFERROR(_xlfn.XLOOKUP(AT16,ETANCHEITE!BJ$19:BJ$164,ETANCHEITE!$E$19:$E$164),"")&amp;IFERROR(_xlfn.XLOOKUP(AT16,ETANCHEITE!BJ$19:BJ$164,ETANCHEITE!$F$19:$F$164),"")</f>
        <v xml:space="preserve">   </v>
      </c>
      <c r="AY16" s="168" t="str">
        <f>IFERROR(VLOOKUP(AT16,ETANCHEITE!BJ$19:BL$164,2,FALSE),"")&amp;" "&amp;IFERROR(VLOOKUP(AT16,ETANCHEITE!BJ$19:BL$164,3,FALSE),"")</f>
        <v xml:space="preserve"> </v>
      </c>
      <c r="AZ16" s="161" t="str">
        <f>IF(AY16&lt;&gt;" ",'Feuille de Donnée'!$C$3,"")</f>
        <v/>
      </c>
      <c r="BA16" s="232" t="str" cm="1">
        <f t="array" aca="1" ref="BA16" ca="1">IFERROR(IF(_xlfn.XLOOKUP(AT16,ETANCHEITE!BJ$19:BJ$89,ETANCHEITE!BH$19:BH$89,"")&lt;&gt;"",_xlfn.XLOOKUP(AT16,ETANCHEITE!BJ$19:BJ$89,ETANCHEITE!BH$19:BH$89,""),    INDEX(ETANCHEITE!BH:BH,MAX(_xlfn._xlws.FILTER(ROW(ETANCHEITE!BH$19:INDIRECT("'PEINTURE'!O" &amp; AW16-1)),ETANCHEITE!BH$19:INDIRECT("'PEINTURE'!O" &amp; AW16-1)&lt;&gt;"")))),"")</f>
        <v/>
      </c>
      <c r="BB16" s="233" t="str" cm="1">
        <f t="array" aca="1" ref="BB16" ca="1">IFERROR(IF(_xlfn.XLOOKUP(AT16,ETANCHEITE!BJ$19:BJ$89,ETANCHEITE!BI$19:BI$89,"")&lt;&gt;"",_xlfn.XLOOKUP(AT16,ETANCHEITE!BJ$19:BJ$89,ETANCHEITE!BI$19:BI$89,""),    INDEX(ETANCHEITE!BI:BI,MAX(_xlfn._xlws.FILTER(ROW(ETANCHEITE!BI$19:INDIRECT("'PEINTURE'!P" &amp; AW16-1)),ETANCHEITE!BI$19:INDIRECT("'PEINTURE'!P" &amp; AW16-1)&lt;&gt;"")))),"")</f>
        <v/>
      </c>
    </row>
    <row r="17" spans="1:54" ht="15" customHeight="1" x14ac:dyDescent="0.3">
      <c r="A17" s="158">
        <v>15</v>
      </c>
      <c r="B17" s="167" t="str">
        <f>IF(F17&lt;&gt;" ",ETANCHEITE!$D$5,"")</f>
        <v/>
      </c>
      <c r="C17" s="167" t="str">
        <f>IF(F17&lt;&gt;" ",ETANCHEITE!$D$8,"")</f>
        <v/>
      </c>
      <c r="D17" s="159" t="str">
        <f>IFERROR(MATCH(A17,ETANCHEITE!Q$19:Q$164,0)+18,"")</f>
        <v/>
      </c>
      <c r="E17" s="160" t="str" cm="1">
        <f t="array" aca="1" ref="E17" ca="1">IFERROR(IF(_xlfn.XLOOKUP(A17,ETANCHEITE!Q$19:Q$164,ETANCHEITE!$A$19:$A$164,"")&lt;&gt;"",_xlfn.XLOOKUP(A17,ETANCHEITE!Q$19:Q$164,ETANCHEITE!$A$19:$A$164,""),    INDEX(ETANCHEITE!$A:$A,MAX(_xlfn._xlws.FILTER(ROW(ETANCHEITE!$A$19:INDIRECT("'MENUISERIES EXTERIEURES'!$A" &amp; D17-1)),ETANCHEITE!$A$19:INDIRECT("'MENUISERIES EXTERIEURES'!$A" &amp; D17-1)&lt;&gt;"")))),"")&amp;"   "&amp;IFERROR(_xlfn.XLOOKUP(A17,ETANCHEITE!Q$19:Q$164,ETANCHEITE!$B$19:$B$164),"")&amp;IFERROR(_xlfn.XLOOKUP(A17,ETANCHEITE!Q$19:Q$164,ETANCHEITE!$C$19:$C$164),"")&amp;IFERROR(_xlfn.XLOOKUP(A17,ETANCHEITE!Q$19:Q$164,ETANCHEITE!$D$19:$D$164),"")&amp;IFERROR(_xlfn.XLOOKUP(A17,ETANCHEITE!Q$19:Q$164,ETANCHEITE!$E$19:$E$164),"")&amp;IFERROR(_xlfn.XLOOKUP(A17,ETANCHEITE!Q$19:Q$164,ETANCHEITE!$F$19:$F$164),"")</f>
        <v xml:space="preserve">   </v>
      </c>
      <c r="F17" s="168" t="str">
        <f>IFERROR(VLOOKUP(A17,ETANCHEITE!Q$19:S$164,2,FALSE),"")&amp;" "&amp;IFERROR(VLOOKUP(A17,ETANCHEITE!Q$19:S$164,3,FALSE),"")</f>
        <v xml:space="preserve"> </v>
      </c>
      <c r="G17" s="161" t="str">
        <f>IF(F17&lt;&gt;" ",'Feuille de Donnée'!$C$3,"")</f>
        <v/>
      </c>
      <c r="H17" s="232" t="str" cm="1">
        <f t="array" aca="1" ref="H17" ca="1">IFERROR(IF(_xlfn.XLOOKUP(A17,ETANCHEITE!Q$19:Q$89,ETANCHEITE!O$19:O$89,"")&lt;&gt;"",_xlfn.XLOOKUP(A17,ETANCHEITE!Q$19:Q$89,ETANCHEITE!O$19:O$89,""),    INDEX(ETANCHEITE!O:O,MAX(_xlfn._xlws.FILTER(ROW(ETANCHEITE!O$19:INDIRECT("'PEINTURE'!O" &amp; D17-1)),ETANCHEITE!O$19:INDIRECT("'PEINTURE'!O" &amp; D17-1)&lt;&gt;"")))),"")</f>
        <v/>
      </c>
      <c r="I17" s="233" t="str" cm="1">
        <f t="array" aca="1" ref="I17" ca="1">IFERROR(IF(_xlfn.XLOOKUP(A17,ETANCHEITE!Q$19:Q$89,ETANCHEITE!P$19:P$89,"")&lt;&gt;"",_xlfn.XLOOKUP(A17,ETANCHEITE!Q$19:Q$89,ETANCHEITE!P$19:P$89,""),    INDEX(ETANCHEITE!P:P,MAX(_xlfn._xlws.FILTER(ROW(ETANCHEITE!P$19:INDIRECT("'PEINTURE'!P" &amp; D17-1)),ETANCHEITE!P$19:INDIRECT("'PEINTURE'!P" &amp; D17-1)&lt;&gt;"")))),"")</f>
        <v/>
      </c>
      <c r="J17" s="158">
        <v>15</v>
      </c>
      <c r="K17" s="167" t="str">
        <f>IF(O17&lt;&gt;" ",ETANCHEITE!$D$5,"")</f>
        <v/>
      </c>
      <c r="L17" s="167" t="str">
        <f>IF(O17&lt;&gt;" ",ETANCHEITE!$D$8,"")</f>
        <v/>
      </c>
      <c r="M17" s="159" t="str">
        <f>IFERROR(MATCH(J17,ETANCHEITE!Z$19:Z$164,0)+18,"")</f>
        <v/>
      </c>
      <c r="N17" s="160" t="str" cm="1">
        <f t="array" aca="1" ref="N17" ca="1">IFERROR(IF(_xlfn.XLOOKUP(J17,ETANCHEITE!Z$19:Z$164,ETANCHEITE!$A$19:$A$164,"")&lt;&gt;"",_xlfn.XLOOKUP(J17,ETANCHEITE!Z$19:Z$164,ETANCHEITE!$A$19:$A$164,""),    INDEX(ETANCHEITE!$A:$A,MAX(_xlfn._xlws.FILTER(ROW(ETANCHEITE!$A$19:INDIRECT("'MENUISERIES EXTERIEURES'!$A" &amp; M17-1)),ETANCHEITE!$A$19:INDIRECT("'MENUISERIES EXTERIEURES'!$A" &amp; M17-1)&lt;&gt;"")))),"")&amp;"   "&amp;IFERROR(_xlfn.XLOOKUP(J17,ETANCHEITE!Z$19:Z$164,ETANCHEITE!$B$19:$B$164),"")&amp;IFERROR(_xlfn.XLOOKUP(J17,ETANCHEITE!Z$19:Z$164,ETANCHEITE!$C$19:$C$164),"")&amp;IFERROR(_xlfn.XLOOKUP(J17,ETANCHEITE!Z$19:Z$164,ETANCHEITE!$D$19:$D$164),"")&amp;IFERROR(_xlfn.XLOOKUP(J17,ETANCHEITE!Z$19:Z$164,ETANCHEITE!$E$19:$E$164),"")&amp;IFERROR(_xlfn.XLOOKUP(J17,ETANCHEITE!Z$19:Z$164,ETANCHEITE!$F$19:$F$164),"")</f>
        <v xml:space="preserve">   </v>
      </c>
      <c r="O17" s="168" t="str">
        <f>IFERROR(VLOOKUP(J17,ETANCHEITE!Z$19:AB$164,2,FALSE),"")&amp;" "&amp;IFERROR(VLOOKUP(J17,ETANCHEITE!Z$19:AB$164,3,FALSE),"")</f>
        <v xml:space="preserve"> </v>
      </c>
      <c r="P17" s="161" t="str">
        <f>IF(O17&lt;&gt;" ",'Feuille de Donnée'!$C$3,"")</f>
        <v/>
      </c>
      <c r="Q17" s="232" t="str" cm="1">
        <f t="array" aca="1" ref="Q17" ca="1">IFERROR(IF(_xlfn.XLOOKUP(J17,ETANCHEITE!Z$19:Z$89,ETANCHEITE!X$19:X$89,"")&lt;&gt;"",_xlfn.XLOOKUP(J17,ETANCHEITE!Z$19:Z$89,ETANCHEITE!X$19:X$89,""),    INDEX(ETANCHEITE!X:X,MAX(_xlfn._xlws.FILTER(ROW(ETANCHEITE!X$19:INDIRECT("'PEINTURE'!O" &amp; M17-1)),ETANCHEITE!X$19:INDIRECT("'PEINTURE'!O" &amp; M17-1)&lt;&gt;"")))),"")</f>
        <v/>
      </c>
      <c r="R17" s="233" t="str" cm="1">
        <f t="array" aca="1" ref="R17" ca="1">IFERROR(IF(_xlfn.XLOOKUP(J17,ETANCHEITE!Z$19:Z$89,ETANCHEITE!Y$19:Y$89,"")&lt;&gt;"",_xlfn.XLOOKUP(J17,ETANCHEITE!Z$19:Z$89,ETANCHEITE!Y$19:Y$89,""),    INDEX(ETANCHEITE!Y:Y,MAX(_xlfn._xlws.FILTER(ROW(ETANCHEITE!Y$19:INDIRECT("'PEINTURE'!P" &amp; M17-1)),ETANCHEITE!Y$19:INDIRECT("'PEINTURE'!P" &amp; M17-1)&lt;&gt;"")))),"")</f>
        <v/>
      </c>
      <c r="S17" s="158">
        <v>15</v>
      </c>
      <c r="T17" s="167" t="str">
        <f>IF(X17&lt;&gt;" ",ETANCHEITE!$D$5,"")</f>
        <v/>
      </c>
      <c r="U17" s="167" t="str">
        <f>IF(X17&lt;&gt;" ",ETANCHEITE!$D$8,"")</f>
        <v/>
      </c>
      <c r="V17" s="159" t="str">
        <f>IFERROR(MATCH(S17,ETANCHEITE!AI$19:AI$164,0)+18,"")</f>
        <v/>
      </c>
      <c r="W17" s="160" t="str" cm="1">
        <f t="array" aca="1" ref="W17" ca="1">IFERROR(IF(_xlfn.XLOOKUP(S17,ETANCHEITE!AI$19:AI$164,ETANCHEITE!$A$19:$A$164,"")&lt;&gt;"",_xlfn.XLOOKUP(S17,ETANCHEITE!AI$19:AI$164,ETANCHEITE!$A$19:$A$164,""),    INDEX(ETANCHEITE!$A:$A,MAX(_xlfn._xlws.FILTER(ROW(ETANCHEITE!$A$19:INDIRECT("'MENUISERIES EXTERIEURES'!$A" &amp; V17-1)),ETANCHEITE!$A$19:INDIRECT("'MENUISERIES EXTERIEURES'!$A" &amp; V17-1)&lt;&gt;"")))),"")&amp;"   "&amp;IFERROR(_xlfn.XLOOKUP(S17,ETANCHEITE!AI$19:AI$164,ETANCHEITE!$B$19:$B$164),"")&amp;IFERROR(_xlfn.XLOOKUP(S17,ETANCHEITE!AI$19:AI$164,ETANCHEITE!$C$19:$C$164),"")&amp;IFERROR(_xlfn.XLOOKUP(S17,ETANCHEITE!AI$19:AI$164,ETANCHEITE!$D$19:$D$164),"")&amp;IFERROR(_xlfn.XLOOKUP(S17,ETANCHEITE!AI$19:AI$164,ETANCHEITE!$E$19:$E$164),"")&amp;IFERROR(_xlfn.XLOOKUP(S17,ETANCHEITE!AI$19:AI$164,ETANCHEITE!$F$19:$F$164),"")</f>
        <v xml:space="preserve">   </v>
      </c>
      <c r="X17" s="168" t="str">
        <f>IFERROR(VLOOKUP(S17,ETANCHEITE!AI$19:AK$164,2,FALSE),"")&amp;" "&amp;IFERROR(VLOOKUP(S17,ETANCHEITE!AI$19:AK$164,3,FALSE),"")</f>
        <v xml:space="preserve"> </v>
      </c>
      <c r="Y17" s="161" t="str">
        <f>IF(X17&lt;&gt;" ",'Feuille de Donnée'!$C$3,"")</f>
        <v/>
      </c>
      <c r="Z17" s="232" t="str" cm="1">
        <f t="array" aca="1" ref="Z17" ca="1">IFERROR(IF(_xlfn.XLOOKUP(S17,ETANCHEITE!AI$19:AI$89,ETANCHEITE!AG$19:AG$89,"")&lt;&gt;"",_xlfn.XLOOKUP(S17,ETANCHEITE!AI$19:AI$89,ETANCHEITE!AG$19:AG$89,""),    INDEX(ETANCHEITE!AG:AG,MAX(_xlfn._xlws.FILTER(ROW(ETANCHEITE!AG$19:INDIRECT("'PEINTURE'!O" &amp; V17-1)),ETANCHEITE!AG$19:INDIRECT("'PEINTURE'!O" &amp; V17-1)&lt;&gt;"")))),"")</f>
        <v/>
      </c>
      <c r="AA17" s="233" t="str" cm="1">
        <f t="array" aca="1" ref="AA17" ca="1">IFERROR(IF(_xlfn.XLOOKUP(S17,ETANCHEITE!AI$19:AI$89,ETANCHEITE!AH$19:AH$89,"")&lt;&gt;"",_xlfn.XLOOKUP(S17,ETANCHEITE!AI$19:AI$89,ETANCHEITE!AH$19:AH$89,""),    INDEX(ETANCHEITE!AH:AH,MAX(_xlfn._xlws.FILTER(ROW(ETANCHEITE!AH$19:INDIRECT("'PEINTURE'!P" &amp; V17-1)),ETANCHEITE!AH$19:INDIRECT("'PEINTURE'!P" &amp; V17-1)&lt;&gt;"")))),"")</f>
        <v/>
      </c>
      <c r="AB17" s="158">
        <v>15</v>
      </c>
      <c r="AC17" s="167" t="str">
        <f>IF(AG17&lt;&gt;" ",ETANCHEITE!$D$5,"")</f>
        <v/>
      </c>
      <c r="AD17" s="167" t="str">
        <f>IF(AG17&lt;&gt;" ",ETANCHEITE!$D$8,"")</f>
        <v/>
      </c>
      <c r="AE17" s="159" t="str">
        <f>IFERROR(MATCH(AB17,ETANCHEITE!AR$19:AR$164,0)+18,"")</f>
        <v/>
      </c>
      <c r="AF17" s="160" t="str" cm="1">
        <f t="array" aca="1" ref="AF17" ca="1">IFERROR(IF(_xlfn.XLOOKUP(AB17,ETANCHEITE!AR$19:AR$164,ETANCHEITE!$A$19:$A$164,"")&lt;&gt;"",_xlfn.XLOOKUP(AB17,ETANCHEITE!AR$19:AR$164,ETANCHEITE!$A$19:$A$164,""),    INDEX(ETANCHEITE!$A:$A,MAX(_xlfn._xlws.FILTER(ROW(ETANCHEITE!$A$19:INDIRECT("'MENUISERIES EXTERIEURES'!$A" &amp; AE17-1)),ETANCHEITE!$A$19:INDIRECT("'MENUISERIES EXTERIEURES'!$A" &amp; AE17-1)&lt;&gt;"")))),"")&amp;"   "&amp;IFERROR(_xlfn.XLOOKUP(AB17,ETANCHEITE!AR$19:AR$164,ETANCHEITE!$B$19:$B$164),"")&amp;IFERROR(_xlfn.XLOOKUP(AB17,ETANCHEITE!AR$19:AR$164,ETANCHEITE!$C$19:$C$164),"")&amp;IFERROR(_xlfn.XLOOKUP(AB17,ETANCHEITE!AR$19:AR$164,ETANCHEITE!$D$19:$D$164),"")&amp;IFERROR(_xlfn.XLOOKUP(AB17,ETANCHEITE!AR$19:AR$164,ETANCHEITE!$E$19:$E$164),"")&amp;IFERROR(_xlfn.XLOOKUP(AB17,ETANCHEITE!AR$19:AR$164,ETANCHEITE!$F$19:$F$164),"")</f>
        <v xml:space="preserve">   </v>
      </c>
      <c r="AG17" s="168" t="str">
        <f>IFERROR(VLOOKUP(AB17,ETANCHEITE!AR$19:AT$164,2,FALSE),"")&amp;" "&amp;IFERROR(VLOOKUP(AB17,ETANCHEITE!AR$19:AT$164,3,FALSE),"")</f>
        <v xml:space="preserve"> </v>
      </c>
      <c r="AH17" s="161" t="str">
        <f>IF(AG17&lt;&gt;" ",'Feuille de Donnée'!$C$3,"")</f>
        <v/>
      </c>
      <c r="AI17" s="232" t="str" cm="1">
        <f t="array" aca="1" ref="AI17" ca="1">IFERROR(IF(_xlfn.XLOOKUP(AB17,ETANCHEITE!AR$19:AR$89,ETANCHEITE!AP$19:AP$89,"")&lt;&gt;"",_xlfn.XLOOKUP(AB17,ETANCHEITE!AR$19:AR$89,ETANCHEITE!AP$19:AP$89,""),    INDEX(ETANCHEITE!AP:AP,MAX(_xlfn._xlws.FILTER(ROW(ETANCHEITE!AP$19:INDIRECT("'PEINTURE'!O" &amp; AE17-1)),ETANCHEITE!AP$19:INDIRECT("'PEINTURE'!O" &amp; AE17-1)&lt;&gt;"")))),"")</f>
        <v/>
      </c>
      <c r="AJ17" s="233" t="str" cm="1">
        <f t="array" aca="1" ref="AJ17" ca="1">IFERROR(IF(_xlfn.XLOOKUP(AB17,ETANCHEITE!AR$19:AR$89,ETANCHEITE!AQ$19:AQ$89,"")&lt;&gt;"",_xlfn.XLOOKUP(AB17,ETANCHEITE!AR$19:AR$89,ETANCHEITE!AQ$19:AQ$89,""),    INDEX(ETANCHEITE!AQ:AQ,MAX(_xlfn._xlws.FILTER(ROW(ETANCHEITE!AQ$19:INDIRECT("'PEINTURE'!P" &amp; AE17-1)),ETANCHEITE!AQ$19:INDIRECT("'PEINTURE'!P" &amp; AE17-1)&lt;&gt;"")))),"")</f>
        <v/>
      </c>
      <c r="AK17" s="158">
        <v>15</v>
      </c>
      <c r="AL17" s="167" t="str">
        <f>IF(AP17&lt;&gt;" ",ETANCHEITE!$D$5,"")</f>
        <v/>
      </c>
      <c r="AM17" s="167" t="str">
        <f>IF(AP17&lt;&gt;" ",ETANCHEITE!$D$8,"")</f>
        <v/>
      </c>
      <c r="AN17" s="159" t="str">
        <f>IFERROR(MATCH(AK17,ETANCHEITE!BA$19:BA$164,0)+18,"")</f>
        <v/>
      </c>
      <c r="AO17" s="160" t="str" cm="1">
        <f t="array" aca="1" ref="AO17" ca="1">IFERROR(IF(_xlfn.XLOOKUP(AK17,ETANCHEITE!BA$19:BA$164,ETANCHEITE!$A$19:$A$164,"")&lt;&gt;"",_xlfn.XLOOKUP(AK17,ETANCHEITE!BA$19:BA$164,ETANCHEITE!$A$19:$A$164,""),    INDEX(ETANCHEITE!$A:$A,MAX(_xlfn._xlws.FILTER(ROW(ETANCHEITE!$A$19:INDIRECT("'MENUISERIES EXTERIEURES'!$A" &amp; AN17-1)),ETANCHEITE!$A$19:INDIRECT("'MENUISERIES EXTERIEURES'!$A" &amp; AN17-1)&lt;&gt;"")))),"")&amp;"   "&amp;IFERROR(_xlfn.XLOOKUP(AK17,ETANCHEITE!BA$19:BA$164,ETANCHEITE!$B$19:$B$164),"")&amp;IFERROR(_xlfn.XLOOKUP(AK17,ETANCHEITE!BA$19:BA$164,ETANCHEITE!$C$19:$C$164),"")&amp;IFERROR(_xlfn.XLOOKUP(AK17,ETANCHEITE!BA$19:BA$164,ETANCHEITE!$D$19:$D$164),"")&amp;IFERROR(_xlfn.XLOOKUP(AK17,ETANCHEITE!BA$19:BA$164,ETANCHEITE!$E$19:$E$164),"")&amp;IFERROR(_xlfn.XLOOKUP(AK17,ETANCHEITE!BA$19:BA$164,ETANCHEITE!$F$19:$F$164),"")</f>
        <v xml:space="preserve">   </v>
      </c>
      <c r="AP17" s="168" t="str">
        <f>IFERROR(VLOOKUP(AK17,ETANCHEITE!BA$19:BC$164,2,FALSE),"")&amp;" "&amp;IFERROR(VLOOKUP(AK17,ETANCHEITE!BA$19:BC$164,3,FALSE),"")</f>
        <v xml:space="preserve"> </v>
      </c>
      <c r="AQ17" s="161" t="str">
        <f>IF(AP17&lt;&gt;" ",'Feuille de Donnée'!$C$3,"")</f>
        <v/>
      </c>
      <c r="AR17" s="232" t="str" cm="1">
        <f t="array" aca="1" ref="AR17" ca="1">IFERROR(IF(_xlfn.XLOOKUP(AK17,ETANCHEITE!BA$19:BA$89,ETANCHEITE!AY$19:AY$89,"")&lt;&gt;"",_xlfn.XLOOKUP(AK17,ETANCHEITE!BA$19:BA$89,ETANCHEITE!AY$19:AY$89,""),    INDEX(ETANCHEITE!AY:AY,MAX(_xlfn._xlws.FILTER(ROW(ETANCHEITE!AY$19:INDIRECT("'PEINTURE'!O" &amp; AN17-1)),ETANCHEITE!AY$19:INDIRECT("'PEINTURE'!O" &amp; AN17-1)&lt;&gt;"")))),"")</f>
        <v/>
      </c>
      <c r="AS17" s="233" t="str" cm="1">
        <f t="array" aca="1" ref="AS17" ca="1">IFERROR(IF(_xlfn.XLOOKUP(AK17,ETANCHEITE!BA$19:BA$89,ETANCHEITE!AZ$19:AZ$89,"")&lt;&gt;"",_xlfn.XLOOKUP(AK17,ETANCHEITE!BA$19:BA$89,ETANCHEITE!AZ$19:AZ$89,""),    INDEX(ETANCHEITE!AZ:AZ,MAX(_xlfn._xlws.FILTER(ROW(ETANCHEITE!AZ$19:INDIRECT("'PEINTURE'!P" &amp; AN17-1)),ETANCHEITE!AZ$19:INDIRECT("'PEINTURE'!P" &amp; AN17-1)&lt;&gt;"")))),"")</f>
        <v/>
      </c>
      <c r="AT17" s="158">
        <v>15</v>
      </c>
      <c r="AU17" s="167" t="str">
        <f>IF(AY17&lt;&gt;" ",ETANCHEITE!$D$5,"")</f>
        <v/>
      </c>
      <c r="AV17" s="167" t="str">
        <f>IF(AY17&lt;&gt;" ",ETANCHEITE!$D$8,"")</f>
        <v/>
      </c>
      <c r="AW17" s="159" t="str">
        <f>IFERROR(MATCH(AT17,ETANCHEITE!BJ$19:BJ$164,0)+18,"")</f>
        <v/>
      </c>
      <c r="AX17" s="160" t="str" cm="1">
        <f t="array" aca="1" ref="AX17" ca="1">IFERROR(IF(_xlfn.XLOOKUP(AT17,ETANCHEITE!BJ$19:BJ$164,ETANCHEITE!$A$19:$A$164,"")&lt;&gt;"",_xlfn.XLOOKUP(AT17,ETANCHEITE!BJ$19:BJ$164,ETANCHEITE!$A$19:$A$164,""),    INDEX(ETANCHEITE!$A:$A,MAX(_xlfn._xlws.FILTER(ROW(ETANCHEITE!$A$19:INDIRECT("'MENUISERIES EXTERIEURES'!$A" &amp; AW17-1)),ETANCHEITE!$A$19:INDIRECT("'MENUISERIES EXTERIEURES'!$A" &amp; AW17-1)&lt;&gt;"")))),"")&amp;"   "&amp;IFERROR(_xlfn.XLOOKUP(AT17,ETANCHEITE!BJ$19:BJ$164,ETANCHEITE!$B$19:$B$164),"")&amp;IFERROR(_xlfn.XLOOKUP(AT17,ETANCHEITE!BJ$19:BJ$164,ETANCHEITE!$C$19:$C$164),"")&amp;IFERROR(_xlfn.XLOOKUP(AT17,ETANCHEITE!BJ$19:BJ$164,ETANCHEITE!$D$19:$D$164),"")&amp;IFERROR(_xlfn.XLOOKUP(AT17,ETANCHEITE!BJ$19:BJ$164,ETANCHEITE!$E$19:$E$164),"")&amp;IFERROR(_xlfn.XLOOKUP(AT17,ETANCHEITE!BJ$19:BJ$164,ETANCHEITE!$F$19:$F$164),"")</f>
        <v xml:space="preserve">   </v>
      </c>
      <c r="AY17" s="168" t="str">
        <f>IFERROR(VLOOKUP(AT17,ETANCHEITE!BJ$19:BL$164,2,FALSE),"")&amp;" "&amp;IFERROR(VLOOKUP(AT17,ETANCHEITE!BJ$19:BL$164,3,FALSE),"")</f>
        <v xml:space="preserve"> </v>
      </c>
      <c r="AZ17" s="161" t="str">
        <f>IF(AY17&lt;&gt;" ",'Feuille de Donnée'!$C$3,"")</f>
        <v/>
      </c>
      <c r="BA17" s="232" t="str" cm="1">
        <f t="array" aca="1" ref="BA17" ca="1">IFERROR(IF(_xlfn.XLOOKUP(AT17,ETANCHEITE!BJ$19:BJ$89,ETANCHEITE!BH$19:BH$89,"")&lt;&gt;"",_xlfn.XLOOKUP(AT17,ETANCHEITE!BJ$19:BJ$89,ETANCHEITE!BH$19:BH$89,""),    INDEX(ETANCHEITE!BH:BH,MAX(_xlfn._xlws.FILTER(ROW(ETANCHEITE!BH$19:INDIRECT("'PEINTURE'!O" &amp; AW17-1)),ETANCHEITE!BH$19:INDIRECT("'PEINTURE'!O" &amp; AW17-1)&lt;&gt;"")))),"")</f>
        <v/>
      </c>
      <c r="BB17" s="233" t="str" cm="1">
        <f t="array" aca="1" ref="BB17" ca="1">IFERROR(IF(_xlfn.XLOOKUP(AT17,ETANCHEITE!BJ$19:BJ$89,ETANCHEITE!BI$19:BI$89,"")&lt;&gt;"",_xlfn.XLOOKUP(AT17,ETANCHEITE!BJ$19:BJ$89,ETANCHEITE!BI$19:BI$89,""),    INDEX(ETANCHEITE!BI:BI,MAX(_xlfn._xlws.FILTER(ROW(ETANCHEITE!BI$19:INDIRECT("'PEINTURE'!P" &amp; AW17-1)),ETANCHEITE!BI$19:INDIRECT("'PEINTURE'!P" &amp; AW17-1)&lt;&gt;"")))),"")</f>
        <v/>
      </c>
    </row>
    <row r="18" spans="1:54" ht="15" customHeight="1" x14ac:dyDescent="0.3">
      <c r="A18" s="158">
        <v>16</v>
      </c>
      <c r="B18" s="167" t="str">
        <f>IF(F18&lt;&gt;" ",ETANCHEITE!$D$5,"")</f>
        <v/>
      </c>
      <c r="C18" s="167" t="str">
        <f>IF(F18&lt;&gt;" ",ETANCHEITE!$D$8,"")</f>
        <v/>
      </c>
      <c r="D18" s="159" t="str">
        <f>IFERROR(MATCH(A18,ETANCHEITE!Q$19:Q$164,0)+18,"")</f>
        <v/>
      </c>
      <c r="E18" s="160" t="str" cm="1">
        <f t="array" aca="1" ref="E18" ca="1">IFERROR(IF(_xlfn.XLOOKUP(A18,ETANCHEITE!Q$19:Q$164,ETANCHEITE!$A$19:$A$164,"")&lt;&gt;"",_xlfn.XLOOKUP(A18,ETANCHEITE!Q$19:Q$164,ETANCHEITE!$A$19:$A$164,""),    INDEX(ETANCHEITE!$A:$A,MAX(_xlfn._xlws.FILTER(ROW(ETANCHEITE!$A$19:INDIRECT("'MENUISERIES EXTERIEURES'!$A" &amp; D18-1)),ETANCHEITE!$A$19:INDIRECT("'MENUISERIES EXTERIEURES'!$A" &amp; D18-1)&lt;&gt;"")))),"")&amp;"   "&amp;IFERROR(_xlfn.XLOOKUP(A18,ETANCHEITE!Q$19:Q$164,ETANCHEITE!$B$19:$B$164),"")&amp;IFERROR(_xlfn.XLOOKUP(A18,ETANCHEITE!Q$19:Q$164,ETANCHEITE!$C$19:$C$164),"")&amp;IFERROR(_xlfn.XLOOKUP(A18,ETANCHEITE!Q$19:Q$164,ETANCHEITE!$D$19:$D$164),"")&amp;IFERROR(_xlfn.XLOOKUP(A18,ETANCHEITE!Q$19:Q$164,ETANCHEITE!$E$19:$E$164),"")&amp;IFERROR(_xlfn.XLOOKUP(A18,ETANCHEITE!Q$19:Q$164,ETANCHEITE!$F$19:$F$164),"")</f>
        <v xml:space="preserve">   </v>
      </c>
      <c r="F18" s="168" t="str">
        <f>IFERROR(VLOOKUP(A18,ETANCHEITE!Q$19:S$164,2,FALSE),"")&amp;" "&amp;IFERROR(VLOOKUP(A18,ETANCHEITE!Q$19:S$164,3,FALSE),"")</f>
        <v xml:space="preserve"> </v>
      </c>
      <c r="G18" s="161" t="str">
        <f>IF(F18&lt;&gt;" ",'Feuille de Donnée'!$C$3,"")</f>
        <v/>
      </c>
      <c r="H18" s="232" t="str" cm="1">
        <f t="array" aca="1" ref="H18" ca="1">IFERROR(IF(_xlfn.XLOOKUP(A18,ETANCHEITE!Q$19:Q$89,ETANCHEITE!O$19:O$89,"")&lt;&gt;"",_xlfn.XLOOKUP(A18,ETANCHEITE!Q$19:Q$89,ETANCHEITE!O$19:O$89,""),    INDEX(ETANCHEITE!O:O,MAX(_xlfn._xlws.FILTER(ROW(ETANCHEITE!O$19:INDIRECT("'PEINTURE'!O" &amp; D18-1)),ETANCHEITE!O$19:INDIRECT("'PEINTURE'!O" &amp; D18-1)&lt;&gt;"")))),"")</f>
        <v/>
      </c>
      <c r="I18" s="233" t="str" cm="1">
        <f t="array" aca="1" ref="I18" ca="1">IFERROR(IF(_xlfn.XLOOKUP(A18,ETANCHEITE!Q$19:Q$89,ETANCHEITE!P$19:P$89,"")&lt;&gt;"",_xlfn.XLOOKUP(A18,ETANCHEITE!Q$19:Q$89,ETANCHEITE!P$19:P$89,""),    INDEX(ETANCHEITE!P:P,MAX(_xlfn._xlws.FILTER(ROW(ETANCHEITE!P$19:INDIRECT("'PEINTURE'!P" &amp; D18-1)),ETANCHEITE!P$19:INDIRECT("'PEINTURE'!P" &amp; D18-1)&lt;&gt;"")))),"")</f>
        <v/>
      </c>
      <c r="J18" s="158">
        <v>16</v>
      </c>
      <c r="K18" s="167" t="str">
        <f>IF(O18&lt;&gt;" ",ETANCHEITE!$D$5,"")</f>
        <v/>
      </c>
      <c r="L18" s="167" t="str">
        <f>IF(O18&lt;&gt;" ",ETANCHEITE!$D$8,"")</f>
        <v/>
      </c>
      <c r="M18" s="159" t="str">
        <f>IFERROR(MATCH(J18,ETANCHEITE!Z$19:Z$164,0)+18,"")</f>
        <v/>
      </c>
      <c r="N18" s="160" t="str" cm="1">
        <f t="array" aca="1" ref="N18" ca="1">IFERROR(IF(_xlfn.XLOOKUP(J18,ETANCHEITE!Z$19:Z$164,ETANCHEITE!$A$19:$A$164,"")&lt;&gt;"",_xlfn.XLOOKUP(J18,ETANCHEITE!Z$19:Z$164,ETANCHEITE!$A$19:$A$164,""),    INDEX(ETANCHEITE!$A:$A,MAX(_xlfn._xlws.FILTER(ROW(ETANCHEITE!$A$19:INDIRECT("'MENUISERIES EXTERIEURES'!$A" &amp; M18-1)),ETANCHEITE!$A$19:INDIRECT("'MENUISERIES EXTERIEURES'!$A" &amp; M18-1)&lt;&gt;"")))),"")&amp;"   "&amp;IFERROR(_xlfn.XLOOKUP(J18,ETANCHEITE!Z$19:Z$164,ETANCHEITE!$B$19:$B$164),"")&amp;IFERROR(_xlfn.XLOOKUP(J18,ETANCHEITE!Z$19:Z$164,ETANCHEITE!$C$19:$C$164),"")&amp;IFERROR(_xlfn.XLOOKUP(J18,ETANCHEITE!Z$19:Z$164,ETANCHEITE!$D$19:$D$164),"")&amp;IFERROR(_xlfn.XLOOKUP(J18,ETANCHEITE!Z$19:Z$164,ETANCHEITE!$E$19:$E$164),"")&amp;IFERROR(_xlfn.XLOOKUP(J18,ETANCHEITE!Z$19:Z$164,ETANCHEITE!$F$19:$F$164),"")</f>
        <v xml:space="preserve">   </v>
      </c>
      <c r="O18" s="168" t="str">
        <f>IFERROR(VLOOKUP(J18,ETANCHEITE!Z$19:AB$164,2,FALSE),"")&amp;" "&amp;IFERROR(VLOOKUP(J18,ETANCHEITE!Z$19:AB$164,3,FALSE),"")</f>
        <v xml:space="preserve"> </v>
      </c>
      <c r="P18" s="161" t="str">
        <f>IF(O18&lt;&gt;" ",'Feuille de Donnée'!$C$3,"")</f>
        <v/>
      </c>
      <c r="Q18" s="232" t="str" cm="1">
        <f t="array" aca="1" ref="Q18" ca="1">IFERROR(IF(_xlfn.XLOOKUP(J18,ETANCHEITE!Z$19:Z$89,ETANCHEITE!X$19:X$89,"")&lt;&gt;"",_xlfn.XLOOKUP(J18,ETANCHEITE!Z$19:Z$89,ETANCHEITE!X$19:X$89,""),    INDEX(ETANCHEITE!X:X,MAX(_xlfn._xlws.FILTER(ROW(ETANCHEITE!X$19:INDIRECT("'PEINTURE'!O" &amp; M18-1)),ETANCHEITE!X$19:INDIRECT("'PEINTURE'!O" &amp; M18-1)&lt;&gt;"")))),"")</f>
        <v/>
      </c>
      <c r="R18" s="233" t="str" cm="1">
        <f t="array" aca="1" ref="R18" ca="1">IFERROR(IF(_xlfn.XLOOKUP(J18,ETANCHEITE!Z$19:Z$89,ETANCHEITE!Y$19:Y$89,"")&lt;&gt;"",_xlfn.XLOOKUP(J18,ETANCHEITE!Z$19:Z$89,ETANCHEITE!Y$19:Y$89,""),    INDEX(ETANCHEITE!Y:Y,MAX(_xlfn._xlws.FILTER(ROW(ETANCHEITE!Y$19:INDIRECT("'PEINTURE'!P" &amp; M18-1)),ETANCHEITE!Y$19:INDIRECT("'PEINTURE'!P" &amp; M18-1)&lt;&gt;"")))),"")</f>
        <v/>
      </c>
      <c r="S18" s="158">
        <v>16</v>
      </c>
      <c r="T18" s="167" t="str">
        <f>IF(X18&lt;&gt;" ",ETANCHEITE!$D$5,"")</f>
        <v/>
      </c>
      <c r="U18" s="167" t="str">
        <f>IF(X18&lt;&gt;" ",ETANCHEITE!$D$8,"")</f>
        <v/>
      </c>
      <c r="V18" s="159" t="str">
        <f>IFERROR(MATCH(S18,ETANCHEITE!AI$19:AI$164,0)+18,"")</f>
        <v/>
      </c>
      <c r="W18" s="160" t="str" cm="1">
        <f t="array" aca="1" ref="W18" ca="1">IFERROR(IF(_xlfn.XLOOKUP(S18,ETANCHEITE!AI$19:AI$164,ETANCHEITE!$A$19:$A$164,"")&lt;&gt;"",_xlfn.XLOOKUP(S18,ETANCHEITE!AI$19:AI$164,ETANCHEITE!$A$19:$A$164,""),    INDEX(ETANCHEITE!$A:$A,MAX(_xlfn._xlws.FILTER(ROW(ETANCHEITE!$A$19:INDIRECT("'MENUISERIES EXTERIEURES'!$A" &amp; V18-1)),ETANCHEITE!$A$19:INDIRECT("'MENUISERIES EXTERIEURES'!$A" &amp; V18-1)&lt;&gt;"")))),"")&amp;"   "&amp;IFERROR(_xlfn.XLOOKUP(S18,ETANCHEITE!AI$19:AI$164,ETANCHEITE!$B$19:$B$164),"")&amp;IFERROR(_xlfn.XLOOKUP(S18,ETANCHEITE!AI$19:AI$164,ETANCHEITE!$C$19:$C$164),"")&amp;IFERROR(_xlfn.XLOOKUP(S18,ETANCHEITE!AI$19:AI$164,ETANCHEITE!$D$19:$D$164),"")&amp;IFERROR(_xlfn.XLOOKUP(S18,ETANCHEITE!AI$19:AI$164,ETANCHEITE!$E$19:$E$164),"")&amp;IFERROR(_xlfn.XLOOKUP(S18,ETANCHEITE!AI$19:AI$164,ETANCHEITE!$F$19:$F$164),"")</f>
        <v xml:space="preserve">   </v>
      </c>
      <c r="X18" s="168" t="str">
        <f>IFERROR(VLOOKUP(S18,ETANCHEITE!AI$19:AK$164,2,FALSE),"")&amp;" "&amp;IFERROR(VLOOKUP(S18,ETANCHEITE!AI$19:AK$164,3,FALSE),"")</f>
        <v xml:space="preserve"> </v>
      </c>
      <c r="Y18" s="161" t="str">
        <f>IF(X18&lt;&gt;" ",'Feuille de Donnée'!$C$3,"")</f>
        <v/>
      </c>
      <c r="Z18" s="232" t="str" cm="1">
        <f t="array" aca="1" ref="Z18" ca="1">IFERROR(IF(_xlfn.XLOOKUP(S18,ETANCHEITE!AI$19:AI$89,ETANCHEITE!AG$19:AG$89,"")&lt;&gt;"",_xlfn.XLOOKUP(S18,ETANCHEITE!AI$19:AI$89,ETANCHEITE!AG$19:AG$89,""),    INDEX(ETANCHEITE!AG:AG,MAX(_xlfn._xlws.FILTER(ROW(ETANCHEITE!AG$19:INDIRECT("'PEINTURE'!O" &amp; V18-1)),ETANCHEITE!AG$19:INDIRECT("'PEINTURE'!O" &amp; V18-1)&lt;&gt;"")))),"")</f>
        <v/>
      </c>
      <c r="AA18" s="233" t="str" cm="1">
        <f t="array" aca="1" ref="AA18" ca="1">IFERROR(IF(_xlfn.XLOOKUP(S18,ETANCHEITE!AI$19:AI$89,ETANCHEITE!AH$19:AH$89,"")&lt;&gt;"",_xlfn.XLOOKUP(S18,ETANCHEITE!AI$19:AI$89,ETANCHEITE!AH$19:AH$89,""),    INDEX(ETANCHEITE!AH:AH,MAX(_xlfn._xlws.FILTER(ROW(ETANCHEITE!AH$19:INDIRECT("'PEINTURE'!P" &amp; V18-1)),ETANCHEITE!AH$19:INDIRECT("'PEINTURE'!P" &amp; V18-1)&lt;&gt;"")))),"")</f>
        <v/>
      </c>
      <c r="AB18" s="158">
        <v>16</v>
      </c>
      <c r="AC18" s="167" t="str">
        <f>IF(AG18&lt;&gt;" ",ETANCHEITE!$D$5,"")</f>
        <v/>
      </c>
      <c r="AD18" s="167" t="str">
        <f>IF(AG18&lt;&gt;" ",ETANCHEITE!$D$8,"")</f>
        <v/>
      </c>
      <c r="AE18" s="159" t="str">
        <f>IFERROR(MATCH(AB18,ETANCHEITE!AR$19:AR$164,0)+18,"")</f>
        <v/>
      </c>
      <c r="AF18" s="160" t="str" cm="1">
        <f t="array" aca="1" ref="AF18" ca="1">IFERROR(IF(_xlfn.XLOOKUP(AB18,ETANCHEITE!AR$19:AR$164,ETANCHEITE!$A$19:$A$164,"")&lt;&gt;"",_xlfn.XLOOKUP(AB18,ETANCHEITE!AR$19:AR$164,ETANCHEITE!$A$19:$A$164,""),    INDEX(ETANCHEITE!$A:$A,MAX(_xlfn._xlws.FILTER(ROW(ETANCHEITE!$A$19:INDIRECT("'MENUISERIES EXTERIEURES'!$A" &amp; AE18-1)),ETANCHEITE!$A$19:INDIRECT("'MENUISERIES EXTERIEURES'!$A" &amp; AE18-1)&lt;&gt;"")))),"")&amp;"   "&amp;IFERROR(_xlfn.XLOOKUP(AB18,ETANCHEITE!AR$19:AR$164,ETANCHEITE!$B$19:$B$164),"")&amp;IFERROR(_xlfn.XLOOKUP(AB18,ETANCHEITE!AR$19:AR$164,ETANCHEITE!$C$19:$C$164),"")&amp;IFERROR(_xlfn.XLOOKUP(AB18,ETANCHEITE!AR$19:AR$164,ETANCHEITE!$D$19:$D$164),"")&amp;IFERROR(_xlfn.XLOOKUP(AB18,ETANCHEITE!AR$19:AR$164,ETANCHEITE!$E$19:$E$164),"")&amp;IFERROR(_xlfn.XLOOKUP(AB18,ETANCHEITE!AR$19:AR$164,ETANCHEITE!$F$19:$F$164),"")</f>
        <v xml:space="preserve">   </v>
      </c>
      <c r="AG18" s="168" t="str">
        <f>IFERROR(VLOOKUP(AB18,ETANCHEITE!AR$19:AT$164,2,FALSE),"")&amp;" "&amp;IFERROR(VLOOKUP(AB18,ETANCHEITE!AR$19:AT$164,3,FALSE),"")</f>
        <v xml:space="preserve"> </v>
      </c>
      <c r="AH18" s="161" t="str">
        <f>IF(AG18&lt;&gt;" ",'Feuille de Donnée'!$C$3,"")</f>
        <v/>
      </c>
      <c r="AI18" s="232" t="str" cm="1">
        <f t="array" aca="1" ref="AI18" ca="1">IFERROR(IF(_xlfn.XLOOKUP(AB18,ETANCHEITE!AR$19:AR$89,ETANCHEITE!AP$19:AP$89,"")&lt;&gt;"",_xlfn.XLOOKUP(AB18,ETANCHEITE!AR$19:AR$89,ETANCHEITE!AP$19:AP$89,""),    INDEX(ETANCHEITE!AP:AP,MAX(_xlfn._xlws.FILTER(ROW(ETANCHEITE!AP$19:INDIRECT("'PEINTURE'!O" &amp; AE18-1)),ETANCHEITE!AP$19:INDIRECT("'PEINTURE'!O" &amp; AE18-1)&lt;&gt;"")))),"")</f>
        <v/>
      </c>
      <c r="AJ18" s="233" t="str" cm="1">
        <f t="array" aca="1" ref="AJ18" ca="1">IFERROR(IF(_xlfn.XLOOKUP(AB18,ETANCHEITE!AR$19:AR$89,ETANCHEITE!AQ$19:AQ$89,"")&lt;&gt;"",_xlfn.XLOOKUP(AB18,ETANCHEITE!AR$19:AR$89,ETANCHEITE!AQ$19:AQ$89,""),    INDEX(ETANCHEITE!AQ:AQ,MAX(_xlfn._xlws.FILTER(ROW(ETANCHEITE!AQ$19:INDIRECT("'PEINTURE'!P" &amp; AE18-1)),ETANCHEITE!AQ$19:INDIRECT("'PEINTURE'!P" &amp; AE18-1)&lt;&gt;"")))),"")</f>
        <v/>
      </c>
      <c r="AK18" s="158">
        <v>16</v>
      </c>
      <c r="AL18" s="167" t="str">
        <f>IF(AP18&lt;&gt;" ",ETANCHEITE!$D$5,"")</f>
        <v/>
      </c>
      <c r="AM18" s="167" t="str">
        <f>IF(AP18&lt;&gt;" ",ETANCHEITE!$D$8,"")</f>
        <v/>
      </c>
      <c r="AN18" s="159" t="str">
        <f>IFERROR(MATCH(AK18,ETANCHEITE!BA$19:BA$164,0)+18,"")</f>
        <v/>
      </c>
      <c r="AO18" s="160" t="str" cm="1">
        <f t="array" aca="1" ref="AO18" ca="1">IFERROR(IF(_xlfn.XLOOKUP(AK18,ETANCHEITE!BA$19:BA$164,ETANCHEITE!$A$19:$A$164,"")&lt;&gt;"",_xlfn.XLOOKUP(AK18,ETANCHEITE!BA$19:BA$164,ETANCHEITE!$A$19:$A$164,""),    INDEX(ETANCHEITE!$A:$A,MAX(_xlfn._xlws.FILTER(ROW(ETANCHEITE!$A$19:INDIRECT("'MENUISERIES EXTERIEURES'!$A" &amp; AN18-1)),ETANCHEITE!$A$19:INDIRECT("'MENUISERIES EXTERIEURES'!$A" &amp; AN18-1)&lt;&gt;"")))),"")&amp;"   "&amp;IFERROR(_xlfn.XLOOKUP(AK18,ETANCHEITE!BA$19:BA$164,ETANCHEITE!$B$19:$B$164),"")&amp;IFERROR(_xlfn.XLOOKUP(AK18,ETANCHEITE!BA$19:BA$164,ETANCHEITE!$C$19:$C$164),"")&amp;IFERROR(_xlfn.XLOOKUP(AK18,ETANCHEITE!BA$19:BA$164,ETANCHEITE!$D$19:$D$164),"")&amp;IFERROR(_xlfn.XLOOKUP(AK18,ETANCHEITE!BA$19:BA$164,ETANCHEITE!$E$19:$E$164),"")&amp;IFERROR(_xlfn.XLOOKUP(AK18,ETANCHEITE!BA$19:BA$164,ETANCHEITE!$F$19:$F$164),"")</f>
        <v xml:space="preserve">   </v>
      </c>
      <c r="AP18" s="168" t="str">
        <f>IFERROR(VLOOKUP(AK18,ETANCHEITE!BA$19:BC$164,2,FALSE),"")&amp;" "&amp;IFERROR(VLOOKUP(AK18,ETANCHEITE!BA$19:BC$164,3,FALSE),"")</f>
        <v xml:space="preserve"> </v>
      </c>
      <c r="AQ18" s="161" t="str">
        <f>IF(AP18&lt;&gt;" ",'Feuille de Donnée'!$C$3,"")</f>
        <v/>
      </c>
      <c r="AR18" s="232" t="str" cm="1">
        <f t="array" aca="1" ref="AR18" ca="1">IFERROR(IF(_xlfn.XLOOKUP(AK18,ETANCHEITE!BA$19:BA$89,ETANCHEITE!AY$19:AY$89,"")&lt;&gt;"",_xlfn.XLOOKUP(AK18,ETANCHEITE!BA$19:BA$89,ETANCHEITE!AY$19:AY$89,""),    INDEX(ETANCHEITE!AY:AY,MAX(_xlfn._xlws.FILTER(ROW(ETANCHEITE!AY$19:INDIRECT("'PEINTURE'!O" &amp; AN18-1)),ETANCHEITE!AY$19:INDIRECT("'PEINTURE'!O" &amp; AN18-1)&lt;&gt;"")))),"")</f>
        <v/>
      </c>
      <c r="AS18" s="233" t="str" cm="1">
        <f t="array" aca="1" ref="AS18" ca="1">IFERROR(IF(_xlfn.XLOOKUP(AK18,ETANCHEITE!BA$19:BA$89,ETANCHEITE!AZ$19:AZ$89,"")&lt;&gt;"",_xlfn.XLOOKUP(AK18,ETANCHEITE!BA$19:BA$89,ETANCHEITE!AZ$19:AZ$89,""),    INDEX(ETANCHEITE!AZ:AZ,MAX(_xlfn._xlws.FILTER(ROW(ETANCHEITE!AZ$19:INDIRECT("'PEINTURE'!P" &amp; AN18-1)),ETANCHEITE!AZ$19:INDIRECT("'PEINTURE'!P" &amp; AN18-1)&lt;&gt;"")))),"")</f>
        <v/>
      </c>
      <c r="AT18" s="158">
        <v>16</v>
      </c>
      <c r="AU18" s="167" t="str">
        <f>IF(AY18&lt;&gt;" ",ETANCHEITE!$D$5,"")</f>
        <v/>
      </c>
      <c r="AV18" s="167" t="str">
        <f>IF(AY18&lt;&gt;" ",ETANCHEITE!$D$8,"")</f>
        <v/>
      </c>
      <c r="AW18" s="159" t="str">
        <f>IFERROR(MATCH(AT18,ETANCHEITE!BJ$19:BJ$164,0)+18,"")</f>
        <v/>
      </c>
      <c r="AX18" s="160" t="str" cm="1">
        <f t="array" aca="1" ref="AX18" ca="1">IFERROR(IF(_xlfn.XLOOKUP(AT18,ETANCHEITE!BJ$19:BJ$164,ETANCHEITE!$A$19:$A$164,"")&lt;&gt;"",_xlfn.XLOOKUP(AT18,ETANCHEITE!BJ$19:BJ$164,ETANCHEITE!$A$19:$A$164,""),    INDEX(ETANCHEITE!$A:$A,MAX(_xlfn._xlws.FILTER(ROW(ETANCHEITE!$A$19:INDIRECT("'MENUISERIES EXTERIEURES'!$A" &amp; AW18-1)),ETANCHEITE!$A$19:INDIRECT("'MENUISERIES EXTERIEURES'!$A" &amp; AW18-1)&lt;&gt;"")))),"")&amp;"   "&amp;IFERROR(_xlfn.XLOOKUP(AT18,ETANCHEITE!BJ$19:BJ$164,ETANCHEITE!$B$19:$B$164),"")&amp;IFERROR(_xlfn.XLOOKUP(AT18,ETANCHEITE!BJ$19:BJ$164,ETANCHEITE!$C$19:$C$164),"")&amp;IFERROR(_xlfn.XLOOKUP(AT18,ETANCHEITE!BJ$19:BJ$164,ETANCHEITE!$D$19:$D$164),"")&amp;IFERROR(_xlfn.XLOOKUP(AT18,ETANCHEITE!BJ$19:BJ$164,ETANCHEITE!$E$19:$E$164),"")&amp;IFERROR(_xlfn.XLOOKUP(AT18,ETANCHEITE!BJ$19:BJ$164,ETANCHEITE!$F$19:$F$164),"")</f>
        <v xml:space="preserve">   </v>
      </c>
      <c r="AY18" s="168" t="str">
        <f>IFERROR(VLOOKUP(AT18,ETANCHEITE!BJ$19:BL$164,2,FALSE),"")&amp;" "&amp;IFERROR(VLOOKUP(AT18,ETANCHEITE!BJ$19:BL$164,3,FALSE),"")</f>
        <v xml:space="preserve"> </v>
      </c>
      <c r="AZ18" s="161" t="str">
        <f>IF(AY18&lt;&gt;" ",'Feuille de Donnée'!$C$3,"")</f>
        <v/>
      </c>
      <c r="BA18" s="232" t="str" cm="1">
        <f t="array" aca="1" ref="BA18" ca="1">IFERROR(IF(_xlfn.XLOOKUP(AT18,ETANCHEITE!BJ$19:BJ$89,ETANCHEITE!BH$19:BH$89,"")&lt;&gt;"",_xlfn.XLOOKUP(AT18,ETANCHEITE!BJ$19:BJ$89,ETANCHEITE!BH$19:BH$89,""),    INDEX(ETANCHEITE!BH:BH,MAX(_xlfn._xlws.FILTER(ROW(ETANCHEITE!BH$19:INDIRECT("'PEINTURE'!O" &amp; AW18-1)),ETANCHEITE!BH$19:INDIRECT("'PEINTURE'!O" &amp; AW18-1)&lt;&gt;"")))),"")</f>
        <v/>
      </c>
      <c r="BB18" s="233" t="str" cm="1">
        <f t="array" aca="1" ref="BB18" ca="1">IFERROR(IF(_xlfn.XLOOKUP(AT18,ETANCHEITE!BJ$19:BJ$89,ETANCHEITE!BI$19:BI$89,"")&lt;&gt;"",_xlfn.XLOOKUP(AT18,ETANCHEITE!BJ$19:BJ$89,ETANCHEITE!BI$19:BI$89,""),    INDEX(ETANCHEITE!BI:BI,MAX(_xlfn._xlws.FILTER(ROW(ETANCHEITE!BI$19:INDIRECT("'PEINTURE'!P" &amp; AW18-1)),ETANCHEITE!BI$19:INDIRECT("'PEINTURE'!P" &amp; AW18-1)&lt;&gt;"")))),"")</f>
        <v/>
      </c>
    </row>
    <row r="19" spans="1:54" ht="15" customHeight="1" x14ac:dyDescent="0.3">
      <c r="A19" s="158">
        <v>17</v>
      </c>
      <c r="B19" s="167" t="str">
        <f>IF(F19&lt;&gt;" ",ETANCHEITE!$D$5,"")</f>
        <v/>
      </c>
      <c r="C19" s="167" t="str">
        <f>IF(F19&lt;&gt;" ",ETANCHEITE!$D$8,"")</f>
        <v/>
      </c>
      <c r="D19" s="159" t="str">
        <f>IFERROR(MATCH(A19,ETANCHEITE!Q$19:Q$164,0)+18,"")</f>
        <v/>
      </c>
      <c r="E19" s="160" t="str" cm="1">
        <f t="array" aca="1" ref="E19" ca="1">IFERROR(IF(_xlfn.XLOOKUP(A19,ETANCHEITE!Q$19:Q$164,ETANCHEITE!$A$19:$A$164,"")&lt;&gt;"",_xlfn.XLOOKUP(A19,ETANCHEITE!Q$19:Q$164,ETANCHEITE!$A$19:$A$164,""),    INDEX(ETANCHEITE!$A:$A,MAX(_xlfn._xlws.FILTER(ROW(ETANCHEITE!$A$19:INDIRECT("'MENUISERIES EXTERIEURES'!$A" &amp; D19-1)),ETANCHEITE!$A$19:INDIRECT("'MENUISERIES EXTERIEURES'!$A" &amp; D19-1)&lt;&gt;"")))),"")&amp;"   "&amp;IFERROR(_xlfn.XLOOKUP(A19,ETANCHEITE!Q$19:Q$164,ETANCHEITE!$B$19:$B$164),"")&amp;IFERROR(_xlfn.XLOOKUP(A19,ETANCHEITE!Q$19:Q$164,ETANCHEITE!$C$19:$C$164),"")&amp;IFERROR(_xlfn.XLOOKUP(A19,ETANCHEITE!Q$19:Q$164,ETANCHEITE!$D$19:$D$164),"")&amp;IFERROR(_xlfn.XLOOKUP(A19,ETANCHEITE!Q$19:Q$164,ETANCHEITE!$E$19:$E$164),"")&amp;IFERROR(_xlfn.XLOOKUP(A19,ETANCHEITE!Q$19:Q$164,ETANCHEITE!$F$19:$F$164),"")</f>
        <v xml:space="preserve">   </v>
      </c>
      <c r="F19" s="168" t="str">
        <f>IFERROR(VLOOKUP(A19,ETANCHEITE!Q$19:S$164,2,FALSE),"")&amp;" "&amp;IFERROR(VLOOKUP(A19,ETANCHEITE!Q$19:S$164,3,FALSE),"")</f>
        <v xml:space="preserve"> </v>
      </c>
      <c r="G19" s="161" t="str">
        <f>IF(F19&lt;&gt;" ",'Feuille de Donnée'!$C$3,"")</f>
        <v/>
      </c>
      <c r="H19" s="232" t="str" cm="1">
        <f t="array" aca="1" ref="H19" ca="1">IFERROR(IF(_xlfn.XLOOKUP(A19,ETANCHEITE!Q$19:Q$89,ETANCHEITE!O$19:O$89,"")&lt;&gt;"",_xlfn.XLOOKUP(A19,ETANCHEITE!Q$19:Q$89,ETANCHEITE!O$19:O$89,""),    INDEX(ETANCHEITE!O:O,MAX(_xlfn._xlws.FILTER(ROW(ETANCHEITE!O$19:INDIRECT("'PEINTURE'!O" &amp; D19-1)),ETANCHEITE!O$19:INDIRECT("'PEINTURE'!O" &amp; D19-1)&lt;&gt;"")))),"")</f>
        <v/>
      </c>
      <c r="I19" s="233" t="str" cm="1">
        <f t="array" aca="1" ref="I19" ca="1">IFERROR(IF(_xlfn.XLOOKUP(A19,ETANCHEITE!Q$19:Q$89,ETANCHEITE!P$19:P$89,"")&lt;&gt;"",_xlfn.XLOOKUP(A19,ETANCHEITE!Q$19:Q$89,ETANCHEITE!P$19:P$89,""),    INDEX(ETANCHEITE!P:P,MAX(_xlfn._xlws.FILTER(ROW(ETANCHEITE!P$19:INDIRECT("'PEINTURE'!P" &amp; D19-1)),ETANCHEITE!P$19:INDIRECT("'PEINTURE'!P" &amp; D19-1)&lt;&gt;"")))),"")</f>
        <v/>
      </c>
      <c r="J19" s="158">
        <v>17</v>
      </c>
      <c r="K19" s="167" t="str">
        <f>IF(O19&lt;&gt;" ",ETANCHEITE!$D$5,"")</f>
        <v/>
      </c>
      <c r="L19" s="167" t="str">
        <f>IF(O19&lt;&gt;" ",ETANCHEITE!$D$8,"")</f>
        <v/>
      </c>
      <c r="M19" s="159" t="str">
        <f>IFERROR(MATCH(J19,ETANCHEITE!Z$19:Z$164,0)+18,"")</f>
        <v/>
      </c>
      <c r="N19" s="160" t="str" cm="1">
        <f t="array" aca="1" ref="N19" ca="1">IFERROR(IF(_xlfn.XLOOKUP(J19,ETANCHEITE!Z$19:Z$164,ETANCHEITE!$A$19:$A$164,"")&lt;&gt;"",_xlfn.XLOOKUP(J19,ETANCHEITE!Z$19:Z$164,ETANCHEITE!$A$19:$A$164,""),    INDEX(ETANCHEITE!$A:$A,MAX(_xlfn._xlws.FILTER(ROW(ETANCHEITE!$A$19:INDIRECT("'MENUISERIES EXTERIEURES'!$A" &amp; M19-1)),ETANCHEITE!$A$19:INDIRECT("'MENUISERIES EXTERIEURES'!$A" &amp; M19-1)&lt;&gt;"")))),"")&amp;"   "&amp;IFERROR(_xlfn.XLOOKUP(J19,ETANCHEITE!Z$19:Z$164,ETANCHEITE!$B$19:$B$164),"")&amp;IFERROR(_xlfn.XLOOKUP(J19,ETANCHEITE!Z$19:Z$164,ETANCHEITE!$C$19:$C$164),"")&amp;IFERROR(_xlfn.XLOOKUP(J19,ETANCHEITE!Z$19:Z$164,ETANCHEITE!$D$19:$D$164),"")&amp;IFERROR(_xlfn.XLOOKUP(J19,ETANCHEITE!Z$19:Z$164,ETANCHEITE!$E$19:$E$164),"")&amp;IFERROR(_xlfn.XLOOKUP(J19,ETANCHEITE!Z$19:Z$164,ETANCHEITE!$F$19:$F$164),"")</f>
        <v xml:space="preserve">   </v>
      </c>
      <c r="O19" s="168" t="str">
        <f>IFERROR(VLOOKUP(J19,ETANCHEITE!Z$19:AB$164,2,FALSE),"")&amp;" "&amp;IFERROR(VLOOKUP(J19,ETANCHEITE!Z$19:AB$164,3,FALSE),"")</f>
        <v xml:space="preserve"> </v>
      </c>
      <c r="P19" s="161" t="str">
        <f>IF(O19&lt;&gt;" ",'Feuille de Donnée'!$C$3,"")</f>
        <v/>
      </c>
      <c r="Q19" s="232" t="str" cm="1">
        <f t="array" aca="1" ref="Q19" ca="1">IFERROR(IF(_xlfn.XLOOKUP(J19,ETANCHEITE!Z$19:Z$89,ETANCHEITE!X$19:X$89,"")&lt;&gt;"",_xlfn.XLOOKUP(J19,ETANCHEITE!Z$19:Z$89,ETANCHEITE!X$19:X$89,""),    INDEX(ETANCHEITE!X:X,MAX(_xlfn._xlws.FILTER(ROW(ETANCHEITE!X$19:INDIRECT("'PEINTURE'!O" &amp; M19-1)),ETANCHEITE!X$19:INDIRECT("'PEINTURE'!O" &amp; M19-1)&lt;&gt;"")))),"")</f>
        <v/>
      </c>
      <c r="R19" s="233" t="str" cm="1">
        <f t="array" aca="1" ref="R19" ca="1">IFERROR(IF(_xlfn.XLOOKUP(J19,ETANCHEITE!Z$19:Z$89,ETANCHEITE!Y$19:Y$89,"")&lt;&gt;"",_xlfn.XLOOKUP(J19,ETANCHEITE!Z$19:Z$89,ETANCHEITE!Y$19:Y$89,""),    INDEX(ETANCHEITE!Y:Y,MAX(_xlfn._xlws.FILTER(ROW(ETANCHEITE!Y$19:INDIRECT("'PEINTURE'!P" &amp; M19-1)),ETANCHEITE!Y$19:INDIRECT("'PEINTURE'!P" &amp; M19-1)&lt;&gt;"")))),"")</f>
        <v/>
      </c>
      <c r="S19" s="158">
        <v>17</v>
      </c>
      <c r="T19" s="167" t="str">
        <f>IF(X19&lt;&gt;" ",ETANCHEITE!$D$5,"")</f>
        <v/>
      </c>
      <c r="U19" s="167" t="str">
        <f>IF(X19&lt;&gt;" ",ETANCHEITE!$D$8,"")</f>
        <v/>
      </c>
      <c r="V19" s="159" t="str">
        <f>IFERROR(MATCH(S19,ETANCHEITE!AI$19:AI$164,0)+18,"")</f>
        <v/>
      </c>
      <c r="W19" s="160" t="str" cm="1">
        <f t="array" aca="1" ref="W19" ca="1">IFERROR(IF(_xlfn.XLOOKUP(S19,ETANCHEITE!AI$19:AI$164,ETANCHEITE!$A$19:$A$164,"")&lt;&gt;"",_xlfn.XLOOKUP(S19,ETANCHEITE!AI$19:AI$164,ETANCHEITE!$A$19:$A$164,""),    INDEX(ETANCHEITE!$A:$A,MAX(_xlfn._xlws.FILTER(ROW(ETANCHEITE!$A$19:INDIRECT("'MENUISERIES EXTERIEURES'!$A" &amp; V19-1)),ETANCHEITE!$A$19:INDIRECT("'MENUISERIES EXTERIEURES'!$A" &amp; V19-1)&lt;&gt;"")))),"")&amp;"   "&amp;IFERROR(_xlfn.XLOOKUP(S19,ETANCHEITE!AI$19:AI$164,ETANCHEITE!$B$19:$B$164),"")&amp;IFERROR(_xlfn.XLOOKUP(S19,ETANCHEITE!AI$19:AI$164,ETANCHEITE!$C$19:$C$164),"")&amp;IFERROR(_xlfn.XLOOKUP(S19,ETANCHEITE!AI$19:AI$164,ETANCHEITE!$D$19:$D$164),"")&amp;IFERROR(_xlfn.XLOOKUP(S19,ETANCHEITE!AI$19:AI$164,ETANCHEITE!$E$19:$E$164),"")&amp;IFERROR(_xlfn.XLOOKUP(S19,ETANCHEITE!AI$19:AI$164,ETANCHEITE!$F$19:$F$164),"")</f>
        <v xml:space="preserve">   </v>
      </c>
      <c r="X19" s="168" t="str">
        <f>IFERROR(VLOOKUP(S19,ETANCHEITE!AI$19:AK$164,2,FALSE),"")&amp;" "&amp;IFERROR(VLOOKUP(S19,ETANCHEITE!AI$19:AK$164,3,FALSE),"")</f>
        <v xml:space="preserve"> </v>
      </c>
      <c r="Y19" s="161" t="str">
        <f>IF(X19&lt;&gt;" ",'Feuille de Donnée'!$C$3,"")</f>
        <v/>
      </c>
      <c r="Z19" s="232" t="str" cm="1">
        <f t="array" aca="1" ref="Z19" ca="1">IFERROR(IF(_xlfn.XLOOKUP(S19,ETANCHEITE!AI$19:AI$89,ETANCHEITE!AG$19:AG$89,"")&lt;&gt;"",_xlfn.XLOOKUP(S19,ETANCHEITE!AI$19:AI$89,ETANCHEITE!AG$19:AG$89,""),    INDEX(ETANCHEITE!AG:AG,MAX(_xlfn._xlws.FILTER(ROW(ETANCHEITE!AG$19:INDIRECT("'PEINTURE'!O" &amp; V19-1)),ETANCHEITE!AG$19:INDIRECT("'PEINTURE'!O" &amp; V19-1)&lt;&gt;"")))),"")</f>
        <v/>
      </c>
      <c r="AA19" s="233" t="str" cm="1">
        <f t="array" aca="1" ref="AA19" ca="1">IFERROR(IF(_xlfn.XLOOKUP(S19,ETANCHEITE!AI$19:AI$89,ETANCHEITE!AH$19:AH$89,"")&lt;&gt;"",_xlfn.XLOOKUP(S19,ETANCHEITE!AI$19:AI$89,ETANCHEITE!AH$19:AH$89,""),    INDEX(ETANCHEITE!AH:AH,MAX(_xlfn._xlws.FILTER(ROW(ETANCHEITE!AH$19:INDIRECT("'PEINTURE'!P" &amp; V19-1)),ETANCHEITE!AH$19:INDIRECT("'PEINTURE'!P" &amp; V19-1)&lt;&gt;"")))),"")</f>
        <v/>
      </c>
      <c r="AB19" s="158">
        <v>17</v>
      </c>
      <c r="AC19" s="167" t="str">
        <f>IF(AG19&lt;&gt;" ",ETANCHEITE!$D$5,"")</f>
        <v/>
      </c>
      <c r="AD19" s="167" t="str">
        <f>IF(AG19&lt;&gt;" ",ETANCHEITE!$D$8,"")</f>
        <v/>
      </c>
      <c r="AE19" s="159" t="str">
        <f>IFERROR(MATCH(AB19,ETANCHEITE!AR$19:AR$164,0)+18,"")</f>
        <v/>
      </c>
      <c r="AF19" s="160" t="str" cm="1">
        <f t="array" aca="1" ref="AF19" ca="1">IFERROR(IF(_xlfn.XLOOKUP(AB19,ETANCHEITE!AR$19:AR$164,ETANCHEITE!$A$19:$A$164,"")&lt;&gt;"",_xlfn.XLOOKUP(AB19,ETANCHEITE!AR$19:AR$164,ETANCHEITE!$A$19:$A$164,""),    INDEX(ETANCHEITE!$A:$A,MAX(_xlfn._xlws.FILTER(ROW(ETANCHEITE!$A$19:INDIRECT("'MENUISERIES EXTERIEURES'!$A" &amp; AE19-1)),ETANCHEITE!$A$19:INDIRECT("'MENUISERIES EXTERIEURES'!$A" &amp; AE19-1)&lt;&gt;"")))),"")&amp;"   "&amp;IFERROR(_xlfn.XLOOKUP(AB19,ETANCHEITE!AR$19:AR$164,ETANCHEITE!$B$19:$B$164),"")&amp;IFERROR(_xlfn.XLOOKUP(AB19,ETANCHEITE!AR$19:AR$164,ETANCHEITE!$C$19:$C$164),"")&amp;IFERROR(_xlfn.XLOOKUP(AB19,ETANCHEITE!AR$19:AR$164,ETANCHEITE!$D$19:$D$164),"")&amp;IFERROR(_xlfn.XLOOKUP(AB19,ETANCHEITE!AR$19:AR$164,ETANCHEITE!$E$19:$E$164),"")&amp;IFERROR(_xlfn.XLOOKUP(AB19,ETANCHEITE!AR$19:AR$164,ETANCHEITE!$F$19:$F$164),"")</f>
        <v xml:space="preserve">   </v>
      </c>
      <c r="AG19" s="168" t="str">
        <f>IFERROR(VLOOKUP(AB19,ETANCHEITE!AR$19:AT$164,2,FALSE),"")&amp;" "&amp;IFERROR(VLOOKUP(AB19,ETANCHEITE!AR$19:AT$164,3,FALSE),"")</f>
        <v xml:space="preserve"> </v>
      </c>
      <c r="AH19" s="161" t="str">
        <f>IF(AG19&lt;&gt;" ",'Feuille de Donnée'!$C$3,"")</f>
        <v/>
      </c>
      <c r="AI19" s="232" t="str" cm="1">
        <f t="array" aca="1" ref="AI19" ca="1">IFERROR(IF(_xlfn.XLOOKUP(AB19,ETANCHEITE!AR$19:AR$89,ETANCHEITE!AP$19:AP$89,"")&lt;&gt;"",_xlfn.XLOOKUP(AB19,ETANCHEITE!AR$19:AR$89,ETANCHEITE!AP$19:AP$89,""),    INDEX(ETANCHEITE!AP:AP,MAX(_xlfn._xlws.FILTER(ROW(ETANCHEITE!AP$19:INDIRECT("'PEINTURE'!O" &amp; AE19-1)),ETANCHEITE!AP$19:INDIRECT("'PEINTURE'!O" &amp; AE19-1)&lt;&gt;"")))),"")</f>
        <v/>
      </c>
      <c r="AJ19" s="233" t="str" cm="1">
        <f t="array" aca="1" ref="AJ19" ca="1">IFERROR(IF(_xlfn.XLOOKUP(AB19,ETANCHEITE!AR$19:AR$89,ETANCHEITE!AQ$19:AQ$89,"")&lt;&gt;"",_xlfn.XLOOKUP(AB19,ETANCHEITE!AR$19:AR$89,ETANCHEITE!AQ$19:AQ$89,""),    INDEX(ETANCHEITE!AQ:AQ,MAX(_xlfn._xlws.FILTER(ROW(ETANCHEITE!AQ$19:INDIRECT("'PEINTURE'!P" &amp; AE19-1)),ETANCHEITE!AQ$19:INDIRECT("'PEINTURE'!P" &amp; AE19-1)&lt;&gt;"")))),"")</f>
        <v/>
      </c>
      <c r="AK19" s="158">
        <v>17</v>
      </c>
      <c r="AL19" s="167" t="str">
        <f>IF(AP19&lt;&gt;" ",ETANCHEITE!$D$5,"")</f>
        <v/>
      </c>
      <c r="AM19" s="167" t="str">
        <f>IF(AP19&lt;&gt;" ",ETANCHEITE!$D$8,"")</f>
        <v/>
      </c>
      <c r="AN19" s="159" t="str">
        <f>IFERROR(MATCH(AK19,ETANCHEITE!BA$19:BA$164,0)+18,"")</f>
        <v/>
      </c>
      <c r="AO19" s="160" t="str" cm="1">
        <f t="array" aca="1" ref="AO19" ca="1">IFERROR(IF(_xlfn.XLOOKUP(AK19,ETANCHEITE!BA$19:BA$164,ETANCHEITE!$A$19:$A$164,"")&lt;&gt;"",_xlfn.XLOOKUP(AK19,ETANCHEITE!BA$19:BA$164,ETANCHEITE!$A$19:$A$164,""),    INDEX(ETANCHEITE!$A:$A,MAX(_xlfn._xlws.FILTER(ROW(ETANCHEITE!$A$19:INDIRECT("'MENUISERIES EXTERIEURES'!$A" &amp; AN19-1)),ETANCHEITE!$A$19:INDIRECT("'MENUISERIES EXTERIEURES'!$A" &amp; AN19-1)&lt;&gt;"")))),"")&amp;"   "&amp;IFERROR(_xlfn.XLOOKUP(AK19,ETANCHEITE!BA$19:BA$164,ETANCHEITE!$B$19:$B$164),"")&amp;IFERROR(_xlfn.XLOOKUP(AK19,ETANCHEITE!BA$19:BA$164,ETANCHEITE!$C$19:$C$164),"")&amp;IFERROR(_xlfn.XLOOKUP(AK19,ETANCHEITE!BA$19:BA$164,ETANCHEITE!$D$19:$D$164),"")&amp;IFERROR(_xlfn.XLOOKUP(AK19,ETANCHEITE!BA$19:BA$164,ETANCHEITE!$E$19:$E$164),"")&amp;IFERROR(_xlfn.XLOOKUP(AK19,ETANCHEITE!BA$19:BA$164,ETANCHEITE!$F$19:$F$164),"")</f>
        <v xml:space="preserve">   </v>
      </c>
      <c r="AP19" s="168" t="str">
        <f>IFERROR(VLOOKUP(AK19,ETANCHEITE!BA$19:BC$164,2,FALSE),"")&amp;" "&amp;IFERROR(VLOOKUP(AK19,ETANCHEITE!BA$19:BC$164,3,FALSE),"")</f>
        <v xml:space="preserve"> </v>
      </c>
      <c r="AQ19" s="161" t="str">
        <f>IF(AP19&lt;&gt;" ",'Feuille de Donnée'!$C$3,"")</f>
        <v/>
      </c>
      <c r="AR19" s="232" t="str" cm="1">
        <f t="array" aca="1" ref="AR19" ca="1">IFERROR(IF(_xlfn.XLOOKUP(AK19,ETANCHEITE!BA$19:BA$89,ETANCHEITE!AY$19:AY$89,"")&lt;&gt;"",_xlfn.XLOOKUP(AK19,ETANCHEITE!BA$19:BA$89,ETANCHEITE!AY$19:AY$89,""),    INDEX(ETANCHEITE!AY:AY,MAX(_xlfn._xlws.FILTER(ROW(ETANCHEITE!AY$19:INDIRECT("'PEINTURE'!O" &amp; AN19-1)),ETANCHEITE!AY$19:INDIRECT("'PEINTURE'!O" &amp; AN19-1)&lt;&gt;"")))),"")</f>
        <v/>
      </c>
      <c r="AS19" s="233" t="str" cm="1">
        <f t="array" aca="1" ref="AS19" ca="1">IFERROR(IF(_xlfn.XLOOKUP(AK19,ETANCHEITE!BA$19:BA$89,ETANCHEITE!AZ$19:AZ$89,"")&lt;&gt;"",_xlfn.XLOOKUP(AK19,ETANCHEITE!BA$19:BA$89,ETANCHEITE!AZ$19:AZ$89,""),    INDEX(ETANCHEITE!AZ:AZ,MAX(_xlfn._xlws.FILTER(ROW(ETANCHEITE!AZ$19:INDIRECT("'PEINTURE'!P" &amp; AN19-1)),ETANCHEITE!AZ$19:INDIRECT("'PEINTURE'!P" &amp; AN19-1)&lt;&gt;"")))),"")</f>
        <v/>
      </c>
      <c r="AT19" s="158">
        <v>17</v>
      </c>
      <c r="AU19" s="167" t="str">
        <f>IF(AY19&lt;&gt;" ",ETANCHEITE!$D$5,"")</f>
        <v/>
      </c>
      <c r="AV19" s="167" t="str">
        <f>IF(AY19&lt;&gt;" ",ETANCHEITE!$D$8,"")</f>
        <v/>
      </c>
      <c r="AW19" s="159" t="str">
        <f>IFERROR(MATCH(AT19,ETANCHEITE!BJ$19:BJ$164,0)+18,"")</f>
        <v/>
      </c>
      <c r="AX19" s="160" t="str" cm="1">
        <f t="array" aca="1" ref="AX19" ca="1">IFERROR(IF(_xlfn.XLOOKUP(AT19,ETANCHEITE!BJ$19:BJ$164,ETANCHEITE!$A$19:$A$164,"")&lt;&gt;"",_xlfn.XLOOKUP(AT19,ETANCHEITE!BJ$19:BJ$164,ETANCHEITE!$A$19:$A$164,""),    INDEX(ETANCHEITE!$A:$A,MAX(_xlfn._xlws.FILTER(ROW(ETANCHEITE!$A$19:INDIRECT("'MENUISERIES EXTERIEURES'!$A" &amp; AW19-1)),ETANCHEITE!$A$19:INDIRECT("'MENUISERIES EXTERIEURES'!$A" &amp; AW19-1)&lt;&gt;"")))),"")&amp;"   "&amp;IFERROR(_xlfn.XLOOKUP(AT19,ETANCHEITE!BJ$19:BJ$164,ETANCHEITE!$B$19:$B$164),"")&amp;IFERROR(_xlfn.XLOOKUP(AT19,ETANCHEITE!BJ$19:BJ$164,ETANCHEITE!$C$19:$C$164),"")&amp;IFERROR(_xlfn.XLOOKUP(AT19,ETANCHEITE!BJ$19:BJ$164,ETANCHEITE!$D$19:$D$164),"")&amp;IFERROR(_xlfn.XLOOKUP(AT19,ETANCHEITE!BJ$19:BJ$164,ETANCHEITE!$E$19:$E$164),"")&amp;IFERROR(_xlfn.XLOOKUP(AT19,ETANCHEITE!BJ$19:BJ$164,ETANCHEITE!$F$19:$F$164),"")</f>
        <v xml:space="preserve">   </v>
      </c>
      <c r="AY19" s="168" t="str">
        <f>IFERROR(VLOOKUP(AT19,ETANCHEITE!BJ$19:BL$164,2,FALSE),"")&amp;" "&amp;IFERROR(VLOOKUP(AT19,ETANCHEITE!BJ$19:BL$164,3,FALSE),"")</f>
        <v xml:space="preserve"> </v>
      </c>
      <c r="AZ19" s="161" t="str">
        <f>IF(AY19&lt;&gt;" ",'Feuille de Donnée'!$C$3,"")</f>
        <v/>
      </c>
      <c r="BA19" s="232" t="str" cm="1">
        <f t="array" aca="1" ref="BA19" ca="1">IFERROR(IF(_xlfn.XLOOKUP(AT19,ETANCHEITE!BJ$19:BJ$89,ETANCHEITE!BH$19:BH$89,"")&lt;&gt;"",_xlfn.XLOOKUP(AT19,ETANCHEITE!BJ$19:BJ$89,ETANCHEITE!BH$19:BH$89,""),    INDEX(ETANCHEITE!BH:BH,MAX(_xlfn._xlws.FILTER(ROW(ETANCHEITE!BH$19:INDIRECT("'PEINTURE'!O" &amp; AW19-1)),ETANCHEITE!BH$19:INDIRECT("'PEINTURE'!O" &amp; AW19-1)&lt;&gt;"")))),"")</f>
        <v/>
      </c>
      <c r="BB19" s="233" t="str" cm="1">
        <f t="array" aca="1" ref="BB19" ca="1">IFERROR(IF(_xlfn.XLOOKUP(AT19,ETANCHEITE!BJ$19:BJ$89,ETANCHEITE!BI$19:BI$89,"")&lt;&gt;"",_xlfn.XLOOKUP(AT19,ETANCHEITE!BJ$19:BJ$89,ETANCHEITE!BI$19:BI$89,""),    INDEX(ETANCHEITE!BI:BI,MAX(_xlfn._xlws.FILTER(ROW(ETANCHEITE!BI$19:INDIRECT("'PEINTURE'!P" &amp; AW19-1)),ETANCHEITE!BI$19:INDIRECT("'PEINTURE'!P" &amp; AW19-1)&lt;&gt;"")))),"")</f>
        <v/>
      </c>
    </row>
    <row r="20" spans="1:54" ht="15" customHeight="1" x14ac:dyDescent="0.3">
      <c r="A20" s="158">
        <v>18</v>
      </c>
      <c r="B20" s="167" t="str">
        <f>IF(F20&lt;&gt;" ",ETANCHEITE!$D$5,"")</f>
        <v/>
      </c>
      <c r="C20" s="167" t="str">
        <f>IF(F20&lt;&gt;" ",ETANCHEITE!$D$8,"")</f>
        <v/>
      </c>
      <c r="D20" s="159" t="str">
        <f>IFERROR(MATCH(A20,ETANCHEITE!Q$19:Q$164,0)+18,"")</f>
        <v/>
      </c>
      <c r="E20" s="160" t="str" cm="1">
        <f t="array" aca="1" ref="E20" ca="1">IFERROR(IF(_xlfn.XLOOKUP(A20,ETANCHEITE!Q$19:Q$164,ETANCHEITE!$A$19:$A$164,"")&lt;&gt;"",_xlfn.XLOOKUP(A20,ETANCHEITE!Q$19:Q$164,ETANCHEITE!$A$19:$A$164,""),    INDEX(ETANCHEITE!$A:$A,MAX(_xlfn._xlws.FILTER(ROW(ETANCHEITE!$A$19:INDIRECT("'MENUISERIES EXTERIEURES'!$A" &amp; D20-1)),ETANCHEITE!$A$19:INDIRECT("'MENUISERIES EXTERIEURES'!$A" &amp; D20-1)&lt;&gt;"")))),"")&amp;"   "&amp;IFERROR(_xlfn.XLOOKUP(A20,ETANCHEITE!Q$19:Q$164,ETANCHEITE!$B$19:$B$164),"")&amp;IFERROR(_xlfn.XLOOKUP(A20,ETANCHEITE!Q$19:Q$164,ETANCHEITE!$C$19:$C$164),"")&amp;IFERROR(_xlfn.XLOOKUP(A20,ETANCHEITE!Q$19:Q$164,ETANCHEITE!$D$19:$D$164),"")&amp;IFERROR(_xlfn.XLOOKUP(A20,ETANCHEITE!Q$19:Q$164,ETANCHEITE!$E$19:$E$164),"")&amp;IFERROR(_xlfn.XLOOKUP(A20,ETANCHEITE!Q$19:Q$164,ETANCHEITE!$F$19:$F$164),"")</f>
        <v xml:space="preserve">   </v>
      </c>
      <c r="F20" s="168" t="str">
        <f>IFERROR(VLOOKUP(A20,ETANCHEITE!Q$19:S$164,2,FALSE),"")&amp;" "&amp;IFERROR(VLOOKUP(A20,ETANCHEITE!Q$19:S$164,3,FALSE),"")</f>
        <v xml:space="preserve"> </v>
      </c>
      <c r="G20" s="161" t="str">
        <f>IF(F20&lt;&gt;" ",'Feuille de Donnée'!$C$3,"")</f>
        <v/>
      </c>
      <c r="H20" s="232" t="str" cm="1">
        <f t="array" aca="1" ref="H20" ca="1">IFERROR(IF(_xlfn.XLOOKUP(A20,ETANCHEITE!Q$19:Q$89,ETANCHEITE!O$19:O$89,"")&lt;&gt;"",_xlfn.XLOOKUP(A20,ETANCHEITE!Q$19:Q$89,ETANCHEITE!O$19:O$89,""),    INDEX(ETANCHEITE!O:O,MAX(_xlfn._xlws.FILTER(ROW(ETANCHEITE!O$19:INDIRECT("'PEINTURE'!O" &amp; D20-1)),ETANCHEITE!O$19:INDIRECT("'PEINTURE'!O" &amp; D20-1)&lt;&gt;"")))),"")</f>
        <v/>
      </c>
      <c r="I20" s="233" t="str" cm="1">
        <f t="array" aca="1" ref="I20" ca="1">IFERROR(IF(_xlfn.XLOOKUP(A20,ETANCHEITE!Q$19:Q$89,ETANCHEITE!P$19:P$89,"")&lt;&gt;"",_xlfn.XLOOKUP(A20,ETANCHEITE!Q$19:Q$89,ETANCHEITE!P$19:P$89,""),    INDEX(ETANCHEITE!P:P,MAX(_xlfn._xlws.FILTER(ROW(ETANCHEITE!P$19:INDIRECT("'PEINTURE'!P" &amp; D20-1)),ETANCHEITE!P$19:INDIRECT("'PEINTURE'!P" &amp; D20-1)&lt;&gt;"")))),"")</f>
        <v/>
      </c>
      <c r="J20" s="158">
        <v>18</v>
      </c>
      <c r="K20" s="167" t="str">
        <f>IF(O20&lt;&gt;" ",ETANCHEITE!$D$5,"")</f>
        <v/>
      </c>
      <c r="L20" s="167" t="str">
        <f>IF(O20&lt;&gt;" ",ETANCHEITE!$D$8,"")</f>
        <v/>
      </c>
      <c r="M20" s="159" t="str">
        <f>IFERROR(MATCH(J20,ETANCHEITE!Z$19:Z$164,0)+18,"")</f>
        <v/>
      </c>
      <c r="N20" s="160" t="str" cm="1">
        <f t="array" aca="1" ref="N20" ca="1">IFERROR(IF(_xlfn.XLOOKUP(J20,ETANCHEITE!Z$19:Z$164,ETANCHEITE!$A$19:$A$164,"")&lt;&gt;"",_xlfn.XLOOKUP(J20,ETANCHEITE!Z$19:Z$164,ETANCHEITE!$A$19:$A$164,""),    INDEX(ETANCHEITE!$A:$A,MAX(_xlfn._xlws.FILTER(ROW(ETANCHEITE!$A$19:INDIRECT("'MENUISERIES EXTERIEURES'!$A" &amp; M20-1)),ETANCHEITE!$A$19:INDIRECT("'MENUISERIES EXTERIEURES'!$A" &amp; M20-1)&lt;&gt;"")))),"")&amp;"   "&amp;IFERROR(_xlfn.XLOOKUP(J20,ETANCHEITE!Z$19:Z$164,ETANCHEITE!$B$19:$B$164),"")&amp;IFERROR(_xlfn.XLOOKUP(J20,ETANCHEITE!Z$19:Z$164,ETANCHEITE!$C$19:$C$164),"")&amp;IFERROR(_xlfn.XLOOKUP(J20,ETANCHEITE!Z$19:Z$164,ETANCHEITE!$D$19:$D$164),"")&amp;IFERROR(_xlfn.XLOOKUP(J20,ETANCHEITE!Z$19:Z$164,ETANCHEITE!$E$19:$E$164),"")&amp;IFERROR(_xlfn.XLOOKUP(J20,ETANCHEITE!Z$19:Z$164,ETANCHEITE!$F$19:$F$164),"")</f>
        <v xml:space="preserve">   </v>
      </c>
      <c r="O20" s="168" t="str">
        <f>IFERROR(VLOOKUP(J20,ETANCHEITE!Z$19:AB$164,2,FALSE),"")&amp;" "&amp;IFERROR(VLOOKUP(J20,ETANCHEITE!Z$19:AB$164,3,FALSE),"")</f>
        <v xml:space="preserve"> </v>
      </c>
      <c r="P20" s="161" t="str">
        <f>IF(O20&lt;&gt;" ",'Feuille de Donnée'!$C$3,"")</f>
        <v/>
      </c>
      <c r="Q20" s="232" t="str" cm="1">
        <f t="array" aca="1" ref="Q20" ca="1">IFERROR(IF(_xlfn.XLOOKUP(J20,ETANCHEITE!Z$19:Z$89,ETANCHEITE!X$19:X$89,"")&lt;&gt;"",_xlfn.XLOOKUP(J20,ETANCHEITE!Z$19:Z$89,ETANCHEITE!X$19:X$89,""),    INDEX(ETANCHEITE!X:X,MAX(_xlfn._xlws.FILTER(ROW(ETANCHEITE!X$19:INDIRECT("'PEINTURE'!O" &amp; M20-1)),ETANCHEITE!X$19:INDIRECT("'PEINTURE'!O" &amp; M20-1)&lt;&gt;"")))),"")</f>
        <v/>
      </c>
      <c r="R20" s="233" t="str" cm="1">
        <f t="array" aca="1" ref="R20" ca="1">IFERROR(IF(_xlfn.XLOOKUP(J20,ETANCHEITE!Z$19:Z$89,ETANCHEITE!Y$19:Y$89,"")&lt;&gt;"",_xlfn.XLOOKUP(J20,ETANCHEITE!Z$19:Z$89,ETANCHEITE!Y$19:Y$89,""),    INDEX(ETANCHEITE!Y:Y,MAX(_xlfn._xlws.FILTER(ROW(ETANCHEITE!Y$19:INDIRECT("'PEINTURE'!P" &amp; M20-1)),ETANCHEITE!Y$19:INDIRECT("'PEINTURE'!P" &amp; M20-1)&lt;&gt;"")))),"")</f>
        <v/>
      </c>
      <c r="S20" s="158">
        <v>18</v>
      </c>
      <c r="T20" s="167" t="str">
        <f>IF(X20&lt;&gt;" ",ETANCHEITE!$D$5,"")</f>
        <v/>
      </c>
      <c r="U20" s="167" t="str">
        <f>IF(X20&lt;&gt;" ",ETANCHEITE!$D$8,"")</f>
        <v/>
      </c>
      <c r="V20" s="159" t="str">
        <f>IFERROR(MATCH(S20,ETANCHEITE!AI$19:AI$164,0)+18,"")</f>
        <v/>
      </c>
      <c r="W20" s="160" t="str" cm="1">
        <f t="array" aca="1" ref="W20" ca="1">IFERROR(IF(_xlfn.XLOOKUP(S20,ETANCHEITE!AI$19:AI$164,ETANCHEITE!$A$19:$A$164,"")&lt;&gt;"",_xlfn.XLOOKUP(S20,ETANCHEITE!AI$19:AI$164,ETANCHEITE!$A$19:$A$164,""),    INDEX(ETANCHEITE!$A:$A,MAX(_xlfn._xlws.FILTER(ROW(ETANCHEITE!$A$19:INDIRECT("'MENUISERIES EXTERIEURES'!$A" &amp; V20-1)),ETANCHEITE!$A$19:INDIRECT("'MENUISERIES EXTERIEURES'!$A" &amp; V20-1)&lt;&gt;"")))),"")&amp;"   "&amp;IFERROR(_xlfn.XLOOKUP(S20,ETANCHEITE!AI$19:AI$164,ETANCHEITE!$B$19:$B$164),"")&amp;IFERROR(_xlfn.XLOOKUP(S20,ETANCHEITE!AI$19:AI$164,ETANCHEITE!$C$19:$C$164),"")&amp;IFERROR(_xlfn.XLOOKUP(S20,ETANCHEITE!AI$19:AI$164,ETANCHEITE!$D$19:$D$164),"")&amp;IFERROR(_xlfn.XLOOKUP(S20,ETANCHEITE!AI$19:AI$164,ETANCHEITE!$E$19:$E$164),"")&amp;IFERROR(_xlfn.XLOOKUP(S20,ETANCHEITE!AI$19:AI$164,ETANCHEITE!$F$19:$F$164),"")</f>
        <v xml:space="preserve">   </v>
      </c>
      <c r="X20" s="168" t="str">
        <f>IFERROR(VLOOKUP(S20,ETANCHEITE!AI$19:AK$164,2,FALSE),"")&amp;" "&amp;IFERROR(VLOOKUP(S20,ETANCHEITE!AI$19:AK$164,3,FALSE),"")</f>
        <v xml:space="preserve"> </v>
      </c>
      <c r="Y20" s="161" t="str">
        <f>IF(X20&lt;&gt;" ",'Feuille de Donnée'!$C$3,"")</f>
        <v/>
      </c>
      <c r="Z20" s="232" t="str" cm="1">
        <f t="array" aca="1" ref="Z20" ca="1">IFERROR(IF(_xlfn.XLOOKUP(S20,ETANCHEITE!AI$19:AI$89,ETANCHEITE!AG$19:AG$89,"")&lt;&gt;"",_xlfn.XLOOKUP(S20,ETANCHEITE!AI$19:AI$89,ETANCHEITE!AG$19:AG$89,""),    INDEX(ETANCHEITE!AG:AG,MAX(_xlfn._xlws.FILTER(ROW(ETANCHEITE!AG$19:INDIRECT("'PEINTURE'!O" &amp; V20-1)),ETANCHEITE!AG$19:INDIRECT("'PEINTURE'!O" &amp; V20-1)&lt;&gt;"")))),"")</f>
        <v/>
      </c>
      <c r="AA20" s="233" t="str" cm="1">
        <f t="array" aca="1" ref="AA20" ca="1">IFERROR(IF(_xlfn.XLOOKUP(S20,ETANCHEITE!AI$19:AI$89,ETANCHEITE!AH$19:AH$89,"")&lt;&gt;"",_xlfn.XLOOKUP(S20,ETANCHEITE!AI$19:AI$89,ETANCHEITE!AH$19:AH$89,""),    INDEX(ETANCHEITE!AH:AH,MAX(_xlfn._xlws.FILTER(ROW(ETANCHEITE!AH$19:INDIRECT("'PEINTURE'!P" &amp; V20-1)),ETANCHEITE!AH$19:INDIRECT("'PEINTURE'!P" &amp; V20-1)&lt;&gt;"")))),"")</f>
        <v/>
      </c>
      <c r="AB20" s="158">
        <v>18</v>
      </c>
      <c r="AC20" s="167" t="str">
        <f>IF(AG20&lt;&gt;" ",ETANCHEITE!$D$5,"")</f>
        <v/>
      </c>
      <c r="AD20" s="167" t="str">
        <f>IF(AG20&lt;&gt;" ",ETANCHEITE!$D$8,"")</f>
        <v/>
      </c>
      <c r="AE20" s="159" t="str">
        <f>IFERROR(MATCH(AB20,ETANCHEITE!AR$19:AR$164,0)+18,"")</f>
        <v/>
      </c>
      <c r="AF20" s="160" t="str" cm="1">
        <f t="array" aca="1" ref="AF20" ca="1">IFERROR(IF(_xlfn.XLOOKUP(AB20,ETANCHEITE!AR$19:AR$164,ETANCHEITE!$A$19:$A$164,"")&lt;&gt;"",_xlfn.XLOOKUP(AB20,ETANCHEITE!AR$19:AR$164,ETANCHEITE!$A$19:$A$164,""),    INDEX(ETANCHEITE!$A:$A,MAX(_xlfn._xlws.FILTER(ROW(ETANCHEITE!$A$19:INDIRECT("'MENUISERIES EXTERIEURES'!$A" &amp; AE20-1)),ETANCHEITE!$A$19:INDIRECT("'MENUISERIES EXTERIEURES'!$A" &amp; AE20-1)&lt;&gt;"")))),"")&amp;"   "&amp;IFERROR(_xlfn.XLOOKUP(AB20,ETANCHEITE!AR$19:AR$164,ETANCHEITE!$B$19:$B$164),"")&amp;IFERROR(_xlfn.XLOOKUP(AB20,ETANCHEITE!AR$19:AR$164,ETANCHEITE!$C$19:$C$164),"")&amp;IFERROR(_xlfn.XLOOKUP(AB20,ETANCHEITE!AR$19:AR$164,ETANCHEITE!$D$19:$D$164),"")&amp;IFERROR(_xlfn.XLOOKUP(AB20,ETANCHEITE!AR$19:AR$164,ETANCHEITE!$E$19:$E$164),"")&amp;IFERROR(_xlfn.XLOOKUP(AB20,ETANCHEITE!AR$19:AR$164,ETANCHEITE!$F$19:$F$164),"")</f>
        <v xml:space="preserve">   </v>
      </c>
      <c r="AG20" s="168" t="str">
        <f>IFERROR(VLOOKUP(AB20,ETANCHEITE!AR$19:AT$164,2,FALSE),"")&amp;" "&amp;IFERROR(VLOOKUP(AB20,ETANCHEITE!AR$19:AT$164,3,FALSE),"")</f>
        <v xml:space="preserve"> </v>
      </c>
      <c r="AH20" s="161" t="str">
        <f>IF(AG20&lt;&gt;" ",'Feuille de Donnée'!$C$3,"")</f>
        <v/>
      </c>
      <c r="AI20" s="232" t="str" cm="1">
        <f t="array" aca="1" ref="AI20" ca="1">IFERROR(IF(_xlfn.XLOOKUP(AB20,ETANCHEITE!AR$19:AR$89,ETANCHEITE!AP$19:AP$89,"")&lt;&gt;"",_xlfn.XLOOKUP(AB20,ETANCHEITE!AR$19:AR$89,ETANCHEITE!AP$19:AP$89,""),    INDEX(ETANCHEITE!AP:AP,MAX(_xlfn._xlws.FILTER(ROW(ETANCHEITE!AP$19:INDIRECT("'PEINTURE'!O" &amp; AE20-1)),ETANCHEITE!AP$19:INDIRECT("'PEINTURE'!O" &amp; AE20-1)&lt;&gt;"")))),"")</f>
        <v/>
      </c>
      <c r="AJ20" s="233" t="str" cm="1">
        <f t="array" aca="1" ref="AJ20" ca="1">IFERROR(IF(_xlfn.XLOOKUP(AB20,ETANCHEITE!AR$19:AR$89,ETANCHEITE!AQ$19:AQ$89,"")&lt;&gt;"",_xlfn.XLOOKUP(AB20,ETANCHEITE!AR$19:AR$89,ETANCHEITE!AQ$19:AQ$89,""),    INDEX(ETANCHEITE!AQ:AQ,MAX(_xlfn._xlws.FILTER(ROW(ETANCHEITE!AQ$19:INDIRECT("'PEINTURE'!P" &amp; AE20-1)),ETANCHEITE!AQ$19:INDIRECT("'PEINTURE'!P" &amp; AE20-1)&lt;&gt;"")))),"")</f>
        <v/>
      </c>
      <c r="AK20" s="158">
        <v>18</v>
      </c>
      <c r="AL20" s="167" t="str">
        <f>IF(AP20&lt;&gt;" ",ETANCHEITE!$D$5,"")</f>
        <v/>
      </c>
      <c r="AM20" s="167" t="str">
        <f>IF(AP20&lt;&gt;" ",ETANCHEITE!$D$8,"")</f>
        <v/>
      </c>
      <c r="AN20" s="159" t="str">
        <f>IFERROR(MATCH(AK20,ETANCHEITE!BA$19:BA$164,0)+18,"")</f>
        <v/>
      </c>
      <c r="AO20" s="160" t="str" cm="1">
        <f t="array" aca="1" ref="AO20" ca="1">IFERROR(IF(_xlfn.XLOOKUP(AK20,ETANCHEITE!BA$19:BA$164,ETANCHEITE!$A$19:$A$164,"")&lt;&gt;"",_xlfn.XLOOKUP(AK20,ETANCHEITE!BA$19:BA$164,ETANCHEITE!$A$19:$A$164,""),    INDEX(ETANCHEITE!$A:$A,MAX(_xlfn._xlws.FILTER(ROW(ETANCHEITE!$A$19:INDIRECT("'MENUISERIES EXTERIEURES'!$A" &amp; AN20-1)),ETANCHEITE!$A$19:INDIRECT("'MENUISERIES EXTERIEURES'!$A" &amp; AN20-1)&lt;&gt;"")))),"")&amp;"   "&amp;IFERROR(_xlfn.XLOOKUP(AK20,ETANCHEITE!BA$19:BA$164,ETANCHEITE!$B$19:$B$164),"")&amp;IFERROR(_xlfn.XLOOKUP(AK20,ETANCHEITE!BA$19:BA$164,ETANCHEITE!$C$19:$C$164),"")&amp;IFERROR(_xlfn.XLOOKUP(AK20,ETANCHEITE!BA$19:BA$164,ETANCHEITE!$D$19:$D$164),"")&amp;IFERROR(_xlfn.XLOOKUP(AK20,ETANCHEITE!BA$19:BA$164,ETANCHEITE!$E$19:$E$164),"")&amp;IFERROR(_xlfn.XLOOKUP(AK20,ETANCHEITE!BA$19:BA$164,ETANCHEITE!$F$19:$F$164),"")</f>
        <v xml:space="preserve">   </v>
      </c>
      <c r="AP20" s="168" t="str">
        <f>IFERROR(VLOOKUP(AK20,ETANCHEITE!BA$19:BC$164,2,FALSE),"")&amp;" "&amp;IFERROR(VLOOKUP(AK20,ETANCHEITE!BA$19:BC$164,3,FALSE),"")</f>
        <v xml:space="preserve"> </v>
      </c>
      <c r="AQ20" s="161" t="str">
        <f>IF(AP20&lt;&gt;" ",'Feuille de Donnée'!$C$3,"")</f>
        <v/>
      </c>
      <c r="AR20" s="232" t="str" cm="1">
        <f t="array" aca="1" ref="AR20" ca="1">IFERROR(IF(_xlfn.XLOOKUP(AK20,ETANCHEITE!BA$19:BA$89,ETANCHEITE!AY$19:AY$89,"")&lt;&gt;"",_xlfn.XLOOKUP(AK20,ETANCHEITE!BA$19:BA$89,ETANCHEITE!AY$19:AY$89,""),    INDEX(ETANCHEITE!AY:AY,MAX(_xlfn._xlws.FILTER(ROW(ETANCHEITE!AY$19:INDIRECT("'PEINTURE'!O" &amp; AN20-1)),ETANCHEITE!AY$19:INDIRECT("'PEINTURE'!O" &amp; AN20-1)&lt;&gt;"")))),"")</f>
        <v/>
      </c>
      <c r="AS20" s="233" t="str" cm="1">
        <f t="array" aca="1" ref="AS20" ca="1">IFERROR(IF(_xlfn.XLOOKUP(AK20,ETANCHEITE!BA$19:BA$89,ETANCHEITE!AZ$19:AZ$89,"")&lt;&gt;"",_xlfn.XLOOKUP(AK20,ETANCHEITE!BA$19:BA$89,ETANCHEITE!AZ$19:AZ$89,""),    INDEX(ETANCHEITE!AZ:AZ,MAX(_xlfn._xlws.FILTER(ROW(ETANCHEITE!AZ$19:INDIRECT("'PEINTURE'!P" &amp; AN20-1)),ETANCHEITE!AZ$19:INDIRECT("'PEINTURE'!P" &amp; AN20-1)&lt;&gt;"")))),"")</f>
        <v/>
      </c>
      <c r="AT20" s="158">
        <v>18</v>
      </c>
      <c r="AU20" s="167" t="str">
        <f>IF(AY20&lt;&gt;" ",ETANCHEITE!$D$5,"")</f>
        <v/>
      </c>
      <c r="AV20" s="167" t="str">
        <f>IF(AY20&lt;&gt;" ",ETANCHEITE!$D$8,"")</f>
        <v/>
      </c>
      <c r="AW20" s="159" t="str">
        <f>IFERROR(MATCH(AT20,ETANCHEITE!BJ$19:BJ$164,0)+18,"")</f>
        <v/>
      </c>
      <c r="AX20" s="160" t="str" cm="1">
        <f t="array" aca="1" ref="AX20" ca="1">IFERROR(IF(_xlfn.XLOOKUP(AT20,ETANCHEITE!BJ$19:BJ$164,ETANCHEITE!$A$19:$A$164,"")&lt;&gt;"",_xlfn.XLOOKUP(AT20,ETANCHEITE!BJ$19:BJ$164,ETANCHEITE!$A$19:$A$164,""),    INDEX(ETANCHEITE!$A:$A,MAX(_xlfn._xlws.FILTER(ROW(ETANCHEITE!$A$19:INDIRECT("'MENUISERIES EXTERIEURES'!$A" &amp; AW20-1)),ETANCHEITE!$A$19:INDIRECT("'MENUISERIES EXTERIEURES'!$A" &amp; AW20-1)&lt;&gt;"")))),"")&amp;"   "&amp;IFERROR(_xlfn.XLOOKUP(AT20,ETANCHEITE!BJ$19:BJ$164,ETANCHEITE!$B$19:$B$164),"")&amp;IFERROR(_xlfn.XLOOKUP(AT20,ETANCHEITE!BJ$19:BJ$164,ETANCHEITE!$C$19:$C$164),"")&amp;IFERROR(_xlfn.XLOOKUP(AT20,ETANCHEITE!BJ$19:BJ$164,ETANCHEITE!$D$19:$D$164),"")&amp;IFERROR(_xlfn.XLOOKUP(AT20,ETANCHEITE!BJ$19:BJ$164,ETANCHEITE!$E$19:$E$164),"")&amp;IFERROR(_xlfn.XLOOKUP(AT20,ETANCHEITE!BJ$19:BJ$164,ETANCHEITE!$F$19:$F$164),"")</f>
        <v xml:space="preserve">   </v>
      </c>
      <c r="AY20" s="168" t="str">
        <f>IFERROR(VLOOKUP(AT20,ETANCHEITE!BJ$19:BL$164,2,FALSE),"")&amp;" "&amp;IFERROR(VLOOKUP(AT20,ETANCHEITE!BJ$19:BL$164,3,FALSE),"")</f>
        <v xml:space="preserve"> </v>
      </c>
      <c r="AZ20" s="161" t="str">
        <f>IF(AY20&lt;&gt;" ",'Feuille de Donnée'!$C$3,"")</f>
        <v/>
      </c>
      <c r="BA20" s="232" t="str" cm="1">
        <f t="array" aca="1" ref="BA20" ca="1">IFERROR(IF(_xlfn.XLOOKUP(AT20,ETANCHEITE!BJ$19:BJ$89,ETANCHEITE!BH$19:BH$89,"")&lt;&gt;"",_xlfn.XLOOKUP(AT20,ETANCHEITE!BJ$19:BJ$89,ETANCHEITE!BH$19:BH$89,""),    INDEX(ETANCHEITE!BH:BH,MAX(_xlfn._xlws.FILTER(ROW(ETANCHEITE!BH$19:INDIRECT("'PEINTURE'!O" &amp; AW20-1)),ETANCHEITE!BH$19:INDIRECT("'PEINTURE'!O" &amp; AW20-1)&lt;&gt;"")))),"")</f>
        <v/>
      </c>
      <c r="BB20" s="233" t="str" cm="1">
        <f t="array" aca="1" ref="BB20" ca="1">IFERROR(IF(_xlfn.XLOOKUP(AT20,ETANCHEITE!BJ$19:BJ$89,ETANCHEITE!BI$19:BI$89,"")&lt;&gt;"",_xlfn.XLOOKUP(AT20,ETANCHEITE!BJ$19:BJ$89,ETANCHEITE!BI$19:BI$89,""),    INDEX(ETANCHEITE!BI:BI,MAX(_xlfn._xlws.FILTER(ROW(ETANCHEITE!BI$19:INDIRECT("'PEINTURE'!P" &amp; AW20-1)),ETANCHEITE!BI$19:INDIRECT("'PEINTURE'!P" &amp; AW20-1)&lt;&gt;"")))),"")</f>
        <v/>
      </c>
    </row>
    <row r="21" spans="1:54" ht="15" customHeight="1" x14ac:dyDescent="0.3">
      <c r="A21" s="158">
        <v>19</v>
      </c>
      <c r="B21" s="167" t="str">
        <f>IF(F21&lt;&gt;" ",ETANCHEITE!$D$5,"")</f>
        <v/>
      </c>
      <c r="C21" s="167" t="str">
        <f>IF(F21&lt;&gt;" ",ETANCHEITE!$D$8,"")</f>
        <v/>
      </c>
      <c r="D21" s="159" t="str">
        <f>IFERROR(MATCH(A21,ETANCHEITE!Q$19:Q$164,0)+18,"")</f>
        <v/>
      </c>
      <c r="E21" s="160" t="str" cm="1">
        <f t="array" aca="1" ref="E21" ca="1">IFERROR(IF(_xlfn.XLOOKUP(A21,ETANCHEITE!Q$19:Q$164,ETANCHEITE!$A$19:$A$164,"")&lt;&gt;"",_xlfn.XLOOKUP(A21,ETANCHEITE!Q$19:Q$164,ETANCHEITE!$A$19:$A$164,""),    INDEX(ETANCHEITE!$A:$A,MAX(_xlfn._xlws.FILTER(ROW(ETANCHEITE!$A$19:INDIRECT("'MENUISERIES EXTERIEURES'!$A" &amp; D21-1)),ETANCHEITE!$A$19:INDIRECT("'MENUISERIES EXTERIEURES'!$A" &amp; D21-1)&lt;&gt;"")))),"")&amp;"   "&amp;IFERROR(_xlfn.XLOOKUP(A21,ETANCHEITE!Q$19:Q$164,ETANCHEITE!$B$19:$B$164),"")&amp;IFERROR(_xlfn.XLOOKUP(A21,ETANCHEITE!Q$19:Q$164,ETANCHEITE!$C$19:$C$164),"")&amp;IFERROR(_xlfn.XLOOKUP(A21,ETANCHEITE!Q$19:Q$164,ETANCHEITE!$D$19:$D$164),"")&amp;IFERROR(_xlfn.XLOOKUP(A21,ETANCHEITE!Q$19:Q$164,ETANCHEITE!$E$19:$E$164),"")&amp;IFERROR(_xlfn.XLOOKUP(A21,ETANCHEITE!Q$19:Q$164,ETANCHEITE!$F$19:$F$164),"")</f>
        <v xml:space="preserve">   </v>
      </c>
      <c r="F21" s="168" t="str">
        <f>IFERROR(VLOOKUP(A21,ETANCHEITE!Q$19:S$164,2,FALSE),"")&amp;" "&amp;IFERROR(VLOOKUP(A21,ETANCHEITE!Q$19:S$164,3,FALSE),"")</f>
        <v xml:space="preserve"> </v>
      </c>
      <c r="G21" s="161" t="str">
        <f>IF(F21&lt;&gt;" ",'Feuille de Donnée'!$C$3,"")</f>
        <v/>
      </c>
      <c r="H21" s="232" t="str" cm="1">
        <f t="array" aca="1" ref="H21" ca="1">IFERROR(IF(_xlfn.XLOOKUP(A21,ETANCHEITE!Q$19:Q$89,ETANCHEITE!O$19:O$89,"")&lt;&gt;"",_xlfn.XLOOKUP(A21,ETANCHEITE!Q$19:Q$89,ETANCHEITE!O$19:O$89,""),    INDEX(ETANCHEITE!O:O,MAX(_xlfn._xlws.FILTER(ROW(ETANCHEITE!O$19:INDIRECT("'PEINTURE'!O" &amp; D21-1)),ETANCHEITE!O$19:INDIRECT("'PEINTURE'!O" &amp; D21-1)&lt;&gt;"")))),"")</f>
        <v/>
      </c>
      <c r="I21" s="233" t="str" cm="1">
        <f t="array" aca="1" ref="I21" ca="1">IFERROR(IF(_xlfn.XLOOKUP(A21,ETANCHEITE!Q$19:Q$89,ETANCHEITE!P$19:P$89,"")&lt;&gt;"",_xlfn.XLOOKUP(A21,ETANCHEITE!Q$19:Q$89,ETANCHEITE!P$19:P$89,""),    INDEX(ETANCHEITE!P:P,MAX(_xlfn._xlws.FILTER(ROW(ETANCHEITE!P$19:INDIRECT("'PEINTURE'!P" &amp; D21-1)),ETANCHEITE!P$19:INDIRECT("'PEINTURE'!P" &amp; D21-1)&lt;&gt;"")))),"")</f>
        <v/>
      </c>
      <c r="J21" s="158">
        <v>19</v>
      </c>
      <c r="K21" s="167" t="str">
        <f>IF(O21&lt;&gt;" ",ETANCHEITE!$D$5,"")</f>
        <v/>
      </c>
      <c r="L21" s="167" t="str">
        <f>IF(O21&lt;&gt;" ",ETANCHEITE!$D$8,"")</f>
        <v/>
      </c>
      <c r="M21" s="159" t="str">
        <f>IFERROR(MATCH(J21,ETANCHEITE!Z$19:Z$164,0)+18,"")</f>
        <v/>
      </c>
      <c r="N21" s="160" t="str" cm="1">
        <f t="array" aca="1" ref="N21" ca="1">IFERROR(IF(_xlfn.XLOOKUP(J21,ETANCHEITE!Z$19:Z$164,ETANCHEITE!$A$19:$A$164,"")&lt;&gt;"",_xlfn.XLOOKUP(J21,ETANCHEITE!Z$19:Z$164,ETANCHEITE!$A$19:$A$164,""),    INDEX(ETANCHEITE!$A:$A,MAX(_xlfn._xlws.FILTER(ROW(ETANCHEITE!$A$19:INDIRECT("'MENUISERIES EXTERIEURES'!$A" &amp; M21-1)),ETANCHEITE!$A$19:INDIRECT("'MENUISERIES EXTERIEURES'!$A" &amp; M21-1)&lt;&gt;"")))),"")&amp;"   "&amp;IFERROR(_xlfn.XLOOKUP(J21,ETANCHEITE!Z$19:Z$164,ETANCHEITE!$B$19:$B$164),"")&amp;IFERROR(_xlfn.XLOOKUP(J21,ETANCHEITE!Z$19:Z$164,ETANCHEITE!$C$19:$C$164),"")&amp;IFERROR(_xlfn.XLOOKUP(J21,ETANCHEITE!Z$19:Z$164,ETANCHEITE!$D$19:$D$164),"")&amp;IFERROR(_xlfn.XLOOKUP(J21,ETANCHEITE!Z$19:Z$164,ETANCHEITE!$E$19:$E$164),"")&amp;IFERROR(_xlfn.XLOOKUP(J21,ETANCHEITE!Z$19:Z$164,ETANCHEITE!$F$19:$F$164),"")</f>
        <v xml:space="preserve">   </v>
      </c>
      <c r="O21" s="168" t="str">
        <f>IFERROR(VLOOKUP(J21,ETANCHEITE!Z$19:AB$164,2,FALSE),"")&amp;" "&amp;IFERROR(VLOOKUP(J21,ETANCHEITE!Z$19:AB$164,3,FALSE),"")</f>
        <v xml:space="preserve"> </v>
      </c>
      <c r="P21" s="161" t="str">
        <f>IF(O21&lt;&gt;" ",'Feuille de Donnée'!$C$3,"")</f>
        <v/>
      </c>
      <c r="Q21" s="232" t="str" cm="1">
        <f t="array" aca="1" ref="Q21" ca="1">IFERROR(IF(_xlfn.XLOOKUP(J21,ETANCHEITE!Z$19:Z$89,ETANCHEITE!X$19:X$89,"")&lt;&gt;"",_xlfn.XLOOKUP(J21,ETANCHEITE!Z$19:Z$89,ETANCHEITE!X$19:X$89,""),    INDEX(ETANCHEITE!X:X,MAX(_xlfn._xlws.FILTER(ROW(ETANCHEITE!X$19:INDIRECT("'PEINTURE'!O" &amp; M21-1)),ETANCHEITE!X$19:INDIRECT("'PEINTURE'!O" &amp; M21-1)&lt;&gt;"")))),"")</f>
        <v/>
      </c>
      <c r="R21" s="233" t="str" cm="1">
        <f t="array" aca="1" ref="R21" ca="1">IFERROR(IF(_xlfn.XLOOKUP(J21,ETANCHEITE!Z$19:Z$89,ETANCHEITE!Y$19:Y$89,"")&lt;&gt;"",_xlfn.XLOOKUP(J21,ETANCHEITE!Z$19:Z$89,ETANCHEITE!Y$19:Y$89,""),    INDEX(ETANCHEITE!Y:Y,MAX(_xlfn._xlws.FILTER(ROW(ETANCHEITE!Y$19:INDIRECT("'PEINTURE'!P" &amp; M21-1)),ETANCHEITE!Y$19:INDIRECT("'PEINTURE'!P" &amp; M21-1)&lt;&gt;"")))),"")</f>
        <v/>
      </c>
      <c r="S21" s="158">
        <v>19</v>
      </c>
      <c r="T21" s="167" t="str">
        <f>IF(X21&lt;&gt;" ",ETANCHEITE!$D$5,"")</f>
        <v/>
      </c>
      <c r="U21" s="167" t="str">
        <f>IF(X21&lt;&gt;" ",ETANCHEITE!$D$8,"")</f>
        <v/>
      </c>
      <c r="V21" s="159" t="str">
        <f>IFERROR(MATCH(S21,ETANCHEITE!AI$19:AI$164,0)+18,"")</f>
        <v/>
      </c>
      <c r="W21" s="160" t="str" cm="1">
        <f t="array" aca="1" ref="W21" ca="1">IFERROR(IF(_xlfn.XLOOKUP(S21,ETANCHEITE!AI$19:AI$164,ETANCHEITE!$A$19:$A$164,"")&lt;&gt;"",_xlfn.XLOOKUP(S21,ETANCHEITE!AI$19:AI$164,ETANCHEITE!$A$19:$A$164,""),    INDEX(ETANCHEITE!$A:$A,MAX(_xlfn._xlws.FILTER(ROW(ETANCHEITE!$A$19:INDIRECT("'MENUISERIES EXTERIEURES'!$A" &amp; V21-1)),ETANCHEITE!$A$19:INDIRECT("'MENUISERIES EXTERIEURES'!$A" &amp; V21-1)&lt;&gt;"")))),"")&amp;"   "&amp;IFERROR(_xlfn.XLOOKUP(S21,ETANCHEITE!AI$19:AI$164,ETANCHEITE!$B$19:$B$164),"")&amp;IFERROR(_xlfn.XLOOKUP(S21,ETANCHEITE!AI$19:AI$164,ETANCHEITE!$C$19:$C$164),"")&amp;IFERROR(_xlfn.XLOOKUP(S21,ETANCHEITE!AI$19:AI$164,ETANCHEITE!$D$19:$D$164),"")&amp;IFERROR(_xlfn.XLOOKUP(S21,ETANCHEITE!AI$19:AI$164,ETANCHEITE!$E$19:$E$164),"")&amp;IFERROR(_xlfn.XLOOKUP(S21,ETANCHEITE!AI$19:AI$164,ETANCHEITE!$F$19:$F$164),"")</f>
        <v xml:space="preserve">   </v>
      </c>
      <c r="X21" s="168" t="str">
        <f>IFERROR(VLOOKUP(S21,ETANCHEITE!AI$19:AK$164,2,FALSE),"")&amp;" "&amp;IFERROR(VLOOKUP(S21,ETANCHEITE!AI$19:AK$164,3,FALSE),"")</f>
        <v xml:space="preserve"> </v>
      </c>
      <c r="Y21" s="161" t="str">
        <f>IF(X21&lt;&gt;" ",'Feuille de Donnée'!$C$3,"")</f>
        <v/>
      </c>
      <c r="Z21" s="232" t="str" cm="1">
        <f t="array" aca="1" ref="Z21" ca="1">IFERROR(IF(_xlfn.XLOOKUP(S21,ETANCHEITE!AI$19:AI$89,ETANCHEITE!AG$19:AG$89,"")&lt;&gt;"",_xlfn.XLOOKUP(S21,ETANCHEITE!AI$19:AI$89,ETANCHEITE!AG$19:AG$89,""),    INDEX(ETANCHEITE!AG:AG,MAX(_xlfn._xlws.FILTER(ROW(ETANCHEITE!AG$19:INDIRECT("'PEINTURE'!O" &amp; V21-1)),ETANCHEITE!AG$19:INDIRECT("'PEINTURE'!O" &amp; V21-1)&lt;&gt;"")))),"")</f>
        <v/>
      </c>
      <c r="AA21" s="233" t="str" cm="1">
        <f t="array" aca="1" ref="AA21" ca="1">IFERROR(IF(_xlfn.XLOOKUP(S21,ETANCHEITE!AI$19:AI$89,ETANCHEITE!AH$19:AH$89,"")&lt;&gt;"",_xlfn.XLOOKUP(S21,ETANCHEITE!AI$19:AI$89,ETANCHEITE!AH$19:AH$89,""),    INDEX(ETANCHEITE!AH:AH,MAX(_xlfn._xlws.FILTER(ROW(ETANCHEITE!AH$19:INDIRECT("'PEINTURE'!P" &amp; V21-1)),ETANCHEITE!AH$19:INDIRECT("'PEINTURE'!P" &amp; V21-1)&lt;&gt;"")))),"")</f>
        <v/>
      </c>
      <c r="AB21" s="158">
        <v>19</v>
      </c>
      <c r="AC21" s="167" t="str">
        <f>IF(AG21&lt;&gt;" ",ETANCHEITE!$D$5,"")</f>
        <v/>
      </c>
      <c r="AD21" s="167" t="str">
        <f>IF(AG21&lt;&gt;" ",ETANCHEITE!$D$8,"")</f>
        <v/>
      </c>
      <c r="AE21" s="159" t="str">
        <f>IFERROR(MATCH(AB21,ETANCHEITE!AR$19:AR$164,0)+18,"")</f>
        <v/>
      </c>
      <c r="AF21" s="160" t="str" cm="1">
        <f t="array" aca="1" ref="AF21" ca="1">IFERROR(IF(_xlfn.XLOOKUP(AB21,ETANCHEITE!AR$19:AR$164,ETANCHEITE!$A$19:$A$164,"")&lt;&gt;"",_xlfn.XLOOKUP(AB21,ETANCHEITE!AR$19:AR$164,ETANCHEITE!$A$19:$A$164,""),    INDEX(ETANCHEITE!$A:$A,MAX(_xlfn._xlws.FILTER(ROW(ETANCHEITE!$A$19:INDIRECT("'MENUISERIES EXTERIEURES'!$A" &amp; AE21-1)),ETANCHEITE!$A$19:INDIRECT("'MENUISERIES EXTERIEURES'!$A" &amp; AE21-1)&lt;&gt;"")))),"")&amp;"   "&amp;IFERROR(_xlfn.XLOOKUP(AB21,ETANCHEITE!AR$19:AR$164,ETANCHEITE!$B$19:$B$164),"")&amp;IFERROR(_xlfn.XLOOKUP(AB21,ETANCHEITE!AR$19:AR$164,ETANCHEITE!$C$19:$C$164),"")&amp;IFERROR(_xlfn.XLOOKUP(AB21,ETANCHEITE!AR$19:AR$164,ETANCHEITE!$D$19:$D$164),"")&amp;IFERROR(_xlfn.XLOOKUP(AB21,ETANCHEITE!AR$19:AR$164,ETANCHEITE!$E$19:$E$164),"")&amp;IFERROR(_xlfn.XLOOKUP(AB21,ETANCHEITE!AR$19:AR$164,ETANCHEITE!$F$19:$F$164),"")</f>
        <v xml:space="preserve">   </v>
      </c>
      <c r="AG21" s="168" t="str">
        <f>IFERROR(VLOOKUP(AB21,ETANCHEITE!AR$19:AT$164,2,FALSE),"")&amp;" "&amp;IFERROR(VLOOKUP(AB21,ETANCHEITE!AR$19:AT$164,3,FALSE),"")</f>
        <v xml:space="preserve"> </v>
      </c>
      <c r="AH21" s="161" t="str">
        <f>IF(AG21&lt;&gt;" ",'Feuille de Donnée'!$C$3,"")</f>
        <v/>
      </c>
      <c r="AI21" s="232" t="str" cm="1">
        <f t="array" aca="1" ref="AI21" ca="1">IFERROR(IF(_xlfn.XLOOKUP(AB21,ETANCHEITE!AR$19:AR$89,ETANCHEITE!AP$19:AP$89,"")&lt;&gt;"",_xlfn.XLOOKUP(AB21,ETANCHEITE!AR$19:AR$89,ETANCHEITE!AP$19:AP$89,""),    INDEX(ETANCHEITE!AP:AP,MAX(_xlfn._xlws.FILTER(ROW(ETANCHEITE!AP$19:INDIRECT("'PEINTURE'!O" &amp; AE21-1)),ETANCHEITE!AP$19:INDIRECT("'PEINTURE'!O" &amp; AE21-1)&lt;&gt;"")))),"")</f>
        <v/>
      </c>
      <c r="AJ21" s="233" t="str" cm="1">
        <f t="array" aca="1" ref="AJ21" ca="1">IFERROR(IF(_xlfn.XLOOKUP(AB21,ETANCHEITE!AR$19:AR$89,ETANCHEITE!AQ$19:AQ$89,"")&lt;&gt;"",_xlfn.XLOOKUP(AB21,ETANCHEITE!AR$19:AR$89,ETANCHEITE!AQ$19:AQ$89,""),    INDEX(ETANCHEITE!AQ:AQ,MAX(_xlfn._xlws.FILTER(ROW(ETANCHEITE!AQ$19:INDIRECT("'PEINTURE'!P" &amp; AE21-1)),ETANCHEITE!AQ$19:INDIRECT("'PEINTURE'!P" &amp; AE21-1)&lt;&gt;"")))),"")</f>
        <v/>
      </c>
      <c r="AK21" s="158">
        <v>19</v>
      </c>
      <c r="AL21" s="167" t="str">
        <f>IF(AP21&lt;&gt;" ",ETANCHEITE!$D$5,"")</f>
        <v/>
      </c>
      <c r="AM21" s="167" t="str">
        <f>IF(AP21&lt;&gt;" ",ETANCHEITE!$D$8,"")</f>
        <v/>
      </c>
      <c r="AN21" s="159" t="str">
        <f>IFERROR(MATCH(AK21,ETANCHEITE!BA$19:BA$164,0)+18,"")</f>
        <v/>
      </c>
      <c r="AO21" s="160" t="str" cm="1">
        <f t="array" aca="1" ref="AO21" ca="1">IFERROR(IF(_xlfn.XLOOKUP(AK21,ETANCHEITE!BA$19:BA$164,ETANCHEITE!$A$19:$A$164,"")&lt;&gt;"",_xlfn.XLOOKUP(AK21,ETANCHEITE!BA$19:BA$164,ETANCHEITE!$A$19:$A$164,""),    INDEX(ETANCHEITE!$A:$A,MAX(_xlfn._xlws.FILTER(ROW(ETANCHEITE!$A$19:INDIRECT("'MENUISERIES EXTERIEURES'!$A" &amp; AN21-1)),ETANCHEITE!$A$19:INDIRECT("'MENUISERIES EXTERIEURES'!$A" &amp; AN21-1)&lt;&gt;"")))),"")&amp;"   "&amp;IFERROR(_xlfn.XLOOKUP(AK21,ETANCHEITE!BA$19:BA$164,ETANCHEITE!$B$19:$B$164),"")&amp;IFERROR(_xlfn.XLOOKUP(AK21,ETANCHEITE!BA$19:BA$164,ETANCHEITE!$C$19:$C$164),"")&amp;IFERROR(_xlfn.XLOOKUP(AK21,ETANCHEITE!BA$19:BA$164,ETANCHEITE!$D$19:$D$164),"")&amp;IFERROR(_xlfn.XLOOKUP(AK21,ETANCHEITE!BA$19:BA$164,ETANCHEITE!$E$19:$E$164),"")&amp;IFERROR(_xlfn.XLOOKUP(AK21,ETANCHEITE!BA$19:BA$164,ETANCHEITE!$F$19:$F$164),"")</f>
        <v xml:space="preserve">   </v>
      </c>
      <c r="AP21" s="168" t="str">
        <f>IFERROR(VLOOKUP(AK21,ETANCHEITE!BA$19:BC$164,2,FALSE),"")&amp;" "&amp;IFERROR(VLOOKUP(AK21,ETANCHEITE!BA$19:BC$164,3,FALSE),"")</f>
        <v xml:space="preserve"> </v>
      </c>
      <c r="AQ21" s="161" t="str">
        <f>IF(AP21&lt;&gt;" ",'Feuille de Donnée'!$C$3,"")</f>
        <v/>
      </c>
      <c r="AR21" s="232" t="str" cm="1">
        <f t="array" aca="1" ref="AR21" ca="1">IFERROR(IF(_xlfn.XLOOKUP(AK21,ETANCHEITE!BA$19:BA$89,ETANCHEITE!AY$19:AY$89,"")&lt;&gt;"",_xlfn.XLOOKUP(AK21,ETANCHEITE!BA$19:BA$89,ETANCHEITE!AY$19:AY$89,""),    INDEX(ETANCHEITE!AY:AY,MAX(_xlfn._xlws.FILTER(ROW(ETANCHEITE!AY$19:INDIRECT("'PEINTURE'!O" &amp; AN21-1)),ETANCHEITE!AY$19:INDIRECT("'PEINTURE'!O" &amp; AN21-1)&lt;&gt;"")))),"")</f>
        <v/>
      </c>
      <c r="AS21" s="233" t="str" cm="1">
        <f t="array" aca="1" ref="AS21" ca="1">IFERROR(IF(_xlfn.XLOOKUP(AK21,ETANCHEITE!BA$19:BA$89,ETANCHEITE!AZ$19:AZ$89,"")&lt;&gt;"",_xlfn.XLOOKUP(AK21,ETANCHEITE!BA$19:BA$89,ETANCHEITE!AZ$19:AZ$89,""),    INDEX(ETANCHEITE!AZ:AZ,MAX(_xlfn._xlws.FILTER(ROW(ETANCHEITE!AZ$19:INDIRECT("'PEINTURE'!P" &amp; AN21-1)),ETANCHEITE!AZ$19:INDIRECT("'PEINTURE'!P" &amp; AN21-1)&lt;&gt;"")))),"")</f>
        <v/>
      </c>
      <c r="AT21" s="158">
        <v>19</v>
      </c>
      <c r="AU21" s="167" t="str">
        <f>IF(AY21&lt;&gt;" ",ETANCHEITE!$D$5,"")</f>
        <v/>
      </c>
      <c r="AV21" s="167" t="str">
        <f>IF(AY21&lt;&gt;" ",ETANCHEITE!$D$8,"")</f>
        <v/>
      </c>
      <c r="AW21" s="159" t="str">
        <f>IFERROR(MATCH(AT21,ETANCHEITE!BJ$19:BJ$164,0)+18,"")</f>
        <v/>
      </c>
      <c r="AX21" s="160" t="str" cm="1">
        <f t="array" aca="1" ref="AX21" ca="1">IFERROR(IF(_xlfn.XLOOKUP(AT21,ETANCHEITE!BJ$19:BJ$164,ETANCHEITE!$A$19:$A$164,"")&lt;&gt;"",_xlfn.XLOOKUP(AT21,ETANCHEITE!BJ$19:BJ$164,ETANCHEITE!$A$19:$A$164,""),    INDEX(ETANCHEITE!$A:$A,MAX(_xlfn._xlws.FILTER(ROW(ETANCHEITE!$A$19:INDIRECT("'MENUISERIES EXTERIEURES'!$A" &amp; AW21-1)),ETANCHEITE!$A$19:INDIRECT("'MENUISERIES EXTERIEURES'!$A" &amp; AW21-1)&lt;&gt;"")))),"")&amp;"   "&amp;IFERROR(_xlfn.XLOOKUP(AT21,ETANCHEITE!BJ$19:BJ$164,ETANCHEITE!$B$19:$B$164),"")&amp;IFERROR(_xlfn.XLOOKUP(AT21,ETANCHEITE!BJ$19:BJ$164,ETANCHEITE!$C$19:$C$164),"")&amp;IFERROR(_xlfn.XLOOKUP(AT21,ETANCHEITE!BJ$19:BJ$164,ETANCHEITE!$D$19:$D$164),"")&amp;IFERROR(_xlfn.XLOOKUP(AT21,ETANCHEITE!BJ$19:BJ$164,ETANCHEITE!$E$19:$E$164),"")&amp;IFERROR(_xlfn.XLOOKUP(AT21,ETANCHEITE!BJ$19:BJ$164,ETANCHEITE!$F$19:$F$164),"")</f>
        <v xml:space="preserve">   </v>
      </c>
      <c r="AY21" s="168" t="str">
        <f>IFERROR(VLOOKUP(AT21,ETANCHEITE!BJ$19:BL$164,2,FALSE),"")&amp;" "&amp;IFERROR(VLOOKUP(AT21,ETANCHEITE!BJ$19:BL$164,3,FALSE),"")</f>
        <v xml:space="preserve"> </v>
      </c>
      <c r="AZ21" s="161" t="str">
        <f>IF(AY21&lt;&gt;" ",'Feuille de Donnée'!$C$3,"")</f>
        <v/>
      </c>
      <c r="BA21" s="232" t="str" cm="1">
        <f t="array" aca="1" ref="BA21" ca="1">IFERROR(IF(_xlfn.XLOOKUP(AT21,ETANCHEITE!BJ$19:BJ$89,ETANCHEITE!BH$19:BH$89,"")&lt;&gt;"",_xlfn.XLOOKUP(AT21,ETANCHEITE!BJ$19:BJ$89,ETANCHEITE!BH$19:BH$89,""),    INDEX(ETANCHEITE!BH:BH,MAX(_xlfn._xlws.FILTER(ROW(ETANCHEITE!BH$19:INDIRECT("'PEINTURE'!O" &amp; AW21-1)),ETANCHEITE!BH$19:INDIRECT("'PEINTURE'!O" &amp; AW21-1)&lt;&gt;"")))),"")</f>
        <v/>
      </c>
      <c r="BB21" s="233" t="str" cm="1">
        <f t="array" aca="1" ref="BB21" ca="1">IFERROR(IF(_xlfn.XLOOKUP(AT21,ETANCHEITE!BJ$19:BJ$89,ETANCHEITE!BI$19:BI$89,"")&lt;&gt;"",_xlfn.XLOOKUP(AT21,ETANCHEITE!BJ$19:BJ$89,ETANCHEITE!BI$19:BI$89,""),    INDEX(ETANCHEITE!BI:BI,MAX(_xlfn._xlws.FILTER(ROW(ETANCHEITE!BI$19:INDIRECT("'PEINTURE'!P" &amp; AW21-1)),ETANCHEITE!BI$19:INDIRECT("'PEINTURE'!P" &amp; AW21-1)&lt;&gt;"")))),"")</f>
        <v/>
      </c>
    </row>
    <row r="22" spans="1:54" ht="15" customHeight="1" x14ac:dyDescent="0.3">
      <c r="A22" s="158">
        <v>20</v>
      </c>
      <c r="B22" s="167" t="str">
        <f>IF(F22&lt;&gt;" ",ETANCHEITE!$D$5,"")</f>
        <v/>
      </c>
      <c r="C22" s="167" t="str">
        <f>IF(F22&lt;&gt;" ",ETANCHEITE!$D$8,"")</f>
        <v/>
      </c>
      <c r="D22" s="159" t="str">
        <f>IFERROR(MATCH(A22,ETANCHEITE!Q$19:Q$164,0)+18,"")</f>
        <v/>
      </c>
      <c r="E22" s="160" t="str" cm="1">
        <f t="array" aca="1" ref="E22" ca="1">IFERROR(IF(_xlfn.XLOOKUP(A22,ETANCHEITE!Q$19:Q$164,ETANCHEITE!$A$19:$A$164,"")&lt;&gt;"",_xlfn.XLOOKUP(A22,ETANCHEITE!Q$19:Q$164,ETANCHEITE!$A$19:$A$164,""),    INDEX(ETANCHEITE!$A:$A,MAX(_xlfn._xlws.FILTER(ROW(ETANCHEITE!$A$19:INDIRECT("'MENUISERIES EXTERIEURES'!$A" &amp; D22-1)),ETANCHEITE!$A$19:INDIRECT("'MENUISERIES EXTERIEURES'!$A" &amp; D22-1)&lt;&gt;"")))),"")&amp;"   "&amp;IFERROR(_xlfn.XLOOKUP(A22,ETANCHEITE!Q$19:Q$164,ETANCHEITE!$B$19:$B$164),"")&amp;IFERROR(_xlfn.XLOOKUP(A22,ETANCHEITE!Q$19:Q$164,ETANCHEITE!$C$19:$C$164),"")&amp;IFERROR(_xlfn.XLOOKUP(A22,ETANCHEITE!Q$19:Q$164,ETANCHEITE!$D$19:$D$164),"")&amp;IFERROR(_xlfn.XLOOKUP(A22,ETANCHEITE!Q$19:Q$164,ETANCHEITE!$E$19:$E$164),"")&amp;IFERROR(_xlfn.XLOOKUP(A22,ETANCHEITE!Q$19:Q$164,ETANCHEITE!$F$19:$F$164),"")</f>
        <v xml:space="preserve">   </v>
      </c>
      <c r="F22" s="168" t="str">
        <f>IFERROR(VLOOKUP(A22,ETANCHEITE!Q$19:S$164,2,FALSE),"")&amp;" "&amp;IFERROR(VLOOKUP(A22,ETANCHEITE!Q$19:S$164,3,FALSE),"")</f>
        <v xml:space="preserve"> </v>
      </c>
      <c r="G22" s="161" t="str">
        <f>IF(F22&lt;&gt;" ",'Feuille de Donnée'!$C$3,"")</f>
        <v/>
      </c>
      <c r="H22" s="232" t="str" cm="1">
        <f t="array" aca="1" ref="H22" ca="1">IFERROR(IF(_xlfn.XLOOKUP(A22,ETANCHEITE!Q$19:Q$89,ETANCHEITE!O$19:O$89,"")&lt;&gt;"",_xlfn.XLOOKUP(A22,ETANCHEITE!Q$19:Q$89,ETANCHEITE!O$19:O$89,""),    INDEX(ETANCHEITE!O:O,MAX(_xlfn._xlws.FILTER(ROW(ETANCHEITE!O$19:INDIRECT("'PEINTURE'!O" &amp; D22-1)),ETANCHEITE!O$19:INDIRECT("'PEINTURE'!O" &amp; D22-1)&lt;&gt;"")))),"")</f>
        <v/>
      </c>
      <c r="I22" s="233" t="str" cm="1">
        <f t="array" aca="1" ref="I22" ca="1">IFERROR(IF(_xlfn.XLOOKUP(A22,ETANCHEITE!Q$19:Q$89,ETANCHEITE!P$19:P$89,"")&lt;&gt;"",_xlfn.XLOOKUP(A22,ETANCHEITE!Q$19:Q$89,ETANCHEITE!P$19:P$89,""),    INDEX(ETANCHEITE!P:P,MAX(_xlfn._xlws.FILTER(ROW(ETANCHEITE!P$19:INDIRECT("'PEINTURE'!P" &amp; D22-1)),ETANCHEITE!P$19:INDIRECT("'PEINTURE'!P" &amp; D22-1)&lt;&gt;"")))),"")</f>
        <v/>
      </c>
      <c r="J22" s="158">
        <v>20</v>
      </c>
      <c r="K22" s="167" t="str">
        <f>IF(O22&lt;&gt;" ",ETANCHEITE!$D$5,"")</f>
        <v/>
      </c>
      <c r="L22" s="167" t="str">
        <f>IF(O22&lt;&gt;" ",ETANCHEITE!$D$8,"")</f>
        <v/>
      </c>
      <c r="M22" s="159" t="str">
        <f>IFERROR(MATCH(J22,ETANCHEITE!Z$19:Z$164,0)+18,"")</f>
        <v/>
      </c>
      <c r="N22" s="160" t="str" cm="1">
        <f t="array" aca="1" ref="N22" ca="1">IFERROR(IF(_xlfn.XLOOKUP(J22,ETANCHEITE!Z$19:Z$164,ETANCHEITE!$A$19:$A$164,"")&lt;&gt;"",_xlfn.XLOOKUP(J22,ETANCHEITE!Z$19:Z$164,ETANCHEITE!$A$19:$A$164,""),    INDEX(ETANCHEITE!$A:$A,MAX(_xlfn._xlws.FILTER(ROW(ETANCHEITE!$A$19:INDIRECT("'MENUISERIES EXTERIEURES'!$A" &amp; M22-1)),ETANCHEITE!$A$19:INDIRECT("'MENUISERIES EXTERIEURES'!$A" &amp; M22-1)&lt;&gt;"")))),"")&amp;"   "&amp;IFERROR(_xlfn.XLOOKUP(J22,ETANCHEITE!Z$19:Z$164,ETANCHEITE!$B$19:$B$164),"")&amp;IFERROR(_xlfn.XLOOKUP(J22,ETANCHEITE!Z$19:Z$164,ETANCHEITE!$C$19:$C$164),"")&amp;IFERROR(_xlfn.XLOOKUP(J22,ETANCHEITE!Z$19:Z$164,ETANCHEITE!$D$19:$D$164),"")&amp;IFERROR(_xlfn.XLOOKUP(J22,ETANCHEITE!Z$19:Z$164,ETANCHEITE!$E$19:$E$164),"")&amp;IFERROR(_xlfn.XLOOKUP(J22,ETANCHEITE!Z$19:Z$164,ETANCHEITE!$F$19:$F$164),"")</f>
        <v xml:space="preserve">   </v>
      </c>
      <c r="O22" s="168" t="str">
        <f>IFERROR(VLOOKUP(J22,ETANCHEITE!Z$19:AB$164,2,FALSE),"")&amp;" "&amp;IFERROR(VLOOKUP(J22,ETANCHEITE!Z$19:AB$164,3,FALSE),"")</f>
        <v xml:space="preserve"> </v>
      </c>
      <c r="P22" s="161" t="str">
        <f>IF(O22&lt;&gt;" ",'Feuille de Donnée'!$C$3,"")</f>
        <v/>
      </c>
      <c r="Q22" s="232" t="str" cm="1">
        <f t="array" aca="1" ref="Q22" ca="1">IFERROR(IF(_xlfn.XLOOKUP(J22,ETANCHEITE!Z$19:Z$89,ETANCHEITE!X$19:X$89,"")&lt;&gt;"",_xlfn.XLOOKUP(J22,ETANCHEITE!Z$19:Z$89,ETANCHEITE!X$19:X$89,""),    INDEX(ETANCHEITE!X:X,MAX(_xlfn._xlws.FILTER(ROW(ETANCHEITE!X$19:INDIRECT("'PEINTURE'!O" &amp; M22-1)),ETANCHEITE!X$19:INDIRECT("'PEINTURE'!O" &amp; M22-1)&lt;&gt;"")))),"")</f>
        <v/>
      </c>
      <c r="R22" s="233" t="str" cm="1">
        <f t="array" aca="1" ref="R22" ca="1">IFERROR(IF(_xlfn.XLOOKUP(J22,ETANCHEITE!Z$19:Z$89,ETANCHEITE!Y$19:Y$89,"")&lt;&gt;"",_xlfn.XLOOKUP(J22,ETANCHEITE!Z$19:Z$89,ETANCHEITE!Y$19:Y$89,""),    INDEX(ETANCHEITE!Y:Y,MAX(_xlfn._xlws.FILTER(ROW(ETANCHEITE!Y$19:INDIRECT("'PEINTURE'!P" &amp; M22-1)),ETANCHEITE!Y$19:INDIRECT("'PEINTURE'!P" &amp; M22-1)&lt;&gt;"")))),"")</f>
        <v/>
      </c>
      <c r="S22" s="158">
        <v>20</v>
      </c>
      <c r="T22" s="167" t="str">
        <f>IF(X22&lt;&gt;" ",ETANCHEITE!$D$5,"")</f>
        <v/>
      </c>
      <c r="U22" s="167" t="str">
        <f>IF(X22&lt;&gt;" ",ETANCHEITE!$D$8,"")</f>
        <v/>
      </c>
      <c r="V22" s="159" t="str">
        <f>IFERROR(MATCH(S22,ETANCHEITE!AI$19:AI$164,0)+18,"")</f>
        <v/>
      </c>
      <c r="W22" s="160" t="str" cm="1">
        <f t="array" aca="1" ref="W22" ca="1">IFERROR(IF(_xlfn.XLOOKUP(S22,ETANCHEITE!AI$19:AI$164,ETANCHEITE!$A$19:$A$164,"")&lt;&gt;"",_xlfn.XLOOKUP(S22,ETANCHEITE!AI$19:AI$164,ETANCHEITE!$A$19:$A$164,""),    INDEX(ETANCHEITE!$A:$A,MAX(_xlfn._xlws.FILTER(ROW(ETANCHEITE!$A$19:INDIRECT("'MENUISERIES EXTERIEURES'!$A" &amp; V22-1)),ETANCHEITE!$A$19:INDIRECT("'MENUISERIES EXTERIEURES'!$A" &amp; V22-1)&lt;&gt;"")))),"")&amp;"   "&amp;IFERROR(_xlfn.XLOOKUP(S22,ETANCHEITE!AI$19:AI$164,ETANCHEITE!$B$19:$B$164),"")&amp;IFERROR(_xlfn.XLOOKUP(S22,ETANCHEITE!AI$19:AI$164,ETANCHEITE!$C$19:$C$164),"")&amp;IFERROR(_xlfn.XLOOKUP(S22,ETANCHEITE!AI$19:AI$164,ETANCHEITE!$D$19:$D$164),"")&amp;IFERROR(_xlfn.XLOOKUP(S22,ETANCHEITE!AI$19:AI$164,ETANCHEITE!$E$19:$E$164),"")&amp;IFERROR(_xlfn.XLOOKUP(S22,ETANCHEITE!AI$19:AI$164,ETANCHEITE!$F$19:$F$164),"")</f>
        <v xml:space="preserve">   </v>
      </c>
      <c r="X22" s="168" t="str">
        <f>IFERROR(VLOOKUP(S22,ETANCHEITE!AI$19:AK$164,2,FALSE),"")&amp;" "&amp;IFERROR(VLOOKUP(S22,ETANCHEITE!AI$19:AK$164,3,FALSE),"")</f>
        <v xml:space="preserve"> </v>
      </c>
      <c r="Y22" s="161" t="str">
        <f>IF(X22&lt;&gt;" ",'Feuille de Donnée'!$C$3,"")</f>
        <v/>
      </c>
      <c r="Z22" s="232" t="str" cm="1">
        <f t="array" aca="1" ref="Z22" ca="1">IFERROR(IF(_xlfn.XLOOKUP(S22,ETANCHEITE!AI$19:AI$89,ETANCHEITE!AG$19:AG$89,"")&lt;&gt;"",_xlfn.XLOOKUP(S22,ETANCHEITE!AI$19:AI$89,ETANCHEITE!AG$19:AG$89,""),    INDEX(ETANCHEITE!AG:AG,MAX(_xlfn._xlws.FILTER(ROW(ETANCHEITE!AG$19:INDIRECT("'PEINTURE'!O" &amp; V22-1)),ETANCHEITE!AG$19:INDIRECT("'PEINTURE'!O" &amp; V22-1)&lt;&gt;"")))),"")</f>
        <v/>
      </c>
      <c r="AA22" s="233" t="str" cm="1">
        <f t="array" aca="1" ref="AA22" ca="1">IFERROR(IF(_xlfn.XLOOKUP(S22,ETANCHEITE!AI$19:AI$89,ETANCHEITE!AH$19:AH$89,"")&lt;&gt;"",_xlfn.XLOOKUP(S22,ETANCHEITE!AI$19:AI$89,ETANCHEITE!AH$19:AH$89,""),    INDEX(ETANCHEITE!AH:AH,MAX(_xlfn._xlws.FILTER(ROW(ETANCHEITE!AH$19:INDIRECT("'PEINTURE'!P" &amp; V22-1)),ETANCHEITE!AH$19:INDIRECT("'PEINTURE'!P" &amp; V22-1)&lt;&gt;"")))),"")</f>
        <v/>
      </c>
      <c r="AB22" s="158">
        <v>20</v>
      </c>
      <c r="AC22" s="167" t="str">
        <f>IF(AG22&lt;&gt;" ",ETANCHEITE!$D$5,"")</f>
        <v/>
      </c>
      <c r="AD22" s="167" t="str">
        <f>IF(AG22&lt;&gt;" ",ETANCHEITE!$D$8,"")</f>
        <v/>
      </c>
      <c r="AE22" s="159" t="str">
        <f>IFERROR(MATCH(AB22,ETANCHEITE!AR$19:AR$164,0)+18,"")</f>
        <v/>
      </c>
      <c r="AF22" s="160" t="str" cm="1">
        <f t="array" aca="1" ref="AF22" ca="1">IFERROR(IF(_xlfn.XLOOKUP(AB22,ETANCHEITE!AR$19:AR$164,ETANCHEITE!$A$19:$A$164,"")&lt;&gt;"",_xlfn.XLOOKUP(AB22,ETANCHEITE!AR$19:AR$164,ETANCHEITE!$A$19:$A$164,""),    INDEX(ETANCHEITE!$A:$A,MAX(_xlfn._xlws.FILTER(ROW(ETANCHEITE!$A$19:INDIRECT("'MENUISERIES EXTERIEURES'!$A" &amp; AE22-1)),ETANCHEITE!$A$19:INDIRECT("'MENUISERIES EXTERIEURES'!$A" &amp; AE22-1)&lt;&gt;"")))),"")&amp;"   "&amp;IFERROR(_xlfn.XLOOKUP(AB22,ETANCHEITE!AR$19:AR$164,ETANCHEITE!$B$19:$B$164),"")&amp;IFERROR(_xlfn.XLOOKUP(AB22,ETANCHEITE!AR$19:AR$164,ETANCHEITE!$C$19:$C$164),"")&amp;IFERROR(_xlfn.XLOOKUP(AB22,ETANCHEITE!AR$19:AR$164,ETANCHEITE!$D$19:$D$164),"")&amp;IFERROR(_xlfn.XLOOKUP(AB22,ETANCHEITE!AR$19:AR$164,ETANCHEITE!$E$19:$E$164),"")&amp;IFERROR(_xlfn.XLOOKUP(AB22,ETANCHEITE!AR$19:AR$164,ETANCHEITE!$F$19:$F$164),"")</f>
        <v xml:space="preserve">   </v>
      </c>
      <c r="AG22" s="168" t="str">
        <f>IFERROR(VLOOKUP(AB22,ETANCHEITE!AR$19:AT$164,2,FALSE),"")&amp;" "&amp;IFERROR(VLOOKUP(AB22,ETANCHEITE!AR$19:AT$164,3,FALSE),"")</f>
        <v xml:space="preserve"> </v>
      </c>
      <c r="AH22" s="161" t="str">
        <f>IF(AG22&lt;&gt;" ",'Feuille de Donnée'!$C$3,"")</f>
        <v/>
      </c>
      <c r="AI22" s="232" t="str" cm="1">
        <f t="array" aca="1" ref="AI22" ca="1">IFERROR(IF(_xlfn.XLOOKUP(AB22,ETANCHEITE!AR$19:AR$89,ETANCHEITE!AP$19:AP$89,"")&lt;&gt;"",_xlfn.XLOOKUP(AB22,ETANCHEITE!AR$19:AR$89,ETANCHEITE!AP$19:AP$89,""),    INDEX(ETANCHEITE!AP:AP,MAX(_xlfn._xlws.FILTER(ROW(ETANCHEITE!AP$19:INDIRECT("'PEINTURE'!O" &amp; AE22-1)),ETANCHEITE!AP$19:INDIRECT("'PEINTURE'!O" &amp; AE22-1)&lt;&gt;"")))),"")</f>
        <v/>
      </c>
      <c r="AJ22" s="233" t="str" cm="1">
        <f t="array" aca="1" ref="AJ22" ca="1">IFERROR(IF(_xlfn.XLOOKUP(AB22,ETANCHEITE!AR$19:AR$89,ETANCHEITE!AQ$19:AQ$89,"")&lt;&gt;"",_xlfn.XLOOKUP(AB22,ETANCHEITE!AR$19:AR$89,ETANCHEITE!AQ$19:AQ$89,""),    INDEX(ETANCHEITE!AQ:AQ,MAX(_xlfn._xlws.FILTER(ROW(ETANCHEITE!AQ$19:INDIRECT("'PEINTURE'!P" &amp; AE22-1)),ETANCHEITE!AQ$19:INDIRECT("'PEINTURE'!P" &amp; AE22-1)&lt;&gt;"")))),"")</f>
        <v/>
      </c>
      <c r="AK22" s="158">
        <v>20</v>
      </c>
      <c r="AL22" s="167" t="str">
        <f>IF(AP22&lt;&gt;" ",ETANCHEITE!$D$5,"")</f>
        <v/>
      </c>
      <c r="AM22" s="167" t="str">
        <f>IF(AP22&lt;&gt;" ",ETANCHEITE!$D$8,"")</f>
        <v/>
      </c>
      <c r="AN22" s="159" t="str">
        <f>IFERROR(MATCH(AK22,ETANCHEITE!BA$19:BA$164,0)+18,"")</f>
        <v/>
      </c>
      <c r="AO22" s="160" t="str" cm="1">
        <f t="array" aca="1" ref="AO22" ca="1">IFERROR(IF(_xlfn.XLOOKUP(AK22,ETANCHEITE!BA$19:BA$164,ETANCHEITE!$A$19:$A$164,"")&lt;&gt;"",_xlfn.XLOOKUP(AK22,ETANCHEITE!BA$19:BA$164,ETANCHEITE!$A$19:$A$164,""),    INDEX(ETANCHEITE!$A:$A,MAX(_xlfn._xlws.FILTER(ROW(ETANCHEITE!$A$19:INDIRECT("'MENUISERIES EXTERIEURES'!$A" &amp; AN22-1)),ETANCHEITE!$A$19:INDIRECT("'MENUISERIES EXTERIEURES'!$A" &amp; AN22-1)&lt;&gt;"")))),"")&amp;"   "&amp;IFERROR(_xlfn.XLOOKUP(AK22,ETANCHEITE!BA$19:BA$164,ETANCHEITE!$B$19:$B$164),"")&amp;IFERROR(_xlfn.XLOOKUP(AK22,ETANCHEITE!BA$19:BA$164,ETANCHEITE!$C$19:$C$164),"")&amp;IFERROR(_xlfn.XLOOKUP(AK22,ETANCHEITE!BA$19:BA$164,ETANCHEITE!$D$19:$D$164),"")&amp;IFERROR(_xlfn.XLOOKUP(AK22,ETANCHEITE!BA$19:BA$164,ETANCHEITE!$E$19:$E$164),"")&amp;IFERROR(_xlfn.XLOOKUP(AK22,ETANCHEITE!BA$19:BA$164,ETANCHEITE!$F$19:$F$164),"")</f>
        <v xml:space="preserve">   </v>
      </c>
      <c r="AP22" s="168" t="str">
        <f>IFERROR(VLOOKUP(AK22,ETANCHEITE!BA$19:BC$164,2,FALSE),"")&amp;" "&amp;IFERROR(VLOOKUP(AK22,ETANCHEITE!BA$19:BC$164,3,FALSE),"")</f>
        <v xml:space="preserve"> </v>
      </c>
      <c r="AQ22" s="161" t="str">
        <f>IF(AP22&lt;&gt;" ",'Feuille de Donnée'!$C$3,"")</f>
        <v/>
      </c>
      <c r="AR22" s="232" t="str" cm="1">
        <f t="array" aca="1" ref="AR22" ca="1">IFERROR(IF(_xlfn.XLOOKUP(AK22,ETANCHEITE!BA$19:BA$89,ETANCHEITE!AY$19:AY$89,"")&lt;&gt;"",_xlfn.XLOOKUP(AK22,ETANCHEITE!BA$19:BA$89,ETANCHEITE!AY$19:AY$89,""),    INDEX(ETANCHEITE!AY:AY,MAX(_xlfn._xlws.FILTER(ROW(ETANCHEITE!AY$19:INDIRECT("'PEINTURE'!O" &amp; AN22-1)),ETANCHEITE!AY$19:INDIRECT("'PEINTURE'!O" &amp; AN22-1)&lt;&gt;"")))),"")</f>
        <v/>
      </c>
      <c r="AS22" s="233" t="str" cm="1">
        <f t="array" aca="1" ref="AS22" ca="1">IFERROR(IF(_xlfn.XLOOKUP(AK22,ETANCHEITE!BA$19:BA$89,ETANCHEITE!AZ$19:AZ$89,"")&lt;&gt;"",_xlfn.XLOOKUP(AK22,ETANCHEITE!BA$19:BA$89,ETANCHEITE!AZ$19:AZ$89,""),    INDEX(ETANCHEITE!AZ:AZ,MAX(_xlfn._xlws.FILTER(ROW(ETANCHEITE!AZ$19:INDIRECT("'PEINTURE'!P" &amp; AN22-1)),ETANCHEITE!AZ$19:INDIRECT("'PEINTURE'!P" &amp; AN22-1)&lt;&gt;"")))),"")</f>
        <v/>
      </c>
      <c r="AT22" s="158">
        <v>20</v>
      </c>
      <c r="AU22" s="167" t="str">
        <f>IF(AY22&lt;&gt;" ",ETANCHEITE!$D$5,"")</f>
        <v/>
      </c>
      <c r="AV22" s="167" t="str">
        <f>IF(AY22&lt;&gt;" ",ETANCHEITE!$D$8,"")</f>
        <v/>
      </c>
      <c r="AW22" s="159" t="str">
        <f>IFERROR(MATCH(AT22,ETANCHEITE!BJ$19:BJ$164,0)+18,"")</f>
        <v/>
      </c>
      <c r="AX22" s="160" t="str" cm="1">
        <f t="array" aca="1" ref="AX22" ca="1">IFERROR(IF(_xlfn.XLOOKUP(AT22,ETANCHEITE!BJ$19:BJ$164,ETANCHEITE!$A$19:$A$164,"")&lt;&gt;"",_xlfn.XLOOKUP(AT22,ETANCHEITE!BJ$19:BJ$164,ETANCHEITE!$A$19:$A$164,""),    INDEX(ETANCHEITE!$A:$A,MAX(_xlfn._xlws.FILTER(ROW(ETANCHEITE!$A$19:INDIRECT("'MENUISERIES EXTERIEURES'!$A" &amp; AW22-1)),ETANCHEITE!$A$19:INDIRECT("'MENUISERIES EXTERIEURES'!$A" &amp; AW22-1)&lt;&gt;"")))),"")&amp;"   "&amp;IFERROR(_xlfn.XLOOKUP(AT22,ETANCHEITE!BJ$19:BJ$164,ETANCHEITE!$B$19:$B$164),"")&amp;IFERROR(_xlfn.XLOOKUP(AT22,ETANCHEITE!BJ$19:BJ$164,ETANCHEITE!$C$19:$C$164),"")&amp;IFERROR(_xlfn.XLOOKUP(AT22,ETANCHEITE!BJ$19:BJ$164,ETANCHEITE!$D$19:$D$164),"")&amp;IFERROR(_xlfn.XLOOKUP(AT22,ETANCHEITE!BJ$19:BJ$164,ETANCHEITE!$E$19:$E$164),"")&amp;IFERROR(_xlfn.XLOOKUP(AT22,ETANCHEITE!BJ$19:BJ$164,ETANCHEITE!$F$19:$F$164),"")</f>
        <v xml:space="preserve">   </v>
      </c>
      <c r="AY22" s="168" t="str">
        <f>IFERROR(VLOOKUP(AT22,ETANCHEITE!BJ$19:BL$164,2,FALSE),"")&amp;" "&amp;IFERROR(VLOOKUP(AT22,ETANCHEITE!BJ$19:BL$164,3,FALSE),"")</f>
        <v xml:space="preserve"> </v>
      </c>
      <c r="AZ22" s="161" t="str">
        <f>IF(AY22&lt;&gt;" ",'Feuille de Donnée'!$C$3,"")</f>
        <v/>
      </c>
      <c r="BA22" s="232" t="str" cm="1">
        <f t="array" aca="1" ref="BA22" ca="1">IFERROR(IF(_xlfn.XLOOKUP(AT22,ETANCHEITE!BJ$19:BJ$89,ETANCHEITE!BH$19:BH$89,"")&lt;&gt;"",_xlfn.XLOOKUP(AT22,ETANCHEITE!BJ$19:BJ$89,ETANCHEITE!BH$19:BH$89,""),    INDEX(ETANCHEITE!BH:BH,MAX(_xlfn._xlws.FILTER(ROW(ETANCHEITE!BH$19:INDIRECT("'PEINTURE'!O" &amp; AW22-1)),ETANCHEITE!BH$19:INDIRECT("'PEINTURE'!O" &amp; AW22-1)&lt;&gt;"")))),"")</f>
        <v/>
      </c>
      <c r="BB22" s="233" t="str" cm="1">
        <f t="array" aca="1" ref="BB22" ca="1">IFERROR(IF(_xlfn.XLOOKUP(AT22,ETANCHEITE!BJ$19:BJ$89,ETANCHEITE!BI$19:BI$89,"")&lt;&gt;"",_xlfn.XLOOKUP(AT22,ETANCHEITE!BJ$19:BJ$89,ETANCHEITE!BI$19:BI$89,""),    INDEX(ETANCHEITE!BI:BI,MAX(_xlfn._xlws.FILTER(ROW(ETANCHEITE!BI$19:INDIRECT("'PEINTURE'!P" &amp; AW22-1)),ETANCHEITE!BI$19:INDIRECT("'PEINTURE'!P" &amp; AW22-1)&lt;&gt;"")))),"")</f>
        <v/>
      </c>
    </row>
    <row r="23" spans="1:54" ht="15" customHeight="1" x14ac:dyDescent="0.3">
      <c r="A23" s="158">
        <v>21</v>
      </c>
      <c r="B23" s="167" t="str">
        <f>IF(F23&lt;&gt;" ",ETANCHEITE!$D$5,"")</f>
        <v/>
      </c>
      <c r="C23" s="167" t="str">
        <f>IF(F23&lt;&gt;" ",ETANCHEITE!$D$8,"")</f>
        <v/>
      </c>
      <c r="D23" s="159" t="str">
        <f>IFERROR(MATCH(A23,ETANCHEITE!Q$19:Q$164,0)+18,"")</f>
        <v/>
      </c>
      <c r="E23" s="160" t="str" cm="1">
        <f t="array" aca="1" ref="E23" ca="1">IFERROR(IF(_xlfn.XLOOKUP(A23,ETANCHEITE!Q$19:Q$164,ETANCHEITE!$A$19:$A$164,"")&lt;&gt;"",_xlfn.XLOOKUP(A23,ETANCHEITE!Q$19:Q$164,ETANCHEITE!$A$19:$A$164,""),    INDEX(ETANCHEITE!$A:$A,MAX(_xlfn._xlws.FILTER(ROW(ETANCHEITE!$A$19:INDIRECT("'MENUISERIES EXTERIEURES'!$A" &amp; D23-1)),ETANCHEITE!$A$19:INDIRECT("'MENUISERIES EXTERIEURES'!$A" &amp; D23-1)&lt;&gt;"")))),"")&amp;"   "&amp;IFERROR(_xlfn.XLOOKUP(A23,ETANCHEITE!Q$19:Q$164,ETANCHEITE!$B$19:$B$164),"")&amp;IFERROR(_xlfn.XLOOKUP(A23,ETANCHEITE!Q$19:Q$164,ETANCHEITE!$C$19:$C$164),"")&amp;IFERROR(_xlfn.XLOOKUP(A23,ETANCHEITE!Q$19:Q$164,ETANCHEITE!$D$19:$D$164),"")&amp;IFERROR(_xlfn.XLOOKUP(A23,ETANCHEITE!Q$19:Q$164,ETANCHEITE!$E$19:$E$164),"")&amp;IFERROR(_xlfn.XLOOKUP(A23,ETANCHEITE!Q$19:Q$164,ETANCHEITE!$F$19:$F$164),"")</f>
        <v xml:space="preserve">   </v>
      </c>
      <c r="F23" s="168" t="str">
        <f>IFERROR(VLOOKUP(A23,ETANCHEITE!Q$19:S$164,2,FALSE),"")&amp;" "&amp;IFERROR(VLOOKUP(A23,ETANCHEITE!Q$19:S$164,3,FALSE),"")</f>
        <v xml:space="preserve"> </v>
      </c>
      <c r="G23" s="161" t="str">
        <f>IF(F23&lt;&gt;" ",'Feuille de Donnée'!$C$3,"")</f>
        <v/>
      </c>
      <c r="H23" s="232" t="str" cm="1">
        <f t="array" aca="1" ref="H23" ca="1">IFERROR(IF(_xlfn.XLOOKUP(A23,ETANCHEITE!Q$19:Q$89,ETANCHEITE!O$19:O$89,"")&lt;&gt;"",_xlfn.XLOOKUP(A23,ETANCHEITE!Q$19:Q$89,ETANCHEITE!O$19:O$89,""),    INDEX(ETANCHEITE!O:O,MAX(_xlfn._xlws.FILTER(ROW(ETANCHEITE!O$19:INDIRECT("'PEINTURE'!O" &amp; D23-1)),ETANCHEITE!O$19:INDIRECT("'PEINTURE'!O" &amp; D23-1)&lt;&gt;"")))),"")</f>
        <v/>
      </c>
      <c r="I23" s="233" t="str" cm="1">
        <f t="array" aca="1" ref="I23" ca="1">IFERROR(IF(_xlfn.XLOOKUP(A23,ETANCHEITE!Q$19:Q$89,ETANCHEITE!P$19:P$89,"")&lt;&gt;"",_xlfn.XLOOKUP(A23,ETANCHEITE!Q$19:Q$89,ETANCHEITE!P$19:P$89,""),    INDEX(ETANCHEITE!P:P,MAX(_xlfn._xlws.FILTER(ROW(ETANCHEITE!P$19:INDIRECT("'PEINTURE'!P" &amp; D23-1)),ETANCHEITE!P$19:INDIRECT("'PEINTURE'!P" &amp; D23-1)&lt;&gt;"")))),"")</f>
        <v/>
      </c>
      <c r="J23" s="158">
        <v>21</v>
      </c>
      <c r="K23" s="167" t="str">
        <f>IF(O23&lt;&gt;" ",ETANCHEITE!$D$5,"")</f>
        <v/>
      </c>
      <c r="L23" s="167" t="str">
        <f>IF(O23&lt;&gt;" ",ETANCHEITE!$D$8,"")</f>
        <v/>
      </c>
      <c r="M23" s="159" t="str">
        <f>IFERROR(MATCH(J23,ETANCHEITE!Z$19:Z$164,0)+18,"")</f>
        <v/>
      </c>
      <c r="N23" s="160" t="str" cm="1">
        <f t="array" aca="1" ref="N23" ca="1">IFERROR(IF(_xlfn.XLOOKUP(J23,ETANCHEITE!Z$19:Z$164,ETANCHEITE!$A$19:$A$164,"")&lt;&gt;"",_xlfn.XLOOKUP(J23,ETANCHEITE!Z$19:Z$164,ETANCHEITE!$A$19:$A$164,""),    INDEX(ETANCHEITE!$A:$A,MAX(_xlfn._xlws.FILTER(ROW(ETANCHEITE!$A$19:INDIRECT("'MENUISERIES EXTERIEURES'!$A" &amp; M23-1)),ETANCHEITE!$A$19:INDIRECT("'MENUISERIES EXTERIEURES'!$A" &amp; M23-1)&lt;&gt;"")))),"")&amp;"   "&amp;IFERROR(_xlfn.XLOOKUP(J23,ETANCHEITE!Z$19:Z$164,ETANCHEITE!$B$19:$B$164),"")&amp;IFERROR(_xlfn.XLOOKUP(J23,ETANCHEITE!Z$19:Z$164,ETANCHEITE!$C$19:$C$164),"")&amp;IFERROR(_xlfn.XLOOKUP(J23,ETANCHEITE!Z$19:Z$164,ETANCHEITE!$D$19:$D$164),"")&amp;IFERROR(_xlfn.XLOOKUP(J23,ETANCHEITE!Z$19:Z$164,ETANCHEITE!$E$19:$E$164),"")&amp;IFERROR(_xlfn.XLOOKUP(J23,ETANCHEITE!Z$19:Z$164,ETANCHEITE!$F$19:$F$164),"")</f>
        <v xml:space="preserve">   </v>
      </c>
      <c r="O23" s="168" t="str">
        <f>IFERROR(VLOOKUP(J23,ETANCHEITE!Z$19:AB$164,2,FALSE),"")&amp;" "&amp;IFERROR(VLOOKUP(J23,ETANCHEITE!Z$19:AB$164,3,FALSE),"")</f>
        <v xml:space="preserve"> </v>
      </c>
      <c r="P23" s="161" t="str">
        <f>IF(O23&lt;&gt;" ",'Feuille de Donnée'!$C$3,"")</f>
        <v/>
      </c>
      <c r="Q23" s="232" t="str" cm="1">
        <f t="array" aca="1" ref="Q23" ca="1">IFERROR(IF(_xlfn.XLOOKUP(J23,ETANCHEITE!Z$19:Z$89,ETANCHEITE!X$19:X$89,"")&lt;&gt;"",_xlfn.XLOOKUP(J23,ETANCHEITE!Z$19:Z$89,ETANCHEITE!X$19:X$89,""),    INDEX(ETANCHEITE!X:X,MAX(_xlfn._xlws.FILTER(ROW(ETANCHEITE!X$19:INDIRECT("'PEINTURE'!O" &amp; M23-1)),ETANCHEITE!X$19:INDIRECT("'PEINTURE'!O" &amp; M23-1)&lt;&gt;"")))),"")</f>
        <v/>
      </c>
      <c r="R23" s="233" t="str" cm="1">
        <f t="array" aca="1" ref="R23" ca="1">IFERROR(IF(_xlfn.XLOOKUP(J23,ETANCHEITE!Z$19:Z$89,ETANCHEITE!Y$19:Y$89,"")&lt;&gt;"",_xlfn.XLOOKUP(J23,ETANCHEITE!Z$19:Z$89,ETANCHEITE!Y$19:Y$89,""),    INDEX(ETANCHEITE!Y:Y,MAX(_xlfn._xlws.FILTER(ROW(ETANCHEITE!Y$19:INDIRECT("'PEINTURE'!P" &amp; M23-1)),ETANCHEITE!Y$19:INDIRECT("'PEINTURE'!P" &amp; M23-1)&lt;&gt;"")))),"")</f>
        <v/>
      </c>
      <c r="S23" s="158">
        <v>21</v>
      </c>
      <c r="T23" s="167" t="str">
        <f>IF(X23&lt;&gt;" ",ETANCHEITE!$D$5,"")</f>
        <v/>
      </c>
      <c r="U23" s="167" t="str">
        <f>IF(X23&lt;&gt;" ",ETANCHEITE!$D$8,"")</f>
        <v/>
      </c>
      <c r="V23" s="159" t="str">
        <f>IFERROR(MATCH(S23,ETANCHEITE!AI$19:AI$164,0)+18,"")</f>
        <v/>
      </c>
      <c r="W23" s="160" t="str" cm="1">
        <f t="array" aca="1" ref="W23" ca="1">IFERROR(IF(_xlfn.XLOOKUP(S23,ETANCHEITE!AI$19:AI$164,ETANCHEITE!$A$19:$A$164,"")&lt;&gt;"",_xlfn.XLOOKUP(S23,ETANCHEITE!AI$19:AI$164,ETANCHEITE!$A$19:$A$164,""),    INDEX(ETANCHEITE!$A:$A,MAX(_xlfn._xlws.FILTER(ROW(ETANCHEITE!$A$19:INDIRECT("'MENUISERIES EXTERIEURES'!$A" &amp; V23-1)),ETANCHEITE!$A$19:INDIRECT("'MENUISERIES EXTERIEURES'!$A" &amp; V23-1)&lt;&gt;"")))),"")&amp;"   "&amp;IFERROR(_xlfn.XLOOKUP(S23,ETANCHEITE!AI$19:AI$164,ETANCHEITE!$B$19:$B$164),"")&amp;IFERROR(_xlfn.XLOOKUP(S23,ETANCHEITE!AI$19:AI$164,ETANCHEITE!$C$19:$C$164),"")&amp;IFERROR(_xlfn.XLOOKUP(S23,ETANCHEITE!AI$19:AI$164,ETANCHEITE!$D$19:$D$164),"")&amp;IFERROR(_xlfn.XLOOKUP(S23,ETANCHEITE!AI$19:AI$164,ETANCHEITE!$E$19:$E$164),"")&amp;IFERROR(_xlfn.XLOOKUP(S23,ETANCHEITE!AI$19:AI$164,ETANCHEITE!$F$19:$F$164),"")</f>
        <v xml:space="preserve">   </v>
      </c>
      <c r="X23" s="168" t="str">
        <f>IFERROR(VLOOKUP(S23,ETANCHEITE!AI$19:AK$164,2,FALSE),"")&amp;" "&amp;IFERROR(VLOOKUP(S23,ETANCHEITE!AI$19:AK$164,3,FALSE),"")</f>
        <v xml:space="preserve"> </v>
      </c>
      <c r="Y23" s="161" t="str">
        <f>IF(X23&lt;&gt;" ",'Feuille de Donnée'!$C$3,"")</f>
        <v/>
      </c>
      <c r="Z23" s="232" t="str" cm="1">
        <f t="array" aca="1" ref="Z23" ca="1">IFERROR(IF(_xlfn.XLOOKUP(S23,ETANCHEITE!AI$19:AI$89,ETANCHEITE!AG$19:AG$89,"")&lt;&gt;"",_xlfn.XLOOKUP(S23,ETANCHEITE!AI$19:AI$89,ETANCHEITE!AG$19:AG$89,""),    INDEX(ETANCHEITE!AG:AG,MAX(_xlfn._xlws.FILTER(ROW(ETANCHEITE!AG$19:INDIRECT("'PEINTURE'!O" &amp; V23-1)),ETANCHEITE!AG$19:INDIRECT("'PEINTURE'!O" &amp; V23-1)&lt;&gt;"")))),"")</f>
        <v/>
      </c>
      <c r="AA23" s="233" t="str" cm="1">
        <f t="array" aca="1" ref="AA23" ca="1">IFERROR(IF(_xlfn.XLOOKUP(S23,ETANCHEITE!AI$19:AI$89,ETANCHEITE!AH$19:AH$89,"")&lt;&gt;"",_xlfn.XLOOKUP(S23,ETANCHEITE!AI$19:AI$89,ETANCHEITE!AH$19:AH$89,""),    INDEX(ETANCHEITE!AH:AH,MAX(_xlfn._xlws.FILTER(ROW(ETANCHEITE!AH$19:INDIRECT("'PEINTURE'!P" &amp; V23-1)),ETANCHEITE!AH$19:INDIRECT("'PEINTURE'!P" &amp; V23-1)&lt;&gt;"")))),"")</f>
        <v/>
      </c>
      <c r="AB23" s="158">
        <v>21</v>
      </c>
      <c r="AC23" s="167" t="str">
        <f>IF(AG23&lt;&gt;" ",ETANCHEITE!$D$5,"")</f>
        <v/>
      </c>
      <c r="AD23" s="167" t="str">
        <f>IF(AG23&lt;&gt;" ",ETANCHEITE!$D$8,"")</f>
        <v/>
      </c>
      <c r="AE23" s="159" t="str">
        <f>IFERROR(MATCH(AB23,ETANCHEITE!AR$19:AR$164,0)+18,"")</f>
        <v/>
      </c>
      <c r="AF23" s="160" t="str" cm="1">
        <f t="array" aca="1" ref="AF23" ca="1">IFERROR(IF(_xlfn.XLOOKUP(AB23,ETANCHEITE!AR$19:AR$164,ETANCHEITE!$A$19:$A$164,"")&lt;&gt;"",_xlfn.XLOOKUP(AB23,ETANCHEITE!AR$19:AR$164,ETANCHEITE!$A$19:$A$164,""),    INDEX(ETANCHEITE!$A:$A,MAX(_xlfn._xlws.FILTER(ROW(ETANCHEITE!$A$19:INDIRECT("'MENUISERIES EXTERIEURES'!$A" &amp; AE23-1)),ETANCHEITE!$A$19:INDIRECT("'MENUISERIES EXTERIEURES'!$A" &amp; AE23-1)&lt;&gt;"")))),"")&amp;"   "&amp;IFERROR(_xlfn.XLOOKUP(AB23,ETANCHEITE!AR$19:AR$164,ETANCHEITE!$B$19:$B$164),"")&amp;IFERROR(_xlfn.XLOOKUP(AB23,ETANCHEITE!AR$19:AR$164,ETANCHEITE!$C$19:$C$164),"")&amp;IFERROR(_xlfn.XLOOKUP(AB23,ETANCHEITE!AR$19:AR$164,ETANCHEITE!$D$19:$D$164),"")&amp;IFERROR(_xlfn.XLOOKUP(AB23,ETANCHEITE!AR$19:AR$164,ETANCHEITE!$E$19:$E$164),"")&amp;IFERROR(_xlfn.XLOOKUP(AB23,ETANCHEITE!AR$19:AR$164,ETANCHEITE!$F$19:$F$164),"")</f>
        <v xml:space="preserve">   </v>
      </c>
      <c r="AG23" s="168" t="str">
        <f>IFERROR(VLOOKUP(AB23,ETANCHEITE!AR$19:AT$164,2,FALSE),"")&amp;" "&amp;IFERROR(VLOOKUP(AB23,ETANCHEITE!AR$19:AT$164,3,FALSE),"")</f>
        <v xml:space="preserve"> </v>
      </c>
      <c r="AH23" s="161" t="str">
        <f>IF(AG23&lt;&gt;" ",'Feuille de Donnée'!$C$3,"")</f>
        <v/>
      </c>
      <c r="AI23" s="232" t="str" cm="1">
        <f t="array" aca="1" ref="AI23" ca="1">IFERROR(IF(_xlfn.XLOOKUP(AB23,ETANCHEITE!AR$19:AR$89,ETANCHEITE!AP$19:AP$89,"")&lt;&gt;"",_xlfn.XLOOKUP(AB23,ETANCHEITE!AR$19:AR$89,ETANCHEITE!AP$19:AP$89,""),    INDEX(ETANCHEITE!AP:AP,MAX(_xlfn._xlws.FILTER(ROW(ETANCHEITE!AP$19:INDIRECT("'PEINTURE'!O" &amp; AE23-1)),ETANCHEITE!AP$19:INDIRECT("'PEINTURE'!O" &amp; AE23-1)&lt;&gt;"")))),"")</f>
        <v/>
      </c>
      <c r="AJ23" s="233" t="str" cm="1">
        <f t="array" aca="1" ref="AJ23" ca="1">IFERROR(IF(_xlfn.XLOOKUP(AB23,ETANCHEITE!AR$19:AR$89,ETANCHEITE!AQ$19:AQ$89,"")&lt;&gt;"",_xlfn.XLOOKUP(AB23,ETANCHEITE!AR$19:AR$89,ETANCHEITE!AQ$19:AQ$89,""),    INDEX(ETANCHEITE!AQ:AQ,MAX(_xlfn._xlws.FILTER(ROW(ETANCHEITE!AQ$19:INDIRECT("'PEINTURE'!P" &amp; AE23-1)),ETANCHEITE!AQ$19:INDIRECT("'PEINTURE'!P" &amp; AE23-1)&lt;&gt;"")))),"")</f>
        <v/>
      </c>
      <c r="AK23" s="158">
        <v>21</v>
      </c>
      <c r="AL23" s="167" t="str">
        <f>IF(AP23&lt;&gt;" ",ETANCHEITE!$D$5,"")</f>
        <v/>
      </c>
      <c r="AM23" s="167" t="str">
        <f>IF(AP23&lt;&gt;" ",ETANCHEITE!$D$8,"")</f>
        <v/>
      </c>
      <c r="AN23" s="159" t="str">
        <f>IFERROR(MATCH(AK23,ETANCHEITE!BA$19:BA$164,0)+18,"")</f>
        <v/>
      </c>
      <c r="AO23" s="160" t="str" cm="1">
        <f t="array" aca="1" ref="AO23" ca="1">IFERROR(IF(_xlfn.XLOOKUP(AK23,ETANCHEITE!BA$19:BA$164,ETANCHEITE!$A$19:$A$164,"")&lt;&gt;"",_xlfn.XLOOKUP(AK23,ETANCHEITE!BA$19:BA$164,ETANCHEITE!$A$19:$A$164,""),    INDEX(ETANCHEITE!$A:$A,MAX(_xlfn._xlws.FILTER(ROW(ETANCHEITE!$A$19:INDIRECT("'MENUISERIES EXTERIEURES'!$A" &amp; AN23-1)),ETANCHEITE!$A$19:INDIRECT("'MENUISERIES EXTERIEURES'!$A" &amp; AN23-1)&lt;&gt;"")))),"")&amp;"   "&amp;IFERROR(_xlfn.XLOOKUP(AK23,ETANCHEITE!BA$19:BA$164,ETANCHEITE!$B$19:$B$164),"")&amp;IFERROR(_xlfn.XLOOKUP(AK23,ETANCHEITE!BA$19:BA$164,ETANCHEITE!$C$19:$C$164),"")&amp;IFERROR(_xlfn.XLOOKUP(AK23,ETANCHEITE!BA$19:BA$164,ETANCHEITE!$D$19:$D$164),"")&amp;IFERROR(_xlfn.XLOOKUP(AK23,ETANCHEITE!BA$19:BA$164,ETANCHEITE!$E$19:$E$164),"")&amp;IFERROR(_xlfn.XLOOKUP(AK23,ETANCHEITE!BA$19:BA$164,ETANCHEITE!$F$19:$F$164),"")</f>
        <v xml:space="preserve">   </v>
      </c>
      <c r="AP23" s="168" t="str">
        <f>IFERROR(VLOOKUP(AK23,ETANCHEITE!BA$19:BC$164,2,FALSE),"")&amp;" "&amp;IFERROR(VLOOKUP(AK23,ETANCHEITE!BA$19:BC$164,3,FALSE),"")</f>
        <v xml:space="preserve"> </v>
      </c>
      <c r="AQ23" s="161" t="str">
        <f>IF(AP23&lt;&gt;" ",'Feuille de Donnée'!$C$3,"")</f>
        <v/>
      </c>
      <c r="AR23" s="232" t="str" cm="1">
        <f t="array" aca="1" ref="AR23" ca="1">IFERROR(IF(_xlfn.XLOOKUP(AK23,ETANCHEITE!BA$19:BA$89,ETANCHEITE!AY$19:AY$89,"")&lt;&gt;"",_xlfn.XLOOKUP(AK23,ETANCHEITE!BA$19:BA$89,ETANCHEITE!AY$19:AY$89,""),    INDEX(ETANCHEITE!AY:AY,MAX(_xlfn._xlws.FILTER(ROW(ETANCHEITE!AY$19:INDIRECT("'PEINTURE'!O" &amp; AN23-1)),ETANCHEITE!AY$19:INDIRECT("'PEINTURE'!O" &amp; AN23-1)&lt;&gt;"")))),"")</f>
        <v/>
      </c>
      <c r="AS23" s="233" t="str" cm="1">
        <f t="array" aca="1" ref="AS23" ca="1">IFERROR(IF(_xlfn.XLOOKUP(AK23,ETANCHEITE!BA$19:BA$89,ETANCHEITE!AZ$19:AZ$89,"")&lt;&gt;"",_xlfn.XLOOKUP(AK23,ETANCHEITE!BA$19:BA$89,ETANCHEITE!AZ$19:AZ$89,""),    INDEX(ETANCHEITE!AZ:AZ,MAX(_xlfn._xlws.FILTER(ROW(ETANCHEITE!AZ$19:INDIRECT("'PEINTURE'!P" &amp; AN23-1)),ETANCHEITE!AZ$19:INDIRECT("'PEINTURE'!P" &amp; AN23-1)&lt;&gt;"")))),"")</f>
        <v/>
      </c>
      <c r="AT23" s="158">
        <v>21</v>
      </c>
      <c r="AU23" s="167" t="str">
        <f>IF(AY23&lt;&gt;" ",ETANCHEITE!$D$5,"")</f>
        <v/>
      </c>
      <c r="AV23" s="167" t="str">
        <f>IF(AY23&lt;&gt;" ",ETANCHEITE!$D$8,"")</f>
        <v/>
      </c>
      <c r="AW23" s="159" t="str">
        <f>IFERROR(MATCH(AT23,ETANCHEITE!BJ$19:BJ$164,0)+18,"")</f>
        <v/>
      </c>
      <c r="AX23" s="160" t="str" cm="1">
        <f t="array" aca="1" ref="AX23" ca="1">IFERROR(IF(_xlfn.XLOOKUP(AT23,ETANCHEITE!BJ$19:BJ$164,ETANCHEITE!$A$19:$A$164,"")&lt;&gt;"",_xlfn.XLOOKUP(AT23,ETANCHEITE!BJ$19:BJ$164,ETANCHEITE!$A$19:$A$164,""),    INDEX(ETANCHEITE!$A:$A,MAX(_xlfn._xlws.FILTER(ROW(ETANCHEITE!$A$19:INDIRECT("'MENUISERIES EXTERIEURES'!$A" &amp; AW23-1)),ETANCHEITE!$A$19:INDIRECT("'MENUISERIES EXTERIEURES'!$A" &amp; AW23-1)&lt;&gt;"")))),"")&amp;"   "&amp;IFERROR(_xlfn.XLOOKUP(AT23,ETANCHEITE!BJ$19:BJ$164,ETANCHEITE!$B$19:$B$164),"")&amp;IFERROR(_xlfn.XLOOKUP(AT23,ETANCHEITE!BJ$19:BJ$164,ETANCHEITE!$C$19:$C$164),"")&amp;IFERROR(_xlfn.XLOOKUP(AT23,ETANCHEITE!BJ$19:BJ$164,ETANCHEITE!$D$19:$D$164),"")&amp;IFERROR(_xlfn.XLOOKUP(AT23,ETANCHEITE!BJ$19:BJ$164,ETANCHEITE!$E$19:$E$164),"")&amp;IFERROR(_xlfn.XLOOKUP(AT23,ETANCHEITE!BJ$19:BJ$164,ETANCHEITE!$F$19:$F$164),"")</f>
        <v xml:space="preserve">   </v>
      </c>
      <c r="AY23" s="168" t="str">
        <f>IFERROR(VLOOKUP(AT23,ETANCHEITE!BJ$19:BL$164,2,FALSE),"")&amp;" "&amp;IFERROR(VLOOKUP(AT23,ETANCHEITE!BJ$19:BL$164,3,FALSE),"")</f>
        <v xml:space="preserve"> </v>
      </c>
      <c r="AZ23" s="161" t="str">
        <f>IF(AY23&lt;&gt;" ",'Feuille de Donnée'!$C$3,"")</f>
        <v/>
      </c>
      <c r="BA23" s="232" t="str" cm="1">
        <f t="array" aca="1" ref="BA23" ca="1">IFERROR(IF(_xlfn.XLOOKUP(AT23,ETANCHEITE!BJ$19:BJ$89,ETANCHEITE!BH$19:BH$89,"")&lt;&gt;"",_xlfn.XLOOKUP(AT23,ETANCHEITE!BJ$19:BJ$89,ETANCHEITE!BH$19:BH$89,""),    INDEX(ETANCHEITE!BH:BH,MAX(_xlfn._xlws.FILTER(ROW(ETANCHEITE!BH$19:INDIRECT("'PEINTURE'!O" &amp; AW23-1)),ETANCHEITE!BH$19:INDIRECT("'PEINTURE'!O" &amp; AW23-1)&lt;&gt;"")))),"")</f>
        <v/>
      </c>
      <c r="BB23" s="233" t="str" cm="1">
        <f t="array" aca="1" ref="BB23" ca="1">IFERROR(IF(_xlfn.XLOOKUP(AT23,ETANCHEITE!BJ$19:BJ$89,ETANCHEITE!BI$19:BI$89,"")&lt;&gt;"",_xlfn.XLOOKUP(AT23,ETANCHEITE!BJ$19:BJ$89,ETANCHEITE!BI$19:BI$89,""),    INDEX(ETANCHEITE!BI:BI,MAX(_xlfn._xlws.FILTER(ROW(ETANCHEITE!BI$19:INDIRECT("'PEINTURE'!P" &amp; AW23-1)),ETANCHEITE!BI$19:INDIRECT("'PEINTURE'!P" &amp; AW23-1)&lt;&gt;"")))),"")</f>
        <v/>
      </c>
    </row>
    <row r="24" spans="1:54" ht="15" customHeight="1" x14ac:dyDescent="0.3">
      <c r="A24" s="158">
        <v>22</v>
      </c>
      <c r="B24" s="167" t="str">
        <f>IF(F24&lt;&gt;" ",ETANCHEITE!$D$5,"")</f>
        <v/>
      </c>
      <c r="C24" s="167" t="str">
        <f>IF(F24&lt;&gt;" ",ETANCHEITE!$D$8,"")</f>
        <v/>
      </c>
      <c r="D24" s="159" t="str">
        <f>IFERROR(MATCH(A24,ETANCHEITE!Q$19:Q$164,0)+18,"")</f>
        <v/>
      </c>
      <c r="E24" s="160" t="str" cm="1">
        <f t="array" aca="1" ref="E24" ca="1">IFERROR(IF(_xlfn.XLOOKUP(A24,ETANCHEITE!Q$19:Q$164,ETANCHEITE!$A$19:$A$164,"")&lt;&gt;"",_xlfn.XLOOKUP(A24,ETANCHEITE!Q$19:Q$164,ETANCHEITE!$A$19:$A$164,""),    INDEX(ETANCHEITE!$A:$A,MAX(_xlfn._xlws.FILTER(ROW(ETANCHEITE!$A$19:INDIRECT("'MENUISERIES EXTERIEURES'!$A" &amp; D24-1)),ETANCHEITE!$A$19:INDIRECT("'MENUISERIES EXTERIEURES'!$A" &amp; D24-1)&lt;&gt;"")))),"")&amp;"   "&amp;IFERROR(_xlfn.XLOOKUP(A24,ETANCHEITE!Q$19:Q$164,ETANCHEITE!$B$19:$B$164),"")&amp;IFERROR(_xlfn.XLOOKUP(A24,ETANCHEITE!Q$19:Q$164,ETANCHEITE!$C$19:$C$164),"")&amp;IFERROR(_xlfn.XLOOKUP(A24,ETANCHEITE!Q$19:Q$164,ETANCHEITE!$D$19:$D$164),"")&amp;IFERROR(_xlfn.XLOOKUP(A24,ETANCHEITE!Q$19:Q$164,ETANCHEITE!$E$19:$E$164),"")&amp;IFERROR(_xlfn.XLOOKUP(A24,ETANCHEITE!Q$19:Q$164,ETANCHEITE!$F$19:$F$164),"")</f>
        <v xml:space="preserve">   </v>
      </c>
      <c r="F24" s="168" t="str">
        <f>IFERROR(VLOOKUP(A24,ETANCHEITE!Q$19:S$164,2,FALSE),"")&amp;" "&amp;IFERROR(VLOOKUP(A24,ETANCHEITE!Q$19:S$164,3,FALSE),"")</f>
        <v xml:space="preserve"> </v>
      </c>
      <c r="G24" s="161" t="str">
        <f>IF(F24&lt;&gt;" ",'Feuille de Donnée'!$C$3,"")</f>
        <v/>
      </c>
      <c r="H24" s="232" t="str" cm="1">
        <f t="array" aca="1" ref="H24" ca="1">IFERROR(IF(_xlfn.XLOOKUP(A24,ETANCHEITE!Q$19:Q$89,ETANCHEITE!O$19:O$89,"")&lt;&gt;"",_xlfn.XLOOKUP(A24,ETANCHEITE!Q$19:Q$89,ETANCHEITE!O$19:O$89,""),    INDEX(ETANCHEITE!O:O,MAX(_xlfn._xlws.FILTER(ROW(ETANCHEITE!O$19:INDIRECT("'PEINTURE'!O" &amp; D24-1)),ETANCHEITE!O$19:INDIRECT("'PEINTURE'!O" &amp; D24-1)&lt;&gt;"")))),"")</f>
        <v/>
      </c>
      <c r="I24" s="233" t="str" cm="1">
        <f t="array" aca="1" ref="I24" ca="1">IFERROR(IF(_xlfn.XLOOKUP(A24,ETANCHEITE!Q$19:Q$89,ETANCHEITE!P$19:P$89,"")&lt;&gt;"",_xlfn.XLOOKUP(A24,ETANCHEITE!Q$19:Q$89,ETANCHEITE!P$19:P$89,""),    INDEX(ETANCHEITE!P:P,MAX(_xlfn._xlws.FILTER(ROW(ETANCHEITE!P$19:INDIRECT("'PEINTURE'!P" &amp; D24-1)),ETANCHEITE!P$19:INDIRECT("'PEINTURE'!P" &amp; D24-1)&lt;&gt;"")))),"")</f>
        <v/>
      </c>
      <c r="J24" s="158">
        <v>22</v>
      </c>
      <c r="K24" s="167" t="str">
        <f>IF(O24&lt;&gt;" ",ETANCHEITE!$D$5,"")</f>
        <v/>
      </c>
      <c r="L24" s="167" t="str">
        <f>IF(O24&lt;&gt;" ",ETANCHEITE!$D$8,"")</f>
        <v/>
      </c>
      <c r="M24" s="159" t="str">
        <f>IFERROR(MATCH(J24,ETANCHEITE!Z$19:Z$164,0)+18,"")</f>
        <v/>
      </c>
      <c r="N24" s="160" t="str" cm="1">
        <f t="array" aca="1" ref="N24" ca="1">IFERROR(IF(_xlfn.XLOOKUP(J24,ETANCHEITE!Z$19:Z$164,ETANCHEITE!$A$19:$A$164,"")&lt;&gt;"",_xlfn.XLOOKUP(J24,ETANCHEITE!Z$19:Z$164,ETANCHEITE!$A$19:$A$164,""),    INDEX(ETANCHEITE!$A:$A,MAX(_xlfn._xlws.FILTER(ROW(ETANCHEITE!$A$19:INDIRECT("'MENUISERIES EXTERIEURES'!$A" &amp; M24-1)),ETANCHEITE!$A$19:INDIRECT("'MENUISERIES EXTERIEURES'!$A" &amp; M24-1)&lt;&gt;"")))),"")&amp;"   "&amp;IFERROR(_xlfn.XLOOKUP(J24,ETANCHEITE!Z$19:Z$164,ETANCHEITE!$B$19:$B$164),"")&amp;IFERROR(_xlfn.XLOOKUP(J24,ETANCHEITE!Z$19:Z$164,ETANCHEITE!$C$19:$C$164),"")&amp;IFERROR(_xlfn.XLOOKUP(J24,ETANCHEITE!Z$19:Z$164,ETANCHEITE!$D$19:$D$164),"")&amp;IFERROR(_xlfn.XLOOKUP(J24,ETANCHEITE!Z$19:Z$164,ETANCHEITE!$E$19:$E$164),"")&amp;IFERROR(_xlfn.XLOOKUP(J24,ETANCHEITE!Z$19:Z$164,ETANCHEITE!$F$19:$F$164),"")</f>
        <v xml:space="preserve">   </v>
      </c>
      <c r="O24" s="168" t="str">
        <f>IFERROR(VLOOKUP(J24,ETANCHEITE!Z$19:AB$164,2,FALSE),"")&amp;" "&amp;IFERROR(VLOOKUP(J24,ETANCHEITE!Z$19:AB$164,3,FALSE),"")</f>
        <v xml:space="preserve"> </v>
      </c>
      <c r="P24" s="161" t="str">
        <f>IF(O24&lt;&gt;" ",'Feuille de Donnée'!$C$3,"")</f>
        <v/>
      </c>
      <c r="Q24" s="232" t="str" cm="1">
        <f t="array" aca="1" ref="Q24" ca="1">IFERROR(IF(_xlfn.XLOOKUP(J24,ETANCHEITE!Z$19:Z$89,ETANCHEITE!X$19:X$89,"")&lt;&gt;"",_xlfn.XLOOKUP(J24,ETANCHEITE!Z$19:Z$89,ETANCHEITE!X$19:X$89,""),    INDEX(ETANCHEITE!X:X,MAX(_xlfn._xlws.FILTER(ROW(ETANCHEITE!X$19:INDIRECT("'PEINTURE'!O" &amp; M24-1)),ETANCHEITE!X$19:INDIRECT("'PEINTURE'!O" &amp; M24-1)&lt;&gt;"")))),"")</f>
        <v/>
      </c>
      <c r="R24" s="233" t="str" cm="1">
        <f t="array" aca="1" ref="R24" ca="1">IFERROR(IF(_xlfn.XLOOKUP(J24,ETANCHEITE!Z$19:Z$89,ETANCHEITE!Y$19:Y$89,"")&lt;&gt;"",_xlfn.XLOOKUP(J24,ETANCHEITE!Z$19:Z$89,ETANCHEITE!Y$19:Y$89,""),    INDEX(ETANCHEITE!Y:Y,MAX(_xlfn._xlws.FILTER(ROW(ETANCHEITE!Y$19:INDIRECT("'PEINTURE'!P" &amp; M24-1)),ETANCHEITE!Y$19:INDIRECT("'PEINTURE'!P" &amp; M24-1)&lt;&gt;"")))),"")</f>
        <v/>
      </c>
      <c r="S24" s="158">
        <v>22</v>
      </c>
      <c r="T24" s="167" t="str">
        <f>IF(X24&lt;&gt;" ",ETANCHEITE!$D$5,"")</f>
        <v/>
      </c>
      <c r="U24" s="167" t="str">
        <f>IF(X24&lt;&gt;" ",ETANCHEITE!$D$8,"")</f>
        <v/>
      </c>
      <c r="V24" s="159" t="str">
        <f>IFERROR(MATCH(S24,ETANCHEITE!AI$19:AI$164,0)+18,"")</f>
        <v/>
      </c>
      <c r="W24" s="160" t="str" cm="1">
        <f t="array" aca="1" ref="W24" ca="1">IFERROR(IF(_xlfn.XLOOKUP(S24,ETANCHEITE!AI$19:AI$164,ETANCHEITE!$A$19:$A$164,"")&lt;&gt;"",_xlfn.XLOOKUP(S24,ETANCHEITE!AI$19:AI$164,ETANCHEITE!$A$19:$A$164,""),    INDEX(ETANCHEITE!$A:$A,MAX(_xlfn._xlws.FILTER(ROW(ETANCHEITE!$A$19:INDIRECT("'MENUISERIES EXTERIEURES'!$A" &amp; V24-1)),ETANCHEITE!$A$19:INDIRECT("'MENUISERIES EXTERIEURES'!$A" &amp; V24-1)&lt;&gt;"")))),"")&amp;"   "&amp;IFERROR(_xlfn.XLOOKUP(S24,ETANCHEITE!AI$19:AI$164,ETANCHEITE!$B$19:$B$164),"")&amp;IFERROR(_xlfn.XLOOKUP(S24,ETANCHEITE!AI$19:AI$164,ETANCHEITE!$C$19:$C$164),"")&amp;IFERROR(_xlfn.XLOOKUP(S24,ETANCHEITE!AI$19:AI$164,ETANCHEITE!$D$19:$D$164),"")&amp;IFERROR(_xlfn.XLOOKUP(S24,ETANCHEITE!AI$19:AI$164,ETANCHEITE!$E$19:$E$164),"")&amp;IFERROR(_xlfn.XLOOKUP(S24,ETANCHEITE!AI$19:AI$164,ETANCHEITE!$F$19:$F$164),"")</f>
        <v xml:space="preserve">   </v>
      </c>
      <c r="X24" s="168" t="str">
        <f>IFERROR(VLOOKUP(S24,ETANCHEITE!AI$19:AK$164,2,FALSE),"")&amp;" "&amp;IFERROR(VLOOKUP(S24,ETANCHEITE!AI$19:AK$164,3,FALSE),"")</f>
        <v xml:space="preserve"> </v>
      </c>
      <c r="Y24" s="161" t="str">
        <f>IF(X24&lt;&gt;" ",'Feuille de Donnée'!$C$3,"")</f>
        <v/>
      </c>
      <c r="Z24" s="232" t="str" cm="1">
        <f t="array" aca="1" ref="Z24" ca="1">IFERROR(IF(_xlfn.XLOOKUP(S24,ETANCHEITE!AI$19:AI$89,ETANCHEITE!AG$19:AG$89,"")&lt;&gt;"",_xlfn.XLOOKUP(S24,ETANCHEITE!AI$19:AI$89,ETANCHEITE!AG$19:AG$89,""),    INDEX(ETANCHEITE!AG:AG,MAX(_xlfn._xlws.FILTER(ROW(ETANCHEITE!AG$19:INDIRECT("'PEINTURE'!O" &amp; V24-1)),ETANCHEITE!AG$19:INDIRECT("'PEINTURE'!O" &amp; V24-1)&lt;&gt;"")))),"")</f>
        <v/>
      </c>
      <c r="AA24" s="233" t="str" cm="1">
        <f t="array" aca="1" ref="AA24" ca="1">IFERROR(IF(_xlfn.XLOOKUP(S24,ETANCHEITE!AI$19:AI$89,ETANCHEITE!AH$19:AH$89,"")&lt;&gt;"",_xlfn.XLOOKUP(S24,ETANCHEITE!AI$19:AI$89,ETANCHEITE!AH$19:AH$89,""),    INDEX(ETANCHEITE!AH:AH,MAX(_xlfn._xlws.FILTER(ROW(ETANCHEITE!AH$19:INDIRECT("'PEINTURE'!P" &amp; V24-1)),ETANCHEITE!AH$19:INDIRECT("'PEINTURE'!P" &amp; V24-1)&lt;&gt;"")))),"")</f>
        <v/>
      </c>
      <c r="AB24" s="158">
        <v>22</v>
      </c>
      <c r="AC24" s="167" t="str">
        <f>IF(AG24&lt;&gt;" ",ETANCHEITE!$D$5,"")</f>
        <v/>
      </c>
      <c r="AD24" s="167" t="str">
        <f>IF(AG24&lt;&gt;" ",ETANCHEITE!$D$8,"")</f>
        <v/>
      </c>
      <c r="AE24" s="159" t="str">
        <f>IFERROR(MATCH(AB24,ETANCHEITE!AR$19:AR$164,0)+18,"")</f>
        <v/>
      </c>
      <c r="AF24" s="160" t="str" cm="1">
        <f t="array" aca="1" ref="AF24" ca="1">IFERROR(IF(_xlfn.XLOOKUP(AB24,ETANCHEITE!AR$19:AR$164,ETANCHEITE!$A$19:$A$164,"")&lt;&gt;"",_xlfn.XLOOKUP(AB24,ETANCHEITE!AR$19:AR$164,ETANCHEITE!$A$19:$A$164,""),    INDEX(ETANCHEITE!$A:$A,MAX(_xlfn._xlws.FILTER(ROW(ETANCHEITE!$A$19:INDIRECT("'MENUISERIES EXTERIEURES'!$A" &amp; AE24-1)),ETANCHEITE!$A$19:INDIRECT("'MENUISERIES EXTERIEURES'!$A" &amp; AE24-1)&lt;&gt;"")))),"")&amp;"   "&amp;IFERROR(_xlfn.XLOOKUP(AB24,ETANCHEITE!AR$19:AR$164,ETANCHEITE!$B$19:$B$164),"")&amp;IFERROR(_xlfn.XLOOKUP(AB24,ETANCHEITE!AR$19:AR$164,ETANCHEITE!$C$19:$C$164),"")&amp;IFERROR(_xlfn.XLOOKUP(AB24,ETANCHEITE!AR$19:AR$164,ETANCHEITE!$D$19:$D$164),"")&amp;IFERROR(_xlfn.XLOOKUP(AB24,ETANCHEITE!AR$19:AR$164,ETANCHEITE!$E$19:$E$164),"")&amp;IFERROR(_xlfn.XLOOKUP(AB24,ETANCHEITE!AR$19:AR$164,ETANCHEITE!$F$19:$F$164),"")</f>
        <v xml:space="preserve">   </v>
      </c>
      <c r="AG24" s="168" t="str">
        <f>IFERROR(VLOOKUP(AB24,ETANCHEITE!AR$19:AT$164,2,FALSE),"")&amp;" "&amp;IFERROR(VLOOKUP(AB24,ETANCHEITE!AR$19:AT$164,3,FALSE),"")</f>
        <v xml:space="preserve"> </v>
      </c>
      <c r="AH24" s="161" t="str">
        <f>IF(AG24&lt;&gt;" ",'Feuille de Donnée'!$C$3,"")</f>
        <v/>
      </c>
      <c r="AI24" s="232" t="str" cm="1">
        <f t="array" aca="1" ref="AI24" ca="1">IFERROR(IF(_xlfn.XLOOKUP(AB24,ETANCHEITE!AR$19:AR$89,ETANCHEITE!AP$19:AP$89,"")&lt;&gt;"",_xlfn.XLOOKUP(AB24,ETANCHEITE!AR$19:AR$89,ETANCHEITE!AP$19:AP$89,""),    INDEX(ETANCHEITE!AP:AP,MAX(_xlfn._xlws.FILTER(ROW(ETANCHEITE!AP$19:INDIRECT("'PEINTURE'!O" &amp; AE24-1)),ETANCHEITE!AP$19:INDIRECT("'PEINTURE'!O" &amp; AE24-1)&lt;&gt;"")))),"")</f>
        <v/>
      </c>
      <c r="AJ24" s="233" t="str" cm="1">
        <f t="array" aca="1" ref="AJ24" ca="1">IFERROR(IF(_xlfn.XLOOKUP(AB24,ETANCHEITE!AR$19:AR$89,ETANCHEITE!AQ$19:AQ$89,"")&lt;&gt;"",_xlfn.XLOOKUP(AB24,ETANCHEITE!AR$19:AR$89,ETANCHEITE!AQ$19:AQ$89,""),    INDEX(ETANCHEITE!AQ:AQ,MAX(_xlfn._xlws.FILTER(ROW(ETANCHEITE!AQ$19:INDIRECT("'PEINTURE'!P" &amp; AE24-1)),ETANCHEITE!AQ$19:INDIRECT("'PEINTURE'!P" &amp; AE24-1)&lt;&gt;"")))),"")</f>
        <v/>
      </c>
      <c r="AK24" s="158">
        <v>22</v>
      </c>
      <c r="AL24" s="167" t="str">
        <f>IF(AP24&lt;&gt;" ",ETANCHEITE!$D$5,"")</f>
        <v/>
      </c>
      <c r="AM24" s="167" t="str">
        <f>IF(AP24&lt;&gt;" ",ETANCHEITE!$D$8,"")</f>
        <v/>
      </c>
      <c r="AN24" s="159" t="str">
        <f>IFERROR(MATCH(AK24,ETANCHEITE!BA$19:BA$164,0)+18,"")</f>
        <v/>
      </c>
      <c r="AO24" s="160" t="str" cm="1">
        <f t="array" aca="1" ref="AO24" ca="1">IFERROR(IF(_xlfn.XLOOKUP(AK24,ETANCHEITE!BA$19:BA$164,ETANCHEITE!$A$19:$A$164,"")&lt;&gt;"",_xlfn.XLOOKUP(AK24,ETANCHEITE!BA$19:BA$164,ETANCHEITE!$A$19:$A$164,""),    INDEX(ETANCHEITE!$A:$A,MAX(_xlfn._xlws.FILTER(ROW(ETANCHEITE!$A$19:INDIRECT("'MENUISERIES EXTERIEURES'!$A" &amp; AN24-1)),ETANCHEITE!$A$19:INDIRECT("'MENUISERIES EXTERIEURES'!$A" &amp; AN24-1)&lt;&gt;"")))),"")&amp;"   "&amp;IFERROR(_xlfn.XLOOKUP(AK24,ETANCHEITE!BA$19:BA$164,ETANCHEITE!$B$19:$B$164),"")&amp;IFERROR(_xlfn.XLOOKUP(AK24,ETANCHEITE!BA$19:BA$164,ETANCHEITE!$C$19:$C$164),"")&amp;IFERROR(_xlfn.XLOOKUP(AK24,ETANCHEITE!BA$19:BA$164,ETANCHEITE!$D$19:$D$164),"")&amp;IFERROR(_xlfn.XLOOKUP(AK24,ETANCHEITE!BA$19:BA$164,ETANCHEITE!$E$19:$E$164),"")&amp;IFERROR(_xlfn.XLOOKUP(AK24,ETANCHEITE!BA$19:BA$164,ETANCHEITE!$F$19:$F$164),"")</f>
        <v xml:space="preserve">   </v>
      </c>
      <c r="AP24" s="168" t="str">
        <f>IFERROR(VLOOKUP(AK24,ETANCHEITE!BA$19:BC$164,2,FALSE),"")&amp;" "&amp;IFERROR(VLOOKUP(AK24,ETANCHEITE!BA$19:BC$164,3,FALSE),"")</f>
        <v xml:space="preserve"> </v>
      </c>
      <c r="AQ24" s="161" t="str">
        <f>IF(AP24&lt;&gt;" ",'Feuille de Donnée'!$C$3,"")</f>
        <v/>
      </c>
      <c r="AR24" s="232" t="str" cm="1">
        <f t="array" aca="1" ref="AR24" ca="1">IFERROR(IF(_xlfn.XLOOKUP(AK24,ETANCHEITE!BA$19:BA$89,ETANCHEITE!AY$19:AY$89,"")&lt;&gt;"",_xlfn.XLOOKUP(AK24,ETANCHEITE!BA$19:BA$89,ETANCHEITE!AY$19:AY$89,""),    INDEX(ETANCHEITE!AY:AY,MAX(_xlfn._xlws.FILTER(ROW(ETANCHEITE!AY$19:INDIRECT("'PEINTURE'!O" &amp; AN24-1)),ETANCHEITE!AY$19:INDIRECT("'PEINTURE'!O" &amp; AN24-1)&lt;&gt;"")))),"")</f>
        <v/>
      </c>
      <c r="AS24" s="233" t="str" cm="1">
        <f t="array" aca="1" ref="AS24" ca="1">IFERROR(IF(_xlfn.XLOOKUP(AK24,ETANCHEITE!BA$19:BA$89,ETANCHEITE!AZ$19:AZ$89,"")&lt;&gt;"",_xlfn.XLOOKUP(AK24,ETANCHEITE!BA$19:BA$89,ETANCHEITE!AZ$19:AZ$89,""),    INDEX(ETANCHEITE!AZ:AZ,MAX(_xlfn._xlws.FILTER(ROW(ETANCHEITE!AZ$19:INDIRECT("'PEINTURE'!P" &amp; AN24-1)),ETANCHEITE!AZ$19:INDIRECT("'PEINTURE'!P" &amp; AN24-1)&lt;&gt;"")))),"")</f>
        <v/>
      </c>
      <c r="AT24" s="158">
        <v>22</v>
      </c>
      <c r="AU24" s="167" t="str">
        <f>IF(AY24&lt;&gt;" ",ETANCHEITE!$D$5,"")</f>
        <v/>
      </c>
      <c r="AV24" s="167" t="str">
        <f>IF(AY24&lt;&gt;" ",ETANCHEITE!$D$8,"")</f>
        <v/>
      </c>
      <c r="AW24" s="159" t="str">
        <f>IFERROR(MATCH(AT24,ETANCHEITE!BJ$19:BJ$164,0)+18,"")</f>
        <v/>
      </c>
      <c r="AX24" s="160" t="str" cm="1">
        <f t="array" aca="1" ref="AX24" ca="1">IFERROR(IF(_xlfn.XLOOKUP(AT24,ETANCHEITE!BJ$19:BJ$164,ETANCHEITE!$A$19:$A$164,"")&lt;&gt;"",_xlfn.XLOOKUP(AT24,ETANCHEITE!BJ$19:BJ$164,ETANCHEITE!$A$19:$A$164,""),    INDEX(ETANCHEITE!$A:$A,MAX(_xlfn._xlws.FILTER(ROW(ETANCHEITE!$A$19:INDIRECT("'MENUISERIES EXTERIEURES'!$A" &amp; AW24-1)),ETANCHEITE!$A$19:INDIRECT("'MENUISERIES EXTERIEURES'!$A" &amp; AW24-1)&lt;&gt;"")))),"")&amp;"   "&amp;IFERROR(_xlfn.XLOOKUP(AT24,ETANCHEITE!BJ$19:BJ$164,ETANCHEITE!$B$19:$B$164),"")&amp;IFERROR(_xlfn.XLOOKUP(AT24,ETANCHEITE!BJ$19:BJ$164,ETANCHEITE!$C$19:$C$164),"")&amp;IFERROR(_xlfn.XLOOKUP(AT24,ETANCHEITE!BJ$19:BJ$164,ETANCHEITE!$D$19:$D$164),"")&amp;IFERROR(_xlfn.XLOOKUP(AT24,ETANCHEITE!BJ$19:BJ$164,ETANCHEITE!$E$19:$E$164),"")&amp;IFERROR(_xlfn.XLOOKUP(AT24,ETANCHEITE!BJ$19:BJ$164,ETANCHEITE!$F$19:$F$164),"")</f>
        <v xml:space="preserve">   </v>
      </c>
      <c r="AY24" s="168" t="str">
        <f>IFERROR(VLOOKUP(AT24,ETANCHEITE!BJ$19:BL$164,2,FALSE),"")&amp;" "&amp;IFERROR(VLOOKUP(AT24,ETANCHEITE!BJ$19:BL$164,3,FALSE),"")</f>
        <v xml:space="preserve"> </v>
      </c>
      <c r="AZ24" s="161" t="str">
        <f>IF(AY24&lt;&gt;" ",'Feuille de Donnée'!$C$3,"")</f>
        <v/>
      </c>
      <c r="BA24" s="232" t="str" cm="1">
        <f t="array" aca="1" ref="BA24" ca="1">IFERROR(IF(_xlfn.XLOOKUP(AT24,ETANCHEITE!BJ$19:BJ$89,ETANCHEITE!BH$19:BH$89,"")&lt;&gt;"",_xlfn.XLOOKUP(AT24,ETANCHEITE!BJ$19:BJ$89,ETANCHEITE!BH$19:BH$89,""),    INDEX(ETANCHEITE!BH:BH,MAX(_xlfn._xlws.FILTER(ROW(ETANCHEITE!BH$19:INDIRECT("'PEINTURE'!O" &amp; AW24-1)),ETANCHEITE!BH$19:INDIRECT("'PEINTURE'!O" &amp; AW24-1)&lt;&gt;"")))),"")</f>
        <v/>
      </c>
      <c r="BB24" s="233" t="str" cm="1">
        <f t="array" aca="1" ref="BB24" ca="1">IFERROR(IF(_xlfn.XLOOKUP(AT24,ETANCHEITE!BJ$19:BJ$89,ETANCHEITE!BI$19:BI$89,"")&lt;&gt;"",_xlfn.XLOOKUP(AT24,ETANCHEITE!BJ$19:BJ$89,ETANCHEITE!BI$19:BI$89,""),    INDEX(ETANCHEITE!BI:BI,MAX(_xlfn._xlws.FILTER(ROW(ETANCHEITE!BI$19:INDIRECT("'PEINTURE'!P" &amp; AW24-1)),ETANCHEITE!BI$19:INDIRECT("'PEINTURE'!P" &amp; AW24-1)&lt;&gt;"")))),"")</f>
        <v/>
      </c>
    </row>
    <row r="25" spans="1:54" ht="15" customHeight="1" x14ac:dyDescent="0.3">
      <c r="A25" s="158">
        <v>23</v>
      </c>
      <c r="B25" s="167" t="str">
        <f>IF(F25&lt;&gt;" ",ETANCHEITE!$D$5,"")</f>
        <v/>
      </c>
      <c r="C25" s="167" t="str">
        <f>IF(F25&lt;&gt;" ",ETANCHEITE!$D$8,"")</f>
        <v/>
      </c>
      <c r="D25" s="159" t="str">
        <f>IFERROR(MATCH(A25,ETANCHEITE!Q$19:Q$164,0)+18,"")</f>
        <v/>
      </c>
      <c r="E25" s="160" t="str" cm="1">
        <f t="array" aca="1" ref="E25" ca="1">IFERROR(IF(_xlfn.XLOOKUP(A25,ETANCHEITE!Q$19:Q$164,ETANCHEITE!$A$19:$A$164,"")&lt;&gt;"",_xlfn.XLOOKUP(A25,ETANCHEITE!Q$19:Q$164,ETANCHEITE!$A$19:$A$164,""),    INDEX(ETANCHEITE!$A:$A,MAX(_xlfn._xlws.FILTER(ROW(ETANCHEITE!$A$19:INDIRECT("'MENUISERIES EXTERIEURES'!$A" &amp; D25-1)),ETANCHEITE!$A$19:INDIRECT("'MENUISERIES EXTERIEURES'!$A" &amp; D25-1)&lt;&gt;"")))),"")&amp;"   "&amp;IFERROR(_xlfn.XLOOKUP(A25,ETANCHEITE!Q$19:Q$164,ETANCHEITE!$B$19:$B$164),"")&amp;IFERROR(_xlfn.XLOOKUP(A25,ETANCHEITE!Q$19:Q$164,ETANCHEITE!$C$19:$C$164),"")&amp;IFERROR(_xlfn.XLOOKUP(A25,ETANCHEITE!Q$19:Q$164,ETANCHEITE!$D$19:$D$164),"")&amp;IFERROR(_xlfn.XLOOKUP(A25,ETANCHEITE!Q$19:Q$164,ETANCHEITE!$E$19:$E$164),"")&amp;IFERROR(_xlfn.XLOOKUP(A25,ETANCHEITE!Q$19:Q$164,ETANCHEITE!$F$19:$F$164),"")</f>
        <v xml:space="preserve">   </v>
      </c>
      <c r="F25" s="168" t="str">
        <f>IFERROR(VLOOKUP(A25,ETANCHEITE!Q$19:S$164,2,FALSE),"")&amp;" "&amp;IFERROR(VLOOKUP(A25,ETANCHEITE!Q$19:S$164,3,FALSE),"")</f>
        <v xml:space="preserve"> </v>
      </c>
      <c r="G25" s="161" t="str">
        <f>IF(F25&lt;&gt;" ",'Feuille de Donnée'!$C$3,"")</f>
        <v/>
      </c>
      <c r="H25" s="232" t="str" cm="1">
        <f t="array" aca="1" ref="H25" ca="1">IFERROR(IF(_xlfn.XLOOKUP(A25,ETANCHEITE!Q$19:Q$89,ETANCHEITE!O$19:O$89,"")&lt;&gt;"",_xlfn.XLOOKUP(A25,ETANCHEITE!Q$19:Q$89,ETANCHEITE!O$19:O$89,""),    INDEX(ETANCHEITE!O:O,MAX(_xlfn._xlws.FILTER(ROW(ETANCHEITE!O$19:INDIRECT("'PEINTURE'!O" &amp; D25-1)),ETANCHEITE!O$19:INDIRECT("'PEINTURE'!O" &amp; D25-1)&lt;&gt;"")))),"")</f>
        <v/>
      </c>
      <c r="I25" s="233" t="str" cm="1">
        <f t="array" aca="1" ref="I25" ca="1">IFERROR(IF(_xlfn.XLOOKUP(A25,ETANCHEITE!Q$19:Q$89,ETANCHEITE!P$19:P$89,"")&lt;&gt;"",_xlfn.XLOOKUP(A25,ETANCHEITE!Q$19:Q$89,ETANCHEITE!P$19:P$89,""),    INDEX(ETANCHEITE!P:P,MAX(_xlfn._xlws.FILTER(ROW(ETANCHEITE!P$19:INDIRECT("'PEINTURE'!P" &amp; D25-1)),ETANCHEITE!P$19:INDIRECT("'PEINTURE'!P" &amp; D25-1)&lt;&gt;"")))),"")</f>
        <v/>
      </c>
      <c r="J25" s="158">
        <v>23</v>
      </c>
      <c r="K25" s="167" t="str">
        <f>IF(O25&lt;&gt;" ",ETANCHEITE!$D$5,"")</f>
        <v/>
      </c>
      <c r="L25" s="167" t="str">
        <f>IF(O25&lt;&gt;" ",ETANCHEITE!$D$8,"")</f>
        <v/>
      </c>
      <c r="M25" s="159" t="str">
        <f>IFERROR(MATCH(J25,ETANCHEITE!Z$19:Z$164,0)+18,"")</f>
        <v/>
      </c>
      <c r="N25" s="160" t="str" cm="1">
        <f t="array" aca="1" ref="N25" ca="1">IFERROR(IF(_xlfn.XLOOKUP(J25,ETANCHEITE!Z$19:Z$164,ETANCHEITE!$A$19:$A$164,"")&lt;&gt;"",_xlfn.XLOOKUP(J25,ETANCHEITE!Z$19:Z$164,ETANCHEITE!$A$19:$A$164,""),    INDEX(ETANCHEITE!$A:$A,MAX(_xlfn._xlws.FILTER(ROW(ETANCHEITE!$A$19:INDIRECT("'MENUISERIES EXTERIEURES'!$A" &amp; M25-1)),ETANCHEITE!$A$19:INDIRECT("'MENUISERIES EXTERIEURES'!$A" &amp; M25-1)&lt;&gt;"")))),"")&amp;"   "&amp;IFERROR(_xlfn.XLOOKUP(J25,ETANCHEITE!Z$19:Z$164,ETANCHEITE!$B$19:$B$164),"")&amp;IFERROR(_xlfn.XLOOKUP(J25,ETANCHEITE!Z$19:Z$164,ETANCHEITE!$C$19:$C$164),"")&amp;IFERROR(_xlfn.XLOOKUP(J25,ETANCHEITE!Z$19:Z$164,ETANCHEITE!$D$19:$D$164),"")&amp;IFERROR(_xlfn.XLOOKUP(J25,ETANCHEITE!Z$19:Z$164,ETANCHEITE!$E$19:$E$164),"")&amp;IFERROR(_xlfn.XLOOKUP(J25,ETANCHEITE!Z$19:Z$164,ETANCHEITE!$F$19:$F$164),"")</f>
        <v xml:space="preserve">   </v>
      </c>
      <c r="O25" s="168" t="str">
        <f>IFERROR(VLOOKUP(J25,ETANCHEITE!Z$19:AB$164,2,FALSE),"")&amp;" "&amp;IFERROR(VLOOKUP(J25,ETANCHEITE!Z$19:AB$164,3,FALSE),"")</f>
        <v xml:space="preserve"> </v>
      </c>
      <c r="P25" s="161" t="str">
        <f>IF(O25&lt;&gt;" ",'Feuille de Donnée'!$C$3,"")</f>
        <v/>
      </c>
      <c r="Q25" s="232" t="str" cm="1">
        <f t="array" aca="1" ref="Q25" ca="1">IFERROR(IF(_xlfn.XLOOKUP(J25,ETANCHEITE!Z$19:Z$89,ETANCHEITE!X$19:X$89,"")&lt;&gt;"",_xlfn.XLOOKUP(J25,ETANCHEITE!Z$19:Z$89,ETANCHEITE!X$19:X$89,""),    INDEX(ETANCHEITE!X:X,MAX(_xlfn._xlws.FILTER(ROW(ETANCHEITE!X$19:INDIRECT("'PEINTURE'!O" &amp; M25-1)),ETANCHEITE!X$19:INDIRECT("'PEINTURE'!O" &amp; M25-1)&lt;&gt;"")))),"")</f>
        <v/>
      </c>
      <c r="R25" s="233" t="str" cm="1">
        <f t="array" aca="1" ref="R25" ca="1">IFERROR(IF(_xlfn.XLOOKUP(J25,ETANCHEITE!Z$19:Z$89,ETANCHEITE!Y$19:Y$89,"")&lt;&gt;"",_xlfn.XLOOKUP(J25,ETANCHEITE!Z$19:Z$89,ETANCHEITE!Y$19:Y$89,""),    INDEX(ETANCHEITE!Y:Y,MAX(_xlfn._xlws.FILTER(ROW(ETANCHEITE!Y$19:INDIRECT("'PEINTURE'!P" &amp; M25-1)),ETANCHEITE!Y$19:INDIRECT("'PEINTURE'!P" &amp; M25-1)&lt;&gt;"")))),"")</f>
        <v/>
      </c>
      <c r="S25" s="158">
        <v>23</v>
      </c>
      <c r="T25" s="167" t="str">
        <f>IF(X25&lt;&gt;" ",ETANCHEITE!$D$5,"")</f>
        <v/>
      </c>
      <c r="U25" s="167" t="str">
        <f>IF(X25&lt;&gt;" ",ETANCHEITE!$D$8,"")</f>
        <v/>
      </c>
      <c r="V25" s="159" t="str">
        <f>IFERROR(MATCH(S25,ETANCHEITE!AI$19:AI$164,0)+18,"")</f>
        <v/>
      </c>
      <c r="W25" s="160" t="str" cm="1">
        <f t="array" aca="1" ref="W25" ca="1">IFERROR(IF(_xlfn.XLOOKUP(S25,ETANCHEITE!AI$19:AI$164,ETANCHEITE!$A$19:$A$164,"")&lt;&gt;"",_xlfn.XLOOKUP(S25,ETANCHEITE!AI$19:AI$164,ETANCHEITE!$A$19:$A$164,""),    INDEX(ETANCHEITE!$A:$A,MAX(_xlfn._xlws.FILTER(ROW(ETANCHEITE!$A$19:INDIRECT("'MENUISERIES EXTERIEURES'!$A" &amp; V25-1)),ETANCHEITE!$A$19:INDIRECT("'MENUISERIES EXTERIEURES'!$A" &amp; V25-1)&lt;&gt;"")))),"")&amp;"   "&amp;IFERROR(_xlfn.XLOOKUP(S25,ETANCHEITE!AI$19:AI$164,ETANCHEITE!$B$19:$B$164),"")&amp;IFERROR(_xlfn.XLOOKUP(S25,ETANCHEITE!AI$19:AI$164,ETANCHEITE!$C$19:$C$164),"")&amp;IFERROR(_xlfn.XLOOKUP(S25,ETANCHEITE!AI$19:AI$164,ETANCHEITE!$D$19:$D$164),"")&amp;IFERROR(_xlfn.XLOOKUP(S25,ETANCHEITE!AI$19:AI$164,ETANCHEITE!$E$19:$E$164),"")&amp;IFERROR(_xlfn.XLOOKUP(S25,ETANCHEITE!AI$19:AI$164,ETANCHEITE!$F$19:$F$164),"")</f>
        <v xml:space="preserve">   </v>
      </c>
      <c r="X25" s="168" t="str">
        <f>IFERROR(VLOOKUP(S25,ETANCHEITE!AI$19:AK$164,2,FALSE),"")&amp;" "&amp;IFERROR(VLOOKUP(S25,ETANCHEITE!AI$19:AK$164,3,FALSE),"")</f>
        <v xml:space="preserve"> </v>
      </c>
      <c r="Y25" s="161" t="str">
        <f>IF(X25&lt;&gt;" ",'Feuille de Donnée'!$C$3,"")</f>
        <v/>
      </c>
      <c r="Z25" s="232" t="str" cm="1">
        <f t="array" aca="1" ref="Z25" ca="1">IFERROR(IF(_xlfn.XLOOKUP(S25,ETANCHEITE!AI$19:AI$89,ETANCHEITE!AG$19:AG$89,"")&lt;&gt;"",_xlfn.XLOOKUP(S25,ETANCHEITE!AI$19:AI$89,ETANCHEITE!AG$19:AG$89,""),    INDEX(ETANCHEITE!AG:AG,MAX(_xlfn._xlws.FILTER(ROW(ETANCHEITE!AG$19:INDIRECT("'PEINTURE'!O" &amp; V25-1)),ETANCHEITE!AG$19:INDIRECT("'PEINTURE'!O" &amp; V25-1)&lt;&gt;"")))),"")</f>
        <v/>
      </c>
      <c r="AA25" s="233" t="str" cm="1">
        <f t="array" aca="1" ref="AA25" ca="1">IFERROR(IF(_xlfn.XLOOKUP(S25,ETANCHEITE!AI$19:AI$89,ETANCHEITE!AH$19:AH$89,"")&lt;&gt;"",_xlfn.XLOOKUP(S25,ETANCHEITE!AI$19:AI$89,ETANCHEITE!AH$19:AH$89,""),    INDEX(ETANCHEITE!AH:AH,MAX(_xlfn._xlws.FILTER(ROW(ETANCHEITE!AH$19:INDIRECT("'PEINTURE'!P" &amp; V25-1)),ETANCHEITE!AH$19:INDIRECT("'PEINTURE'!P" &amp; V25-1)&lt;&gt;"")))),"")</f>
        <v/>
      </c>
      <c r="AB25" s="158">
        <v>23</v>
      </c>
      <c r="AC25" s="167" t="str">
        <f>IF(AG25&lt;&gt;" ",ETANCHEITE!$D$5,"")</f>
        <v/>
      </c>
      <c r="AD25" s="167" t="str">
        <f>IF(AG25&lt;&gt;" ",ETANCHEITE!$D$8,"")</f>
        <v/>
      </c>
      <c r="AE25" s="159" t="str">
        <f>IFERROR(MATCH(AB25,ETANCHEITE!AR$19:AR$164,0)+18,"")</f>
        <v/>
      </c>
      <c r="AF25" s="160" t="str" cm="1">
        <f t="array" aca="1" ref="AF25" ca="1">IFERROR(IF(_xlfn.XLOOKUP(AB25,ETANCHEITE!AR$19:AR$164,ETANCHEITE!$A$19:$A$164,"")&lt;&gt;"",_xlfn.XLOOKUP(AB25,ETANCHEITE!AR$19:AR$164,ETANCHEITE!$A$19:$A$164,""),    INDEX(ETANCHEITE!$A:$A,MAX(_xlfn._xlws.FILTER(ROW(ETANCHEITE!$A$19:INDIRECT("'MENUISERIES EXTERIEURES'!$A" &amp; AE25-1)),ETANCHEITE!$A$19:INDIRECT("'MENUISERIES EXTERIEURES'!$A" &amp; AE25-1)&lt;&gt;"")))),"")&amp;"   "&amp;IFERROR(_xlfn.XLOOKUP(AB25,ETANCHEITE!AR$19:AR$164,ETANCHEITE!$B$19:$B$164),"")&amp;IFERROR(_xlfn.XLOOKUP(AB25,ETANCHEITE!AR$19:AR$164,ETANCHEITE!$C$19:$C$164),"")&amp;IFERROR(_xlfn.XLOOKUP(AB25,ETANCHEITE!AR$19:AR$164,ETANCHEITE!$D$19:$D$164),"")&amp;IFERROR(_xlfn.XLOOKUP(AB25,ETANCHEITE!AR$19:AR$164,ETANCHEITE!$E$19:$E$164),"")&amp;IFERROR(_xlfn.XLOOKUP(AB25,ETANCHEITE!AR$19:AR$164,ETANCHEITE!$F$19:$F$164),"")</f>
        <v xml:space="preserve">   </v>
      </c>
      <c r="AG25" s="168" t="str">
        <f>IFERROR(VLOOKUP(AB25,ETANCHEITE!AR$19:AT$164,2,FALSE),"")&amp;" "&amp;IFERROR(VLOOKUP(AB25,ETANCHEITE!AR$19:AT$164,3,FALSE),"")</f>
        <v xml:space="preserve"> </v>
      </c>
      <c r="AH25" s="161" t="str">
        <f>IF(AG25&lt;&gt;" ",'Feuille de Donnée'!$C$3,"")</f>
        <v/>
      </c>
      <c r="AI25" s="232" t="str" cm="1">
        <f t="array" aca="1" ref="AI25" ca="1">IFERROR(IF(_xlfn.XLOOKUP(AB25,ETANCHEITE!AR$19:AR$89,ETANCHEITE!AP$19:AP$89,"")&lt;&gt;"",_xlfn.XLOOKUP(AB25,ETANCHEITE!AR$19:AR$89,ETANCHEITE!AP$19:AP$89,""),    INDEX(ETANCHEITE!AP:AP,MAX(_xlfn._xlws.FILTER(ROW(ETANCHEITE!AP$19:INDIRECT("'PEINTURE'!O" &amp; AE25-1)),ETANCHEITE!AP$19:INDIRECT("'PEINTURE'!O" &amp; AE25-1)&lt;&gt;"")))),"")</f>
        <v/>
      </c>
      <c r="AJ25" s="233" t="str" cm="1">
        <f t="array" aca="1" ref="AJ25" ca="1">IFERROR(IF(_xlfn.XLOOKUP(AB25,ETANCHEITE!AR$19:AR$89,ETANCHEITE!AQ$19:AQ$89,"")&lt;&gt;"",_xlfn.XLOOKUP(AB25,ETANCHEITE!AR$19:AR$89,ETANCHEITE!AQ$19:AQ$89,""),    INDEX(ETANCHEITE!AQ:AQ,MAX(_xlfn._xlws.FILTER(ROW(ETANCHEITE!AQ$19:INDIRECT("'PEINTURE'!P" &amp; AE25-1)),ETANCHEITE!AQ$19:INDIRECT("'PEINTURE'!P" &amp; AE25-1)&lt;&gt;"")))),"")</f>
        <v/>
      </c>
      <c r="AK25" s="158">
        <v>23</v>
      </c>
      <c r="AL25" s="167" t="str">
        <f>IF(AP25&lt;&gt;" ",ETANCHEITE!$D$5,"")</f>
        <v/>
      </c>
      <c r="AM25" s="167" t="str">
        <f>IF(AP25&lt;&gt;" ",ETANCHEITE!$D$8,"")</f>
        <v/>
      </c>
      <c r="AN25" s="159" t="str">
        <f>IFERROR(MATCH(AK25,ETANCHEITE!BA$19:BA$164,0)+18,"")</f>
        <v/>
      </c>
      <c r="AO25" s="160" t="str" cm="1">
        <f t="array" aca="1" ref="AO25" ca="1">IFERROR(IF(_xlfn.XLOOKUP(AK25,ETANCHEITE!BA$19:BA$164,ETANCHEITE!$A$19:$A$164,"")&lt;&gt;"",_xlfn.XLOOKUP(AK25,ETANCHEITE!BA$19:BA$164,ETANCHEITE!$A$19:$A$164,""),    INDEX(ETANCHEITE!$A:$A,MAX(_xlfn._xlws.FILTER(ROW(ETANCHEITE!$A$19:INDIRECT("'MENUISERIES EXTERIEURES'!$A" &amp; AN25-1)),ETANCHEITE!$A$19:INDIRECT("'MENUISERIES EXTERIEURES'!$A" &amp; AN25-1)&lt;&gt;"")))),"")&amp;"   "&amp;IFERROR(_xlfn.XLOOKUP(AK25,ETANCHEITE!BA$19:BA$164,ETANCHEITE!$B$19:$B$164),"")&amp;IFERROR(_xlfn.XLOOKUP(AK25,ETANCHEITE!BA$19:BA$164,ETANCHEITE!$C$19:$C$164),"")&amp;IFERROR(_xlfn.XLOOKUP(AK25,ETANCHEITE!BA$19:BA$164,ETANCHEITE!$D$19:$D$164),"")&amp;IFERROR(_xlfn.XLOOKUP(AK25,ETANCHEITE!BA$19:BA$164,ETANCHEITE!$E$19:$E$164),"")&amp;IFERROR(_xlfn.XLOOKUP(AK25,ETANCHEITE!BA$19:BA$164,ETANCHEITE!$F$19:$F$164),"")</f>
        <v xml:space="preserve">   </v>
      </c>
      <c r="AP25" s="168" t="str">
        <f>IFERROR(VLOOKUP(AK25,ETANCHEITE!BA$19:BC$164,2,FALSE),"")&amp;" "&amp;IFERROR(VLOOKUP(AK25,ETANCHEITE!BA$19:BC$164,3,FALSE),"")</f>
        <v xml:space="preserve"> </v>
      </c>
      <c r="AQ25" s="161" t="str">
        <f>IF(AP25&lt;&gt;" ",'Feuille de Donnée'!$C$3,"")</f>
        <v/>
      </c>
      <c r="AR25" s="232" t="str" cm="1">
        <f t="array" aca="1" ref="AR25" ca="1">IFERROR(IF(_xlfn.XLOOKUP(AK25,ETANCHEITE!BA$19:BA$89,ETANCHEITE!AY$19:AY$89,"")&lt;&gt;"",_xlfn.XLOOKUP(AK25,ETANCHEITE!BA$19:BA$89,ETANCHEITE!AY$19:AY$89,""),    INDEX(ETANCHEITE!AY:AY,MAX(_xlfn._xlws.FILTER(ROW(ETANCHEITE!AY$19:INDIRECT("'PEINTURE'!O" &amp; AN25-1)),ETANCHEITE!AY$19:INDIRECT("'PEINTURE'!O" &amp; AN25-1)&lt;&gt;"")))),"")</f>
        <v/>
      </c>
      <c r="AS25" s="233" t="str" cm="1">
        <f t="array" aca="1" ref="AS25" ca="1">IFERROR(IF(_xlfn.XLOOKUP(AK25,ETANCHEITE!BA$19:BA$89,ETANCHEITE!AZ$19:AZ$89,"")&lt;&gt;"",_xlfn.XLOOKUP(AK25,ETANCHEITE!BA$19:BA$89,ETANCHEITE!AZ$19:AZ$89,""),    INDEX(ETANCHEITE!AZ:AZ,MAX(_xlfn._xlws.FILTER(ROW(ETANCHEITE!AZ$19:INDIRECT("'PEINTURE'!P" &amp; AN25-1)),ETANCHEITE!AZ$19:INDIRECT("'PEINTURE'!P" &amp; AN25-1)&lt;&gt;"")))),"")</f>
        <v/>
      </c>
      <c r="AT25" s="158">
        <v>23</v>
      </c>
      <c r="AU25" s="167" t="str">
        <f>IF(AY25&lt;&gt;" ",ETANCHEITE!$D$5,"")</f>
        <v/>
      </c>
      <c r="AV25" s="167" t="str">
        <f>IF(AY25&lt;&gt;" ",ETANCHEITE!$D$8,"")</f>
        <v/>
      </c>
      <c r="AW25" s="159" t="str">
        <f>IFERROR(MATCH(AT25,ETANCHEITE!BJ$19:BJ$164,0)+18,"")</f>
        <v/>
      </c>
      <c r="AX25" s="160" t="str" cm="1">
        <f t="array" aca="1" ref="AX25" ca="1">IFERROR(IF(_xlfn.XLOOKUP(AT25,ETANCHEITE!BJ$19:BJ$164,ETANCHEITE!$A$19:$A$164,"")&lt;&gt;"",_xlfn.XLOOKUP(AT25,ETANCHEITE!BJ$19:BJ$164,ETANCHEITE!$A$19:$A$164,""),    INDEX(ETANCHEITE!$A:$A,MAX(_xlfn._xlws.FILTER(ROW(ETANCHEITE!$A$19:INDIRECT("'MENUISERIES EXTERIEURES'!$A" &amp; AW25-1)),ETANCHEITE!$A$19:INDIRECT("'MENUISERIES EXTERIEURES'!$A" &amp; AW25-1)&lt;&gt;"")))),"")&amp;"   "&amp;IFERROR(_xlfn.XLOOKUP(AT25,ETANCHEITE!BJ$19:BJ$164,ETANCHEITE!$B$19:$B$164),"")&amp;IFERROR(_xlfn.XLOOKUP(AT25,ETANCHEITE!BJ$19:BJ$164,ETANCHEITE!$C$19:$C$164),"")&amp;IFERROR(_xlfn.XLOOKUP(AT25,ETANCHEITE!BJ$19:BJ$164,ETANCHEITE!$D$19:$D$164),"")&amp;IFERROR(_xlfn.XLOOKUP(AT25,ETANCHEITE!BJ$19:BJ$164,ETANCHEITE!$E$19:$E$164),"")&amp;IFERROR(_xlfn.XLOOKUP(AT25,ETANCHEITE!BJ$19:BJ$164,ETANCHEITE!$F$19:$F$164),"")</f>
        <v xml:space="preserve">   </v>
      </c>
      <c r="AY25" s="168" t="str">
        <f>IFERROR(VLOOKUP(AT25,ETANCHEITE!BJ$19:BL$164,2,FALSE),"")&amp;" "&amp;IFERROR(VLOOKUP(AT25,ETANCHEITE!BJ$19:BL$164,3,FALSE),"")</f>
        <v xml:space="preserve"> </v>
      </c>
      <c r="AZ25" s="161" t="str">
        <f>IF(AY25&lt;&gt;" ",'Feuille de Donnée'!$C$3,"")</f>
        <v/>
      </c>
      <c r="BA25" s="232" t="str" cm="1">
        <f t="array" aca="1" ref="BA25" ca="1">IFERROR(IF(_xlfn.XLOOKUP(AT25,ETANCHEITE!BJ$19:BJ$89,ETANCHEITE!BH$19:BH$89,"")&lt;&gt;"",_xlfn.XLOOKUP(AT25,ETANCHEITE!BJ$19:BJ$89,ETANCHEITE!BH$19:BH$89,""),    INDEX(ETANCHEITE!BH:BH,MAX(_xlfn._xlws.FILTER(ROW(ETANCHEITE!BH$19:INDIRECT("'PEINTURE'!O" &amp; AW25-1)),ETANCHEITE!BH$19:INDIRECT("'PEINTURE'!O" &amp; AW25-1)&lt;&gt;"")))),"")</f>
        <v/>
      </c>
      <c r="BB25" s="233" t="str" cm="1">
        <f t="array" aca="1" ref="BB25" ca="1">IFERROR(IF(_xlfn.XLOOKUP(AT25,ETANCHEITE!BJ$19:BJ$89,ETANCHEITE!BI$19:BI$89,"")&lt;&gt;"",_xlfn.XLOOKUP(AT25,ETANCHEITE!BJ$19:BJ$89,ETANCHEITE!BI$19:BI$89,""),    INDEX(ETANCHEITE!BI:BI,MAX(_xlfn._xlws.FILTER(ROW(ETANCHEITE!BI$19:INDIRECT("'PEINTURE'!P" &amp; AW25-1)),ETANCHEITE!BI$19:INDIRECT("'PEINTURE'!P" &amp; AW25-1)&lt;&gt;"")))),"")</f>
        <v/>
      </c>
    </row>
    <row r="26" spans="1:54" ht="15" customHeight="1" x14ac:dyDescent="0.3">
      <c r="A26" s="158">
        <v>24</v>
      </c>
      <c r="B26" s="167" t="str">
        <f>IF(F26&lt;&gt;" ",ETANCHEITE!$D$5,"")</f>
        <v/>
      </c>
      <c r="C26" s="167" t="str">
        <f>IF(F26&lt;&gt;" ",ETANCHEITE!$D$8,"")</f>
        <v/>
      </c>
      <c r="D26" s="159" t="str">
        <f>IFERROR(MATCH(A26,ETANCHEITE!Q$19:Q$164,0)+18,"")</f>
        <v/>
      </c>
      <c r="E26" s="160" t="str" cm="1">
        <f t="array" aca="1" ref="E26" ca="1">IFERROR(IF(_xlfn.XLOOKUP(A26,ETANCHEITE!Q$19:Q$164,ETANCHEITE!$A$19:$A$164,"")&lt;&gt;"",_xlfn.XLOOKUP(A26,ETANCHEITE!Q$19:Q$164,ETANCHEITE!$A$19:$A$164,""),    INDEX(ETANCHEITE!$A:$A,MAX(_xlfn._xlws.FILTER(ROW(ETANCHEITE!$A$19:INDIRECT("'MENUISERIES EXTERIEURES'!$A" &amp; D26-1)),ETANCHEITE!$A$19:INDIRECT("'MENUISERIES EXTERIEURES'!$A" &amp; D26-1)&lt;&gt;"")))),"")&amp;"   "&amp;IFERROR(_xlfn.XLOOKUP(A26,ETANCHEITE!Q$19:Q$164,ETANCHEITE!$B$19:$B$164),"")&amp;IFERROR(_xlfn.XLOOKUP(A26,ETANCHEITE!Q$19:Q$164,ETANCHEITE!$C$19:$C$164),"")&amp;IFERROR(_xlfn.XLOOKUP(A26,ETANCHEITE!Q$19:Q$164,ETANCHEITE!$D$19:$D$164),"")&amp;IFERROR(_xlfn.XLOOKUP(A26,ETANCHEITE!Q$19:Q$164,ETANCHEITE!$E$19:$E$164),"")&amp;IFERROR(_xlfn.XLOOKUP(A26,ETANCHEITE!Q$19:Q$164,ETANCHEITE!$F$19:$F$164),"")</f>
        <v xml:space="preserve">   </v>
      </c>
      <c r="F26" s="168" t="str">
        <f>IFERROR(VLOOKUP(A26,ETANCHEITE!Q$19:S$164,2,FALSE),"")&amp;" "&amp;IFERROR(VLOOKUP(A26,ETANCHEITE!Q$19:S$164,3,FALSE),"")</f>
        <v xml:space="preserve"> </v>
      </c>
      <c r="G26" s="161" t="str">
        <f>IF(F26&lt;&gt;" ",'Feuille de Donnée'!$C$3,"")</f>
        <v/>
      </c>
      <c r="H26" s="232" t="str" cm="1">
        <f t="array" aca="1" ref="H26" ca="1">IFERROR(IF(_xlfn.XLOOKUP(A26,ETANCHEITE!Q$19:Q$89,ETANCHEITE!O$19:O$89,"")&lt;&gt;"",_xlfn.XLOOKUP(A26,ETANCHEITE!Q$19:Q$89,ETANCHEITE!O$19:O$89,""),    INDEX(ETANCHEITE!O:O,MAX(_xlfn._xlws.FILTER(ROW(ETANCHEITE!O$19:INDIRECT("'PEINTURE'!O" &amp; D26-1)),ETANCHEITE!O$19:INDIRECT("'PEINTURE'!O" &amp; D26-1)&lt;&gt;"")))),"")</f>
        <v/>
      </c>
      <c r="I26" s="233" t="str" cm="1">
        <f t="array" aca="1" ref="I26" ca="1">IFERROR(IF(_xlfn.XLOOKUP(A26,ETANCHEITE!Q$19:Q$89,ETANCHEITE!P$19:P$89,"")&lt;&gt;"",_xlfn.XLOOKUP(A26,ETANCHEITE!Q$19:Q$89,ETANCHEITE!P$19:P$89,""),    INDEX(ETANCHEITE!P:P,MAX(_xlfn._xlws.FILTER(ROW(ETANCHEITE!P$19:INDIRECT("'PEINTURE'!P" &amp; D26-1)),ETANCHEITE!P$19:INDIRECT("'PEINTURE'!P" &amp; D26-1)&lt;&gt;"")))),"")</f>
        <v/>
      </c>
      <c r="J26" s="158">
        <v>24</v>
      </c>
      <c r="K26" s="167" t="str">
        <f>IF(O26&lt;&gt;" ",ETANCHEITE!$D$5,"")</f>
        <v/>
      </c>
      <c r="L26" s="167" t="str">
        <f>IF(O26&lt;&gt;" ",ETANCHEITE!$D$8,"")</f>
        <v/>
      </c>
      <c r="M26" s="159" t="str">
        <f>IFERROR(MATCH(J26,ETANCHEITE!Z$19:Z$164,0)+18,"")</f>
        <v/>
      </c>
      <c r="N26" s="160" t="str" cm="1">
        <f t="array" aca="1" ref="N26" ca="1">IFERROR(IF(_xlfn.XLOOKUP(J26,ETANCHEITE!Z$19:Z$164,ETANCHEITE!$A$19:$A$164,"")&lt;&gt;"",_xlfn.XLOOKUP(J26,ETANCHEITE!Z$19:Z$164,ETANCHEITE!$A$19:$A$164,""),    INDEX(ETANCHEITE!$A:$A,MAX(_xlfn._xlws.FILTER(ROW(ETANCHEITE!$A$19:INDIRECT("'MENUISERIES EXTERIEURES'!$A" &amp; M26-1)),ETANCHEITE!$A$19:INDIRECT("'MENUISERIES EXTERIEURES'!$A" &amp; M26-1)&lt;&gt;"")))),"")&amp;"   "&amp;IFERROR(_xlfn.XLOOKUP(J26,ETANCHEITE!Z$19:Z$164,ETANCHEITE!$B$19:$B$164),"")&amp;IFERROR(_xlfn.XLOOKUP(J26,ETANCHEITE!Z$19:Z$164,ETANCHEITE!$C$19:$C$164),"")&amp;IFERROR(_xlfn.XLOOKUP(J26,ETANCHEITE!Z$19:Z$164,ETANCHEITE!$D$19:$D$164),"")&amp;IFERROR(_xlfn.XLOOKUP(J26,ETANCHEITE!Z$19:Z$164,ETANCHEITE!$E$19:$E$164),"")&amp;IFERROR(_xlfn.XLOOKUP(J26,ETANCHEITE!Z$19:Z$164,ETANCHEITE!$F$19:$F$164),"")</f>
        <v xml:space="preserve">   </v>
      </c>
      <c r="O26" s="168" t="str">
        <f>IFERROR(VLOOKUP(J26,ETANCHEITE!Z$19:AB$164,2,FALSE),"")&amp;" "&amp;IFERROR(VLOOKUP(J26,ETANCHEITE!Z$19:AB$164,3,FALSE),"")</f>
        <v xml:space="preserve"> </v>
      </c>
      <c r="P26" s="161" t="str">
        <f>IF(O26&lt;&gt;" ",'Feuille de Donnée'!$C$3,"")</f>
        <v/>
      </c>
      <c r="Q26" s="232" t="str" cm="1">
        <f t="array" aca="1" ref="Q26" ca="1">IFERROR(IF(_xlfn.XLOOKUP(J26,ETANCHEITE!Z$19:Z$89,ETANCHEITE!X$19:X$89,"")&lt;&gt;"",_xlfn.XLOOKUP(J26,ETANCHEITE!Z$19:Z$89,ETANCHEITE!X$19:X$89,""),    INDEX(ETANCHEITE!X:X,MAX(_xlfn._xlws.FILTER(ROW(ETANCHEITE!X$19:INDIRECT("'PEINTURE'!O" &amp; M26-1)),ETANCHEITE!X$19:INDIRECT("'PEINTURE'!O" &amp; M26-1)&lt;&gt;"")))),"")</f>
        <v/>
      </c>
      <c r="R26" s="233" t="str" cm="1">
        <f t="array" aca="1" ref="R26" ca="1">IFERROR(IF(_xlfn.XLOOKUP(J26,ETANCHEITE!Z$19:Z$89,ETANCHEITE!Y$19:Y$89,"")&lt;&gt;"",_xlfn.XLOOKUP(J26,ETANCHEITE!Z$19:Z$89,ETANCHEITE!Y$19:Y$89,""),    INDEX(ETANCHEITE!Y:Y,MAX(_xlfn._xlws.FILTER(ROW(ETANCHEITE!Y$19:INDIRECT("'PEINTURE'!P" &amp; M26-1)),ETANCHEITE!Y$19:INDIRECT("'PEINTURE'!P" &amp; M26-1)&lt;&gt;"")))),"")</f>
        <v/>
      </c>
      <c r="S26" s="158">
        <v>24</v>
      </c>
      <c r="T26" s="167" t="str">
        <f>IF(X26&lt;&gt;" ",ETANCHEITE!$D$5,"")</f>
        <v/>
      </c>
      <c r="U26" s="167" t="str">
        <f>IF(X26&lt;&gt;" ",ETANCHEITE!$D$8,"")</f>
        <v/>
      </c>
      <c r="V26" s="159" t="str">
        <f>IFERROR(MATCH(S26,ETANCHEITE!AI$19:AI$164,0)+18,"")</f>
        <v/>
      </c>
      <c r="W26" s="160" t="str" cm="1">
        <f t="array" aca="1" ref="W26" ca="1">IFERROR(IF(_xlfn.XLOOKUP(S26,ETANCHEITE!AI$19:AI$164,ETANCHEITE!$A$19:$A$164,"")&lt;&gt;"",_xlfn.XLOOKUP(S26,ETANCHEITE!AI$19:AI$164,ETANCHEITE!$A$19:$A$164,""),    INDEX(ETANCHEITE!$A:$A,MAX(_xlfn._xlws.FILTER(ROW(ETANCHEITE!$A$19:INDIRECT("'MENUISERIES EXTERIEURES'!$A" &amp; V26-1)),ETANCHEITE!$A$19:INDIRECT("'MENUISERIES EXTERIEURES'!$A" &amp; V26-1)&lt;&gt;"")))),"")&amp;"   "&amp;IFERROR(_xlfn.XLOOKUP(S26,ETANCHEITE!AI$19:AI$164,ETANCHEITE!$B$19:$B$164),"")&amp;IFERROR(_xlfn.XLOOKUP(S26,ETANCHEITE!AI$19:AI$164,ETANCHEITE!$C$19:$C$164),"")&amp;IFERROR(_xlfn.XLOOKUP(S26,ETANCHEITE!AI$19:AI$164,ETANCHEITE!$D$19:$D$164),"")&amp;IFERROR(_xlfn.XLOOKUP(S26,ETANCHEITE!AI$19:AI$164,ETANCHEITE!$E$19:$E$164),"")&amp;IFERROR(_xlfn.XLOOKUP(S26,ETANCHEITE!AI$19:AI$164,ETANCHEITE!$F$19:$F$164),"")</f>
        <v xml:space="preserve">   </v>
      </c>
      <c r="X26" s="168" t="str">
        <f>IFERROR(VLOOKUP(S26,ETANCHEITE!AI$19:AK$164,2,FALSE),"")&amp;" "&amp;IFERROR(VLOOKUP(S26,ETANCHEITE!AI$19:AK$164,3,FALSE),"")</f>
        <v xml:space="preserve"> </v>
      </c>
      <c r="Y26" s="161" t="str">
        <f>IF(X26&lt;&gt;" ",'Feuille de Donnée'!$C$3,"")</f>
        <v/>
      </c>
      <c r="Z26" s="232" t="str" cm="1">
        <f t="array" aca="1" ref="Z26" ca="1">IFERROR(IF(_xlfn.XLOOKUP(S26,ETANCHEITE!AI$19:AI$89,ETANCHEITE!AG$19:AG$89,"")&lt;&gt;"",_xlfn.XLOOKUP(S26,ETANCHEITE!AI$19:AI$89,ETANCHEITE!AG$19:AG$89,""),    INDEX(ETANCHEITE!AG:AG,MAX(_xlfn._xlws.FILTER(ROW(ETANCHEITE!AG$19:INDIRECT("'PEINTURE'!O" &amp; V26-1)),ETANCHEITE!AG$19:INDIRECT("'PEINTURE'!O" &amp; V26-1)&lt;&gt;"")))),"")</f>
        <v/>
      </c>
      <c r="AA26" s="233" t="str" cm="1">
        <f t="array" aca="1" ref="AA26" ca="1">IFERROR(IF(_xlfn.XLOOKUP(S26,ETANCHEITE!AI$19:AI$89,ETANCHEITE!AH$19:AH$89,"")&lt;&gt;"",_xlfn.XLOOKUP(S26,ETANCHEITE!AI$19:AI$89,ETANCHEITE!AH$19:AH$89,""),    INDEX(ETANCHEITE!AH:AH,MAX(_xlfn._xlws.FILTER(ROW(ETANCHEITE!AH$19:INDIRECT("'PEINTURE'!P" &amp; V26-1)),ETANCHEITE!AH$19:INDIRECT("'PEINTURE'!P" &amp; V26-1)&lt;&gt;"")))),"")</f>
        <v/>
      </c>
      <c r="AB26" s="158">
        <v>24</v>
      </c>
      <c r="AC26" s="167" t="str">
        <f>IF(AG26&lt;&gt;" ",ETANCHEITE!$D$5,"")</f>
        <v/>
      </c>
      <c r="AD26" s="167" t="str">
        <f>IF(AG26&lt;&gt;" ",ETANCHEITE!$D$8,"")</f>
        <v/>
      </c>
      <c r="AE26" s="159" t="str">
        <f>IFERROR(MATCH(AB26,ETANCHEITE!AR$19:AR$164,0)+18,"")</f>
        <v/>
      </c>
      <c r="AF26" s="160" t="str" cm="1">
        <f t="array" aca="1" ref="AF26" ca="1">IFERROR(IF(_xlfn.XLOOKUP(AB26,ETANCHEITE!AR$19:AR$164,ETANCHEITE!$A$19:$A$164,"")&lt;&gt;"",_xlfn.XLOOKUP(AB26,ETANCHEITE!AR$19:AR$164,ETANCHEITE!$A$19:$A$164,""),    INDEX(ETANCHEITE!$A:$A,MAX(_xlfn._xlws.FILTER(ROW(ETANCHEITE!$A$19:INDIRECT("'MENUISERIES EXTERIEURES'!$A" &amp; AE26-1)),ETANCHEITE!$A$19:INDIRECT("'MENUISERIES EXTERIEURES'!$A" &amp; AE26-1)&lt;&gt;"")))),"")&amp;"   "&amp;IFERROR(_xlfn.XLOOKUP(AB26,ETANCHEITE!AR$19:AR$164,ETANCHEITE!$B$19:$B$164),"")&amp;IFERROR(_xlfn.XLOOKUP(AB26,ETANCHEITE!AR$19:AR$164,ETANCHEITE!$C$19:$C$164),"")&amp;IFERROR(_xlfn.XLOOKUP(AB26,ETANCHEITE!AR$19:AR$164,ETANCHEITE!$D$19:$D$164),"")&amp;IFERROR(_xlfn.XLOOKUP(AB26,ETANCHEITE!AR$19:AR$164,ETANCHEITE!$E$19:$E$164),"")&amp;IFERROR(_xlfn.XLOOKUP(AB26,ETANCHEITE!AR$19:AR$164,ETANCHEITE!$F$19:$F$164),"")</f>
        <v xml:space="preserve">   </v>
      </c>
      <c r="AG26" s="168" t="str">
        <f>IFERROR(VLOOKUP(AB26,ETANCHEITE!AR$19:AT$164,2,FALSE),"")&amp;" "&amp;IFERROR(VLOOKUP(AB26,ETANCHEITE!AR$19:AT$164,3,FALSE),"")</f>
        <v xml:space="preserve"> </v>
      </c>
      <c r="AH26" s="161" t="str">
        <f>IF(AG26&lt;&gt;" ",'Feuille de Donnée'!$C$3,"")</f>
        <v/>
      </c>
      <c r="AI26" s="232" t="str" cm="1">
        <f t="array" aca="1" ref="AI26" ca="1">IFERROR(IF(_xlfn.XLOOKUP(AB26,ETANCHEITE!AR$19:AR$89,ETANCHEITE!AP$19:AP$89,"")&lt;&gt;"",_xlfn.XLOOKUP(AB26,ETANCHEITE!AR$19:AR$89,ETANCHEITE!AP$19:AP$89,""),    INDEX(ETANCHEITE!AP:AP,MAX(_xlfn._xlws.FILTER(ROW(ETANCHEITE!AP$19:INDIRECT("'PEINTURE'!O" &amp; AE26-1)),ETANCHEITE!AP$19:INDIRECT("'PEINTURE'!O" &amp; AE26-1)&lt;&gt;"")))),"")</f>
        <v/>
      </c>
      <c r="AJ26" s="233" t="str" cm="1">
        <f t="array" aca="1" ref="AJ26" ca="1">IFERROR(IF(_xlfn.XLOOKUP(AB26,ETANCHEITE!AR$19:AR$89,ETANCHEITE!AQ$19:AQ$89,"")&lt;&gt;"",_xlfn.XLOOKUP(AB26,ETANCHEITE!AR$19:AR$89,ETANCHEITE!AQ$19:AQ$89,""),    INDEX(ETANCHEITE!AQ:AQ,MAX(_xlfn._xlws.FILTER(ROW(ETANCHEITE!AQ$19:INDIRECT("'PEINTURE'!P" &amp; AE26-1)),ETANCHEITE!AQ$19:INDIRECT("'PEINTURE'!P" &amp; AE26-1)&lt;&gt;"")))),"")</f>
        <v/>
      </c>
      <c r="AK26" s="158">
        <v>24</v>
      </c>
      <c r="AL26" s="167" t="str">
        <f>IF(AP26&lt;&gt;" ",ETANCHEITE!$D$5,"")</f>
        <v/>
      </c>
      <c r="AM26" s="167" t="str">
        <f>IF(AP26&lt;&gt;" ",ETANCHEITE!$D$8,"")</f>
        <v/>
      </c>
      <c r="AN26" s="159" t="str">
        <f>IFERROR(MATCH(AK26,ETANCHEITE!BA$19:BA$164,0)+18,"")</f>
        <v/>
      </c>
      <c r="AO26" s="160" t="str" cm="1">
        <f t="array" aca="1" ref="AO26" ca="1">IFERROR(IF(_xlfn.XLOOKUP(AK26,ETANCHEITE!BA$19:BA$164,ETANCHEITE!$A$19:$A$164,"")&lt;&gt;"",_xlfn.XLOOKUP(AK26,ETANCHEITE!BA$19:BA$164,ETANCHEITE!$A$19:$A$164,""),    INDEX(ETANCHEITE!$A:$A,MAX(_xlfn._xlws.FILTER(ROW(ETANCHEITE!$A$19:INDIRECT("'MENUISERIES EXTERIEURES'!$A" &amp; AN26-1)),ETANCHEITE!$A$19:INDIRECT("'MENUISERIES EXTERIEURES'!$A" &amp; AN26-1)&lt;&gt;"")))),"")&amp;"   "&amp;IFERROR(_xlfn.XLOOKUP(AK26,ETANCHEITE!BA$19:BA$164,ETANCHEITE!$B$19:$B$164),"")&amp;IFERROR(_xlfn.XLOOKUP(AK26,ETANCHEITE!BA$19:BA$164,ETANCHEITE!$C$19:$C$164),"")&amp;IFERROR(_xlfn.XLOOKUP(AK26,ETANCHEITE!BA$19:BA$164,ETANCHEITE!$D$19:$D$164),"")&amp;IFERROR(_xlfn.XLOOKUP(AK26,ETANCHEITE!BA$19:BA$164,ETANCHEITE!$E$19:$E$164),"")&amp;IFERROR(_xlfn.XLOOKUP(AK26,ETANCHEITE!BA$19:BA$164,ETANCHEITE!$F$19:$F$164),"")</f>
        <v xml:space="preserve">   </v>
      </c>
      <c r="AP26" s="168" t="str">
        <f>IFERROR(VLOOKUP(AK26,ETANCHEITE!BA$19:BC$164,2,FALSE),"")&amp;" "&amp;IFERROR(VLOOKUP(AK26,ETANCHEITE!BA$19:BC$164,3,FALSE),"")</f>
        <v xml:space="preserve"> </v>
      </c>
      <c r="AQ26" s="161" t="str">
        <f>IF(AP26&lt;&gt;" ",'Feuille de Donnée'!$C$3,"")</f>
        <v/>
      </c>
      <c r="AR26" s="232" t="str" cm="1">
        <f t="array" aca="1" ref="AR26" ca="1">IFERROR(IF(_xlfn.XLOOKUP(AK26,ETANCHEITE!BA$19:BA$89,ETANCHEITE!AY$19:AY$89,"")&lt;&gt;"",_xlfn.XLOOKUP(AK26,ETANCHEITE!BA$19:BA$89,ETANCHEITE!AY$19:AY$89,""),    INDEX(ETANCHEITE!AY:AY,MAX(_xlfn._xlws.FILTER(ROW(ETANCHEITE!AY$19:INDIRECT("'PEINTURE'!O" &amp; AN26-1)),ETANCHEITE!AY$19:INDIRECT("'PEINTURE'!O" &amp; AN26-1)&lt;&gt;"")))),"")</f>
        <v/>
      </c>
      <c r="AS26" s="233" t="str" cm="1">
        <f t="array" aca="1" ref="AS26" ca="1">IFERROR(IF(_xlfn.XLOOKUP(AK26,ETANCHEITE!BA$19:BA$89,ETANCHEITE!AZ$19:AZ$89,"")&lt;&gt;"",_xlfn.XLOOKUP(AK26,ETANCHEITE!BA$19:BA$89,ETANCHEITE!AZ$19:AZ$89,""),    INDEX(ETANCHEITE!AZ:AZ,MAX(_xlfn._xlws.FILTER(ROW(ETANCHEITE!AZ$19:INDIRECT("'PEINTURE'!P" &amp; AN26-1)),ETANCHEITE!AZ$19:INDIRECT("'PEINTURE'!P" &amp; AN26-1)&lt;&gt;"")))),"")</f>
        <v/>
      </c>
      <c r="AT26" s="158">
        <v>24</v>
      </c>
      <c r="AU26" s="167" t="str">
        <f>IF(AY26&lt;&gt;" ",ETANCHEITE!$D$5,"")</f>
        <v/>
      </c>
      <c r="AV26" s="167" t="str">
        <f>IF(AY26&lt;&gt;" ",ETANCHEITE!$D$8,"")</f>
        <v/>
      </c>
      <c r="AW26" s="159" t="str">
        <f>IFERROR(MATCH(AT26,ETANCHEITE!BJ$19:BJ$164,0)+18,"")</f>
        <v/>
      </c>
      <c r="AX26" s="160" t="str" cm="1">
        <f t="array" aca="1" ref="AX26" ca="1">IFERROR(IF(_xlfn.XLOOKUP(AT26,ETANCHEITE!BJ$19:BJ$164,ETANCHEITE!$A$19:$A$164,"")&lt;&gt;"",_xlfn.XLOOKUP(AT26,ETANCHEITE!BJ$19:BJ$164,ETANCHEITE!$A$19:$A$164,""),    INDEX(ETANCHEITE!$A:$A,MAX(_xlfn._xlws.FILTER(ROW(ETANCHEITE!$A$19:INDIRECT("'MENUISERIES EXTERIEURES'!$A" &amp; AW26-1)),ETANCHEITE!$A$19:INDIRECT("'MENUISERIES EXTERIEURES'!$A" &amp; AW26-1)&lt;&gt;"")))),"")&amp;"   "&amp;IFERROR(_xlfn.XLOOKUP(AT26,ETANCHEITE!BJ$19:BJ$164,ETANCHEITE!$B$19:$B$164),"")&amp;IFERROR(_xlfn.XLOOKUP(AT26,ETANCHEITE!BJ$19:BJ$164,ETANCHEITE!$C$19:$C$164),"")&amp;IFERROR(_xlfn.XLOOKUP(AT26,ETANCHEITE!BJ$19:BJ$164,ETANCHEITE!$D$19:$D$164),"")&amp;IFERROR(_xlfn.XLOOKUP(AT26,ETANCHEITE!BJ$19:BJ$164,ETANCHEITE!$E$19:$E$164),"")&amp;IFERROR(_xlfn.XLOOKUP(AT26,ETANCHEITE!BJ$19:BJ$164,ETANCHEITE!$F$19:$F$164),"")</f>
        <v xml:space="preserve">   </v>
      </c>
      <c r="AY26" s="168" t="str">
        <f>IFERROR(VLOOKUP(AT26,ETANCHEITE!BJ$19:BL$164,2,FALSE),"")&amp;" "&amp;IFERROR(VLOOKUP(AT26,ETANCHEITE!BJ$19:BL$164,3,FALSE),"")</f>
        <v xml:space="preserve"> </v>
      </c>
      <c r="AZ26" s="161" t="str">
        <f>IF(AY26&lt;&gt;" ",'Feuille de Donnée'!$C$3,"")</f>
        <v/>
      </c>
      <c r="BA26" s="232" t="str" cm="1">
        <f t="array" aca="1" ref="BA26" ca="1">IFERROR(IF(_xlfn.XLOOKUP(AT26,ETANCHEITE!BJ$19:BJ$89,ETANCHEITE!BH$19:BH$89,"")&lt;&gt;"",_xlfn.XLOOKUP(AT26,ETANCHEITE!BJ$19:BJ$89,ETANCHEITE!BH$19:BH$89,""),    INDEX(ETANCHEITE!BH:BH,MAX(_xlfn._xlws.FILTER(ROW(ETANCHEITE!BH$19:INDIRECT("'PEINTURE'!O" &amp; AW26-1)),ETANCHEITE!BH$19:INDIRECT("'PEINTURE'!O" &amp; AW26-1)&lt;&gt;"")))),"")</f>
        <v/>
      </c>
      <c r="BB26" s="233" t="str" cm="1">
        <f t="array" aca="1" ref="BB26" ca="1">IFERROR(IF(_xlfn.XLOOKUP(AT26,ETANCHEITE!BJ$19:BJ$89,ETANCHEITE!BI$19:BI$89,"")&lt;&gt;"",_xlfn.XLOOKUP(AT26,ETANCHEITE!BJ$19:BJ$89,ETANCHEITE!BI$19:BI$89,""),    INDEX(ETANCHEITE!BI:BI,MAX(_xlfn._xlws.FILTER(ROW(ETANCHEITE!BI$19:INDIRECT("'PEINTURE'!P" &amp; AW26-1)),ETANCHEITE!BI$19:INDIRECT("'PEINTURE'!P" &amp; AW26-1)&lt;&gt;"")))),"")</f>
        <v/>
      </c>
    </row>
    <row r="27" spans="1:54" ht="15" customHeight="1" x14ac:dyDescent="0.3">
      <c r="A27" s="158">
        <v>25</v>
      </c>
      <c r="B27" s="167" t="str">
        <f>IF(F27&lt;&gt;" ",ETANCHEITE!$D$5,"")</f>
        <v/>
      </c>
      <c r="C27" s="167" t="str">
        <f>IF(F27&lt;&gt;" ",ETANCHEITE!$D$8,"")</f>
        <v/>
      </c>
      <c r="D27" s="159" t="str">
        <f>IFERROR(MATCH(A27,ETANCHEITE!Q$19:Q$164,0)+18,"")</f>
        <v/>
      </c>
      <c r="E27" s="160" t="str" cm="1">
        <f t="array" aca="1" ref="E27" ca="1">IFERROR(IF(_xlfn.XLOOKUP(A27,ETANCHEITE!Q$19:Q$164,ETANCHEITE!$A$19:$A$164,"")&lt;&gt;"",_xlfn.XLOOKUP(A27,ETANCHEITE!Q$19:Q$164,ETANCHEITE!$A$19:$A$164,""),    INDEX(ETANCHEITE!$A:$A,MAX(_xlfn._xlws.FILTER(ROW(ETANCHEITE!$A$19:INDIRECT("'MENUISERIES EXTERIEURES'!$A" &amp; D27-1)),ETANCHEITE!$A$19:INDIRECT("'MENUISERIES EXTERIEURES'!$A" &amp; D27-1)&lt;&gt;"")))),"")&amp;"   "&amp;IFERROR(_xlfn.XLOOKUP(A27,ETANCHEITE!Q$19:Q$164,ETANCHEITE!$B$19:$B$164),"")&amp;IFERROR(_xlfn.XLOOKUP(A27,ETANCHEITE!Q$19:Q$164,ETANCHEITE!$C$19:$C$164),"")&amp;IFERROR(_xlfn.XLOOKUP(A27,ETANCHEITE!Q$19:Q$164,ETANCHEITE!$D$19:$D$164),"")&amp;IFERROR(_xlfn.XLOOKUP(A27,ETANCHEITE!Q$19:Q$164,ETANCHEITE!$E$19:$E$164),"")&amp;IFERROR(_xlfn.XLOOKUP(A27,ETANCHEITE!Q$19:Q$164,ETANCHEITE!$F$19:$F$164),"")</f>
        <v xml:space="preserve">   </v>
      </c>
      <c r="F27" s="168" t="str">
        <f>IFERROR(VLOOKUP(A27,ETANCHEITE!Q$19:S$164,2,FALSE),"")&amp;" "&amp;IFERROR(VLOOKUP(A27,ETANCHEITE!Q$19:S$164,3,FALSE),"")</f>
        <v xml:space="preserve"> </v>
      </c>
      <c r="G27" s="161" t="str">
        <f>IF(F27&lt;&gt;" ",'Feuille de Donnée'!$C$3,"")</f>
        <v/>
      </c>
      <c r="H27" s="232" t="str" cm="1">
        <f t="array" aca="1" ref="H27" ca="1">IFERROR(IF(_xlfn.XLOOKUP(A27,ETANCHEITE!Q$19:Q$89,ETANCHEITE!O$19:O$89,"")&lt;&gt;"",_xlfn.XLOOKUP(A27,ETANCHEITE!Q$19:Q$89,ETANCHEITE!O$19:O$89,""),    INDEX(ETANCHEITE!O:O,MAX(_xlfn._xlws.FILTER(ROW(ETANCHEITE!O$19:INDIRECT("'PEINTURE'!O" &amp; D27-1)),ETANCHEITE!O$19:INDIRECT("'PEINTURE'!O" &amp; D27-1)&lt;&gt;"")))),"")</f>
        <v/>
      </c>
      <c r="I27" s="233" t="str" cm="1">
        <f t="array" aca="1" ref="I27" ca="1">IFERROR(IF(_xlfn.XLOOKUP(A27,ETANCHEITE!Q$19:Q$89,ETANCHEITE!P$19:P$89,"")&lt;&gt;"",_xlfn.XLOOKUP(A27,ETANCHEITE!Q$19:Q$89,ETANCHEITE!P$19:P$89,""),    INDEX(ETANCHEITE!P:P,MAX(_xlfn._xlws.FILTER(ROW(ETANCHEITE!P$19:INDIRECT("'PEINTURE'!P" &amp; D27-1)),ETANCHEITE!P$19:INDIRECT("'PEINTURE'!P" &amp; D27-1)&lt;&gt;"")))),"")</f>
        <v/>
      </c>
      <c r="J27" s="158">
        <v>25</v>
      </c>
      <c r="K27" s="167" t="str">
        <f>IF(O27&lt;&gt;" ",ETANCHEITE!$D$5,"")</f>
        <v/>
      </c>
      <c r="L27" s="167" t="str">
        <f>IF(O27&lt;&gt;" ",ETANCHEITE!$D$8,"")</f>
        <v/>
      </c>
      <c r="M27" s="159" t="str">
        <f>IFERROR(MATCH(J27,ETANCHEITE!Z$19:Z$164,0)+18,"")</f>
        <v/>
      </c>
      <c r="N27" s="160" t="str" cm="1">
        <f t="array" aca="1" ref="N27" ca="1">IFERROR(IF(_xlfn.XLOOKUP(J27,ETANCHEITE!Z$19:Z$164,ETANCHEITE!$A$19:$A$164,"")&lt;&gt;"",_xlfn.XLOOKUP(J27,ETANCHEITE!Z$19:Z$164,ETANCHEITE!$A$19:$A$164,""),    INDEX(ETANCHEITE!$A:$A,MAX(_xlfn._xlws.FILTER(ROW(ETANCHEITE!$A$19:INDIRECT("'MENUISERIES EXTERIEURES'!$A" &amp; M27-1)),ETANCHEITE!$A$19:INDIRECT("'MENUISERIES EXTERIEURES'!$A" &amp; M27-1)&lt;&gt;"")))),"")&amp;"   "&amp;IFERROR(_xlfn.XLOOKUP(J27,ETANCHEITE!Z$19:Z$164,ETANCHEITE!$B$19:$B$164),"")&amp;IFERROR(_xlfn.XLOOKUP(J27,ETANCHEITE!Z$19:Z$164,ETANCHEITE!$C$19:$C$164),"")&amp;IFERROR(_xlfn.XLOOKUP(J27,ETANCHEITE!Z$19:Z$164,ETANCHEITE!$D$19:$D$164),"")&amp;IFERROR(_xlfn.XLOOKUP(J27,ETANCHEITE!Z$19:Z$164,ETANCHEITE!$E$19:$E$164),"")&amp;IFERROR(_xlfn.XLOOKUP(J27,ETANCHEITE!Z$19:Z$164,ETANCHEITE!$F$19:$F$164),"")</f>
        <v xml:space="preserve">   </v>
      </c>
      <c r="O27" s="168" t="str">
        <f>IFERROR(VLOOKUP(J27,ETANCHEITE!Z$19:AB$164,2,FALSE),"")&amp;" "&amp;IFERROR(VLOOKUP(J27,ETANCHEITE!Z$19:AB$164,3,FALSE),"")</f>
        <v xml:space="preserve"> </v>
      </c>
      <c r="P27" s="161" t="str">
        <f>IF(O27&lt;&gt;" ",'Feuille de Donnée'!$C$3,"")</f>
        <v/>
      </c>
      <c r="Q27" s="232" t="str" cm="1">
        <f t="array" aca="1" ref="Q27" ca="1">IFERROR(IF(_xlfn.XLOOKUP(J27,ETANCHEITE!Z$19:Z$89,ETANCHEITE!X$19:X$89,"")&lt;&gt;"",_xlfn.XLOOKUP(J27,ETANCHEITE!Z$19:Z$89,ETANCHEITE!X$19:X$89,""),    INDEX(ETANCHEITE!X:X,MAX(_xlfn._xlws.FILTER(ROW(ETANCHEITE!X$19:INDIRECT("'PEINTURE'!O" &amp; M27-1)),ETANCHEITE!X$19:INDIRECT("'PEINTURE'!O" &amp; M27-1)&lt;&gt;"")))),"")</f>
        <v/>
      </c>
      <c r="R27" s="233" t="str" cm="1">
        <f t="array" aca="1" ref="R27" ca="1">IFERROR(IF(_xlfn.XLOOKUP(J27,ETANCHEITE!Z$19:Z$89,ETANCHEITE!Y$19:Y$89,"")&lt;&gt;"",_xlfn.XLOOKUP(J27,ETANCHEITE!Z$19:Z$89,ETANCHEITE!Y$19:Y$89,""),    INDEX(ETANCHEITE!Y:Y,MAX(_xlfn._xlws.FILTER(ROW(ETANCHEITE!Y$19:INDIRECT("'PEINTURE'!P" &amp; M27-1)),ETANCHEITE!Y$19:INDIRECT("'PEINTURE'!P" &amp; M27-1)&lt;&gt;"")))),"")</f>
        <v/>
      </c>
      <c r="S27" s="158">
        <v>25</v>
      </c>
      <c r="T27" s="167" t="str">
        <f>IF(X27&lt;&gt;" ",ETANCHEITE!$D$5,"")</f>
        <v/>
      </c>
      <c r="U27" s="167" t="str">
        <f>IF(X27&lt;&gt;" ",ETANCHEITE!$D$8,"")</f>
        <v/>
      </c>
      <c r="V27" s="159" t="str">
        <f>IFERROR(MATCH(S27,ETANCHEITE!AI$19:AI$164,0)+18,"")</f>
        <v/>
      </c>
      <c r="W27" s="160" t="str" cm="1">
        <f t="array" aca="1" ref="W27" ca="1">IFERROR(IF(_xlfn.XLOOKUP(S27,ETANCHEITE!AI$19:AI$164,ETANCHEITE!$A$19:$A$164,"")&lt;&gt;"",_xlfn.XLOOKUP(S27,ETANCHEITE!AI$19:AI$164,ETANCHEITE!$A$19:$A$164,""),    INDEX(ETANCHEITE!$A:$A,MAX(_xlfn._xlws.FILTER(ROW(ETANCHEITE!$A$19:INDIRECT("'MENUISERIES EXTERIEURES'!$A" &amp; V27-1)),ETANCHEITE!$A$19:INDIRECT("'MENUISERIES EXTERIEURES'!$A" &amp; V27-1)&lt;&gt;"")))),"")&amp;"   "&amp;IFERROR(_xlfn.XLOOKUP(S27,ETANCHEITE!AI$19:AI$164,ETANCHEITE!$B$19:$B$164),"")&amp;IFERROR(_xlfn.XLOOKUP(S27,ETANCHEITE!AI$19:AI$164,ETANCHEITE!$C$19:$C$164),"")&amp;IFERROR(_xlfn.XLOOKUP(S27,ETANCHEITE!AI$19:AI$164,ETANCHEITE!$D$19:$D$164),"")&amp;IFERROR(_xlfn.XLOOKUP(S27,ETANCHEITE!AI$19:AI$164,ETANCHEITE!$E$19:$E$164),"")&amp;IFERROR(_xlfn.XLOOKUP(S27,ETANCHEITE!AI$19:AI$164,ETANCHEITE!$F$19:$F$164),"")</f>
        <v xml:space="preserve">   </v>
      </c>
      <c r="X27" s="168" t="str">
        <f>IFERROR(VLOOKUP(S27,ETANCHEITE!AI$19:AK$164,2,FALSE),"")&amp;" "&amp;IFERROR(VLOOKUP(S27,ETANCHEITE!AI$19:AK$164,3,FALSE),"")</f>
        <v xml:space="preserve"> </v>
      </c>
      <c r="Y27" s="161" t="str">
        <f>IF(X27&lt;&gt;" ",'Feuille de Donnée'!$C$3,"")</f>
        <v/>
      </c>
      <c r="Z27" s="232" t="str" cm="1">
        <f t="array" aca="1" ref="Z27" ca="1">IFERROR(IF(_xlfn.XLOOKUP(S27,ETANCHEITE!AI$19:AI$89,ETANCHEITE!AG$19:AG$89,"")&lt;&gt;"",_xlfn.XLOOKUP(S27,ETANCHEITE!AI$19:AI$89,ETANCHEITE!AG$19:AG$89,""),    INDEX(ETANCHEITE!AG:AG,MAX(_xlfn._xlws.FILTER(ROW(ETANCHEITE!AG$19:INDIRECT("'PEINTURE'!O" &amp; V27-1)),ETANCHEITE!AG$19:INDIRECT("'PEINTURE'!O" &amp; V27-1)&lt;&gt;"")))),"")</f>
        <v/>
      </c>
      <c r="AA27" s="233" t="str" cm="1">
        <f t="array" aca="1" ref="AA27" ca="1">IFERROR(IF(_xlfn.XLOOKUP(S27,ETANCHEITE!AI$19:AI$89,ETANCHEITE!AH$19:AH$89,"")&lt;&gt;"",_xlfn.XLOOKUP(S27,ETANCHEITE!AI$19:AI$89,ETANCHEITE!AH$19:AH$89,""),    INDEX(ETANCHEITE!AH:AH,MAX(_xlfn._xlws.FILTER(ROW(ETANCHEITE!AH$19:INDIRECT("'PEINTURE'!P" &amp; V27-1)),ETANCHEITE!AH$19:INDIRECT("'PEINTURE'!P" &amp; V27-1)&lt;&gt;"")))),"")</f>
        <v/>
      </c>
      <c r="AB27" s="158">
        <v>25</v>
      </c>
      <c r="AC27" s="167" t="str">
        <f>IF(AG27&lt;&gt;" ",ETANCHEITE!$D$5,"")</f>
        <v/>
      </c>
      <c r="AD27" s="167" t="str">
        <f>IF(AG27&lt;&gt;" ",ETANCHEITE!$D$8,"")</f>
        <v/>
      </c>
      <c r="AE27" s="159" t="str">
        <f>IFERROR(MATCH(AB27,ETANCHEITE!AR$19:AR$164,0)+18,"")</f>
        <v/>
      </c>
      <c r="AF27" s="160" t="str" cm="1">
        <f t="array" aca="1" ref="AF27" ca="1">IFERROR(IF(_xlfn.XLOOKUP(AB27,ETANCHEITE!AR$19:AR$164,ETANCHEITE!$A$19:$A$164,"")&lt;&gt;"",_xlfn.XLOOKUP(AB27,ETANCHEITE!AR$19:AR$164,ETANCHEITE!$A$19:$A$164,""),    INDEX(ETANCHEITE!$A:$A,MAX(_xlfn._xlws.FILTER(ROW(ETANCHEITE!$A$19:INDIRECT("'MENUISERIES EXTERIEURES'!$A" &amp; AE27-1)),ETANCHEITE!$A$19:INDIRECT("'MENUISERIES EXTERIEURES'!$A" &amp; AE27-1)&lt;&gt;"")))),"")&amp;"   "&amp;IFERROR(_xlfn.XLOOKUP(AB27,ETANCHEITE!AR$19:AR$164,ETANCHEITE!$B$19:$B$164),"")&amp;IFERROR(_xlfn.XLOOKUP(AB27,ETANCHEITE!AR$19:AR$164,ETANCHEITE!$C$19:$C$164),"")&amp;IFERROR(_xlfn.XLOOKUP(AB27,ETANCHEITE!AR$19:AR$164,ETANCHEITE!$D$19:$D$164),"")&amp;IFERROR(_xlfn.XLOOKUP(AB27,ETANCHEITE!AR$19:AR$164,ETANCHEITE!$E$19:$E$164),"")&amp;IFERROR(_xlfn.XLOOKUP(AB27,ETANCHEITE!AR$19:AR$164,ETANCHEITE!$F$19:$F$164),"")</f>
        <v xml:space="preserve">   </v>
      </c>
      <c r="AG27" s="168" t="str">
        <f>IFERROR(VLOOKUP(AB27,ETANCHEITE!AR$19:AT$164,2,FALSE),"")&amp;" "&amp;IFERROR(VLOOKUP(AB27,ETANCHEITE!AR$19:AT$164,3,FALSE),"")</f>
        <v xml:space="preserve"> </v>
      </c>
      <c r="AH27" s="161" t="str">
        <f>IF(AG27&lt;&gt;" ",'Feuille de Donnée'!$C$3,"")</f>
        <v/>
      </c>
      <c r="AI27" s="232" t="str" cm="1">
        <f t="array" aca="1" ref="AI27" ca="1">IFERROR(IF(_xlfn.XLOOKUP(AB27,ETANCHEITE!AR$19:AR$89,ETANCHEITE!AP$19:AP$89,"")&lt;&gt;"",_xlfn.XLOOKUP(AB27,ETANCHEITE!AR$19:AR$89,ETANCHEITE!AP$19:AP$89,""),    INDEX(ETANCHEITE!AP:AP,MAX(_xlfn._xlws.FILTER(ROW(ETANCHEITE!AP$19:INDIRECT("'PEINTURE'!O" &amp; AE27-1)),ETANCHEITE!AP$19:INDIRECT("'PEINTURE'!O" &amp; AE27-1)&lt;&gt;"")))),"")</f>
        <v/>
      </c>
      <c r="AJ27" s="233" t="str" cm="1">
        <f t="array" aca="1" ref="AJ27" ca="1">IFERROR(IF(_xlfn.XLOOKUP(AB27,ETANCHEITE!AR$19:AR$89,ETANCHEITE!AQ$19:AQ$89,"")&lt;&gt;"",_xlfn.XLOOKUP(AB27,ETANCHEITE!AR$19:AR$89,ETANCHEITE!AQ$19:AQ$89,""),    INDEX(ETANCHEITE!AQ:AQ,MAX(_xlfn._xlws.FILTER(ROW(ETANCHEITE!AQ$19:INDIRECT("'PEINTURE'!P" &amp; AE27-1)),ETANCHEITE!AQ$19:INDIRECT("'PEINTURE'!P" &amp; AE27-1)&lt;&gt;"")))),"")</f>
        <v/>
      </c>
      <c r="AK27" s="158">
        <v>25</v>
      </c>
      <c r="AL27" s="167" t="str">
        <f>IF(AP27&lt;&gt;" ",ETANCHEITE!$D$5,"")</f>
        <v/>
      </c>
      <c r="AM27" s="167" t="str">
        <f>IF(AP27&lt;&gt;" ",ETANCHEITE!$D$8,"")</f>
        <v/>
      </c>
      <c r="AN27" s="159" t="str">
        <f>IFERROR(MATCH(AK27,ETANCHEITE!BA$19:BA$164,0)+18,"")</f>
        <v/>
      </c>
      <c r="AO27" s="160" t="str" cm="1">
        <f t="array" aca="1" ref="AO27" ca="1">IFERROR(IF(_xlfn.XLOOKUP(AK27,ETANCHEITE!BA$19:BA$164,ETANCHEITE!$A$19:$A$164,"")&lt;&gt;"",_xlfn.XLOOKUP(AK27,ETANCHEITE!BA$19:BA$164,ETANCHEITE!$A$19:$A$164,""),    INDEX(ETANCHEITE!$A:$A,MAX(_xlfn._xlws.FILTER(ROW(ETANCHEITE!$A$19:INDIRECT("'MENUISERIES EXTERIEURES'!$A" &amp; AN27-1)),ETANCHEITE!$A$19:INDIRECT("'MENUISERIES EXTERIEURES'!$A" &amp; AN27-1)&lt;&gt;"")))),"")&amp;"   "&amp;IFERROR(_xlfn.XLOOKUP(AK27,ETANCHEITE!BA$19:BA$164,ETANCHEITE!$B$19:$B$164),"")&amp;IFERROR(_xlfn.XLOOKUP(AK27,ETANCHEITE!BA$19:BA$164,ETANCHEITE!$C$19:$C$164),"")&amp;IFERROR(_xlfn.XLOOKUP(AK27,ETANCHEITE!BA$19:BA$164,ETANCHEITE!$D$19:$D$164),"")&amp;IFERROR(_xlfn.XLOOKUP(AK27,ETANCHEITE!BA$19:BA$164,ETANCHEITE!$E$19:$E$164),"")&amp;IFERROR(_xlfn.XLOOKUP(AK27,ETANCHEITE!BA$19:BA$164,ETANCHEITE!$F$19:$F$164),"")</f>
        <v xml:space="preserve">   </v>
      </c>
      <c r="AP27" s="168" t="str">
        <f>IFERROR(VLOOKUP(AK27,ETANCHEITE!BA$19:BC$164,2,FALSE),"")&amp;" "&amp;IFERROR(VLOOKUP(AK27,ETANCHEITE!BA$19:BC$164,3,FALSE),"")</f>
        <v xml:space="preserve"> </v>
      </c>
      <c r="AQ27" s="161" t="str">
        <f>IF(AP27&lt;&gt;" ",'Feuille de Donnée'!$C$3,"")</f>
        <v/>
      </c>
      <c r="AR27" s="232" t="str" cm="1">
        <f t="array" aca="1" ref="AR27" ca="1">IFERROR(IF(_xlfn.XLOOKUP(AK27,ETANCHEITE!BA$19:BA$89,ETANCHEITE!AY$19:AY$89,"")&lt;&gt;"",_xlfn.XLOOKUP(AK27,ETANCHEITE!BA$19:BA$89,ETANCHEITE!AY$19:AY$89,""),    INDEX(ETANCHEITE!AY:AY,MAX(_xlfn._xlws.FILTER(ROW(ETANCHEITE!AY$19:INDIRECT("'PEINTURE'!O" &amp; AN27-1)),ETANCHEITE!AY$19:INDIRECT("'PEINTURE'!O" &amp; AN27-1)&lt;&gt;"")))),"")</f>
        <v/>
      </c>
      <c r="AS27" s="233" t="str" cm="1">
        <f t="array" aca="1" ref="AS27" ca="1">IFERROR(IF(_xlfn.XLOOKUP(AK27,ETANCHEITE!BA$19:BA$89,ETANCHEITE!AZ$19:AZ$89,"")&lt;&gt;"",_xlfn.XLOOKUP(AK27,ETANCHEITE!BA$19:BA$89,ETANCHEITE!AZ$19:AZ$89,""),    INDEX(ETANCHEITE!AZ:AZ,MAX(_xlfn._xlws.FILTER(ROW(ETANCHEITE!AZ$19:INDIRECT("'PEINTURE'!P" &amp; AN27-1)),ETANCHEITE!AZ$19:INDIRECT("'PEINTURE'!P" &amp; AN27-1)&lt;&gt;"")))),"")</f>
        <v/>
      </c>
      <c r="AT27" s="158">
        <v>25</v>
      </c>
      <c r="AU27" s="167" t="str">
        <f>IF(AY27&lt;&gt;" ",ETANCHEITE!$D$5,"")</f>
        <v/>
      </c>
      <c r="AV27" s="167" t="str">
        <f>IF(AY27&lt;&gt;" ",ETANCHEITE!$D$8,"")</f>
        <v/>
      </c>
      <c r="AW27" s="159" t="str">
        <f>IFERROR(MATCH(AT27,ETANCHEITE!BJ$19:BJ$164,0)+18,"")</f>
        <v/>
      </c>
      <c r="AX27" s="160" t="str" cm="1">
        <f t="array" aca="1" ref="AX27" ca="1">IFERROR(IF(_xlfn.XLOOKUP(AT27,ETANCHEITE!BJ$19:BJ$164,ETANCHEITE!$A$19:$A$164,"")&lt;&gt;"",_xlfn.XLOOKUP(AT27,ETANCHEITE!BJ$19:BJ$164,ETANCHEITE!$A$19:$A$164,""),    INDEX(ETANCHEITE!$A:$A,MAX(_xlfn._xlws.FILTER(ROW(ETANCHEITE!$A$19:INDIRECT("'MENUISERIES EXTERIEURES'!$A" &amp; AW27-1)),ETANCHEITE!$A$19:INDIRECT("'MENUISERIES EXTERIEURES'!$A" &amp; AW27-1)&lt;&gt;"")))),"")&amp;"   "&amp;IFERROR(_xlfn.XLOOKUP(AT27,ETANCHEITE!BJ$19:BJ$164,ETANCHEITE!$B$19:$B$164),"")&amp;IFERROR(_xlfn.XLOOKUP(AT27,ETANCHEITE!BJ$19:BJ$164,ETANCHEITE!$C$19:$C$164),"")&amp;IFERROR(_xlfn.XLOOKUP(AT27,ETANCHEITE!BJ$19:BJ$164,ETANCHEITE!$D$19:$D$164),"")&amp;IFERROR(_xlfn.XLOOKUP(AT27,ETANCHEITE!BJ$19:BJ$164,ETANCHEITE!$E$19:$E$164),"")&amp;IFERROR(_xlfn.XLOOKUP(AT27,ETANCHEITE!BJ$19:BJ$164,ETANCHEITE!$F$19:$F$164),"")</f>
        <v xml:space="preserve">   </v>
      </c>
      <c r="AY27" s="168" t="str">
        <f>IFERROR(VLOOKUP(AT27,ETANCHEITE!BJ$19:BL$164,2,FALSE),"")&amp;" "&amp;IFERROR(VLOOKUP(AT27,ETANCHEITE!BJ$19:BL$164,3,FALSE),"")</f>
        <v xml:space="preserve"> </v>
      </c>
      <c r="AZ27" s="161" t="str">
        <f>IF(AY27&lt;&gt;" ",'Feuille de Donnée'!$C$3,"")</f>
        <v/>
      </c>
      <c r="BA27" s="232" t="str" cm="1">
        <f t="array" aca="1" ref="BA27" ca="1">IFERROR(IF(_xlfn.XLOOKUP(AT27,ETANCHEITE!BJ$19:BJ$89,ETANCHEITE!BH$19:BH$89,"")&lt;&gt;"",_xlfn.XLOOKUP(AT27,ETANCHEITE!BJ$19:BJ$89,ETANCHEITE!BH$19:BH$89,""),    INDEX(ETANCHEITE!BH:BH,MAX(_xlfn._xlws.FILTER(ROW(ETANCHEITE!BH$19:INDIRECT("'PEINTURE'!O" &amp; AW27-1)),ETANCHEITE!BH$19:INDIRECT("'PEINTURE'!O" &amp; AW27-1)&lt;&gt;"")))),"")</f>
        <v/>
      </c>
      <c r="BB27" s="233" t="str" cm="1">
        <f t="array" aca="1" ref="BB27" ca="1">IFERROR(IF(_xlfn.XLOOKUP(AT27,ETANCHEITE!BJ$19:BJ$89,ETANCHEITE!BI$19:BI$89,"")&lt;&gt;"",_xlfn.XLOOKUP(AT27,ETANCHEITE!BJ$19:BJ$89,ETANCHEITE!BI$19:BI$89,""),    INDEX(ETANCHEITE!BI:BI,MAX(_xlfn._xlws.FILTER(ROW(ETANCHEITE!BI$19:INDIRECT("'PEINTURE'!P" &amp; AW27-1)),ETANCHEITE!BI$19:INDIRECT("'PEINTURE'!P" &amp; AW27-1)&lt;&gt;"")))),"")</f>
        <v/>
      </c>
    </row>
    <row r="28" spans="1:54" ht="15" customHeight="1" x14ac:dyDescent="0.3">
      <c r="A28" s="158">
        <v>26</v>
      </c>
      <c r="B28" s="167" t="str">
        <f>IF(F28&lt;&gt;" ",ETANCHEITE!$D$5,"")</f>
        <v/>
      </c>
      <c r="C28" s="167" t="str">
        <f>IF(F28&lt;&gt;" ",ETANCHEITE!$D$8,"")</f>
        <v/>
      </c>
      <c r="D28" s="159" t="str">
        <f>IFERROR(MATCH(A28,ETANCHEITE!Q$19:Q$164,0)+18,"")</f>
        <v/>
      </c>
      <c r="E28" s="160" t="str" cm="1">
        <f t="array" aca="1" ref="E28" ca="1">IFERROR(IF(_xlfn.XLOOKUP(A28,ETANCHEITE!Q$19:Q$164,ETANCHEITE!$A$19:$A$164,"")&lt;&gt;"",_xlfn.XLOOKUP(A28,ETANCHEITE!Q$19:Q$164,ETANCHEITE!$A$19:$A$164,""),    INDEX(ETANCHEITE!$A:$A,MAX(_xlfn._xlws.FILTER(ROW(ETANCHEITE!$A$19:INDIRECT("'MENUISERIES EXTERIEURES'!$A" &amp; D28-1)),ETANCHEITE!$A$19:INDIRECT("'MENUISERIES EXTERIEURES'!$A" &amp; D28-1)&lt;&gt;"")))),"")&amp;"   "&amp;IFERROR(_xlfn.XLOOKUP(A28,ETANCHEITE!Q$19:Q$164,ETANCHEITE!$B$19:$B$164),"")&amp;IFERROR(_xlfn.XLOOKUP(A28,ETANCHEITE!Q$19:Q$164,ETANCHEITE!$C$19:$C$164),"")&amp;IFERROR(_xlfn.XLOOKUP(A28,ETANCHEITE!Q$19:Q$164,ETANCHEITE!$D$19:$D$164),"")&amp;IFERROR(_xlfn.XLOOKUP(A28,ETANCHEITE!Q$19:Q$164,ETANCHEITE!$E$19:$E$164),"")&amp;IFERROR(_xlfn.XLOOKUP(A28,ETANCHEITE!Q$19:Q$164,ETANCHEITE!$F$19:$F$164),"")</f>
        <v xml:space="preserve">   </v>
      </c>
      <c r="F28" s="168" t="str">
        <f>IFERROR(VLOOKUP(A28,ETANCHEITE!Q$19:S$164,2,FALSE),"")&amp;" "&amp;IFERROR(VLOOKUP(A28,ETANCHEITE!Q$19:S$164,3,FALSE),"")</f>
        <v xml:space="preserve"> </v>
      </c>
      <c r="G28" s="161" t="str">
        <f>IF(F28&lt;&gt;" ",'Feuille de Donnée'!$C$3,"")</f>
        <v/>
      </c>
      <c r="H28" s="232" t="str" cm="1">
        <f t="array" aca="1" ref="H28" ca="1">IFERROR(IF(_xlfn.XLOOKUP(A28,ETANCHEITE!Q$19:Q$89,ETANCHEITE!O$19:O$89,"")&lt;&gt;"",_xlfn.XLOOKUP(A28,ETANCHEITE!Q$19:Q$89,ETANCHEITE!O$19:O$89,""),    INDEX(ETANCHEITE!O:O,MAX(_xlfn._xlws.FILTER(ROW(ETANCHEITE!O$19:INDIRECT("'PEINTURE'!O" &amp; D28-1)),ETANCHEITE!O$19:INDIRECT("'PEINTURE'!O" &amp; D28-1)&lt;&gt;"")))),"")</f>
        <v/>
      </c>
      <c r="I28" s="233" t="str" cm="1">
        <f t="array" aca="1" ref="I28" ca="1">IFERROR(IF(_xlfn.XLOOKUP(A28,ETANCHEITE!Q$19:Q$89,ETANCHEITE!P$19:P$89,"")&lt;&gt;"",_xlfn.XLOOKUP(A28,ETANCHEITE!Q$19:Q$89,ETANCHEITE!P$19:P$89,""),    INDEX(ETANCHEITE!P:P,MAX(_xlfn._xlws.FILTER(ROW(ETANCHEITE!P$19:INDIRECT("'PEINTURE'!P" &amp; D28-1)),ETANCHEITE!P$19:INDIRECT("'PEINTURE'!P" &amp; D28-1)&lt;&gt;"")))),"")</f>
        <v/>
      </c>
      <c r="J28" s="158">
        <v>26</v>
      </c>
      <c r="K28" s="167" t="str">
        <f>IF(O28&lt;&gt;" ",ETANCHEITE!$D$5,"")</f>
        <v/>
      </c>
      <c r="L28" s="167" t="str">
        <f>IF(O28&lt;&gt;" ",ETANCHEITE!$D$8,"")</f>
        <v/>
      </c>
      <c r="M28" s="159" t="str">
        <f>IFERROR(MATCH(J28,ETANCHEITE!Z$19:Z$164,0)+18,"")</f>
        <v/>
      </c>
      <c r="N28" s="160" t="str" cm="1">
        <f t="array" aca="1" ref="N28" ca="1">IFERROR(IF(_xlfn.XLOOKUP(J28,ETANCHEITE!Z$19:Z$164,ETANCHEITE!$A$19:$A$164,"")&lt;&gt;"",_xlfn.XLOOKUP(J28,ETANCHEITE!Z$19:Z$164,ETANCHEITE!$A$19:$A$164,""),    INDEX(ETANCHEITE!$A:$A,MAX(_xlfn._xlws.FILTER(ROW(ETANCHEITE!$A$19:INDIRECT("'MENUISERIES EXTERIEURES'!$A" &amp; M28-1)),ETANCHEITE!$A$19:INDIRECT("'MENUISERIES EXTERIEURES'!$A" &amp; M28-1)&lt;&gt;"")))),"")&amp;"   "&amp;IFERROR(_xlfn.XLOOKUP(J28,ETANCHEITE!Z$19:Z$164,ETANCHEITE!$B$19:$B$164),"")&amp;IFERROR(_xlfn.XLOOKUP(J28,ETANCHEITE!Z$19:Z$164,ETANCHEITE!$C$19:$C$164),"")&amp;IFERROR(_xlfn.XLOOKUP(J28,ETANCHEITE!Z$19:Z$164,ETANCHEITE!$D$19:$D$164),"")&amp;IFERROR(_xlfn.XLOOKUP(J28,ETANCHEITE!Z$19:Z$164,ETANCHEITE!$E$19:$E$164),"")&amp;IFERROR(_xlfn.XLOOKUP(J28,ETANCHEITE!Z$19:Z$164,ETANCHEITE!$F$19:$F$164),"")</f>
        <v xml:space="preserve">   </v>
      </c>
      <c r="O28" s="168" t="str">
        <f>IFERROR(VLOOKUP(J28,ETANCHEITE!Z$19:AB$164,2,FALSE),"")&amp;" "&amp;IFERROR(VLOOKUP(J28,ETANCHEITE!Z$19:AB$164,3,FALSE),"")</f>
        <v xml:space="preserve"> </v>
      </c>
      <c r="P28" s="161" t="str">
        <f>IF(O28&lt;&gt;" ",'Feuille de Donnée'!$C$3,"")</f>
        <v/>
      </c>
      <c r="Q28" s="232" t="str" cm="1">
        <f t="array" aca="1" ref="Q28" ca="1">IFERROR(IF(_xlfn.XLOOKUP(J28,ETANCHEITE!Z$19:Z$89,ETANCHEITE!X$19:X$89,"")&lt;&gt;"",_xlfn.XLOOKUP(J28,ETANCHEITE!Z$19:Z$89,ETANCHEITE!X$19:X$89,""),    INDEX(ETANCHEITE!X:X,MAX(_xlfn._xlws.FILTER(ROW(ETANCHEITE!X$19:INDIRECT("'PEINTURE'!O" &amp; M28-1)),ETANCHEITE!X$19:INDIRECT("'PEINTURE'!O" &amp; M28-1)&lt;&gt;"")))),"")</f>
        <v/>
      </c>
      <c r="R28" s="233" t="str" cm="1">
        <f t="array" aca="1" ref="R28" ca="1">IFERROR(IF(_xlfn.XLOOKUP(J28,ETANCHEITE!Z$19:Z$89,ETANCHEITE!Y$19:Y$89,"")&lt;&gt;"",_xlfn.XLOOKUP(J28,ETANCHEITE!Z$19:Z$89,ETANCHEITE!Y$19:Y$89,""),    INDEX(ETANCHEITE!Y:Y,MAX(_xlfn._xlws.FILTER(ROW(ETANCHEITE!Y$19:INDIRECT("'PEINTURE'!P" &amp; M28-1)),ETANCHEITE!Y$19:INDIRECT("'PEINTURE'!P" &amp; M28-1)&lt;&gt;"")))),"")</f>
        <v/>
      </c>
      <c r="S28" s="158">
        <v>26</v>
      </c>
      <c r="T28" s="167" t="str">
        <f>IF(X28&lt;&gt;" ",ETANCHEITE!$D$5,"")</f>
        <v/>
      </c>
      <c r="U28" s="167" t="str">
        <f>IF(X28&lt;&gt;" ",ETANCHEITE!$D$8,"")</f>
        <v/>
      </c>
      <c r="V28" s="159" t="str">
        <f>IFERROR(MATCH(S28,ETANCHEITE!AI$19:AI$164,0)+18,"")</f>
        <v/>
      </c>
      <c r="W28" s="160" t="str" cm="1">
        <f t="array" aca="1" ref="W28" ca="1">IFERROR(IF(_xlfn.XLOOKUP(S28,ETANCHEITE!AI$19:AI$164,ETANCHEITE!$A$19:$A$164,"")&lt;&gt;"",_xlfn.XLOOKUP(S28,ETANCHEITE!AI$19:AI$164,ETANCHEITE!$A$19:$A$164,""),    INDEX(ETANCHEITE!$A:$A,MAX(_xlfn._xlws.FILTER(ROW(ETANCHEITE!$A$19:INDIRECT("'MENUISERIES EXTERIEURES'!$A" &amp; V28-1)),ETANCHEITE!$A$19:INDIRECT("'MENUISERIES EXTERIEURES'!$A" &amp; V28-1)&lt;&gt;"")))),"")&amp;"   "&amp;IFERROR(_xlfn.XLOOKUP(S28,ETANCHEITE!AI$19:AI$164,ETANCHEITE!$B$19:$B$164),"")&amp;IFERROR(_xlfn.XLOOKUP(S28,ETANCHEITE!AI$19:AI$164,ETANCHEITE!$C$19:$C$164),"")&amp;IFERROR(_xlfn.XLOOKUP(S28,ETANCHEITE!AI$19:AI$164,ETANCHEITE!$D$19:$D$164),"")&amp;IFERROR(_xlfn.XLOOKUP(S28,ETANCHEITE!AI$19:AI$164,ETANCHEITE!$E$19:$E$164),"")&amp;IFERROR(_xlfn.XLOOKUP(S28,ETANCHEITE!AI$19:AI$164,ETANCHEITE!$F$19:$F$164),"")</f>
        <v xml:space="preserve">   </v>
      </c>
      <c r="X28" s="168" t="str">
        <f>IFERROR(VLOOKUP(S28,ETANCHEITE!AI$19:AK$164,2,FALSE),"")&amp;" "&amp;IFERROR(VLOOKUP(S28,ETANCHEITE!AI$19:AK$164,3,FALSE),"")</f>
        <v xml:space="preserve"> </v>
      </c>
      <c r="Y28" s="161" t="str">
        <f>IF(X28&lt;&gt;" ",'Feuille de Donnée'!$C$3,"")</f>
        <v/>
      </c>
      <c r="Z28" s="232" t="str" cm="1">
        <f t="array" aca="1" ref="Z28" ca="1">IFERROR(IF(_xlfn.XLOOKUP(S28,ETANCHEITE!AI$19:AI$89,ETANCHEITE!AG$19:AG$89,"")&lt;&gt;"",_xlfn.XLOOKUP(S28,ETANCHEITE!AI$19:AI$89,ETANCHEITE!AG$19:AG$89,""),    INDEX(ETANCHEITE!AG:AG,MAX(_xlfn._xlws.FILTER(ROW(ETANCHEITE!AG$19:INDIRECT("'PEINTURE'!O" &amp; V28-1)),ETANCHEITE!AG$19:INDIRECT("'PEINTURE'!O" &amp; V28-1)&lt;&gt;"")))),"")</f>
        <v/>
      </c>
      <c r="AA28" s="233" t="str" cm="1">
        <f t="array" aca="1" ref="AA28" ca="1">IFERROR(IF(_xlfn.XLOOKUP(S28,ETANCHEITE!AI$19:AI$89,ETANCHEITE!AH$19:AH$89,"")&lt;&gt;"",_xlfn.XLOOKUP(S28,ETANCHEITE!AI$19:AI$89,ETANCHEITE!AH$19:AH$89,""),    INDEX(ETANCHEITE!AH:AH,MAX(_xlfn._xlws.FILTER(ROW(ETANCHEITE!AH$19:INDIRECT("'PEINTURE'!P" &amp; V28-1)),ETANCHEITE!AH$19:INDIRECT("'PEINTURE'!P" &amp; V28-1)&lt;&gt;"")))),"")</f>
        <v/>
      </c>
      <c r="AB28" s="158">
        <v>26</v>
      </c>
      <c r="AC28" s="167" t="str">
        <f>IF(AG28&lt;&gt;" ",ETANCHEITE!$D$5,"")</f>
        <v/>
      </c>
      <c r="AD28" s="167" t="str">
        <f>IF(AG28&lt;&gt;" ",ETANCHEITE!$D$8,"")</f>
        <v/>
      </c>
      <c r="AE28" s="159" t="str">
        <f>IFERROR(MATCH(AB28,ETANCHEITE!AR$19:AR$164,0)+18,"")</f>
        <v/>
      </c>
      <c r="AF28" s="160" t="str" cm="1">
        <f t="array" aca="1" ref="AF28" ca="1">IFERROR(IF(_xlfn.XLOOKUP(AB28,ETANCHEITE!AR$19:AR$164,ETANCHEITE!$A$19:$A$164,"")&lt;&gt;"",_xlfn.XLOOKUP(AB28,ETANCHEITE!AR$19:AR$164,ETANCHEITE!$A$19:$A$164,""),    INDEX(ETANCHEITE!$A:$A,MAX(_xlfn._xlws.FILTER(ROW(ETANCHEITE!$A$19:INDIRECT("'MENUISERIES EXTERIEURES'!$A" &amp; AE28-1)),ETANCHEITE!$A$19:INDIRECT("'MENUISERIES EXTERIEURES'!$A" &amp; AE28-1)&lt;&gt;"")))),"")&amp;"   "&amp;IFERROR(_xlfn.XLOOKUP(AB28,ETANCHEITE!AR$19:AR$164,ETANCHEITE!$B$19:$B$164),"")&amp;IFERROR(_xlfn.XLOOKUP(AB28,ETANCHEITE!AR$19:AR$164,ETANCHEITE!$C$19:$C$164),"")&amp;IFERROR(_xlfn.XLOOKUP(AB28,ETANCHEITE!AR$19:AR$164,ETANCHEITE!$D$19:$D$164),"")&amp;IFERROR(_xlfn.XLOOKUP(AB28,ETANCHEITE!AR$19:AR$164,ETANCHEITE!$E$19:$E$164),"")&amp;IFERROR(_xlfn.XLOOKUP(AB28,ETANCHEITE!AR$19:AR$164,ETANCHEITE!$F$19:$F$164),"")</f>
        <v xml:space="preserve">   </v>
      </c>
      <c r="AG28" s="168" t="str">
        <f>IFERROR(VLOOKUP(AB28,ETANCHEITE!AR$19:AT$164,2,FALSE),"")&amp;" "&amp;IFERROR(VLOOKUP(AB28,ETANCHEITE!AR$19:AT$164,3,FALSE),"")</f>
        <v xml:space="preserve"> </v>
      </c>
      <c r="AH28" s="161" t="str">
        <f>IF(AG28&lt;&gt;" ",'Feuille de Donnée'!$C$3,"")</f>
        <v/>
      </c>
      <c r="AI28" s="232" t="str" cm="1">
        <f t="array" aca="1" ref="AI28" ca="1">IFERROR(IF(_xlfn.XLOOKUP(AB28,ETANCHEITE!AR$19:AR$89,ETANCHEITE!AP$19:AP$89,"")&lt;&gt;"",_xlfn.XLOOKUP(AB28,ETANCHEITE!AR$19:AR$89,ETANCHEITE!AP$19:AP$89,""),    INDEX(ETANCHEITE!AP:AP,MAX(_xlfn._xlws.FILTER(ROW(ETANCHEITE!AP$19:INDIRECT("'PEINTURE'!O" &amp; AE28-1)),ETANCHEITE!AP$19:INDIRECT("'PEINTURE'!O" &amp; AE28-1)&lt;&gt;"")))),"")</f>
        <v/>
      </c>
      <c r="AJ28" s="233" t="str" cm="1">
        <f t="array" aca="1" ref="AJ28" ca="1">IFERROR(IF(_xlfn.XLOOKUP(AB28,ETANCHEITE!AR$19:AR$89,ETANCHEITE!AQ$19:AQ$89,"")&lt;&gt;"",_xlfn.XLOOKUP(AB28,ETANCHEITE!AR$19:AR$89,ETANCHEITE!AQ$19:AQ$89,""),    INDEX(ETANCHEITE!AQ:AQ,MAX(_xlfn._xlws.FILTER(ROW(ETANCHEITE!AQ$19:INDIRECT("'PEINTURE'!P" &amp; AE28-1)),ETANCHEITE!AQ$19:INDIRECT("'PEINTURE'!P" &amp; AE28-1)&lt;&gt;"")))),"")</f>
        <v/>
      </c>
      <c r="AK28" s="158">
        <v>26</v>
      </c>
      <c r="AL28" s="167" t="str">
        <f>IF(AP28&lt;&gt;" ",ETANCHEITE!$D$5,"")</f>
        <v/>
      </c>
      <c r="AM28" s="167" t="str">
        <f>IF(AP28&lt;&gt;" ",ETANCHEITE!$D$8,"")</f>
        <v/>
      </c>
      <c r="AN28" s="159" t="str">
        <f>IFERROR(MATCH(AK28,ETANCHEITE!BA$19:BA$164,0)+18,"")</f>
        <v/>
      </c>
      <c r="AO28" s="160" t="str" cm="1">
        <f t="array" aca="1" ref="AO28" ca="1">IFERROR(IF(_xlfn.XLOOKUP(AK28,ETANCHEITE!BA$19:BA$164,ETANCHEITE!$A$19:$A$164,"")&lt;&gt;"",_xlfn.XLOOKUP(AK28,ETANCHEITE!BA$19:BA$164,ETANCHEITE!$A$19:$A$164,""),    INDEX(ETANCHEITE!$A:$A,MAX(_xlfn._xlws.FILTER(ROW(ETANCHEITE!$A$19:INDIRECT("'MENUISERIES EXTERIEURES'!$A" &amp; AN28-1)),ETANCHEITE!$A$19:INDIRECT("'MENUISERIES EXTERIEURES'!$A" &amp; AN28-1)&lt;&gt;"")))),"")&amp;"   "&amp;IFERROR(_xlfn.XLOOKUP(AK28,ETANCHEITE!BA$19:BA$164,ETANCHEITE!$B$19:$B$164),"")&amp;IFERROR(_xlfn.XLOOKUP(AK28,ETANCHEITE!BA$19:BA$164,ETANCHEITE!$C$19:$C$164),"")&amp;IFERROR(_xlfn.XLOOKUP(AK28,ETANCHEITE!BA$19:BA$164,ETANCHEITE!$D$19:$D$164),"")&amp;IFERROR(_xlfn.XLOOKUP(AK28,ETANCHEITE!BA$19:BA$164,ETANCHEITE!$E$19:$E$164),"")&amp;IFERROR(_xlfn.XLOOKUP(AK28,ETANCHEITE!BA$19:BA$164,ETANCHEITE!$F$19:$F$164),"")</f>
        <v xml:space="preserve">   </v>
      </c>
      <c r="AP28" s="168" t="str">
        <f>IFERROR(VLOOKUP(AK28,ETANCHEITE!BA$19:BC$164,2,FALSE),"")&amp;" "&amp;IFERROR(VLOOKUP(AK28,ETANCHEITE!BA$19:BC$164,3,FALSE),"")</f>
        <v xml:space="preserve"> </v>
      </c>
      <c r="AQ28" s="161" t="str">
        <f>IF(AP28&lt;&gt;" ",'Feuille de Donnée'!$C$3,"")</f>
        <v/>
      </c>
      <c r="AR28" s="232" t="str" cm="1">
        <f t="array" aca="1" ref="AR28" ca="1">IFERROR(IF(_xlfn.XLOOKUP(AK28,ETANCHEITE!BA$19:BA$89,ETANCHEITE!AY$19:AY$89,"")&lt;&gt;"",_xlfn.XLOOKUP(AK28,ETANCHEITE!BA$19:BA$89,ETANCHEITE!AY$19:AY$89,""),    INDEX(ETANCHEITE!AY:AY,MAX(_xlfn._xlws.FILTER(ROW(ETANCHEITE!AY$19:INDIRECT("'PEINTURE'!O" &amp; AN28-1)),ETANCHEITE!AY$19:INDIRECT("'PEINTURE'!O" &amp; AN28-1)&lt;&gt;"")))),"")</f>
        <v/>
      </c>
      <c r="AS28" s="233" t="str" cm="1">
        <f t="array" aca="1" ref="AS28" ca="1">IFERROR(IF(_xlfn.XLOOKUP(AK28,ETANCHEITE!BA$19:BA$89,ETANCHEITE!AZ$19:AZ$89,"")&lt;&gt;"",_xlfn.XLOOKUP(AK28,ETANCHEITE!BA$19:BA$89,ETANCHEITE!AZ$19:AZ$89,""),    INDEX(ETANCHEITE!AZ:AZ,MAX(_xlfn._xlws.FILTER(ROW(ETANCHEITE!AZ$19:INDIRECT("'PEINTURE'!P" &amp; AN28-1)),ETANCHEITE!AZ$19:INDIRECT("'PEINTURE'!P" &amp; AN28-1)&lt;&gt;"")))),"")</f>
        <v/>
      </c>
      <c r="AT28" s="158">
        <v>26</v>
      </c>
      <c r="AU28" s="167" t="str">
        <f>IF(AY28&lt;&gt;" ",ETANCHEITE!$D$5,"")</f>
        <v/>
      </c>
      <c r="AV28" s="167" t="str">
        <f>IF(AY28&lt;&gt;" ",ETANCHEITE!$D$8,"")</f>
        <v/>
      </c>
      <c r="AW28" s="159" t="str">
        <f>IFERROR(MATCH(AT28,ETANCHEITE!BJ$19:BJ$164,0)+18,"")</f>
        <v/>
      </c>
      <c r="AX28" s="160" t="str" cm="1">
        <f t="array" aca="1" ref="AX28" ca="1">IFERROR(IF(_xlfn.XLOOKUP(AT28,ETANCHEITE!BJ$19:BJ$164,ETANCHEITE!$A$19:$A$164,"")&lt;&gt;"",_xlfn.XLOOKUP(AT28,ETANCHEITE!BJ$19:BJ$164,ETANCHEITE!$A$19:$A$164,""),    INDEX(ETANCHEITE!$A:$A,MAX(_xlfn._xlws.FILTER(ROW(ETANCHEITE!$A$19:INDIRECT("'MENUISERIES EXTERIEURES'!$A" &amp; AW28-1)),ETANCHEITE!$A$19:INDIRECT("'MENUISERIES EXTERIEURES'!$A" &amp; AW28-1)&lt;&gt;"")))),"")&amp;"   "&amp;IFERROR(_xlfn.XLOOKUP(AT28,ETANCHEITE!BJ$19:BJ$164,ETANCHEITE!$B$19:$B$164),"")&amp;IFERROR(_xlfn.XLOOKUP(AT28,ETANCHEITE!BJ$19:BJ$164,ETANCHEITE!$C$19:$C$164),"")&amp;IFERROR(_xlfn.XLOOKUP(AT28,ETANCHEITE!BJ$19:BJ$164,ETANCHEITE!$D$19:$D$164),"")&amp;IFERROR(_xlfn.XLOOKUP(AT28,ETANCHEITE!BJ$19:BJ$164,ETANCHEITE!$E$19:$E$164),"")&amp;IFERROR(_xlfn.XLOOKUP(AT28,ETANCHEITE!BJ$19:BJ$164,ETANCHEITE!$F$19:$F$164),"")</f>
        <v xml:space="preserve">   </v>
      </c>
      <c r="AY28" s="168" t="str">
        <f>IFERROR(VLOOKUP(AT28,ETANCHEITE!BJ$19:BL$164,2,FALSE),"")&amp;" "&amp;IFERROR(VLOOKUP(AT28,ETANCHEITE!BJ$19:BL$164,3,FALSE),"")</f>
        <v xml:space="preserve"> </v>
      </c>
      <c r="AZ28" s="161" t="str">
        <f>IF(AY28&lt;&gt;" ",'Feuille de Donnée'!$C$3,"")</f>
        <v/>
      </c>
      <c r="BA28" s="232" t="str" cm="1">
        <f t="array" aca="1" ref="BA28" ca="1">IFERROR(IF(_xlfn.XLOOKUP(AT28,ETANCHEITE!BJ$19:BJ$89,ETANCHEITE!BH$19:BH$89,"")&lt;&gt;"",_xlfn.XLOOKUP(AT28,ETANCHEITE!BJ$19:BJ$89,ETANCHEITE!BH$19:BH$89,""),    INDEX(ETANCHEITE!BH:BH,MAX(_xlfn._xlws.FILTER(ROW(ETANCHEITE!BH$19:INDIRECT("'PEINTURE'!O" &amp; AW28-1)),ETANCHEITE!BH$19:INDIRECT("'PEINTURE'!O" &amp; AW28-1)&lt;&gt;"")))),"")</f>
        <v/>
      </c>
      <c r="BB28" s="233" t="str" cm="1">
        <f t="array" aca="1" ref="BB28" ca="1">IFERROR(IF(_xlfn.XLOOKUP(AT28,ETANCHEITE!BJ$19:BJ$89,ETANCHEITE!BI$19:BI$89,"")&lt;&gt;"",_xlfn.XLOOKUP(AT28,ETANCHEITE!BJ$19:BJ$89,ETANCHEITE!BI$19:BI$89,""),    INDEX(ETANCHEITE!BI:BI,MAX(_xlfn._xlws.FILTER(ROW(ETANCHEITE!BI$19:INDIRECT("'PEINTURE'!P" &amp; AW28-1)),ETANCHEITE!BI$19:INDIRECT("'PEINTURE'!P" &amp; AW28-1)&lt;&gt;"")))),"")</f>
        <v/>
      </c>
    </row>
    <row r="29" spans="1:54" ht="15" customHeight="1" x14ac:dyDescent="0.3">
      <c r="A29" s="158">
        <v>27</v>
      </c>
      <c r="B29" s="167" t="str">
        <f>IF(F29&lt;&gt;" ",ETANCHEITE!$D$5,"")</f>
        <v/>
      </c>
      <c r="C29" s="167" t="str">
        <f>IF(F29&lt;&gt;" ",ETANCHEITE!$D$8,"")</f>
        <v/>
      </c>
      <c r="D29" s="159" t="str">
        <f>IFERROR(MATCH(A29,ETANCHEITE!Q$19:Q$164,0)+18,"")</f>
        <v/>
      </c>
      <c r="E29" s="160" t="str" cm="1">
        <f t="array" aca="1" ref="E29" ca="1">IFERROR(IF(_xlfn.XLOOKUP(A29,ETANCHEITE!Q$19:Q$164,ETANCHEITE!$A$19:$A$164,"")&lt;&gt;"",_xlfn.XLOOKUP(A29,ETANCHEITE!Q$19:Q$164,ETANCHEITE!$A$19:$A$164,""),    INDEX(ETANCHEITE!$A:$A,MAX(_xlfn._xlws.FILTER(ROW(ETANCHEITE!$A$19:INDIRECT("'MENUISERIES EXTERIEURES'!$A" &amp; D29-1)),ETANCHEITE!$A$19:INDIRECT("'MENUISERIES EXTERIEURES'!$A" &amp; D29-1)&lt;&gt;"")))),"")&amp;"   "&amp;IFERROR(_xlfn.XLOOKUP(A29,ETANCHEITE!Q$19:Q$164,ETANCHEITE!$B$19:$B$164),"")&amp;IFERROR(_xlfn.XLOOKUP(A29,ETANCHEITE!Q$19:Q$164,ETANCHEITE!$C$19:$C$164),"")&amp;IFERROR(_xlfn.XLOOKUP(A29,ETANCHEITE!Q$19:Q$164,ETANCHEITE!$D$19:$D$164),"")&amp;IFERROR(_xlfn.XLOOKUP(A29,ETANCHEITE!Q$19:Q$164,ETANCHEITE!$E$19:$E$164),"")&amp;IFERROR(_xlfn.XLOOKUP(A29,ETANCHEITE!Q$19:Q$164,ETANCHEITE!$F$19:$F$164),"")</f>
        <v xml:space="preserve">   </v>
      </c>
      <c r="F29" s="168" t="str">
        <f>IFERROR(VLOOKUP(A29,ETANCHEITE!Q$19:S$164,2,FALSE),"")&amp;" "&amp;IFERROR(VLOOKUP(A29,ETANCHEITE!Q$19:S$164,3,FALSE),"")</f>
        <v xml:space="preserve"> </v>
      </c>
      <c r="G29" s="161" t="str">
        <f>IF(F29&lt;&gt;" ",'Feuille de Donnée'!$C$3,"")</f>
        <v/>
      </c>
      <c r="H29" s="232" t="str" cm="1">
        <f t="array" aca="1" ref="H29" ca="1">IFERROR(IF(_xlfn.XLOOKUP(A29,ETANCHEITE!Q$19:Q$89,ETANCHEITE!O$19:O$89,"")&lt;&gt;"",_xlfn.XLOOKUP(A29,ETANCHEITE!Q$19:Q$89,ETANCHEITE!O$19:O$89,""),    INDEX(ETANCHEITE!O:O,MAX(_xlfn._xlws.FILTER(ROW(ETANCHEITE!O$19:INDIRECT("'PEINTURE'!O" &amp; D29-1)),ETANCHEITE!O$19:INDIRECT("'PEINTURE'!O" &amp; D29-1)&lt;&gt;"")))),"")</f>
        <v/>
      </c>
      <c r="I29" s="233" t="str" cm="1">
        <f t="array" aca="1" ref="I29" ca="1">IFERROR(IF(_xlfn.XLOOKUP(A29,ETANCHEITE!Q$19:Q$89,ETANCHEITE!P$19:P$89,"")&lt;&gt;"",_xlfn.XLOOKUP(A29,ETANCHEITE!Q$19:Q$89,ETANCHEITE!P$19:P$89,""),    INDEX(ETANCHEITE!P:P,MAX(_xlfn._xlws.FILTER(ROW(ETANCHEITE!P$19:INDIRECT("'PEINTURE'!P" &amp; D29-1)),ETANCHEITE!P$19:INDIRECT("'PEINTURE'!P" &amp; D29-1)&lt;&gt;"")))),"")</f>
        <v/>
      </c>
      <c r="J29" s="158">
        <v>27</v>
      </c>
      <c r="K29" s="167" t="str">
        <f>IF(O29&lt;&gt;" ",ETANCHEITE!$D$5,"")</f>
        <v/>
      </c>
      <c r="L29" s="167" t="str">
        <f>IF(O29&lt;&gt;" ",ETANCHEITE!$D$8,"")</f>
        <v/>
      </c>
      <c r="M29" s="159" t="str">
        <f>IFERROR(MATCH(J29,ETANCHEITE!Z$19:Z$164,0)+18,"")</f>
        <v/>
      </c>
      <c r="N29" s="160" t="str" cm="1">
        <f t="array" aca="1" ref="N29" ca="1">IFERROR(IF(_xlfn.XLOOKUP(J29,ETANCHEITE!Z$19:Z$164,ETANCHEITE!$A$19:$A$164,"")&lt;&gt;"",_xlfn.XLOOKUP(J29,ETANCHEITE!Z$19:Z$164,ETANCHEITE!$A$19:$A$164,""),    INDEX(ETANCHEITE!$A:$A,MAX(_xlfn._xlws.FILTER(ROW(ETANCHEITE!$A$19:INDIRECT("'MENUISERIES EXTERIEURES'!$A" &amp; M29-1)),ETANCHEITE!$A$19:INDIRECT("'MENUISERIES EXTERIEURES'!$A" &amp; M29-1)&lt;&gt;"")))),"")&amp;"   "&amp;IFERROR(_xlfn.XLOOKUP(J29,ETANCHEITE!Z$19:Z$164,ETANCHEITE!$B$19:$B$164),"")&amp;IFERROR(_xlfn.XLOOKUP(J29,ETANCHEITE!Z$19:Z$164,ETANCHEITE!$C$19:$C$164),"")&amp;IFERROR(_xlfn.XLOOKUP(J29,ETANCHEITE!Z$19:Z$164,ETANCHEITE!$D$19:$D$164),"")&amp;IFERROR(_xlfn.XLOOKUP(J29,ETANCHEITE!Z$19:Z$164,ETANCHEITE!$E$19:$E$164),"")&amp;IFERROR(_xlfn.XLOOKUP(J29,ETANCHEITE!Z$19:Z$164,ETANCHEITE!$F$19:$F$164),"")</f>
        <v xml:space="preserve">   </v>
      </c>
      <c r="O29" s="168" t="str">
        <f>IFERROR(VLOOKUP(J29,ETANCHEITE!Z$19:AB$164,2,FALSE),"")&amp;" "&amp;IFERROR(VLOOKUP(J29,ETANCHEITE!Z$19:AB$164,3,FALSE),"")</f>
        <v xml:space="preserve"> </v>
      </c>
      <c r="P29" s="161" t="str">
        <f>IF(O29&lt;&gt;" ",'Feuille de Donnée'!$C$3,"")</f>
        <v/>
      </c>
      <c r="Q29" s="232" t="str" cm="1">
        <f t="array" aca="1" ref="Q29" ca="1">IFERROR(IF(_xlfn.XLOOKUP(J29,ETANCHEITE!Z$19:Z$89,ETANCHEITE!X$19:X$89,"")&lt;&gt;"",_xlfn.XLOOKUP(J29,ETANCHEITE!Z$19:Z$89,ETANCHEITE!X$19:X$89,""),    INDEX(ETANCHEITE!X:X,MAX(_xlfn._xlws.FILTER(ROW(ETANCHEITE!X$19:INDIRECT("'PEINTURE'!O" &amp; M29-1)),ETANCHEITE!X$19:INDIRECT("'PEINTURE'!O" &amp; M29-1)&lt;&gt;"")))),"")</f>
        <v/>
      </c>
      <c r="R29" s="233" t="str" cm="1">
        <f t="array" aca="1" ref="R29" ca="1">IFERROR(IF(_xlfn.XLOOKUP(J29,ETANCHEITE!Z$19:Z$89,ETANCHEITE!Y$19:Y$89,"")&lt;&gt;"",_xlfn.XLOOKUP(J29,ETANCHEITE!Z$19:Z$89,ETANCHEITE!Y$19:Y$89,""),    INDEX(ETANCHEITE!Y:Y,MAX(_xlfn._xlws.FILTER(ROW(ETANCHEITE!Y$19:INDIRECT("'PEINTURE'!P" &amp; M29-1)),ETANCHEITE!Y$19:INDIRECT("'PEINTURE'!P" &amp; M29-1)&lt;&gt;"")))),"")</f>
        <v/>
      </c>
      <c r="S29" s="158">
        <v>27</v>
      </c>
      <c r="T29" s="167" t="str">
        <f>IF(X29&lt;&gt;" ",ETANCHEITE!$D$5,"")</f>
        <v/>
      </c>
      <c r="U29" s="167" t="str">
        <f>IF(X29&lt;&gt;" ",ETANCHEITE!$D$8,"")</f>
        <v/>
      </c>
      <c r="V29" s="159" t="str">
        <f>IFERROR(MATCH(S29,ETANCHEITE!AI$19:AI$164,0)+18,"")</f>
        <v/>
      </c>
      <c r="W29" s="160" t="str" cm="1">
        <f t="array" aca="1" ref="W29" ca="1">IFERROR(IF(_xlfn.XLOOKUP(S29,ETANCHEITE!AI$19:AI$164,ETANCHEITE!$A$19:$A$164,"")&lt;&gt;"",_xlfn.XLOOKUP(S29,ETANCHEITE!AI$19:AI$164,ETANCHEITE!$A$19:$A$164,""),    INDEX(ETANCHEITE!$A:$A,MAX(_xlfn._xlws.FILTER(ROW(ETANCHEITE!$A$19:INDIRECT("'MENUISERIES EXTERIEURES'!$A" &amp; V29-1)),ETANCHEITE!$A$19:INDIRECT("'MENUISERIES EXTERIEURES'!$A" &amp; V29-1)&lt;&gt;"")))),"")&amp;"   "&amp;IFERROR(_xlfn.XLOOKUP(S29,ETANCHEITE!AI$19:AI$164,ETANCHEITE!$B$19:$B$164),"")&amp;IFERROR(_xlfn.XLOOKUP(S29,ETANCHEITE!AI$19:AI$164,ETANCHEITE!$C$19:$C$164),"")&amp;IFERROR(_xlfn.XLOOKUP(S29,ETANCHEITE!AI$19:AI$164,ETANCHEITE!$D$19:$D$164),"")&amp;IFERROR(_xlfn.XLOOKUP(S29,ETANCHEITE!AI$19:AI$164,ETANCHEITE!$E$19:$E$164),"")&amp;IFERROR(_xlfn.XLOOKUP(S29,ETANCHEITE!AI$19:AI$164,ETANCHEITE!$F$19:$F$164),"")</f>
        <v xml:space="preserve">   </v>
      </c>
      <c r="X29" s="168" t="str">
        <f>IFERROR(VLOOKUP(S29,ETANCHEITE!AI$19:AK$164,2,FALSE),"")&amp;" "&amp;IFERROR(VLOOKUP(S29,ETANCHEITE!AI$19:AK$164,3,FALSE),"")</f>
        <v xml:space="preserve"> </v>
      </c>
      <c r="Y29" s="161" t="str">
        <f>IF(X29&lt;&gt;" ",'Feuille de Donnée'!$C$3,"")</f>
        <v/>
      </c>
      <c r="Z29" s="232" t="str" cm="1">
        <f t="array" aca="1" ref="Z29" ca="1">IFERROR(IF(_xlfn.XLOOKUP(S29,ETANCHEITE!AI$19:AI$89,ETANCHEITE!AG$19:AG$89,"")&lt;&gt;"",_xlfn.XLOOKUP(S29,ETANCHEITE!AI$19:AI$89,ETANCHEITE!AG$19:AG$89,""),    INDEX(ETANCHEITE!AG:AG,MAX(_xlfn._xlws.FILTER(ROW(ETANCHEITE!AG$19:INDIRECT("'PEINTURE'!O" &amp; V29-1)),ETANCHEITE!AG$19:INDIRECT("'PEINTURE'!O" &amp; V29-1)&lt;&gt;"")))),"")</f>
        <v/>
      </c>
      <c r="AA29" s="233" t="str" cm="1">
        <f t="array" aca="1" ref="AA29" ca="1">IFERROR(IF(_xlfn.XLOOKUP(S29,ETANCHEITE!AI$19:AI$89,ETANCHEITE!AH$19:AH$89,"")&lt;&gt;"",_xlfn.XLOOKUP(S29,ETANCHEITE!AI$19:AI$89,ETANCHEITE!AH$19:AH$89,""),    INDEX(ETANCHEITE!AH:AH,MAX(_xlfn._xlws.FILTER(ROW(ETANCHEITE!AH$19:INDIRECT("'PEINTURE'!P" &amp; V29-1)),ETANCHEITE!AH$19:INDIRECT("'PEINTURE'!P" &amp; V29-1)&lt;&gt;"")))),"")</f>
        <v/>
      </c>
      <c r="AB29" s="158">
        <v>27</v>
      </c>
      <c r="AC29" s="167" t="str">
        <f>IF(AG29&lt;&gt;" ",ETANCHEITE!$D$5,"")</f>
        <v/>
      </c>
      <c r="AD29" s="167" t="str">
        <f>IF(AG29&lt;&gt;" ",ETANCHEITE!$D$8,"")</f>
        <v/>
      </c>
      <c r="AE29" s="159" t="str">
        <f>IFERROR(MATCH(AB29,ETANCHEITE!AR$19:AR$164,0)+18,"")</f>
        <v/>
      </c>
      <c r="AF29" s="160" t="str" cm="1">
        <f t="array" aca="1" ref="AF29" ca="1">IFERROR(IF(_xlfn.XLOOKUP(AB29,ETANCHEITE!AR$19:AR$164,ETANCHEITE!$A$19:$A$164,"")&lt;&gt;"",_xlfn.XLOOKUP(AB29,ETANCHEITE!AR$19:AR$164,ETANCHEITE!$A$19:$A$164,""),    INDEX(ETANCHEITE!$A:$A,MAX(_xlfn._xlws.FILTER(ROW(ETANCHEITE!$A$19:INDIRECT("'MENUISERIES EXTERIEURES'!$A" &amp; AE29-1)),ETANCHEITE!$A$19:INDIRECT("'MENUISERIES EXTERIEURES'!$A" &amp; AE29-1)&lt;&gt;"")))),"")&amp;"   "&amp;IFERROR(_xlfn.XLOOKUP(AB29,ETANCHEITE!AR$19:AR$164,ETANCHEITE!$B$19:$B$164),"")&amp;IFERROR(_xlfn.XLOOKUP(AB29,ETANCHEITE!AR$19:AR$164,ETANCHEITE!$C$19:$C$164),"")&amp;IFERROR(_xlfn.XLOOKUP(AB29,ETANCHEITE!AR$19:AR$164,ETANCHEITE!$D$19:$D$164),"")&amp;IFERROR(_xlfn.XLOOKUP(AB29,ETANCHEITE!AR$19:AR$164,ETANCHEITE!$E$19:$E$164),"")&amp;IFERROR(_xlfn.XLOOKUP(AB29,ETANCHEITE!AR$19:AR$164,ETANCHEITE!$F$19:$F$164),"")</f>
        <v xml:space="preserve">   </v>
      </c>
      <c r="AG29" s="168" t="str">
        <f>IFERROR(VLOOKUP(AB29,ETANCHEITE!AR$19:AT$164,2,FALSE),"")&amp;" "&amp;IFERROR(VLOOKUP(AB29,ETANCHEITE!AR$19:AT$164,3,FALSE),"")</f>
        <v xml:space="preserve"> </v>
      </c>
      <c r="AH29" s="161" t="str">
        <f>IF(AG29&lt;&gt;" ",'Feuille de Donnée'!$C$3,"")</f>
        <v/>
      </c>
      <c r="AI29" s="232" t="str" cm="1">
        <f t="array" aca="1" ref="AI29" ca="1">IFERROR(IF(_xlfn.XLOOKUP(AB29,ETANCHEITE!AR$19:AR$89,ETANCHEITE!AP$19:AP$89,"")&lt;&gt;"",_xlfn.XLOOKUP(AB29,ETANCHEITE!AR$19:AR$89,ETANCHEITE!AP$19:AP$89,""),    INDEX(ETANCHEITE!AP:AP,MAX(_xlfn._xlws.FILTER(ROW(ETANCHEITE!AP$19:INDIRECT("'PEINTURE'!O" &amp; AE29-1)),ETANCHEITE!AP$19:INDIRECT("'PEINTURE'!O" &amp; AE29-1)&lt;&gt;"")))),"")</f>
        <v/>
      </c>
      <c r="AJ29" s="233" t="str" cm="1">
        <f t="array" aca="1" ref="AJ29" ca="1">IFERROR(IF(_xlfn.XLOOKUP(AB29,ETANCHEITE!AR$19:AR$89,ETANCHEITE!AQ$19:AQ$89,"")&lt;&gt;"",_xlfn.XLOOKUP(AB29,ETANCHEITE!AR$19:AR$89,ETANCHEITE!AQ$19:AQ$89,""),    INDEX(ETANCHEITE!AQ:AQ,MAX(_xlfn._xlws.FILTER(ROW(ETANCHEITE!AQ$19:INDIRECT("'PEINTURE'!P" &amp; AE29-1)),ETANCHEITE!AQ$19:INDIRECT("'PEINTURE'!P" &amp; AE29-1)&lt;&gt;"")))),"")</f>
        <v/>
      </c>
      <c r="AK29" s="158">
        <v>27</v>
      </c>
      <c r="AL29" s="167" t="str">
        <f>IF(AP29&lt;&gt;" ",ETANCHEITE!$D$5,"")</f>
        <v/>
      </c>
      <c r="AM29" s="167" t="str">
        <f>IF(AP29&lt;&gt;" ",ETANCHEITE!$D$8,"")</f>
        <v/>
      </c>
      <c r="AN29" s="159" t="str">
        <f>IFERROR(MATCH(AK29,ETANCHEITE!BA$19:BA$164,0)+18,"")</f>
        <v/>
      </c>
      <c r="AO29" s="160" t="str" cm="1">
        <f t="array" aca="1" ref="AO29" ca="1">IFERROR(IF(_xlfn.XLOOKUP(AK29,ETANCHEITE!BA$19:BA$164,ETANCHEITE!$A$19:$A$164,"")&lt;&gt;"",_xlfn.XLOOKUP(AK29,ETANCHEITE!BA$19:BA$164,ETANCHEITE!$A$19:$A$164,""),    INDEX(ETANCHEITE!$A:$A,MAX(_xlfn._xlws.FILTER(ROW(ETANCHEITE!$A$19:INDIRECT("'MENUISERIES EXTERIEURES'!$A" &amp; AN29-1)),ETANCHEITE!$A$19:INDIRECT("'MENUISERIES EXTERIEURES'!$A" &amp; AN29-1)&lt;&gt;"")))),"")&amp;"   "&amp;IFERROR(_xlfn.XLOOKUP(AK29,ETANCHEITE!BA$19:BA$164,ETANCHEITE!$B$19:$B$164),"")&amp;IFERROR(_xlfn.XLOOKUP(AK29,ETANCHEITE!BA$19:BA$164,ETANCHEITE!$C$19:$C$164),"")&amp;IFERROR(_xlfn.XLOOKUP(AK29,ETANCHEITE!BA$19:BA$164,ETANCHEITE!$D$19:$D$164),"")&amp;IFERROR(_xlfn.XLOOKUP(AK29,ETANCHEITE!BA$19:BA$164,ETANCHEITE!$E$19:$E$164),"")&amp;IFERROR(_xlfn.XLOOKUP(AK29,ETANCHEITE!BA$19:BA$164,ETANCHEITE!$F$19:$F$164),"")</f>
        <v xml:space="preserve">   </v>
      </c>
      <c r="AP29" s="168" t="str">
        <f>IFERROR(VLOOKUP(AK29,ETANCHEITE!BA$19:BC$164,2,FALSE),"")&amp;" "&amp;IFERROR(VLOOKUP(AK29,ETANCHEITE!BA$19:BC$164,3,FALSE),"")</f>
        <v xml:space="preserve"> </v>
      </c>
      <c r="AQ29" s="161" t="str">
        <f>IF(AP29&lt;&gt;" ",'Feuille de Donnée'!$C$3,"")</f>
        <v/>
      </c>
      <c r="AR29" s="232" t="str" cm="1">
        <f t="array" aca="1" ref="AR29" ca="1">IFERROR(IF(_xlfn.XLOOKUP(AK29,ETANCHEITE!BA$19:BA$89,ETANCHEITE!AY$19:AY$89,"")&lt;&gt;"",_xlfn.XLOOKUP(AK29,ETANCHEITE!BA$19:BA$89,ETANCHEITE!AY$19:AY$89,""),    INDEX(ETANCHEITE!AY:AY,MAX(_xlfn._xlws.FILTER(ROW(ETANCHEITE!AY$19:INDIRECT("'PEINTURE'!O" &amp; AN29-1)),ETANCHEITE!AY$19:INDIRECT("'PEINTURE'!O" &amp; AN29-1)&lt;&gt;"")))),"")</f>
        <v/>
      </c>
      <c r="AS29" s="233" t="str" cm="1">
        <f t="array" aca="1" ref="AS29" ca="1">IFERROR(IF(_xlfn.XLOOKUP(AK29,ETANCHEITE!BA$19:BA$89,ETANCHEITE!AZ$19:AZ$89,"")&lt;&gt;"",_xlfn.XLOOKUP(AK29,ETANCHEITE!BA$19:BA$89,ETANCHEITE!AZ$19:AZ$89,""),    INDEX(ETANCHEITE!AZ:AZ,MAX(_xlfn._xlws.FILTER(ROW(ETANCHEITE!AZ$19:INDIRECT("'PEINTURE'!P" &amp; AN29-1)),ETANCHEITE!AZ$19:INDIRECT("'PEINTURE'!P" &amp; AN29-1)&lt;&gt;"")))),"")</f>
        <v/>
      </c>
      <c r="AT29" s="158">
        <v>27</v>
      </c>
      <c r="AU29" s="167" t="str">
        <f>IF(AY29&lt;&gt;" ",ETANCHEITE!$D$5,"")</f>
        <v/>
      </c>
      <c r="AV29" s="167" t="str">
        <f>IF(AY29&lt;&gt;" ",ETANCHEITE!$D$8,"")</f>
        <v/>
      </c>
      <c r="AW29" s="159" t="str">
        <f>IFERROR(MATCH(AT29,ETANCHEITE!BJ$19:BJ$164,0)+18,"")</f>
        <v/>
      </c>
      <c r="AX29" s="160" t="str" cm="1">
        <f t="array" aca="1" ref="AX29" ca="1">IFERROR(IF(_xlfn.XLOOKUP(AT29,ETANCHEITE!BJ$19:BJ$164,ETANCHEITE!$A$19:$A$164,"")&lt;&gt;"",_xlfn.XLOOKUP(AT29,ETANCHEITE!BJ$19:BJ$164,ETANCHEITE!$A$19:$A$164,""),    INDEX(ETANCHEITE!$A:$A,MAX(_xlfn._xlws.FILTER(ROW(ETANCHEITE!$A$19:INDIRECT("'MENUISERIES EXTERIEURES'!$A" &amp; AW29-1)),ETANCHEITE!$A$19:INDIRECT("'MENUISERIES EXTERIEURES'!$A" &amp; AW29-1)&lt;&gt;"")))),"")&amp;"   "&amp;IFERROR(_xlfn.XLOOKUP(AT29,ETANCHEITE!BJ$19:BJ$164,ETANCHEITE!$B$19:$B$164),"")&amp;IFERROR(_xlfn.XLOOKUP(AT29,ETANCHEITE!BJ$19:BJ$164,ETANCHEITE!$C$19:$C$164),"")&amp;IFERROR(_xlfn.XLOOKUP(AT29,ETANCHEITE!BJ$19:BJ$164,ETANCHEITE!$D$19:$D$164),"")&amp;IFERROR(_xlfn.XLOOKUP(AT29,ETANCHEITE!BJ$19:BJ$164,ETANCHEITE!$E$19:$E$164),"")&amp;IFERROR(_xlfn.XLOOKUP(AT29,ETANCHEITE!BJ$19:BJ$164,ETANCHEITE!$F$19:$F$164),"")</f>
        <v xml:space="preserve">   </v>
      </c>
      <c r="AY29" s="168" t="str">
        <f>IFERROR(VLOOKUP(AT29,ETANCHEITE!BJ$19:BL$164,2,FALSE),"")&amp;" "&amp;IFERROR(VLOOKUP(AT29,ETANCHEITE!BJ$19:BL$164,3,FALSE),"")</f>
        <v xml:space="preserve"> </v>
      </c>
      <c r="AZ29" s="161" t="str">
        <f>IF(AY29&lt;&gt;" ",'Feuille de Donnée'!$C$3,"")</f>
        <v/>
      </c>
      <c r="BA29" s="232" t="str" cm="1">
        <f t="array" aca="1" ref="BA29" ca="1">IFERROR(IF(_xlfn.XLOOKUP(AT29,ETANCHEITE!BJ$19:BJ$89,ETANCHEITE!BH$19:BH$89,"")&lt;&gt;"",_xlfn.XLOOKUP(AT29,ETANCHEITE!BJ$19:BJ$89,ETANCHEITE!BH$19:BH$89,""),    INDEX(ETANCHEITE!BH:BH,MAX(_xlfn._xlws.FILTER(ROW(ETANCHEITE!BH$19:INDIRECT("'PEINTURE'!O" &amp; AW29-1)),ETANCHEITE!BH$19:INDIRECT("'PEINTURE'!O" &amp; AW29-1)&lt;&gt;"")))),"")</f>
        <v/>
      </c>
      <c r="BB29" s="233" t="str" cm="1">
        <f t="array" aca="1" ref="BB29" ca="1">IFERROR(IF(_xlfn.XLOOKUP(AT29,ETANCHEITE!BJ$19:BJ$89,ETANCHEITE!BI$19:BI$89,"")&lt;&gt;"",_xlfn.XLOOKUP(AT29,ETANCHEITE!BJ$19:BJ$89,ETANCHEITE!BI$19:BI$89,""),    INDEX(ETANCHEITE!BI:BI,MAX(_xlfn._xlws.FILTER(ROW(ETANCHEITE!BI$19:INDIRECT("'PEINTURE'!P" &amp; AW29-1)),ETANCHEITE!BI$19:INDIRECT("'PEINTURE'!P" &amp; AW29-1)&lt;&gt;"")))),"")</f>
        <v/>
      </c>
    </row>
    <row r="30" spans="1:54" ht="15" customHeight="1" x14ac:dyDescent="0.3">
      <c r="A30" s="158">
        <v>28</v>
      </c>
      <c r="B30" s="167" t="str">
        <f>IF(F30&lt;&gt;" ",ETANCHEITE!$D$5,"")</f>
        <v/>
      </c>
      <c r="C30" s="167" t="str">
        <f>IF(F30&lt;&gt;" ",ETANCHEITE!$D$8,"")</f>
        <v/>
      </c>
      <c r="D30" s="159" t="str">
        <f>IFERROR(MATCH(A30,ETANCHEITE!Q$19:Q$164,0)+18,"")</f>
        <v/>
      </c>
      <c r="E30" s="160" t="str" cm="1">
        <f t="array" aca="1" ref="E30" ca="1">IFERROR(IF(_xlfn.XLOOKUP(A30,ETANCHEITE!Q$19:Q$164,ETANCHEITE!$A$19:$A$164,"")&lt;&gt;"",_xlfn.XLOOKUP(A30,ETANCHEITE!Q$19:Q$164,ETANCHEITE!$A$19:$A$164,""),    INDEX(ETANCHEITE!$A:$A,MAX(_xlfn._xlws.FILTER(ROW(ETANCHEITE!$A$19:INDIRECT("'MENUISERIES EXTERIEURES'!$A" &amp; D30-1)),ETANCHEITE!$A$19:INDIRECT("'MENUISERIES EXTERIEURES'!$A" &amp; D30-1)&lt;&gt;"")))),"")&amp;"   "&amp;IFERROR(_xlfn.XLOOKUP(A30,ETANCHEITE!Q$19:Q$164,ETANCHEITE!$B$19:$B$164),"")&amp;IFERROR(_xlfn.XLOOKUP(A30,ETANCHEITE!Q$19:Q$164,ETANCHEITE!$C$19:$C$164),"")&amp;IFERROR(_xlfn.XLOOKUP(A30,ETANCHEITE!Q$19:Q$164,ETANCHEITE!$D$19:$D$164),"")&amp;IFERROR(_xlfn.XLOOKUP(A30,ETANCHEITE!Q$19:Q$164,ETANCHEITE!$E$19:$E$164),"")&amp;IFERROR(_xlfn.XLOOKUP(A30,ETANCHEITE!Q$19:Q$164,ETANCHEITE!$F$19:$F$164),"")</f>
        <v xml:space="preserve">   </v>
      </c>
      <c r="F30" s="168" t="str">
        <f>IFERROR(VLOOKUP(A30,ETANCHEITE!Q$19:S$164,2,FALSE),"")&amp;" "&amp;IFERROR(VLOOKUP(A30,ETANCHEITE!Q$19:S$164,3,FALSE),"")</f>
        <v xml:space="preserve"> </v>
      </c>
      <c r="G30" s="161" t="str">
        <f>IF(F30&lt;&gt;" ",'Feuille de Donnée'!$C$3,"")</f>
        <v/>
      </c>
      <c r="H30" s="232" t="str" cm="1">
        <f t="array" aca="1" ref="H30" ca="1">IFERROR(IF(_xlfn.XLOOKUP(A30,ETANCHEITE!Q$19:Q$89,ETANCHEITE!O$19:O$89,"")&lt;&gt;"",_xlfn.XLOOKUP(A30,ETANCHEITE!Q$19:Q$89,ETANCHEITE!O$19:O$89,""),    INDEX(ETANCHEITE!O:O,MAX(_xlfn._xlws.FILTER(ROW(ETANCHEITE!O$19:INDIRECT("'PEINTURE'!O" &amp; D30-1)),ETANCHEITE!O$19:INDIRECT("'PEINTURE'!O" &amp; D30-1)&lt;&gt;"")))),"")</f>
        <v/>
      </c>
      <c r="I30" s="233" t="str" cm="1">
        <f t="array" aca="1" ref="I30" ca="1">IFERROR(IF(_xlfn.XLOOKUP(A30,ETANCHEITE!Q$19:Q$89,ETANCHEITE!P$19:P$89,"")&lt;&gt;"",_xlfn.XLOOKUP(A30,ETANCHEITE!Q$19:Q$89,ETANCHEITE!P$19:P$89,""),    INDEX(ETANCHEITE!P:P,MAX(_xlfn._xlws.FILTER(ROW(ETANCHEITE!P$19:INDIRECT("'PEINTURE'!P" &amp; D30-1)),ETANCHEITE!P$19:INDIRECT("'PEINTURE'!P" &amp; D30-1)&lt;&gt;"")))),"")</f>
        <v/>
      </c>
      <c r="J30" s="158">
        <v>28</v>
      </c>
      <c r="K30" s="167" t="str">
        <f>IF(O30&lt;&gt;" ",ETANCHEITE!$D$5,"")</f>
        <v/>
      </c>
      <c r="L30" s="167" t="str">
        <f>IF(O30&lt;&gt;" ",ETANCHEITE!$D$8,"")</f>
        <v/>
      </c>
      <c r="M30" s="159" t="str">
        <f>IFERROR(MATCH(J30,ETANCHEITE!Z$19:Z$164,0)+18,"")</f>
        <v/>
      </c>
      <c r="N30" s="160" t="str" cm="1">
        <f t="array" aca="1" ref="N30" ca="1">IFERROR(IF(_xlfn.XLOOKUP(J30,ETANCHEITE!Z$19:Z$164,ETANCHEITE!$A$19:$A$164,"")&lt;&gt;"",_xlfn.XLOOKUP(J30,ETANCHEITE!Z$19:Z$164,ETANCHEITE!$A$19:$A$164,""),    INDEX(ETANCHEITE!$A:$A,MAX(_xlfn._xlws.FILTER(ROW(ETANCHEITE!$A$19:INDIRECT("'MENUISERIES EXTERIEURES'!$A" &amp; M30-1)),ETANCHEITE!$A$19:INDIRECT("'MENUISERIES EXTERIEURES'!$A" &amp; M30-1)&lt;&gt;"")))),"")&amp;"   "&amp;IFERROR(_xlfn.XLOOKUP(J30,ETANCHEITE!Z$19:Z$164,ETANCHEITE!$B$19:$B$164),"")&amp;IFERROR(_xlfn.XLOOKUP(J30,ETANCHEITE!Z$19:Z$164,ETANCHEITE!$C$19:$C$164),"")&amp;IFERROR(_xlfn.XLOOKUP(J30,ETANCHEITE!Z$19:Z$164,ETANCHEITE!$D$19:$D$164),"")&amp;IFERROR(_xlfn.XLOOKUP(J30,ETANCHEITE!Z$19:Z$164,ETANCHEITE!$E$19:$E$164),"")&amp;IFERROR(_xlfn.XLOOKUP(J30,ETANCHEITE!Z$19:Z$164,ETANCHEITE!$F$19:$F$164),"")</f>
        <v xml:space="preserve">   </v>
      </c>
      <c r="O30" s="168" t="str">
        <f>IFERROR(VLOOKUP(J30,ETANCHEITE!Z$19:AB$164,2,FALSE),"")&amp;" "&amp;IFERROR(VLOOKUP(J30,ETANCHEITE!Z$19:AB$164,3,FALSE),"")</f>
        <v xml:space="preserve"> </v>
      </c>
      <c r="P30" s="161" t="str">
        <f>IF(O30&lt;&gt;" ",'Feuille de Donnée'!$C$3,"")</f>
        <v/>
      </c>
      <c r="Q30" s="232" t="str" cm="1">
        <f t="array" aca="1" ref="Q30" ca="1">IFERROR(IF(_xlfn.XLOOKUP(J30,ETANCHEITE!Z$19:Z$89,ETANCHEITE!X$19:X$89,"")&lt;&gt;"",_xlfn.XLOOKUP(J30,ETANCHEITE!Z$19:Z$89,ETANCHEITE!X$19:X$89,""),    INDEX(ETANCHEITE!X:X,MAX(_xlfn._xlws.FILTER(ROW(ETANCHEITE!X$19:INDIRECT("'PEINTURE'!O" &amp; M30-1)),ETANCHEITE!X$19:INDIRECT("'PEINTURE'!O" &amp; M30-1)&lt;&gt;"")))),"")</f>
        <v/>
      </c>
      <c r="R30" s="233" t="str" cm="1">
        <f t="array" aca="1" ref="R30" ca="1">IFERROR(IF(_xlfn.XLOOKUP(J30,ETANCHEITE!Z$19:Z$89,ETANCHEITE!Y$19:Y$89,"")&lt;&gt;"",_xlfn.XLOOKUP(J30,ETANCHEITE!Z$19:Z$89,ETANCHEITE!Y$19:Y$89,""),    INDEX(ETANCHEITE!Y:Y,MAX(_xlfn._xlws.FILTER(ROW(ETANCHEITE!Y$19:INDIRECT("'PEINTURE'!P" &amp; M30-1)),ETANCHEITE!Y$19:INDIRECT("'PEINTURE'!P" &amp; M30-1)&lt;&gt;"")))),"")</f>
        <v/>
      </c>
      <c r="S30" s="158">
        <v>28</v>
      </c>
      <c r="T30" s="167" t="str">
        <f>IF(X30&lt;&gt;" ",ETANCHEITE!$D$5,"")</f>
        <v/>
      </c>
      <c r="U30" s="167" t="str">
        <f>IF(X30&lt;&gt;" ",ETANCHEITE!$D$8,"")</f>
        <v/>
      </c>
      <c r="V30" s="159" t="str">
        <f>IFERROR(MATCH(S30,ETANCHEITE!AI$19:AI$164,0)+18,"")</f>
        <v/>
      </c>
      <c r="W30" s="160" t="str" cm="1">
        <f t="array" aca="1" ref="W30" ca="1">IFERROR(IF(_xlfn.XLOOKUP(S30,ETANCHEITE!AI$19:AI$164,ETANCHEITE!$A$19:$A$164,"")&lt;&gt;"",_xlfn.XLOOKUP(S30,ETANCHEITE!AI$19:AI$164,ETANCHEITE!$A$19:$A$164,""),    INDEX(ETANCHEITE!$A:$A,MAX(_xlfn._xlws.FILTER(ROW(ETANCHEITE!$A$19:INDIRECT("'MENUISERIES EXTERIEURES'!$A" &amp; V30-1)),ETANCHEITE!$A$19:INDIRECT("'MENUISERIES EXTERIEURES'!$A" &amp; V30-1)&lt;&gt;"")))),"")&amp;"   "&amp;IFERROR(_xlfn.XLOOKUP(S30,ETANCHEITE!AI$19:AI$164,ETANCHEITE!$B$19:$B$164),"")&amp;IFERROR(_xlfn.XLOOKUP(S30,ETANCHEITE!AI$19:AI$164,ETANCHEITE!$C$19:$C$164),"")&amp;IFERROR(_xlfn.XLOOKUP(S30,ETANCHEITE!AI$19:AI$164,ETANCHEITE!$D$19:$D$164),"")&amp;IFERROR(_xlfn.XLOOKUP(S30,ETANCHEITE!AI$19:AI$164,ETANCHEITE!$E$19:$E$164),"")&amp;IFERROR(_xlfn.XLOOKUP(S30,ETANCHEITE!AI$19:AI$164,ETANCHEITE!$F$19:$F$164),"")</f>
        <v xml:space="preserve">   </v>
      </c>
      <c r="X30" s="168" t="str">
        <f>IFERROR(VLOOKUP(S30,ETANCHEITE!AI$19:AK$164,2,FALSE),"")&amp;" "&amp;IFERROR(VLOOKUP(S30,ETANCHEITE!AI$19:AK$164,3,FALSE),"")</f>
        <v xml:space="preserve"> </v>
      </c>
      <c r="Y30" s="161" t="str">
        <f>IF(X30&lt;&gt;" ",'Feuille de Donnée'!$C$3,"")</f>
        <v/>
      </c>
      <c r="Z30" s="232" t="str" cm="1">
        <f t="array" aca="1" ref="Z30" ca="1">IFERROR(IF(_xlfn.XLOOKUP(S30,ETANCHEITE!AI$19:AI$89,ETANCHEITE!AG$19:AG$89,"")&lt;&gt;"",_xlfn.XLOOKUP(S30,ETANCHEITE!AI$19:AI$89,ETANCHEITE!AG$19:AG$89,""),    INDEX(ETANCHEITE!AG:AG,MAX(_xlfn._xlws.FILTER(ROW(ETANCHEITE!AG$19:INDIRECT("'PEINTURE'!O" &amp; V30-1)),ETANCHEITE!AG$19:INDIRECT("'PEINTURE'!O" &amp; V30-1)&lt;&gt;"")))),"")</f>
        <v/>
      </c>
      <c r="AA30" s="233" t="str" cm="1">
        <f t="array" aca="1" ref="AA30" ca="1">IFERROR(IF(_xlfn.XLOOKUP(S30,ETANCHEITE!AI$19:AI$89,ETANCHEITE!AH$19:AH$89,"")&lt;&gt;"",_xlfn.XLOOKUP(S30,ETANCHEITE!AI$19:AI$89,ETANCHEITE!AH$19:AH$89,""),    INDEX(ETANCHEITE!AH:AH,MAX(_xlfn._xlws.FILTER(ROW(ETANCHEITE!AH$19:INDIRECT("'PEINTURE'!P" &amp; V30-1)),ETANCHEITE!AH$19:INDIRECT("'PEINTURE'!P" &amp; V30-1)&lt;&gt;"")))),"")</f>
        <v/>
      </c>
      <c r="AB30" s="158">
        <v>28</v>
      </c>
      <c r="AC30" s="167" t="str">
        <f>IF(AG30&lt;&gt;" ",ETANCHEITE!$D$5,"")</f>
        <v/>
      </c>
      <c r="AD30" s="167" t="str">
        <f>IF(AG30&lt;&gt;" ",ETANCHEITE!$D$8,"")</f>
        <v/>
      </c>
      <c r="AE30" s="159" t="str">
        <f>IFERROR(MATCH(AB30,ETANCHEITE!AR$19:AR$164,0)+18,"")</f>
        <v/>
      </c>
      <c r="AF30" s="160" t="str" cm="1">
        <f t="array" aca="1" ref="AF30" ca="1">IFERROR(IF(_xlfn.XLOOKUP(AB30,ETANCHEITE!AR$19:AR$164,ETANCHEITE!$A$19:$A$164,"")&lt;&gt;"",_xlfn.XLOOKUP(AB30,ETANCHEITE!AR$19:AR$164,ETANCHEITE!$A$19:$A$164,""),    INDEX(ETANCHEITE!$A:$A,MAX(_xlfn._xlws.FILTER(ROW(ETANCHEITE!$A$19:INDIRECT("'MENUISERIES EXTERIEURES'!$A" &amp; AE30-1)),ETANCHEITE!$A$19:INDIRECT("'MENUISERIES EXTERIEURES'!$A" &amp; AE30-1)&lt;&gt;"")))),"")&amp;"   "&amp;IFERROR(_xlfn.XLOOKUP(AB30,ETANCHEITE!AR$19:AR$164,ETANCHEITE!$B$19:$B$164),"")&amp;IFERROR(_xlfn.XLOOKUP(AB30,ETANCHEITE!AR$19:AR$164,ETANCHEITE!$C$19:$C$164),"")&amp;IFERROR(_xlfn.XLOOKUP(AB30,ETANCHEITE!AR$19:AR$164,ETANCHEITE!$D$19:$D$164),"")&amp;IFERROR(_xlfn.XLOOKUP(AB30,ETANCHEITE!AR$19:AR$164,ETANCHEITE!$E$19:$E$164),"")&amp;IFERROR(_xlfn.XLOOKUP(AB30,ETANCHEITE!AR$19:AR$164,ETANCHEITE!$F$19:$F$164),"")</f>
        <v xml:space="preserve">   </v>
      </c>
      <c r="AG30" s="168" t="str">
        <f>IFERROR(VLOOKUP(AB30,ETANCHEITE!AR$19:AT$164,2,FALSE),"")&amp;" "&amp;IFERROR(VLOOKUP(AB30,ETANCHEITE!AR$19:AT$164,3,FALSE),"")</f>
        <v xml:space="preserve"> </v>
      </c>
      <c r="AH30" s="161" t="str">
        <f>IF(AG30&lt;&gt;" ",'Feuille de Donnée'!$C$3,"")</f>
        <v/>
      </c>
      <c r="AI30" s="232" t="str" cm="1">
        <f t="array" aca="1" ref="AI30" ca="1">IFERROR(IF(_xlfn.XLOOKUP(AB30,ETANCHEITE!AR$19:AR$89,ETANCHEITE!AP$19:AP$89,"")&lt;&gt;"",_xlfn.XLOOKUP(AB30,ETANCHEITE!AR$19:AR$89,ETANCHEITE!AP$19:AP$89,""),    INDEX(ETANCHEITE!AP:AP,MAX(_xlfn._xlws.FILTER(ROW(ETANCHEITE!AP$19:INDIRECT("'PEINTURE'!O" &amp; AE30-1)),ETANCHEITE!AP$19:INDIRECT("'PEINTURE'!O" &amp; AE30-1)&lt;&gt;"")))),"")</f>
        <v/>
      </c>
      <c r="AJ30" s="233" t="str" cm="1">
        <f t="array" aca="1" ref="AJ30" ca="1">IFERROR(IF(_xlfn.XLOOKUP(AB30,ETANCHEITE!AR$19:AR$89,ETANCHEITE!AQ$19:AQ$89,"")&lt;&gt;"",_xlfn.XLOOKUP(AB30,ETANCHEITE!AR$19:AR$89,ETANCHEITE!AQ$19:AQ$89,""),    INDEX(ETANCHEITE!AQ:AQ,MAX(_xlfn._xlws.FILTER(ROW(ETANCHEITE!AQ$19:INDIRECT("'PEINTURE'!P" &amp; AE30-1)),ETANCHEITE!AQ$19:INDIRECT("'PEINTURE'!P" &amp; AE30-1)&lt;&gt;"")))),"")</f>
        <v/>
      </c>
      <c r="AK30" s="158">
        <v>28</v>
      </c>
      <c r="AL30" s="167" t="str">
        <f>IF(AP30&lt;&gt;" ",ETANCHEITE!$D$5,"")</f>
        <v/>
      </c>
      <c r="AM30" s="167" t="str">
        <f>IF(AP30&lt;&gt;" ",ETANCHEITE!$D$8,"")</f>
        <v/>
      </c>
      <c r="AN30" s="159" t="str">
        <f>IFERROR(MATCH(AK30,ETANCHEITE!BA$19:BA$164,0)+18,"")</f>
        <v/>
      </c>
      <c r="AO30" s="160" t="str" cm="1">
        <f t="array" aca="1" ref="AO30" ca="1">IFERROR(IF(_xlfn.XLOOKUP(AK30,ETANCHEITE!BA$19:BA$164,ETANCHEITE!$A$19:$A$164,"")&lt;&gt;"",_xlfn.XLOOKUP(AK30,ETANCHEITE!BA$19:BA$164,ETANCHEITE!$A$19:$A$164,""),    INDEX(ETANCHEITE!$A:$A,MAX(_xlfn._xlws.FILTER(ROW(ETANCHEITE!$A$19:INDIRECT("'MENUISERIES EXTERIEURES'!$A" &amp; AN30-1)),ETANCHEITE!$A$19:INDIRECT("'MENUISERIES EXTERIEURES'!$A" &amp; AN30-1)&lt;&gt;"")))),"")&amp;"   "&amp;IFERROR(_xlfn.XLOOKUP(AK30,ETANCHEITE!BA$19:BA$164,ETANCHEITE!$B$19:$B$164),"")&amp;IFERROR(_xlfn.XLOOKUP(AK30,ETANCHEITE!BA$19:BA$164,ETANCHEITE!$C$19:$C$164),"")&amp;IFERROR(_xlfn.XLOOKUP(AK30,ETANCHEITE!BA$19:BA$164,ETANCHEITE!$D$19:$D$164),"")&amp;IFERROR(_xlfn.XLOOKUP(AK30,ETANCHEITE!BA$19:BA$164,ETANCHEITE!$E$19:$E$164),"")&amp;IFERROR(_xlfn.XLOOKUP(AK30,ETANCHEITE!BA$19:BA$164,ETANCHEITE!$F$19:$F$164),"")</f>
        <v xml:space="preserve">   </v>
      </c>
      <c r="AP30" s="168" t="str">
        <f>IFERROR(VLOOKUP(AK30,ETANCHEITE!BA$19:BC$164,2,FALSE),"")&amp;" "&amp;IFERROR(VLOOKUP(AK30,ETANCHEITE!BA$19:BC$164,3,FALSE),"")</f>
        <v xml:space="preserve"> </v>
      </c>
      <c r="AQ30" s="161" t="str">
        <f>IF(AP30&lt;&gt;" ",'Feuille de Donnée'!$C$3,"")</f>
        <v/>
      </c>
      <c r="AR30" s="232" t="str" cm="1">
        <f t="array" aca="1" ref="AR30" ca="1">IFERROR(IF(_xlfn.XLOOKUP(AK30,ETANCHEITE!BA$19:BA$89,ETANCHEITE!AY$19:AY$89,"")&lt;&gt;"",_xlfn.XLOOKUP(AK30,ETANCHEITE!BA$19:BA$89,ETANCHEITE!AY$19:AY$89,""),    INDEX(ETANCHEITE!AY:AY,MAX(_xlfn._xlws.FILTER(ROW(ETANCHEITE!AY$19:INDIRECT("'PEINTURE'!O" &amp; AN30-1)),ETANCHEITE!AY$19:INDIRECT("'PEINTURE'!O" &amp; AN30-1)&lt;&gt;"")))),"")</f>
        <v/>
      </c>
      <c r="AS30" s="233" t="str" cm="1">
        <f t="array" aca="1" ref="AS30" ca="1">IFERROR(IF(_xlfn.XLOOKUP(AK30,ETANCHEITE!BA$19:BA$89,ETANCHEITE!AZ$19:AZ$89,"")&lt;&gt;"",_xlfn.XLOOKUP(AK30,ETANCHEITE!BA$19:BA$89,ETANCHEITE!AZ$19:AZ$89,""),    INDEX(ETANCHEITE!AZ:AZ,MAX(_xlfn._xlws.FILTER(ROW(ETANCHEITE!AZ$19:INDIRECT("'PEINTURE'!P" &amp; AN30-1)),ETANCHEITE!AZ$19:INDIRECT("'PEINTURE'!P" &amp; AN30-1)&lt;&gt;"")))),"")</f>
        <v/>
      </c>
      <c r="AT30" s="158">
        <v>28</v>
      </c>
      <c r="AU30" s="167" t="str">
        <f>IF(AY30&lt;&gt;" ",ETANCHEITE!$D$5,"")</f>
        <v/>
      </c>
      <c r="AV30" s="167" t="str">
        <f>IF(AY30&lt;&gt;" ",ETANCHEITE!$D$8,"")</f>
        <v/>
      </c>
      <c r="AW30" s="159" t="str">
        <f>IFERROR(MATCH(AT30,ETANCHEITE!BJ$19:BJ$164,0)+18,"")</f>
        <v/>
      </c>
      <c r="AX30" s="160" t="str" cm="1">
        <f t="array" aca="1" ref="AX30" ca="1">IFERROR(IF(_xlfn.XLOOKUP(AT30,ETANCHEITE!BJ$19:BJ$164,ETANCHEITE!$A$19:$A$164,"")&lt;&gt;"",_xlfn.XLOOKUP(AT30,ETANCHEITE!BJ$19:BJ$164,ETANCHEITE!$A$19:$A$164,""),    INDEX(ETANCHEITE!$A:$A,MAX(_xlfn._xlws.FILTER(ROW(ETANCHEITE!$A$19:INDIRECT("'MENUISERIES EXTERIEURES'!$A" &amp; AW30-1)),ETANCHEITE!$A$19:INDIRECT("'MENUISERIES EXTERIEURES'!$A" &amp; AW30-1)&lt;&gt;"")))),"")&amp;"   "&amp;IFERROR(_xlfn.XLOOKUP(AT30,ETANCHEITE!BJ$19:BJ$164,ETANCHEITE!$B$19:$B$164),"")&amp;IFERROR(_xlfn.XLOOKUP(AT30,ETANCHEITE!BJ$19:BJ$164,ETANCHEITE!$C$19:$C$164),"")&amp;IFERROR(_xlfn.XLOOKUP(AT30,ETANCHEITE!BJ$19:BJ$164,ETANCHEITE!$D$19:$D$164),"")&amp;IFERROR(_xlfn.XLOOKUP(AT30,ETANCHEITE!BJ$19:BJ$164,ETANCHEITE!$E$19:$E$164),"")&amp;IFERROR(_xlfn.XLOOKUP(AT30,ETANCHEITE!BJ$19:BJ$164,ETANCHEITE!$F$19:$F$164),"")</f>
        <v xml:space="preserve">   </v>
      </c>
      <c r="AY30" s="168" t="str">
        <f>IFERROR(VLOOKUP(AT30,ETANCHEITE!BJ$19:BL$164,2,FALSE),"")&amp;" "&amp;IFERROR(VLOOKUP(AT30,ETANCHEITE!BJ$19:BL$164,3,FALSE),"")</f>
        <v xml:space="preserve"> </v>
      </c>
      <c r="AZ30" s="161" t="str">
        <f>IF(AY30&lt;&gt;" ",'Feuille de Donnée'!$C$3,"")</f>
        <v/>
      </c>
      <c r="BA30" s="232" t="str" cm="1">
        <f t="array" aca="1" ref="BA30" ca="1">IFERROR(IF(_xlfn.XLOOKUP(AT30,ETANCHEITE!BJ$19:BJ$89,ETANCHEITE!BH$19:BH$89,"")&lt;&gt;"",_xlfn.XLOOKUP(AT30,ETANCHEITE!BJ$19:BJ$89,ETANCHEITE!BH$19:BH$89,""),    INDEX(ETANCHEITE!BH:BH,MAX(_xlfn._xlws.FILTER(ROW(ETANCHEITE!BH$19:INDIRECT("'PEINTURE'!O" &amp; AW30-1)),ETANCHEITE!BH$19:INDIRECT("'PEINTURE'!O" &amp; AW30-1)&lt;&gt;"")))),"")</f>
        <v/>
      </c>
      <c r="BB30" s="233" t="str" cm="1">
        <f t="array" aca="1" ref="BB30" ca="1">IFERROR(IF(_xlfn.XLOOKUP(AT30,ETANCHEITE!BJ$19:BJ$89,ETANCHEITE!BI$19:BI$89,"")&lt;&gt;"",_xlfn.XLOOKUP(AT30,ETANCHEITE!BJ$19:BJ$89,ETANCHEITE!BI$19:BI$89,""),    INDEX(ETANCHEITE!BI:BI,MAX(_xlfn._xlws.FILTER(ROW(ETANCHEITE!BI$19:INDIRECT("'PEINTURE'!P" &amp; AW30-1)),ETANCHEITE!BI$19:INDIRECT("'PEINTURE'!P" &amp; AW30-1)&lt;&gt;"")))),"")</f>
        <v/>
      </c>
    </row>
    <row r="31" spans="1:54" ht="15" customHeight="1" x14ac:dyDescent="0.3">
      <c r="A31" s="158">
        <v>29</v>
      </c>
      <c r="B31" s="167" t="str">
        <f>IF(F31&lt;&gt;" ",ETANCHEITE!$D$5,"")</f>
        <v/>
      </c>
      <c r="C31" s="167" t="str">
        <f>IF(F31&lt;&gt;" ",ETANCHEITE!$D$8,"")</f>
        <v/>
      </c>
      <c r="D31" s="159" t="str">
        <f>IFERROR(MATCH(A31,ETANCHEITE!Q$19:Q$164,0)+18,"")</f>
        <v/>
      </c>
      <c r="E31" s="160" t="str" cm="1">
        <f t="array" aca="1" ref="E31" ca="1">IFERROR(IF(_xlfn.XLOOKUP(A31,ETANCHEITE!Q$19:Q$164,ETANCHEITE!$A$19:$A$164,"")&lt;&gt;"",_xlfn.XLOOKUP(A31,ETANCHEITE!Q$19:Q$164,ETANCHEITE!$A$19:$A$164,""),    INDEX(ETANCHEITE!$A:$A,MAX(_xlfn._xlws.FILTER(ROW(ETANCHEITE!$A$19:INDIRECT("'MENUISERIES EXTERIEURES'!$A" &amp; D31-1)),ETANCHEITE!$A$19:INDIRECT("'MENUISERIES EXTERIEURES'!$A" &amp; D31-1)&lt;&gt;"")))),"")&amp;"   "&amp;IFERROR(_xlfn.XLOOKUP(A31,ETANCHEITE!Q$19:Q$164,ETANCHEITE!$B$19:$B$164),"")&amp;IFERROR(_xlfn.XLOOKUP(A31,ETANCHEITE!Q$19:Q$164,ETANCHEITE!$C$19:$C$164),"")&amp;IFERROR(_xlfn.XLOOKUP(A31,ETANCHEITE!Q$19:Q$164,ETANCHEITE!$D$19:$D$164),"")&amp;IFERROR(_xlfn.XLOOKUP(A31,ETANCHEITE!Q$19:Q$164,ETANCHEITE!$E$19:$E$164),"")&amp;IFERROR(_xlfn.XLOOKUP(A31,ETANCHEITE!Q$19:Q$164,ETANCHEITE!$F$19:$F$164),"")</f>
        <v xml:space="preserve">   </v>
      </c>
      <c r="F31" s="168" t="str">
        <f>IFERROR(VLOOKUP(A31,ETANCHEITE!Q$19:S$164,2,FALSE),"")&amp;" "&amp;IFERROR(VLOOKUP(A31,ETANCHEITE!Q$19:S$164,3,FALSE),"")</f>
        <v xml:space="preserve"> </v>
      </c>
      <c r="G31" s="161" t="str">
        <f>IF(F31&lt;&gt;" ",'Feuille de Donnée'!$C$3,"")</f>
        <v/>
      </c>
      <c r="H31" s="232" t="str" cm="1">
        <f t="array" aca="1" ref="H31" ca="1">IFERROR(IF(_xlfn.XLOOKUP(A31,ETANCHEITE!Q$19:Q$89,ETANCHEITE!O$19:O$89,"")&lt;&gt;"",_xlfn.XLOOKUP(A31,ETANCHEITE!Q$19:Q$89,ETANCHEITE!O$19:O$89,""),    INDEX(ETANCHEITE!O:O,MAX(_xlfn._xlws.FILTER(ROW(ETANCHEITE!O$19:INDIRECT("'PEINTURE'!O" &amp; D31-1)),ETANCHEITE!O$19:INDIRECT("'PEINTURE'!O" &amp; D31-1)&lt;&gt;"")))),"")</f>
        <v/>
      </c>
      <c r="I31" s="233" t="str" cm="1">
        <f t="array" aca="1" ref="I31" ca="1">IFERROR(IF(_xlfn.XLOOKUP(A31,ETANCHEITE!Q$19:Q$89,ETANCHEITE!P$19:P$89,"")&lt;&gt;"",_xlfn.XLOOKUP(A31,ETANCHEITE!Q$19:Q$89,ETANCHEITE!P$19:P$89,""),    INDEX(ETANCHEITE!P:P,MAX(_xlfn._xlws.FILTER(ROW(ETANCHEITE!P$19:INDIRECT("'PEINTURE'!P" &amp; D31-1)),ETANCHEITE!P$19:INDIRECT("'PEINTURE'!P" &amp; D31-1)&lt;&gt;"")))),"")</f>
        <v/>
      </c>
      <c r="J31" s="158">
        <v>29</v>
      </c>
      <c r="K31" s="167" t="str">
        <f>IF(O31&lt;&gt;" ",ETANCHEITE!$D$5,"")</f>
        <v/>
      </c>
      <c r="L31" s="167" t="str">
        <f>IF(O31&lt;&gt;" ",ETANCHEITE!$D$8,"")</f>
        <v/>
      </c>
      <c r="M31" s="159" t="str">
        <f>IFERROR(MATCH(J31,ETANCHEITE!Z$19:Z$164,0)+18,"")</f>
        <v/>
      </c>
      <c r="N31" s="160" t="str" cm="1">
        <f t="array" aca="1" ref="N31" ca="1">IFERROR(IF(_xlfn.XLOOKUP(J31,ETANCHEITE!Z$19:Z$164,ETANCHEITE!$A$19:$A$164,"")&lt;&gt;"",_xlfn.XLOOKUP(J31,ETANCHEITE!Z$19:Z$164,ETANCHEITE!$A$19:$A$164,""),    INDEX(ETANCHEITE!$A:$A,MAX(_xlfn._xlws.FILTER(ROW(ETANCHEITE!$A$19:INDIRECT("'MENUISERIES EXTERIEURES'!$A" &amp; M31-1)),ETANCHEITE!$A$19:INDIRECT("'MENUISERIES EXTERIEURES'!$A" &amp; M31-1)&lt;&gt;"")))),"")&amp;"   "&amp;IFERROR(_xlfn.XLOOKUP(J31,ETANCHEITE!Z$19:Z$164,ETANCHEITE!$B$19:$B$164),"")&amp;IFERROR(_xlfn.XLOOKUP(J31,ETANCHEITE!Z$19:Z$164,ETANCHEITE!$C$19:$C$164),"")&amp;IFERROR(_xlfn.XLOOKUP(J31,ETANCHEITE!Z$19:Z$164,ETANCHEITE!$D$19:$D$164),"")&amp;IFERROR(_xlfn.XLOOKUP(J31,ETANCHEITE!Z$19:Z$164,ETANCHEITE!$E$19:$E$164),"")&amp;IFERROR(_xlfn.XLOOKUP(J31,ETANCHEITE!Z$19:Z$164,ETANCHEITE!$F$19:$F$164),"")</f>
        <v xml:space="preserve">   </v>
      </c>
      <c r="O31" s="168" t="str">
        <f>IFERROR(VLOOKUP(J31,ETANCHEITE!Z$19:AB$164,2,FALSE),"")&amp;" "&amp;IFERROR(VLOOKUP(J31,ETANCHEITE!Z$19:AB$164,3,FALSE),"")</f>
        <v xml:space="preserve"> </v>
      </c>
      <c r="P31" s="161" t="str">
        <f>IF(O31&lt;&gt;" ",'Feuille de Donnée'!$C$3,"")</f>
        <v/>
      </c>
      <c r="Q31" s="232" t="str" cm="1">
        <f t="array" aca="1" ref="Q31" ca="1">IFERROR(IF(_xlfn.XLOOKUP(J31,ETANCHEITE!Z$19:Z$89,ETANCHEITE!X$19:X$89,"")&lt;&gt;"",_xlfn.XLOOKUP(J31,ETANCHEITE!Z$19:Z$89,ETANCHEITE!X$19:X$89,""),    INDEX(ETANCHEITE!X:X,MAX(_xlfn._xlws.FILTER(ROW(ETANCHEITE!X$19:INDIRECT("'PEINTURE'!O" &amp; M31-1)),ETANCHEITE!X$19:INDIRECT("'PEINTURE'!O" &amp; M31-1)&lt;&gt;"")))),"")</f>
        <v/>
      </c>
      <c r="R31" s="233" t="str" cm="1">
        <f t="array" aca="1" ref="R31" ca="1">IFERROR(IF(_xlfn.XLOOKUP(J31,ETANCHEITE!Z$19:Z$89,ETANCHEITE!Y$19:Y$89,"")&lt;&gt;"",_xlfn.XLOOKUP(J31,ETANCHEITE!Z$19:Z$89,ETANCHEITE!Y$19:Y$89,""),    INDEX(ETANCHEITE!Y:Y,MAX(_xlfn._xlws.FILTER(ROW(ETANCHEITE!Y$19:INDIRECT("'PEINTURE'!P" &amp; M31-1)),ETANCHEITE!Y$19:INDIRECT("'PEINTURE'!P" &amp; M31-1)&lt;&gt;"")))),"")</f>
        <v/>
      </c>
      <c r="S31" s="158">
        <v>29</v>
      </c>
      <c r="T31" s="167" t="str">
        <f>IF(X31&lt;&gt;" ",ETANCHEITE!$D$5,"")</f>
        <v/>
      </c>
      <c r="U31" s="167" t="str">
        <f>IF(X31&lt;&gt;" ",ETANCHEITE!$D$8,"")</f>
        <v/>
      </c>
      <c r="V31" s="159" t="str">
        <f>IFERROR(MATCH(S31,ETANCHEITE!AI$19:AI$164,0)+18,"")</f>
        <v/>
      </c>
      <c r="W31" s="160" t="str" cm="1">
        <f t="array" aca="1" ref="W31" ca="1">IFERROR(IF(_xlfn.XLOOKUP(S31,ETANCHEITE!AI$19:AI$164,ETANCHEITE!$A$19:$A$164,"")&lt;&gt;"",_xlfn.XLOOKUP(S31,ETANCHEITE!AI$19:AI$164,ETANCHEITE!$A$19:$A$164,""),    INDEX(ETANCHEITE!$A:$A,MAX(_xlfn._xlws.FILTER(ROW(ETANCHEITE!$A$19:INDIRECT("'MENUISERIES EXTERIEURES'!$A" &amp; V31-1)),ETANCHEITE!$A$19:INDIRECT("'MENUISERIES EXTERIEURES'!$A" &amp; V31-1)&lt;&gt;"")))),"")&amp;"   "&amp;IFERROR(_xlfn.XLOOKUP(S31,ETANCHEITE!AI$19:AI$164,ETANCHEITE!$B$19:$B$164),"")&amp;IFERROR(_xlfn.XLOOKUP(S31,ETANCHEITE!AI$19:AI$164,ETANCHEITE!$C$19:$C$164),"")&amp;IFERROR(_xlfn.XLOOKUP(S31,ETANCHEITE!AI$19:AI$164,ETANCHEITE!$D$19:$D$164),"")&amp;IFERROR(_xlfn.XLOOKUP(S31,ETANCHEITE!AI$19:AI$164,ETANCHEITE!$E$19:$E$164),"")&amp;IFERROR(_xlfn.XLOOKUP(S31,ETANCHEITE!AI$19:AI$164,ETANCHEITE!$F$19:$F$164),"")</f>
        <v xml:space="preserve">   </v>
      </c>
      <c r="X31" s="168" t="str">
        <f>IFERROR(VLOOKUP(S31,ETANCHEITE!AI$19:AK$164,2,FALSE),"")&amp;" "&amp;IFERROR(VLOOKUP(S31,ETANCHEITE!AI$19:AK$164,3,FALSE),"")</f>
        <v xml:space="preserve"> </v>
      </c>
      <c r="Y31" s="161" t="str">
        <f>IF(X31&lt;&gt;" ",'Feuille de Donnée'!$C$3,"")</f>
        <v/>
      </c>
      <c r="Z31" s="232" t="str" cm="1">
        <f t="array" aca="1" ref="Z31" ca="1">IFERROR(IF(_xlfn.XLOOKUP(S31,ETANCHEITE!AI$19:AI$89,ETANCHEITE!AG$19:AG$89,"")&lt;&gt;"",_xlfn.XLOOKUP(S31,ETANCHEITE!AI$19:AI$89,ETANCHEITE!AG$19:AG$89,""),    INDEX(ETANCHEITE!AG:AG,MAX(_xlfn._xlws.FILTER(ROW(ETANCHEITE!AG$19:INDIRECT("'PEINTURE'!O" &amp; V31-1)),ETANCHEITE!AG$19:INDIRECT("'PEINTURE'!O" &amp; V31-1)&lt;&gt;"")))),"")</f>
        <v/>
      </c>
      <c r="AA31" s="233" t="str" cm="1">
        <f t="array" aca="1" ref="AA31" ca="1">IFERROR(IF(_xlfn.XLOOKUP(S31,ETANCHEITE!AI$19:AI$89,ETANCHEITE!AH$19:AH$89,"")&lt;&gt;"",_xlfn.XLOOKUP(S31,ETANCHEITE!AI$19:AI$89,ETANCHEITE!AH$19:AH$89,""),    INDEX(ETANCHEITE!AH:AH,MAX(_xlfn._xlws.FILTER(ROW(ETANCHEITE!AH$19:INDIRECT("'PEINTURE'!P" &amp; V31-1)),ETANCHEITE!AH$19:INDIRECT("'PEINTURE'!P" &amp; V31-1)&lt;&gt;"")))),"")</f>
        <v/>
      </c>
      <c r="AB31" s="158">
        <v>29</v>
      </c>
      <c r="AC31" s="167" t="str">
        <f>IF(AG31&lt;&gt;" ",ETANCHEITE!$D$5,"")</f>
        <v/>
      </c>
      <c r="AD31" s="167" t="str">
        <f>IF(AG31&lt;&gt;" ",ETANCHEITE!$D$8,"")</f>
        <v/>
      </c>
      <c r="AE31" s="159" t="str">
        <f>IFERROR(MATCH(AB31,ETANCHEITE!AR$19:AR$164,0)+18,"")</f>
        <v/>
      </c>
      <c r="AF31" s="160" t="str" cm="1">
        <f t="array" aca="1" ref="AF31" ca="1">IFERROR(IF(_xlfn.XLOOKUP(AB31,ETANCHEITE!AR$19:AR$164,ETANCHEITE!$A$19:$A$164,"")&lt;&gt;"",_xlfn.XLOOKUP(AB31,ETANCHEITE!AR$19:AR$164,ETANCHEITE!$A$19:$A$164,""),    INDEX(ETANCHEITE!$A:$A,MAX(_xlfn._xlws.FILTER(ROW(ETANCHEITE!$A$19:INDIRECT("'MENUISERIES EXTERIEURES'!$A" &amp; AE31-1)),ETANCHEITE!$A$19:INDIRECT("'MENUISERIES EXTERIEURES'!$A" &amp; AE31-1)&lt;&gt;"")))),"")&amp;"   "&amp;IFERROR(_xlfn.XLOOKUP(AB31,ETANCHEITE!AR$19:AR$164,ETANCHEITE!$B$19:$B$164),"")&amp;IFERROR(_xlfn.XLOOKUP(AB31,ETANCHEITE!AR$19:AR$164,ETANCHEITE!$C$19:$C$164),"")&amp;IFERROR(_xlfn.XLOOKUP(AB31,ETANCHEITE!AR$19:AR$164,ETANCHEITE!$D$19:$D$164),"")&amp;IFERROR(_xlfn.XLOOKUP(AB31,ETANCHEITE!AR$19:AR$164,ETANCHEITE!$E$19:$E$164),"")&amp;IFERROR(_xlfn.XLOOKUP(AB31,ETANCHEITE!AR$19:AR$164,ETANCHEITE!$F$19:$F$164),"")</f>
        <v xml:space="preserve">   </v>
      </c>
      <c r="AG31" s="168" t="str">
        <f>IFERROR(VLOOKUP(AB31,ETANCHEITE!AR$19:AT$164,2,FALSE),"")&amp;" "&amp;IFERROR(VLOOKUP(AB31,ETANCHEITE!AR$19:AT$164,3,FALSE),"")</f>
        <v xml:space="preserve"> </v>
      </c>
      <c r="AH31" s="161" t="str">
        <f>IF(AG31&lt;&gt;" ",'Feuille de Donnée'!$C$3,"")</f>
        <v/>
      </c>
      <c r="AI31" s="232" t="str" cm="1">
        <f t="array" aca="1" ref="AI31" ca="1">IFERROR(IF(_xlfn.XLOOKUP(AB31,ETANCHEITE!AR$19:AR$89,ETANCHEITE!AP$19:AP$89,"")&lt;&gt;"",_xlfn.XLOOKUP(AB31,ETANCHEITE!AR$19:AR$89,ETANCHEITE!AP$19:AP$89,""),    INDEX(ETANCHEITE!AP:AP,MAX(_xlfn._xlws.FILTER(ROW(ETANCHEITE!AP$19:INDIRECT("'PEINTURE'!O" &amp; AE31-1)),ETANCHEITE!AP$19:INDIRECT("'PEINTURE'!O" &amp; AE31-1)&lt;&gt;"")))),"")</f>
        <v/>
      </c>
      <c r="AJ31" s="233" t="str" cm="1">
        <f t="array" aca="1" ref="AJ31" ca="1">IFERROR(IF(_xlfn.XLOOKUP(AB31,ETANCHEITE!AR$19:AR$89,ETANCHEITE!AQ$19:AQ$89,"")&lt;&gt;"",_xlfn.XLOOKUP(AB31,ETANCHEITE!AR$19:AR$89,ETANCHEITE!AQ$19:AQ$89,""),    INDEX(ETANCHEITE!AQ:AQ,MAX(_xlfn._xlws.FILTER(ROW(ETANCHEITE!AQ$19:INDIRECT("'PEINTURE'!P" &amp; AE31-1)),ETANCHEITE!AQ$19:INDIRECT("'PEINTURE'!P" &amp; AE31-1)&lt;&gt;"")))),"")</f>
        <v/>
      </c>
      <c r="AK31" s="158">
        <v>29</v>
      </c>
      <c r="AL31" s="167" t="str">
        <f>IF(AP31&lt;&gt;" ",ETANCHEITE!$D$5,"")</f>
        <v/>
      </c>
      <c r="AM31" s="167" t="str">
        <f>IF(AP31&lt;&gt;" ",ETANCHEITE!$D$8,"")</f>
        <v/>
      </c>
      <c r="AN31" s="159" t="str">
        <f>IFERROR(MATCH(AK31,ETANCHEITE!BA$19:BA$164,0)+18,"")</f>
        <v/>
      </c>
      <c r="AO31" s="160" t="str" cm="1">
        <f t="array" aca="1" ref="AO31" ca="1">IFERROR(IF(_xlfn.XLOOKUP(AK31,ETANCHEITE!BA$19:BA$164,ETANCHEITE!$A$19:$A$164,"")&lt;&gt;"",_xlfn.XLOOKUP(AK31,ETANCHEITE!BA$19:BA$164,ETANCHEITE!$A$19:$A$164,""),    INDEX(ETANCHEITE!$A:$A,MAX(_xlfn._xlws.FILTER(ROW(ETANCHEITE!$A$19:INDIRECT("'MENUISERIES EXTERIEURES'!$A" &amp; AN31-1)),ETANCHEITE!$A$19:INDIRECT("'MENUISERIES EXTERIEURES'!$A" &amp; AN31-1)&lt;&gt;"")))),"")&amp;"   "&amp;IFERROR(_xlfn.XLOOKUP(AK31,ETANCHEITE!BA$19:BA$164,ETANCHEITE!$B$19:$B$164),"")&amp;IFERROR(_xlfn.XLOOKUP(AK31,ETANCHEITE!BA$19:BA$164,ETANCHEITE!$C$19:$C$164),"")&amp;IFERROR(_xlfn.XLOOKUP(AK31,ETANCHEITE!BA$19:BA$164,ETANCHEITE!$D$19:$D$164),"")&amp;IFERROR(_xlfn.XLOOKUP(AK31,ETANCHEITE!BA$19:BA$164,ETANCHEITE!$E$19:$E$164),"")&amp;IFERROR(_xlfn.XLOOKUP(AK31,ETANCHEITE!BA$19:BA$164,ETANCHEITE!$F$19:$F$164),"")</f>
        <v xml:space="preserve">   </v>
      </c>
      <c r="AP31" s="168" t="str">
        <f>IFERROR(VLOOKUP(AK31,ETANCHEITE!BA$19:BC$164,2,FALSE),"")&amp;" "&amp;IFERROR(VLOOKUP(AK31,ETANCHEITE!BA$19:BC$164,3,FALSE),"")</f>
        <v xml:space="preserve"> </v>
      </c>
      <c r="AQ31" s="161" t="str">
        <f>IF(AP31&lt;&gt;" ",'Feuille de Donnée'!$C$3,"")</f>
        <v/>
      </c>
      <c r="AR31" s="232" t="str" cm="1">
        <f t="array" aca="1" ref="AR31" ca="1">IFERROR(IF(_xlfn.XLOOKUP(AK31,ETANCHEITE!BA$19:BA$89,ETANCHEITE!AY$19:AY$89,"")&lt;&gt;"",_xlfn.XLOOKUP(AK31,ETANCHEITE!BA$19:BA$89,ETANCHEITE!AY$19:AY$89,""),    INDEX(ETANCHEITE!AY:AY,MAX(_xlfn._xlws.FILTER(ROW(ETANCHEITE!AY$19:INDIRECT("'PEINTURE'!O" &amp; AN31-1)),ETANCHEITE!AY$19:INDIRECT("'PEINTURE'!O" &amp; AN31-1)&lt;&gt;"")))),"")</f>
        <v/>
      </c>
      <c r="AS31" s="233" t="str" cm="1">
        <f t="array" aca="1" ref="AS31" ca="1">IFERROR(IF(_xlfn.XLOOKUP(AK31,ETANCHEITE!BA$19:BA$89,ETANCHEITE!AZ$19:AZ$89,"")&lt;&gt;"",_xlfn.XLOOKUP(AK31,ETANCHEITE!BA$19:BA$89,ETANCHEITE!AZ$19:AZ$89,""),    INDEX(ETANCHEITE!AZ:AZ,MAX(_xlfn._xlws.FILTER(ROW(ETANCHEITE!AZ$19:INDIRECT("'PEINTURE'!P" &amp; AN31-1)),ETANCHEITE!AZ$19:INDIRECT("'PEINTURE'!P" &amp; AN31-1)&lt;&gt;"")))),"")</f>
        <v/>
      </c>
      <c r="AT31" s="158">
        <v>29</v>
      </c>
      <c r="AU31" s="167" t="str">
        <f>IF(AY31&lt;&gt;" ",ETANCHEITE!$D$5,"")</f>
        <v/>
      </c>
      <c r="AV31" s="167" t="str">
        <f>IF(AY31&lt;&gt;" ",ETANCHEITE!$D$8,"")</f>
        <v/>
      </c>
      <c r="AW31" s="159" t="str">
        <f>IFERROR(MATCH(AT31,ETANCHEITE!BJ$19:BJ$164,0)+18,"")</f>
        <v/>
      </c>
      <c r="AX31" s="160" t="str" cm="1">
        <f t="array" aca="1" ref="AX31" ca="1">IFERROR(IF(_xlfn.XLOOKUP(AT31,ETANCHEITE!BJ$19:BJ$164,ETANCHEITE!$A$19:$A$164,"")&lt;&gt;"",_xlfn.XLOOKUP(AT31,ETANCHEITE!BJ$19:BJ$164,ETANCHEITE!$A$19:$A$164,""),    INDEX(ETANCHEITE!$A:$A,MAX(_xlfn._xlws.FILTER(ROW(ETANCHEITE!$A$19:INDIRECT("'MENUISERIES EXTERIEURES'!$A" &amp; AW31-1)),ETANCHEITE!$A$19:INDIRECT("'MENUISERIES EXTERIEURES'!$A" &amp; AW31-1)&lt;&gt;"")))),"")&amp;"   "&amp;IFERROR(_xlfn.XLOOKUP(AT31,ETANCHEITE!BJ$19:BJ$164,ETANCHEITE!$B$19:$B$164),"")&amp;IFERROR(_xlfn.XLOOKUP(AT31,ETANCHEITE!BJ$19:BJ$164,ETANCHEITE!$C$19:$C$164),"")&amp;IFERROR(_xlfn.XLOOKUP(AT31,ETANCHEITE!BJ$19:BJ$164,ETANCHEITE!$D$19:$D$164),"")&amp;IFERROR(_xlfn.XLOOKUP(AT31,ETANCHEITE!BJ$19:BJ$164,ETANCHEITE!$E$19:$E$164),"")&amp;IFERROR(_xlfn.XLOOKUP(AT31,ETANCHEITE!BJ$19:BJ$164,ETANCHEITE!$F$19:$F$164),"")</f>
        <v xml:space="preserve">   </v>
      </c>
      <c r="AY31" s="168" t="str">
        <f>IFERROR(VLOOKUP(AT31,ETANCHEITE!BJ$19:BL$164,2,FALSE),"")&amp;" "&amp;IFERROR(VLOOKUP(AT31,ETANCHEITE!BJ$19:BL$164,3,FALSE),"")</f>
        <v xml:space="preserve"> </v>
      </c>
      <c r="AZ31" s="161" t="str">
        <f>IF(AY31&lt;&gt;" ",'Feuille de Donnée'!$C$3,"")</f>
        <v/>
      </c>
      <c r="BA31" s="232" t="str" cm="1">
        <f t="array" aca="1" ref="BA31" ca="1">IFERROR(IF(_xlfn.XLOOKUP(AT31,ETANCHEITE!BJ$19:BJ$89,ETANCHEITE!BH$19:BH$89,"")&lt;&gt;"",_xlfn.XLOOKUP(AT31,ETANCHEITE!BJ$19:BJ$89,ETANCHEITE!BH$19:BH$89,""),    INDEX(ETANCHEITE!BH:BH,MAX(_xlfn._xlws.FILTER(ROW(ETANCHEITE!BH$19:INDIRECT("'PEINTURE'!O" &amp; AW31-1)),ETANCHEITE!BH$19:INDIRECT("'PEINTURE'!O" &amp; AW31-1)&lt;&gt;"")))),"")</f>
        <v/>
      </c>
      <c r="BB31" s="233" t="str" cm="1">
        <f t="array" aca="1" ref="BB31" ca="1">IFERROR(IF(_xlfn.XLOOKUP(AT31,ETANCHEITE!BJ$19:BJ$89,ETANCHEITE!BI$19:BI$89,"")&lt;&gt;"",_xlfn.XLOOKUP(AT31,ETANCHEITE!BJ$19:BJ$89,ETANCHEITE!BI$19:BI$89,""),    INDEX(ETANCHEITE!BI:BI,MAX(_xlfn._xlws.FILTER(ROW(ETANCHEITE!BI$19:INDIRECT("'PEINTURE'!P" &amp; AW31-1)),ETANCHEITE!BI$19:INDIRECT("'PEINTURE'!P" &amp; AW31-1)&lt;&gt;"")))),"")</f>
        <v/>
      </c>
    </row>
    <row r="32" spans="1:54" ht="15" customHeight="1" x14ac:dyDescent="0.3">
      <c r="A32" s="158">
        <v>30</v>
      </c>
      <c r="B32" s="167" t="str">
        <f>IF(F32&lt;&gt;" ",ETANCHEITE!$D$5,"")</f>
        <v/>
      </c>
      <c r="C32" s="167" t="str">
        <f>IF(F32&lt;&gt;" ",ETANCHEITE!$D$8,"")</f>
        <v/>
      </c>
      <c r="D32" s="159" t="str">
        <f>IFERROR(MATCH(A32,ETANCHEITE!Q$19:Q$164,0)+18,"")</f>
        <v/>
      </c>
      <c r="E32" s="160" t="str" cm="1">
        <f t="array" aca="1" ref="E32" ca="1">IFERROR(IF(_xlfn.XLOOKUP(A32,ETANCHEITE!Q$19:Q$164,ETANCHEITE!$A$19:$A$164,"")&lt;&gt;"",_xlfn.XLOOKUP(A32,ETANCHEITE!Q$19:Q$164,ETANCHEITE!$A$19:$A$164,""),    INDEX(ETANCHEITE!$A:$A,MAX(_xlfn._xlws.FILTER(ROW(ETANCHEITE!$A$19:INDIRECT("'MENUISERIES EXTERIEURES'!$A" &amp; D32-1)),ETANCHEITE!$A$19:INDIRECT("'MENUISERIES EXTERIEURES'!$A" &amp; D32-1)&lt;&gt;"")))),"")&amp;"   "&amp;IFERROR(_xlfn.XLOOKUP(A32,ETANCHEITE!Q$19:Q$164,ETANCHEITE!$B$19:$B$164),"")&amp;IFERROR(_xlfn.XLOOKUP(A32,ETANCHEITE!Q$19:Q$164,ETANCHEITE!$C$19:$C$164),"")&amp;IFERROR(_xlfn.XLOOKUP(A32,ETANCHEITE!Q$19:Q$164,ETANCHEITE!$D$19:$D$164),"")&amp;IFERROR(_xlfn.XLOOKUP(A32,ETANCHEITE!Q$19:Q$164,ETANCHEITE!$E$19:$E$164),"")&amp;IFERROR(_xlfn.XLOOKUP(A32,ETANCHEITE!Q$19:Q$164,ETANCHEITE!$F$19:$F$164),"")</f>
        <v xml:space="preserve">   </v>
      </c>
      <c r="F32" s="168" t="str">
        <f>IFERROR(VLOOKUP(A32,ETANCHEITE!Q$19:S$164,2,FALSE),"")&amp;" "&amp;IFERROR(VLOOKUP(A32,ETANCHEITE!Q$19:S$164,3,FALSE),"")</f>
        <v xml:space="preserve"> </v>
      </c>
      <c r="G32" s="161" t="str">
        <f>IF(F32&lt;&gt;" ",'Feuille de Donnée'!$C$3,"")</f>
        <v/>
      </c>
      <c r="H32" s="232" t="str" cm="1">
        <f t="array" aca="1" ref="H32" ca="1">IFERROR(IF(_xlfn.XLOOKUP(A32,ETANCHEITE!Q$19:Q$89,ETANCHEITE!O$19:O$89,"")&lt;&gt;"",_xlfn.XLOOKUP(A32,ETANCHEITE!Q$19:Q$89,ETANCHEITE!O$19:O$89,""),    INDEX(ETANCHEITE!O:O,MAX(_xlfn._xlws.FILTER(ROW(ETANCHEITE!O$19:INDIRECT("'PEINTURE'!O" &amp; D32-1)),ETANCHEITE!O$19:INDIRECT("'PEINTURE'!O" &amp; D32-1)&lt;&gt;"")))),"")</f>
        <v/>
      </c>
      <c r="I32" s="233" t="str" cm="1">
        <f t="array" aca="1" ref="I32" ca="1">IFERROR(IF(_xlfn.XLOOKUP(A32,ETANCHEITE!Q$19:Q$89,ETANCHEITE!P$19:P$89,"")&lt;&gt;"",_xlfn.XLOOKUP(A32,ETANCHEITE!Q$19:Q$89,ETANCHEITE!P$19:P$89,""),    INDEX(ETANCHEITE!P:P,MAX(_xlfn._xlws.FILTER(ROW(ETANCHEITE!P$19:INDIRECT("'PEINTURE'!P" &amp; D32-1)),ETANCHEITE!P$19:INDIRECT("'PEINTURE'!P" &amp; D32-1)&lt;&gt;"")))),"")</f>
        <v/>
      </c>
      <c r="J32" s="158">
        <v>30</v>
      </c>
      <c r="K32" s="167" t="str">
        <f>IF(O32&lt;&gt;" ",ETANCHEITE!$D$5,"")</f>
        <v/>
      </c>
      <c r="L32" s="167" t="str">
        <f>IF(O32&lt;&gt;" ",ETANCHEITE!$D$8,"")</f>
        <v/>
      </c>
      <c r="M32" s="159" t="str">
        <f>IFERROR(MATCH(J32,ETANCHEITE!Z$19:Z$164,0)+18,"")</f>
        <v/>
      </c>
      <c r="N32" s="160" t="str" cm="1">
        <f t="array" aca="1" ref="N32" ca="1">IFERROR(IF(_xlfn.XLOOKUP(J32,ETANCHEITE!Z$19:Z$164,ETANCHEITE!$A$19:$A$164,"")&lt;&gt;"",_xlfn.XLOOKUP(J32,ETANCHEITE!Z$19:Z$164,ETANCHEITE!$A$19:$A$164,""),    INDEX(ETANCHEITE!$A:$A,MAX(_xlfn._xlws.FILTER(ROW(ETANCHEITE!$A$19:INDIRECT("'MENUISERIES EXTERIEURES'!$A" &amp; M32-1)),ETANCHEITE!$A$19:INDIRECT("'MENUISERIES EXTERIEURES'!$A" &amp; M32-1)&lt;&gt;"")))),"")&amp;"   "&amp;IFERROR(_xlfn.XLOOKUP(J32,ETANCHEITE!Z$19:Z$164,ETANCHEITE!$B$19:$B$164),"")&amp;IFERROR(_xlfn.XLOOKUP(J32,ETANCHEITE!Z$19:Z$164,ETANCHEITE!$C$19:$C$164),"")&amp;IFERROR(_xlfn.XLOOKUP(J32,ETANCHEITE!Z$19:Z$164,ETANCHEITE!$D$19:$D$164),"")&amp;IFERROR(_xlfn.XLOOKUP(J32,ETANCHEITE!Z$19:Z$164,ETANCHEITE!$E$19:$E$164),"")&amp;IFERROR(_xlfn.XLOOKUP(J32,ETANCHEITE!Z$19:Z$164,ETANCHEITE!$F$19:$F$164),"")</f>
        <v xml:space="preserve">   </v>
      </c>
      <c r="O32" s="168" t="str">
        <f>IFERROR(VLOOKUP(J32,ETANCHEITE!Z$19:AB$164,2,FALSE),"")&amp;" "&amp;IFERROR(VLOOKUP(J32,ETANCHEITE!Z$19:AB$164,3,FALSE),"")</f>
        <v xml:space="preserve"> </v>
      </c>
      <c r="P32" s="161" t="str">
        <f>IF(O32&lt;&gt;" ",'Feuille de Donnée'!$C$3,"")</f>
        <v/>
      </c>
      <c r="Q32" s="232" t="str" cm="1">
        <f t="array" aca="1" ref="Q32" ca="1">IFERROR(IF(_xlfn.XLOOKUP(J32,ETANCHEITE!Z$19:Z$89,ETANCHEITE!X$19:X$89,"")&lt;&gt;"",_xlfn.XLOOKUP(J32,ETANCHEITE!Z$19:Z$89,ETANCHEITE!X$19:X$89,""),    INDEX(ETANCHEITE!X:X,MAX(_xlfn._xlws.FILTER(ROW(ETANCHEITE!X$19:INDIRECT("'PEINTURE'!O" &amp; M32-1)),ETANCHEITE!X$19:INDIRECT("'PEINTURE'!O" &amp; M32-1)&lt;&gt;"")))),"")</f>
        <v/>
      </c>
      <c r="R32" s="233" t="str" cm="1">
        <f t="array" aca="1" ref="R32" ca="1">IFERROR(IF(_xlfn.XLOOKUP(J32,ETANCHEITE!Z$19:Z$89,ETANCHEITE!Y$19:Y$89,"")&lt;&gt;"",_xlfn.XLOOKUP(J32,ETANCHEITE!Z$19:Z$89,ETANCHEITE!Y$19:Y$89,""),    INDEX(ETANCHEITE!Y:Y,MAX(_xlfn._xlws.FILTER(ROW(ETANCHEITE!Y$19:INDIRECT("'PEINTURE'!P" &amp; M32-1)),ETANCHEITE!Y$19:INDIRECT("'PEINTURE'!P" &amp; M32-1)&lt;&gt;"")))),"")</f>
        <v/>
      </c>
      <c r="S32" s="158">
        <v>30</v>
      </c>
      <c r="T32" s="167" t="str">
        <f>IF(X32&lt;&gt;" ",ETANCHEITE!$D$5,"")</f>
        <v/>
      </c>
      <c r="U32" s="167" t="str">
        <f>IF(X32&lt;&gt;" ",ETANCHEITE!$D$8,"")</f>
        <v/>
      </c>
      <c r="V32" s="159" t="str">
        <f>IFERROR(MATCH(S32,ETANCHEITE!AI$19:AI$164,0)+18,"")</f>
        <v/>
      </c>
      <c r="W32" s="160" t="str" cm="1">
        <f t="array" aca="1" ref="W32" ca="1">IFERROR(IF(_xlfn.XLOOKUP(S32,ETANCHEITE!AI$19:AI$164,ETANCHEITE!$A$19:$A$164,"")&lt;&gt;"",_xlfn.XLOOKUP(S32,ETANCHEITE!AI$19:AI$164,ETANCHEITE!$A$19:$A$164,""),    INDEX(ETANCHEITE!$A:$A,MAX(_xlfn._xlws.FILTER(ROW(ETANCHEITE!$A$19:INDIRECT("'MENUISERIES EXTERIEURES'!$A" &amp; V32-1)),ETANCHEITE!$A$19:INDIRECT("'MENUISERIES EXTERIEURES'!$A" &amp; V32-1)&lt;&gt;"")))),"")&amp;"   "&amp;IFERROR(_xlfn.XLOOKUP(S32,ETANCHEITE!AI$19:AI$164,ETANCHEITE!$B$19:$B$164),"")&amp;IFERROR(_xlfn.XLOOKUP(S32,ETANCHEITE!AI$19:AI$164,ETANCHEITE!$C$19:$C$164),"")&amp;IFERROR(_xlfn.XLOOKUP(S32,ETANCHEITE!AI$19:AI$164,ETANCHEITE!$D$19:$D$164),"")&amp;IFERROR(_xlfn.XLOOKUP(S32,ETANCHEITE!AI$19:AI$164,ETANCHEITE!$E$19:$E$164),"")&amp;IFERROR(_xlfn.XLOOKUP(S32,ETANCHEITE!AI$19:AI$164,ETANCHEITE!$F$19:$F$164),"")</f>
        <v xml:space="preserve">   </v>
      </c>
      <c r="X32" s="168" t="str">
        <f>IFERROR(VLOOKUP(S32,ETANCHEITE!AI$19:AK$164,2,FALSE),"")&amp;" "&amp;IFERROR(VLOOKUP(S32,ETANCHEITE!AI$19:AK$164,3,FALSE),"")</f>
        <v xml:space="preserve"> </v>
      </c>
      <c r="Y32" s="161" t="str">
        <f>IF(X32&lt;&gt;" ",'Feuille de Donnée'!$C$3,"")</f>
        <v/>
      </c>
      <c r="Z32" s="232" t="str" cm="1">
        <f t="array" aca="1" ref="Z32" ca="1">IFERROR(IF(_xlfn.XLOOKUP(S32,ETANCHEITE!AI$19:AI$89,ETANCHEITE!AG$19:AG$89,"")&lt;&gt;"",_xlfn.XLOOKUP(S32,ETANCHEITE!AI$19:AI$89,ETANCHEITE!AG$19:AG$89,""),    INDEX(ETANCHEITE!AG:AG,MAX(_xlfn._xlws.FILTER(ROW(ETANCHEITE!AG$19:INDIRECT("'PEINTURE'!O" &amp; V32-1)),ETANCHEITE!AG$19:INDIRECT("'PEINTURE'!O" &amp; V32-1)&lt;&gt;"")))),"")</f>
        <v/>
      </c>
      <c r="AA32" s="233" t="str" cm="1">
        <f t="array" aca="1" ref="AA32" ca="1">IFERROR(IF(_xlfn.XLOOKUP(S32,ETANCHEITE!AI$19:AI$89,ETANCHEITE!AH$19:AH$89,"")&lt;&gt;"",_xlfn.XLOOKUP(S32,ETANCHEITE!AI$19:AI$89,ETANCHEITE!AH$19:AH$89,""),    INDEX(ETANCHEITE!AH:AH,MAX(_xlfn._xlws.FILTER(ROW(ETANCHEITE!AH$19:INDIRECT("'PEINTURE'!P" &amp; V32-1)),ETANCHEITE!AH$19:INDIRECT("'PEINTURE'!P" &amp; V32-1)&lt;&gt;"")))),"")</f>
        <v/>
      </c>
      <c r="AB32" s="158">
        <v>30</v>
      </c>
      <c r="AC32" s="167" t="str">
        <f>IF(AG32&lt;&gt;" ",ETANCHEITE!$D$5,"")</f>
        <v/>
      </c>
      <c r="AD32" s="167" t="str">
        <f>IF(AG32&lt;&gt;" ",ETANCHEITE!$D$8,"")</f>
        <v/>
      </c>
      <c r="AE32" s="159" t="str">
        <f>IFERROR(MATCH(AB32,ETANCHEITE!AR$19:AR$164,0)+18,"")</f>
        <v/>
      </c>
      <c r="AF32" s="160" t="str" cm="1">
        <f t="array" aca="1" ref="AF32" ca="1">IFERROR(IF(_xlfn.XLOOKUP(AB32,ETANCHEITE!AR$19:AR$164,ETANCHEITE!$A$19:$A$164,"")&lt;&gt;"",_xlfn.XLOOKUP(AB32,ETANCHEITE!AR$19:AR$164,ETANCHEITE!$A$19:$A$164,""),    INDEX(ETANCHEITE!$A:$A,MAX(_xlfn._xlws.FILTER(ROW(ETANCHEITE!$A$19:INDIRECT("'MENUISERIES EXTERIEURES'!$A" &amp; AE32-1)),ETANCHEITE!$A$19:INDIRECT("'MENUISERIES EXTERIEURES'!$A" &amp; AE32-1)&lt;&gt;"")))),"")&amp;"   "&amp;IFERROR(_xlfn.XLOOKUP(AB32,ETANCHEITE!AR$19:AR$164,ETANCHEITE!$B$19:$B$164),"")&amp;IFERROR(_xlfn.XLOOKUP(AB32,ETANCHEITE!AR$19:AR$164,ETANCHEITE!$C$19:$C$164),"")&amp;IFERROR(_xlfn.XLOOKUP(AB32,ETANCHEITE!AR$19:AR$164,ETANCHEITE!$D$19:$D$164),"")&amp;IFERROR(_xlfn.XLOOKUP(AB32,ETANCHEITE!AR$19:AR$164,ETANCHEITE!$E$19:$E$164),"")&amp;IFERROR(_xlfn.XLOOKUP(AB32,ETANCHEITE!AR$19:AR$164,ETANCHEITE!$F$19:$F$164),"")</f>
        <v xml:space="preserve">   </v>
      </c>
      <c r="AG32" s="168" t="str">
        <f>IFERROR(VLOOKUP(AB32,ETANCHEITE!AR$19:AT$164,2,FALSE),"")&amp;" "&amp;IFERROR(VLOOKUP(AB32,ETANCHEITE!AR$19:AT$164,3,FALSE),"")</f>
        <v xml:space="preserve"> </v>
      </c>
      <c r="AH32" s="161" t="str">
        <f>IF(AG32&lt;&gt;" ",'Feuille de Donnée'!$C$3,"")</f>
        <v/>
      </c>
      <c r="AI32" s="232" t="str" cm="1">
        <f t="array" aca="1" ref="AI32" ca="1">IFERROR(IF(_xlfn.XLOOKUP(AB32,ETANCHEITE!AR$19:AR$89,ETANCHEITE!AP$19:AP$89,"")&lt;&gt;"",_xlfn.XLOOKUP(AB32,ETANCHEITE!AR$19:AR$89,ETANCHEITE!AP$19:AP$89,""),    INDEX(ETANCHEITE!AP:AP,MAX(_xlfn._xlws.FILTER(ROW(ETANCHEITE!AP$19:INDIRECT("'PEINTURE'!O" &amp; AE32-1)),ETANCHEITE!AP$19:INDIRECT("'PEINTURE'!O" &amp; AE32-1)&lt;&gt;"")))),"")</f>
        <v/>
      </c>
      <c r="AJ32" s="233" t="str" cm="1">
        <f t="array" aca="1" ref="AJ32" ca="1">IFERROR(IF(_xlfn.XLOOKUP(AB32,ETANCHEITE!AR$19:AR$89,ETANCHEITE!AQ$19:AQ$89,"")&lt;&gt;"",_xlfn.XLOOKUP(AB32,ETANCHEITE!AR$19:AR$89,ETANCHEITE!AQ$19:AQ$89,""),    INDEX(ETANCHEITE!AQ:AQ,MAX(_xlfn._xlws.FILTER(ROW(ETANCHEITE!AQ$19:INDIRECT("'PEINTURE'!P" &amp; AE32-1)),ETANCHEITE!AQ$19:INDIRECT("'PEINTURE'!P" &amp; AE32-1)&lt;&gt;"")))),"")</f>
        <v/>
      </c>
      <c r="AK32" s="158">
        <v>30</v>
      </c>
      <c r="AL32" s="167" t="str">
        <f>IF(AP32&lt;&gt;" ",ETANCHEITE!$D$5,"")</f>
        <v/>
      </c>
      <c r="AM32" s="167" t="str">
        <f>IF(AP32&lt;&gt;" ",ETANCHEITE!$D$8,"")</f>
        <v/>
      </c>
      <c r="AN32" s="159" t="str">
        <f>IFERROR(MATCH(AK32,ETANCHEITE!BA$19:BA$164,0)+18,"")</f>
        <v/>
      </c>
      <c r="AO32" s="160" t="str" cm="1">
        <f t="array" aca="1" ref="AO32" ca="1">IFERROR(IF(_xlfn.XLOOKUP(AK32,ETANCHEITE!BA$19:BA$164,ETANCHEITE!$A$19:$A$164,"")&lt;&gt;"",_xlfn.XLOOKUP(AK32,ETANCHEITE!BA$19:BA$164,ETANCHEITE!$A$19:$A$164,""),    INDEX(ETANCHEITE!$A:$A,MAX(_xlfn._xlws.FILTER(ROW(ETANCHEITE!$A$19:INDIRECT("'MENUISERIES EXTERIEURES'!$A" &amp; AN32-1)),ETANCHEITE!$A$19:INDIRECT("'MENUISERIES EXTERIEURES'!$A" &amp; AN32-1)&lt;&gt;"")))),"")&amp;"   "&amp;IFERROR(_xlfn.XLOOKUP(AK32,ETANCHEITE!BA$19:BA$164,ETANCHEITE!$B$19:$B$164),"")&amp;IFERROR(_xlfn.XLOOKUP(AK32,ETANCHEITE!BA$19:BA$164,ETANCHEITE!$C$19:$C$164),"")&amp;IFERROR(_xlfn.XLOOKUP(AK32,ETANCHEITE!BA$19:BA$164,ETANCHEITE!$D$19:$D$164),"")&amp;IFERROR(_xlfn.XLOOKUP(AK32,ETANCHEITE!BA$19:BA$164,ETANCHEITE!$E$19:$E$164),"")&amp;IFERROR(_xlfn.XLOOKUP(AK32,ETANCHEITE!BA$19:BA$164,ETANCHEITE!$F$19:$F$164),"")</f>
        <v xml:space="preserve">   </v>
      </c>
      <c r="AP32" s="168" t="str">
        <f>IFERROR(VLOOKUP(AK32,ETANCHEITE!BA$19:BC$164,2,FALSE),"")&amp;" "&amp;IFERROR(VLOOKUP(AK32,ETANCHEITE!BA$19:BC$164,3,FALSE),"")</f>
        <v xml:space="preserve"> </v>
      </c>
      <c r="AQ32" s="161" t="str">
        <f>IF(AP32&lt;&gt;" ",'Feuille de Donnée'!$C$3,"")</f>
        <v/>
      </c>
      <c r="AR32" s="232" t="str" cm="1">
        <f t="array" aca="1" ref="AR32" ca="1">IFERROR(IF(_xlfn.XLOOKUP(AK32,ETANCHEITE!BA$19:BA$89,ETANCHEITE!AY$19:AY$89,"")&lt;&gt;"",_xlfn.XLOOKUP(AK32,ETANCHEITE!BA$19:BA$89,ETANCHEITE!AY$19:AY$89,""),    INDEX(ETANCHEITE!AY:AY,MAX(_xlfn._xlws.FILTER(ROW(ETANCHEITE!AY$19:INDIRECT("'PEINTURE'!O" &amp; AN32-1)),ETANCHEITE!AY$19:INDIRECT("'PEINTURE'!O" &amp; AN32-1)&lt;&gt;"")))),"")</f>
        <v/>
      </c>
      <c r="AS32" s="233" t="str" cm="1">
        <f t="array" aca="1" ref="AS32" ca="1">IFERROR(IF(_xlfn.XLOOKUP(AK32,ETANCHEITE!BA$19:BA$89,ETANCHEITE!AZ$19:AZ$89,"")&lt;&gt;"",_xlfn.XLOOKUP(AK32,ETANCHEITE!BA$19:BA$89,ETANCHEITE!AZ$19:AZ$89,""),    INDEX(ETANCHEITE!AZ:AZ,MAX(_xlfn._xlws.FILTER(ROW(ETANCHEITE!AZ$19:INDIRECT("'PEINTURE'!P" &amp; AN32-1)),ETANCHEITE!AZ$19:INDIRECT("'PEINTURE'!P" &amp; AN32-1)&lt;&gt;"")))),"")</f>
        <v/>
      </c>
      <c r="AT32" s="158">
        <v>30</v>
      </c>
      <c r="AU32" s="167" t="str">
        <f>IF(AY32&lt;&gt;" ",ETANCHEITE!$D$5,"")</f>
        <v/>
      </c>
      <c r="AV32" s="167" t="str">
        <f>IF(AY32&lt;&gt;" ",ETANCHEITE!$D$8,"")</f>
        <v/>
      </c>
      <c r="AW32" s="159" t="str">
        <f>IFERROR(MATCH(AT32,ETANCHEITE!BJ$19:BJ$164,0)+18,"")</f>
        <v/>
      </c>
      <c r="AX32" s="160" t="str" cm="1">
        <f t="array" aca="1" ref="AX32" ca="1">IFERROR(IF(_xlfn.XLOOKUP(AT32,ETANCHEITE!BJ$19:BJ$164,ETANCHEITE!$A$19:$A$164,"")&lt;&gt;"",_xlfn.XLOOKUP(AT32,ETANCHEITE!BJ$19:BJ$164,ETANCHEITE!$A$19:$A$164,""),    INDEX(ETANCHEITE!$A:$A,MAX(_xlfn._xlws.FILTER(ROW(ETANCHEITE!$A$19:INDIRECT("'MENUISERIES EXTERIEURES'!$A" &amp; AW32-1)),ETANCHEITE!$A$19:INDIRECT("'MENUISERIES EXTERIEURES'!$A" &amp; AW32-1)&lt;&gt;"")))),"")&amp;"   "&amp;IFERROR(_xlfn.XLOOKUP(AT32,ETANCHEITE!BJ$19:BJ$164,ETANCHEITE!$B$19:$B$164),"")&amp;IFERROR(_xlfn.XLOOKUP(AT32,ETANCHEITE!BJ$19:BJ$164,ETANCHEITE!$C$19:$C$164),"")&amp;IFERROR(_xlfn.XLOOKUP(AT32,ETANCHEITE!BJ$19:BJ$164,ETANCHEITE!$D$19:$D$164),"")&amp;IFERROR(_xlfn.XLOOKUP(AT32,ETANCHEITE!BJ$19:BJ$164,ETANCHEITE!$E$19:$E$164),"")&amp;IFERROR(_xlfn.XLOOKUP(AT32,ETANCHEITE!BJ$19:BJ$164,ETANCHEITE!$F$19:$F$164),"")</f>
        <v xml:space="preserve">   </v>
      </c>
      <c r="AY32" s="168" t="str">
        <f>IFERROR(VLOOKUP(AT32,ETANCHEITE!BJ$19:BL$164,2,FALSE),"")&amp;" "&amp;IFERROR(VLOOKUP(AT32,ETANCHEITE!BJ$19:BL$164,3,FALSE),"")</f>
        <v xml:space="preserve"> </v>
      </c>
      <c r="AZ32" s="161" t="str">
        <f>IF(AY32&lt;&gt;" ",'Feuille de Donnée'!$C$3,"")</f>
        <v/>
      </c>
      <c r="BA32" s="232" t="str" cm="1">
        <f t="array" aca="1" ref="BA32" ca="1">IFERROR(IF(_xlfn.XLOOKUP(AT32,ETANCHEITE!BJ$19:BJ$89,ETANCHEITE!BH$19:BH$89,"")&lt;&gt;"",_xlfn.XLOOKUP(AT32,ETANCHEITE!BJ$19:BJ$89,ETANCHEITE!BH$19:BH$89,""),    INDEX(ETANCHEITE!BH:BH,MAX(_xlfn._xlws.FILTER(ROW(ETANCHEITE!BH$19:INDIRECT("'PEINTURE'!O" &amp; AW32-1)),ETANCHEITE!BH$19:INDIRECT("'PEINTURE'!O" &amp; AW32-1)&lt;&gt;"")))),"")</f>
        <v/>
      </c>
      <c r="BB32" s="233" t="str" cm="1">
        <f t="array" aca="1" ref="BB32" ca="1">IFERROR(IF(_xlfn.XLOOKUP(AT32,ETANCHEITE!BJ$19:BJ$89,ETANCHEITE!BI$19:BI$89,"")&lt;&gt;"",_xlfn.XLOOKUP(AT32,ETANCHEITE!BJ$19:BJ$89,ETANCHEITE!BI$19:BI$89,""),    INDEX(ETANCHEITE!BI:BI,MAX(_xlfn._xlws.FILTER(ROW(ETANCHEITE!BI$19:INDIRECT("'PEINTURE'!P" &amp; AW32-1)),ETANCHEITE!BI$19:INDIRECT("'PEINTURE'!P" &amp; AW32-1)&lt;&gt;"")))),"")</f>
        <v/>
      </c>
    </row>
    <row r="33" spans="1:54" ht="15" customHeight="1" x14ac:dyDescent="0.3">
      <c r="A33" s="158">
        <v>31</v>
      </c>
      <c r="B33" s="167" t="str">
        <f>IF(F33&lt;&gt;" ",ETANCHEITE!$D$5,"")</f>
        <v/>
      </c>
      <c r="C33" s="167" t="str">
        <f>IF(F33&lt;&gt;" ",ETANCHEITE!$D$8,"")</f>
        <v/>
      </c>
      <c r="D33" s="159" t="str">
        <f>IFERROR(MATCH(A33,ETANCHEITE!Q$19:Q$164,0)+18,"")</f>
        <v/>
      </c>
      <c r="E33" s="160" t="str" cm="1">
        <f t="array" aca="1" ref="E33" ca="1">IFERROR(IF(_xlfn.XLOOKUP(A33,ETANCHEITE!Q$19:Q$164,ETANCHEITE!$A$19:$A$164,"")&lt;&gt;"",_xlfn.XLOOKUP(A33,ETANCHEITE!Q$19:Q$164,ETANCHEITE!$A$19:$A$164,""),    INDEX(ETANCHEITE!$A:$A,MAX(_xlfn._xlws.FILTER(ROW(ETANCHEITE!$A$19:INDIRECT("'MENUISERIES EXTERIEURES'!$A" &amp; D33-1)),ETANCHEITE!$A$19:INDIRECT("'MENUISERIES EXTERIEURES'!$A" &amp; D33-1)&lt;&gt;"")))),"")&amp;"   "&amp;IFERROR(_xlfn.XLOOKUP(A33,ETANCHEITE!Q$19:Q$164,ETANCHEITE!$B$19:$B$164),"")&amp;IFERROR(_xlfn.XLOOKUP(A33,ETANCHEITE!Q$19:Q$164,ETANCHEITE!$C$19:$C$164),"")&amp;IFERROR(_xlfn.XLOOKUP(A33,ETANCHEITE!Q$19:Q$164,ETANCHEITE!$D$19:$D$164),"")&amp;IFERROR(_xlfn.XLOOKUP(A33,ETANCHEITE!Q$19:Q$164,ETANCHEITE!$E$19:$E$164),"")&amp;IFERROR(_xlfn.XLOOKUP(A33,ETANCHEITE!Q$19:Q$164,ETANCHEITE!$F$19:$F$164),"")</f>
        <v xml:space="preserve">   </v>
      </c>
      <c r="F33" s="168" t="str">
        <f>IFERROR(VLOOKUP(A33,ETANCHEITE!Q$19:S$164,2,FALSE),"")&amp;" "&amp;IFERROR(VLOOKUP(A33,ETANCHEITE!Q$19:S$164,3,FALSE),"")</f>
        <v xml:space="preserve"> </v>
      </c>
      <c r="G33" s="161" t="str">
        <f>IF(F33&lt;&gt;" ",'Feuille de Donnée'!$C$3,"")</f>
        <v/>
      </c>
      <c r="H33" s="232" t="str" cm="1">
        <f t="array" aca="1" ref="H33" ca="1">IFERROR(IF(_xlfn.XLOOKUP(A33,ETANCHEITE!Q$19:Q$89,ETANCHEITE!O$19:O$89,"")&lt;&gt;"",_xlfn.XLOOKUP(A33,ETANCHEITE!Q$19:Q$89,ETANCHEITE!O$19:O$89,""),    INDEX(ETANCHEITE!O:O,MAX(_xlfn._xlws.FILTER(ROW(ETANCHEITE!O$19:INDIRECT("'PEINTURE'!O" &amp; D33-1)),ETANCHEITE!O$19:INDIRECT("'PEINTURE'!O" &amp; D33-1)&lt;&gt;"")))),"")</f>
        <v/>
      </c>
      <c r="I33" s="233" t="str" cm="1">
        <f t="array" aca="1" ref="I33" ca="1">IFERROR(IF(_xlfn.XLOOKUP(A33,ETANCHEITE!Q$19:Q$89,ETANCHEITE!P$19:P$89,"")&lt;&gt;"",_xlfn.XLOOKUP(A33,ETANCHEITE!Q$19:Q$89,ETANCHEITE!P$19:P$89,""),    INDEX(ETANCHEITE!P:P,MAX(_xlfn._xlws.FILTER(ROW(ETANCHEITE!P$19:INDIRECT("'PEINTURE'!P" &amp; D33-1)),ETANCHEITE!P$19:INDIRECT("'PEINTURE'!P" &amp; D33-1)&lt;&gt;"")))),"")</f>
        <v/>
      </c>
      <c r="J33" s="158">
        <v>31</v>
      </c>
      <c r="K33" s="167" t="str">
        <f>IF(O33&lt;&gt;" ",ETANCHEITE!$D$5,"")</f>
        <v/>
      </c>
      <c r="L33" s="167" t="str">
        <f>IF(O33&lt;&gt;" ",ETANCHEITE!$D$8,"")</f>
        <v/>
      </c>
      <c r="M33" s="159" t="str">
        <f>IFERROR(MATCH(J33,ETANCHEITE!Z$19:Z$164,0)+18,"")</f>
        <v/>
      </c>
      <c r="N33" s="160" t="str" cm="1">
        <f t="array" aca="1" ref="N33" ca="1">IFERROR(IF(_xlfn.XLOOKUP(J33,ETANCHEITE!Z$19:Z$164,ETANCHEITE!$A$19:$A$164,"")&lt;&gt;"",_xlfn.XLOOKUP(J33,ETANCHEITE!Z$19:Z$164,ETANCHEITE!$A$19:$A$164,""),    INDEX(ETANCHEITE!$A:$A,MAX(_xlfn._xlws.FILTER(ROW(ETANCHEITE!$A$19:INDIRECT("'MENUISERIES EXTERIEURES'!$A" &amp; M33-1)),ETANCHEITE!$A$19:INDIRECT("'MENUISERIES EXTERIEURES'!$A" &amp; M33-1)&lt;&gt;"")))),"")&amp;"   "&amp;IFERROR(_xlfn.XLOOKUP(J33,ETANCHEITE!Z$19:Z$164,ETANCHEITE!$B$19:$B$164),"")&amp;IFERROR(_xlfn.XLOOKUP(J33,ETANCHEITE!Z$19:Z$164,ETANCHEITE!$C$19:$C$164),"")&amp;IFERROR(_xlfn.XLOOKUP(J33,ETANCHEITE!Z$19:Z$164,ETANCHEITE!$D$19:$D$164),"")&amp;IFERROR(_xlfn.XLOOKUP(J33,ETANCHEITE!Z$19:Z$164,ETANCHEITE!$E$19:$E$164),"")&amp;IFERROR(_xlfn.XLOOKUP(J33,ETANCHEITE!Z$19:Z$164,ETANCHEITE!$F$19:$F$164),"")</f>
        <v xml:space="preserve">   </v>
      </c>
      <c r="O33" s="168" t="str">
        <f>IFERROR(VLOOKUP(J33,ETANCHEITE!Z$19:AB$164,2,FALSE),"")&amp;" "&amp;IFERROR(VLOOKUP(J33,ETANCHEITE!Z$19:AB$164,3,FALSE),"")</f>
        <v xml:space="preserve"> </v>
      </c>
      <c r="P33" s="161" t="str">
        <f>IF(O33&lt;&gt;" ",'Feuille de Donnée'!$C$3,"")</f>
        <v/>
      </c>
      <c r="Q33" s="232" t="str" cm="1">
        <f t="array" aca="1" ref="Q33" ca="1">IFERROR(IF(_xlfn.XLOOKUP(J33,ETANCHEITE!Z$19:Z$89,ETANCHEITE!X$19:X$89,"")&lt;&gt;"",_xlfn.XLOOKUP(J33,ETANCHEITE!Z$19:Z$89,ETANCHEITE!X$19:X$89,""),    INDEX(ETANCHEITE!X:X,MAX(_xlfn._xlws.FILTER(ROW(ETANCHEITE!X$19:INDIRECT("'PEINTURE'!O" &amp; M33-1)),ETANCHEITE!X$19:INDIRECT("'PEINTURE'!O" &amp; M33-1)&lt;&gt;"")))),"")</f>
        <v/>
      </c>
      <c r="R33" s="233" t="str" cm="1">
        <f t="array" aca="1" ref="R33" ca="1">IFERROR(IF(_xlfn.XLOOKUP(J33,ETANCHEITE!Z$19:Z$89,ETANCHEITE!Y$19:Y$89,"")&lt;&gt;"",_xlfn.XLOOKUP(J33,ETANCHEITE!Z$19:Z$89,ETANCHEITE!Y$19:Y$89,""),    INDEX(ETANCHEITE!Y:Y,MAX(_xlfn._xlws.FILTER(ROW(ETANCHEITE!Y$19:INDIRECT("'PEINTURE'!P" &amp; M33-1)),ETANCHEITE!Y$19:INDIRECT("'PEINTURE'!P" &amp; M33-1)&lt;&gt;"")))),"")</f>
        <v/>
      </c>
      <c r="S33" s="158">
        <v>31</v>
      </c>
      <c r="T33" s="167" t="str">
        <f>IF(X33&lt;&gt;" ",ETANCHEITE!$D$5,"")</f>
        <v/>
      </c>
      <c r="U33" s="167" t="str">
        <f>IF(X33&lt;&gt;" ",ETANCHEITE!$D$8,"")</f>
        <v/>
      </c>
      <c r="V33" s="159" t="str">
        <f>IFERROR(MATCH(S33,ETANCHEITE!AI$19:AI$164,0)+18,"")</f>
        <v/>
      </c>
      <c r="W33" s="160" t="str" cm="1">
        <f t="array" aca="1" ref="W33" ca="1">IFERROR(IF(_xlfn.XLOOKUP(S33,ETANCHEITE!AI$19:AI$164,ETANCHEITE!$A$19:$A$164,"")&lt;&gt;"",_xlfn.XLOOKUP(S33,ETANCHEITE!AI$19:AI$164,ETANCHEITE!$A$19:$A$164,""),    INDEX(ETANCHEITE!$A:$A,MAX(_xlfn._xlws.FILTER(ROW(ETANCHEITE!$A$19:INDIRECT("'MENUISERIES EXTERIEURES'!$A" &amp; V33-1)),ETANCHEITE!$A$19:INDIRECT("'MENUISERIES EXTERIEURES'!$A" &amp; V33-1)&lt;&gt;"")))),"")&amp;"   "&amp;IFERROR(_xlfn.XLOOKUP(S33,ETANCHEITE!AI$19:AI$164,ETANCHEITE!$B$19:$B$164),"")&amp;IFERROR(_xlfn.XLOOKUP(S33,ETANCHEITE!AI$19:AI$164,ETANCHEITE!$C$19:$C$164),"")&amp;IFERROR(_xlfn.XLOOKUP(S33,ETANCHEITE!AI$19:AI$164,ETANCHEITE!$D$19:$D$164),"")&amp;IFERROR(_xlfn.XLOOKUP(S33,ETANCHEITE!AI$19:AI$164,ETANCHEITE!$E$19:$E$164),"")&amp;IFERROR(_xlfn.XLOOKUP(S33,ETANCHEITE!AI$19:AI$164,ETANCHEITE!$F$19:$F$164),"")</f>
        <v xml:space="preserve">   </v>
      </c>
      <c r="X33" s="168" t="str">
        <f>IFERROR(VLOOKUP(S33,ETANCHEITE!AI$19:AK$164,2,FALSE),"")&amp;" "&amp;IFERROR(VLOOKUP(S33,ETANCHEITE!AI$19:AK$164,3,FALSE),"")</f>
        <v xml:space="preserve"> </v>
      </c>
      <c r="Y33" s="161" t="str">
        <f>IF(X33&lt;&gt;" ",'Feuille de Donnée'!$C$3,"")</f>
        <v/>
      </c>
      <c r="Z33" s="232" t="str" cm="1">
        <f t="array" aca="1" ref="Z33" ca="1">IFERROR(IF(_xlfn.XLOOKUP(S33,ETANCHEITE!AI$19:AI$89,ETANCHEITE!AG$19:AG$89,"")&lt;&gt;"",_xlfn.XLOOKUP(S33,ETANCHEITE!AI$19:AI$89,ETANCHEITE!AG$19:AG$89,""),    INDEX(ETANCHEITE!AG:AG,MAX(_xlfn._xlws.FILTER(ROW(ETANCHEITE!AG$19:INDIRECT("'PEINTURE'!O" &amp; V33-1)),ETANCHEITE!AG$19:INDIRECT("'PEINTURE'!O" &amp; V33-1)&lt;&gt;"")))),"")</f>
        <v/>
      </c>
      <c r="AA33" s="233" t="str" cm="1">
        <f t="array" aca="1" ref="AA33" ca="1">IFERROR(IF(_xlfn.XLOOKUP(S33,ETANCHEITE!AI$19:AI$89,ETANCHEITE!AH$19:AH$89,"")&lt;&gt;"",_xlfn.XLOOKUP(S33,ETANCHEITE!AI$19:AI$89,ETANCHEITE!AH$19:AH$89,""),    INDEX(ETANCHEITE!AH:AH,MAX(_xlfn._xlws.FILTER(ROW(ETANCHEITE!AH$19:INDIRECT("'PEINTURE'!P" &amp; V33-1)),ETANCHEITE!AH$19:INDIRECT("'PEINTURE'!P" &amp; V33-1)&lt;&gt;"")))),"")</f>
        <v/>
      </c>
      <c r="AB33" s="158">
        <v>31</v>
      </c>
      <c r="AC33" s="167" t="str">
        <f>IF(AG33&lt;&gt;" ",ETANCHEITE!$D$5,"")</f>
        <v/>
      </c>
      <c r="AD33" s="167" t="str">
        <f>IF(AG33&lt;&gt;" ",ETANCHEITE!$D$8,"")</f>
        <v/>
      </c>
      <c r="AE33" s="159" t="str">
        <f>IFERROR(MATCH(AB33,ETANCHEITE!AR$19:AR$164,0)+18,"")</f>
        <v/>
      </c>
      <c r="AF33" s="160" t="str" cm="1">
        <f t="array" aca="1" ref="AF33" ca="1">IFERROR(IF(_xlfn.XLOOKUP(AB33,ETANCHEITE!AR$19:AR$164,ETANCHEITE!$A$19:$A$164,"")&lt;&gt;"",_xlfn.XLOOKUP(AB33,ETANCHEITE!AR$19:AR$164,ETANCHEITE!$A$19:$A$164,""),    INDEX(ETANCHEITE!$A:$A,MAX(_xlfn._xlws.FILTER(ROW(ETANCHEITE!$A$19:INDIRECT("'MENUISERIES EXTERIEURES'!$A" &amp; AE33-1)),ETANCHEITE!$A$19:INDIRECT("'MENUISERIES EXTERIEURES'!$A" &amp; AE33-1)&lt;&gt;"")))),"")&amp;"   "&amp;IFERROR(_xlfn.XLOOKUP(AB33,ETANCHEITE!AR$19:AR$164,ETANCHEITE!$B$19:$B$164),"")&amp;IFERROR(_xlfn.XLOOKUP(AB33,ETANCHEITE!AR$19:AR$164,ETANCHEITE!$C$19:$C$164),"")&amp;IFERROR(_xlfn.XLOOKUP(AB33,ETANCHEITE!AR$19:AR$164,ETANCHEITE!$D$19:$D$164),"")&amp;IFERROR(_xlfn.XLOOKUP(AB33,ETANCHEITE!AR$19:AR$164,ETANCHEITE!$E$19:$E$164),"")&amp;IFERROR(_xlfn.XLOOKUP(AB33,ETANCHEITE!AR$19:AR$164,ETANCHEITE!$F$19:$F$164),"")</f>
        <v xml:space="preserve">   </v>
      </c>
      <c r="AG33" s="168" t="str">
        <f>IFERROR(VLOOKUP(AB33,ETANCHEITE!AR$19:AT$164,2,FALSE),"")&amp;" "&amp;IFERROR(VLOOKUP(AB33,ETANCHEITE!AR$19:AT$164,3,FALSE),"")</f>
        <v xml:space="preserve"> </v>
      </c>
      <c r="AH33" s="161" t="str">
        <f>IF(AG33&lt;&gt;" ",'Feuille de Donnée'!$C$3,"")</f>
        <v/>
      </c>
      <c r="AI33" s="232" t="str" cm="1">
        <f t="array" aca="1" ref="AI33" ca="1">IFERROR(IF(_xlfn.XLOOKUP(AB33,ETANCHEITE!AR$19:AR$89,ETANCHEITE!AP$19:AP$89,"")&lt;&gt;"",_xlfn.XLOOKUP(AB33,ETANCHEITE!AR$19:AR$89,ETANCHEITE!AP$19:AP$89,""),    INDEX(ETANCHEITE!AP:AP,MAX(_xlfn._xlws.FILTER(ROW(ETANCHEITE!AP$19:INDIRECT("'PEINTURE'!O" &amp; AE33-1)),ETANCHEITE!AP$19:INDIRECT("'PEINTURE'!O" &amp; AE33-1)&lt;&gt;"")))),"")</f>
        <v/>
      </c>
      <c r="AJ33" s="233" t="str" cm="1">
        <f t="array" aca="1" ref="AJ33" ca="1">IFERROR(IF(_xlfn.XLOOKUP(AB33,ETANCHEITE!AR$19:AR$89,ETANCHEITE!AQ$19:AQ$89,"")&lt;&gt;"",_xlfn.XLOOKUP(AB33,ETANCHEITE!AR$19:AR$89,ETANCHEITE!AQ$19:AQ$89,""),    INDEX(ETANCHEITE!AQ:AQ,MAX(_xlfn._xlws.FILTER(ROW(ETANCHEITE!AQ$19:INDIRECT("'PEINTURE'!P" &amp; AE33-1)),ETANCHEITE!AQ$19:INDIRECT("'PEINTURE'!P" &amp; AE33-1)&lt;&gt;"")))),"")</f>
        <v/>
      </c>
      <c r="AK33" s="158">
        <v>31</v>
      </c>
      <c r="AL33" s="167" t="str">
        <f>IF(AP33&lt;&gt;" ",ETANCHEITE!$D$5,"")</f>
        <v/>
      </c>
      <c r="AM33" s="167" t="str">
        <f>IF(AP33&lt;&gt;" ",ETANCHEITE!$D$8,"")</f>
        <v/>
      </c>
      <c r="AN33" s="159" t="str">
        <f>IFERROR(MATCH(AK33,ETANCHEITE!BA$19:BA$164,0)+18,"")</f>
        <v/>
      </c>
      <c r="AO33" s="160" t="str" cm="1">
        <f t="array" aca="1" ref="AO33" ca="1">IFERROR(IF(_xlfn.XLOOKUP(AK33,ETANCHEITE!BA$19:BA$164,ETANCHEITE!$A$19:$A$164,"")&lt;&gt;"",_xlfn.XLOOKUP(AK33,ETANCHEITE!BA$19:BA$164,ETANCHEITE!$A$19:$A$164,""),    INDEX(ETANCHEITE!$A:$A,MAX(_xlfn._xlws.FILTER(ROW(ETANCHEITE!$A$19:INDIRECT("'MENUISERIES EXTERIEURES'!$A" &amp; AN33-1)),ETANCHEITE!$A$19:INDIRECT("'MENUISERIES EXTERIEURES'!$A" &amp; AN33-1)&lt;&gt;"")))),"")&amp;"   "&amp;IFERROR(_xlfn.XLOOKUP(AK33,ETANCHEITE!BA$19:BA$164,ETANCHEITE!$B$19:$B$164),"")&amp;IFERROR(_xlfn.XLOOKUP(AK33,ETANCHEITE!BA$19:BA$164,ETANCHEITE!$C$19:$C$164),"")&amp;IFERROR(_xlfn.XLOOKUP(AK33,ETANCHEITE!BA$19:BA$164,ETANCHEITE!$D$19:$D$164),"")&amp;IFERROR(_xlfn.XLOOKUP(AK33,ETANCHEITE!BA$19:BA$164,ETANCHEITE!$E$19:$E$164),"")&amp;IFERROR(_xlfn.XLOOKUP(AK33,ETANCHEITE!BA$19:BA$164,ETANCHEITE!$F$19:$F$164),"")</f>
        <v xml:space="preserve">   </v>
      </c>
      <c r="AP33" s="168" t="str">
        <f>IFERROR(VLOOKUP(AK33,ETANCHEITE!BA$19:BC$164,2,FALSE),"")&amp;" "&amp;IFERROR(VLOOKUP(AK33,ETANCHEITE!BA$19:BC$164,3,FALSE),"")</f>
        <v xml:space="preserve"> </v>
      </c>
      <c r="AQ33" s="161" t="str">
        <f>IF(AP33&lt;&gt;" ",'Feuille de Donnée'!$C$3,"")</f>
        <v/>
      </c>
      <c r="AR33" s="232" t="str" cm="1">
        <f t="array" aca="1" ref="AR33" ca="1">IFERROR(IF(_xlfn.XLOOKUP(AK33,ETANCHEITE!BA$19:BA$89,ETANCHEITE!AY$19:AY$89,"")&lt;&gt;"",_xlfn.XLOOKUP(AK33,ETANCHEITE!BA$19:BA$89,ETANCHEITE!AY$19:AY$89,""),    INDEX(ETANCHEITE!AY:AY,MAX(_xlfn._xlws.FILTER(ROW(ETANCHEITE!AY$19:INDIRECT("'PEINTURE'!O" &amp; AN33-1)),ETANCHEITE!AY$19:INDIRECT("'PEINTURE'!O" &amp; AN33-1)&lt;&gt;"")))),"")</f>
        <v/>
      </c>
      <c r="AS33" s="233" t="str" cm="1">
        <f t="array" aca="1" ref="AS33" ca="1">IFERROR(IF(_xlfn.XLOOKUP(AK33,ETANCHEITE!BA$19:BA$89,ETANCHEITE!AZ$19:AZ$89,"")&lt;&gt;"",_xlfn.XLOOKUP(AK33,ETANCHEITE!BA$19:BA$89,ETANCHEITE!AZ$19:AZ$89,""),    INDEX(ETANCHEITE!AZ:AZ,MAX(_xlfn._xlws.FILTER(ROW(ETANCHEITE!AZ$19:INDIRECT("'PEINTURE'!P" &amp; AN33-1)),ETANCHEITE!AZ$19:INDIRECT("'PEINTURE'!P" &amp; AN33-1)&lt;&gt;"")))),"")</f>
        <v/>
      </c>
      <c r="AT33" s="158">
        <v>31</v>
      </c>
      <c r="AU33" s="167" t="str">
        <f>IF(AY33&lt;&gt;" ",ETANCHEITE!$D$5,"")</f>
        <v/>
      </c>
      <c r="AV33" s="167" t="str">
        <f>IF(AY33&lt;&gt;" ",ETANCHEITE!$D$8,"")</f>
        <v/>
      </c>
      <c r="AW33" s="159" t="str">
        <f>IFERROR(MATCH(AT33,ETANCHEITE!BJ$19:BJ$164,0)+18,"")</f>
        <v/>
      </c>
      <c r="AX33" s="160" t="str" cm="1">
        <f t="array" aca="1" ref="AX33" ca="1">IFERROR(IF(_xlfn.XLOOKUP(AT33,ETANCHEITE!BJ$19:BJ$164,ETANCHEITE!$A$19:$A$164,"")&lt;&gt;"",_xlfn.XLOOKUP(AT33,ETANCHEITE!BJ$19:BJ$164,ETANCHEITE!$A$19:$A$164,""),    INDEX(ETANCHEITE!$A:$A,MAX(_xlfn._xlws.FILTER(ROW(ETANCHEITE!$A$19:INDIRECT("'MENUISERIES EXTERIEURES'!$A" &amp; AW33-1)),ETANCHEITE!$A$19:INDIRECT("'MENUISERIES EXTERIEURES'!$A" &amp; AW33-1)&lt;&gt;"")))),"")&amp;"   "&amp;IFERROR(_xlfn.XLOOKUP(AT33,ETANCHEITE!BJ$19:BJ$164,ETANCHEITE!$B$19:$B$164),"")&amp;IFERROR(_xlfn.XLOOKUP(AT33,ETANCHEITE!BJ$19:BJ$164,ETANCHEITE!$C$19:$C$164),"")&amp;IFERROR(_xlfn.XLOOKUP(AT33,ETANCHEITE!BJ$19:BJ$164,ETANCHEITE!$D$19:$D$164),"")&amp;IFERROR(_xlfn.XLOOKUP(AT33,ETANCHEITE!BJ$19:BJ$164,ETANCHEITE!$E$19:$E$164),"")&amp;IFERROR(_xlfn.XLOOKUP(AT33,ETANCHEITE!BJ$19:BJ$164,ETANCHEITE!$F$19:$F$164),"")</f>
        <v xml:space="preserve">   </v>
      </c>
      <c r="AY33" s="168" t="str">
        <f>IFERROR(VLOOKUP(AT33,ETANCHEITE!BJ$19:BL$164,2,FALSE),"")&amp;" "&amp;IFERROR(VLOOKUP(AT33,ETANCHEITE!BJ$19:BL$164,3,FALSE),"")</f>
        <v xml:space="preserve"> </v>
      </c>
      <c r="AZ33" s="161" t="str">
        <f>IF(AY33&lt;&gt;" ",'Feuille de Donnée'!$C$3,"")</f>
        <v/>
      </c>
      <c r="BA33" s="232" t="str" cm="1">
        <f t="array" aca="1" ref="BA33" ca="1">IFERROR(IF(_xlfn.XLOOKUP(AT33,ETANCHEITE!BJ$19:BJ$89,ETANCHEITE!BH$19:BH$89,"")&lt;&gt;"",_xlfn.XLOOKUP(AT33,ETANCHEITE!BJ$19:BJ$89,ETANCHEITE!BH$19:BH$89,""),    INDEX(ETANCHEITE!BH:BH,MAX(_xlfn._xlws.FILTER(ROW(ETANCHEITE!BH$19:INDIRECT("'PEINTURE'!O" &amp; AW33-1)),ETANCHEITE!BH$19:INDIRECT("'PEINTURE'!O" &amp; AW33-1)&lt;&gt;"")))),"")</f>
        <v/>
      </c>
      <c r="BB33" s="233" t="str" cm="1">
        <f t="array" aca="1" ref="BB33" ca="1">IFERROR(IF(_xlfn.XLOOKUP(AT33,ETANCHEITE!BJ$19:BJ$89,ETANCHEITE!BI$19:BI$89,"")&lt;&gt;"",_xlfn.XLOOKUP(AT33,ETANCHEITE!BJ$19:BJ$89,ETANCHEITE!BI$19:BI$89,""),    INDEX(ETANCHEITE!BI:BI,MAX(_xlfn._xlws.FILTER(ROW(ETANCHEITE!BI$19:INDIRECT("'PEINTURE'!P" &amp; AW33-1)),ETANCHEITE!BI$19:INDIRECT("'PEINTURE'!P" &amp; AW33-1)&lt;&gt;"")))),"")</f>
        <v/>
      </c>
    </row>
    <row r="34" spans="1:54" ht="15" customHeight="1" x14ac:dyDescent="0.3">
      <c r="A34" s="158">
        <v>32</v>
      </c>
      <c r="B34" s="167" t="str">
        <f>IF(F34&lt;&gt;" ",ETANCHEITE!$D$5,"")</f>
        <v/>
      </c>
      <c r="C34" s="167" t="str">
        <f>IF(F34&lt;&gt;" ",ETANCHEITE!$D$8,"")</f>
        <v/>
      </c>
      <c r="D34" s="159" t="str">
        <f>IFERROR(MATCH(A34,ETANCHEITE!Q$19:Q$164,0)+18,"")</f>
        <v/>
      </c>
      <c r="E34" s="160" t="str" cm="1">
        <f t="array" aca="1" ref="E34" ca="1">IFERROR(IF(_xlfn.XLOOKUP(A34,ETANCHEITE!Q$19:Q$164,ETANCHEITE!$A$19:$A$164,"")&lt;&gt;"",_xlfn.XLOOKUP(A34,ETANCHEITE!Q$19:Q$164,ETANCHEITE!$A$19:$A$164,""),    INDEX(ETANCHEITE!$A:$A,MAX(_xlfn._xlws.FILTER(ROW(ETANCHEITE!$A$19:INDIRECT("'MENUISERIES EXTERIEURES'!$A" &amp; D34-1)),ETANCHEITE!$A$19:INDIRECT("'MENUISERIES EXTERIEURES'!$A" &amp; D34-1)&lt;&gt;"")))),"")&amp;"   "&amp;IFERROR(_xlfn.XLOOKUP(A34,ETANCHEITE!Q$19:Q$164,ETANCHEITE!$B$19:$B$164),"")&amp;IFERROR(_xlfn.XLOOKUP(A34,ETANCHEITE!Q$19:Q$164,ETANCHEITE!$C$19:$C$164),"")&amp;IFERROR(_xlfn.XLOOKUP(A34,ETANCHEITE!Q$19:Q$164,ETANCHEITE!$D$19:$D$164),"")&amp;IFERROR(_xlfn.XLOOKUP(A34,ETANCHEITE!Q$19:Q$164,ETANCHEITE!$E$19:$E$164),"")&amp;IFERROR(_xlfn.XLOOKUP(A34,ETANCHEITE!Q$19:Q$164,ETANCHEITE!$F$19:$F$164),"")</f>
        <v xml:space="preserve">   </v>
      </c>
      <c r="F34" s="168" t="str">
        <f>IFERROR(VLOOKUP(A34,ETANCHEITE!Q$19:S$164,2,FALSE),"")&amp;" "&amp;IFERROR(VLOOKUP(A34,ETANCHEITE!Q$19:S$164,3,FALSE),"")</f>
        <v xml:space="preserve"> </v>
      </c>
      <c r="G34" s="161" t="str">
        <f>IF(F34&lt;&gt;" ",'Feuille de Donnée'!$C$3,"")</f>
        <v/>
      </c>
      <c r="H34" s="232" t="str" cm="1">
        <f t="array" aca="1" ref="H34" ca="1">IFERROR(IF(_xlfn.XLOOKUP(A34,ETANCHEITE!Q$19:Q$89,ETANCHEITE!O$19:O$89,"")&lt;&gt;"",_xlfn.XLOOKUP(A34,ETANCHEITE!Q$19:Q$89,ETANCHEITE!O$19:O$89,""),    INDEX(ETANCHEITE!O:O,MAX(_xlfn._xlws.FILTER(ROW(ETANCHEITE!O$19:INDIRECT("'PEINTURE'!O" &amp; D34-1)),ETANCHEITE!O$19:INDIRECT("'PEINTURE'!O" &amp; D34-1)&lt;&gt;"")))),"")</f>
        <v/>
      </c>
      <c r="I34" s="233" t="str" cm="1">
        <f t="array" aca="1" ref="I34" ca="1">IFERROR(IF(_xlfn.XLOOKUP(A34,ETANCHEITE!Q$19:Q$89,ETANCHEITE!P$19:P$89,"")&lt;&gt;"",_xlfn.XLOOKUP(A34,ETANCHEITE!Q$19:Q$89,ETANCHEITE!P$19:P$89,""),    INDEX(ETANCHEITE!P:P,MAX(_xlfn._xlws.FILTER(ROW(ETANCHEITE!P$19:INDIRECT("'PEINTURE'!P" &amp; D34-1)),ETANCHEITE!P$19:INDIRECT("'PEINTURE'!P" &amp; D34-1)&lt;&gt;"")))),"")</f>
        <v/>
      </c>
      <c r="J34" s="158">
        <v>32</v>
      </c>
      <c r="K34" s="167" t="str">
        <f>IF(O34&lt;&gt;" ",ETANCHEITE!$D$5,"")</f>
        <v/>
      </c>
      <c r="L34" s="167" t="str">
        <f>IF(O34&lt;&gt;" ",ETANCHEITE!$D$8,"")</f>
        <v/>
      </c>
      <c r="M34" s="159" t="str">
        <f>IFERROR(MATCH(J34,ETANCHEITE!Z$19:Z$164,0)+18,"")</f>
        <v/>
      </c>
      <c r="N34" s="160" t="str" cm="1">
        <f t="array" aca="1" ref="N34" ca="1">IFERROR(IF(_xlfn.XLOOKUP(J34,ETANCHEITE!Z$19:Z$164,ETANCHEITE!$A$19:$A$164,"")&lt;&gt;"",_xlfn.XLOOKUP(J34,ETANCHEITE!Z$19:Z$164,ETANCHEITE!$A$19:$A$164,""),    INDEX(ETANCHEITE!$A:$A,MAX(_xlfn._xlws.FILTER(ROW(ETANCHEITE!$A$19:INDIRECT("'MENUISERIES EXTERIEURES'!$A" &amp; M34-1)),ETANCHEITE!$A$19:INDIRECT("'MENUISERIES EXTERIEURES'!$A" &amp; M34-1)&lt;&gt;"")))),"")&amp;"   "&amp;IFERROR(_xlfn.XLOOKUP(J34,ETANCHEITE!Z$19:Z$164,ETANCHEITE!$B$19:$B$164),"")&amp;IFERROR(_xlfn.XLOOKUP(J34,ETANCHEITE!Z$19:Z$164,ETANCHEITE!$C$19:$C$164),"")&amp;IFERROR(_xlfn.XLOOKUP(J34,ETANCHEITE!Z$19:Z$164,ETANCHEITE!$D$19:$D$164),"")&amp;IFERROR(_xlfn.XLOOKUP(J34,ETANCHEITE!Z$19:Z$164,ETANCHEITE!$E$19:$E$164),"")&amp;IFERROR(_xlfn.XLOOKUP(J34,ETANCHEITE!Z$19:Z$164,ETANCHEITE!$F$19:$F$164),"")</f>
        <v xml:space="preserve">   </v>
      </c>
      <c r="O34" s="168" t="str">
        <f>IFERROR(VLOOKUP(J34,ETANCHEITE!Z$19:AB$164,2,FALSE),"")&amp;" "&amp;IFERROR(VLOOKUP(J34,ETANCHEITE!Z$19:AB$164,3,FALSE),"")</f>
        <v xml:space="preserve"> </v>
      </c>
      <c r="P34" s="161" t="str">
        <f>IF(O34&lt;&gt;" ",'Feuille de Donnée'!$C$3,"")</f>
        <v/>
      </c>
      <c r="Q34" s="232" t="str" cm="1">
        <f t="array" aca="1" ref="Q34" ca="1">IFERROR(IF(_xlfn.XLOOKUP(J34,ETANCHEITE!Z$19:Z$89,ETANCHEITE!X$19:X$89,"")&lt;&gt;"",_xlfn.XLOOKUP(J34,ETANCHEITE!Z$19:Z$89,ETANCHEITE!X$19:X$89,""),    INDEX(ETANCHEITE!X:X,MAX(_xlfn._xlws.FILTER(ROW(ETANCHEITE!X$19:INDIRECT("'PEINTURE'!O" &amp; M34-1)),ETANCHEITE!X$19:INDIRECT("'PEINTURE'!O" &amp; M34-1)&lt;&gt;"")))),"")</f>
        <v/>
      </c>
      <c r="R34" s="233" t="str" cm="1">
        <f t="array" aca="1" ref="R34" ca="1">IFERROR(IF(_xlfn.XLOOKUP(J34,ETANCHEITE!Z$19:Z$89,ETANCHEITE!Y$19:Y$89,"")&lt;&gt;"",_xlfn.XLOOKUP(J34,ETANCHEITE!Z$19:Z$89,ETANCHEITE!Y$19:Y$89,""),    INDEX(ETANCHEITE!Y:Y,MAX(_xlfn._xlws.FILTER(ROW(ETANCHEITE!Y$19:INDIRECT("'PEINTURE'!P" &amp; M34-1)),ETANCHEITE!Y$19:INDIRECT("'PEINTURE'!P" &amp; M34-1)&lt;&gt;"")))),"")</f>
        <v/>
      </c>
      <c r="S34" s="158">
        <v>32</v>
      </c>
      <c r="T34" s="167" t="str">
        <f>IF(X34&lt;&gt;" ",ETANCHEITE!$D$5,"")</f>
        <v/>
      </c>
      <c r="U34" s="167" t="str">
        <f>IF(X34&lt;&gt;" ",ETANCHEITE!$D$8,"")</f>
        <v/>
      </c>
      <c r="V34" s="159" t="str">
        <f>IFERROR(MATCH(S34,ETANCHEITE!AI$19:AI$164,0)+18,"")</f>
        <v/>
      </c>
      <c r="W34" s="160" t="str" cm="1">
        <f t="array" aca="1" ref="W34" ca="1">IFERROR(IF(_xlfn.XLOOKUP(S34,ETANCHEITE!AI$19:AI$164,ETANCHEITE!$A$19:$A$164,"")&lt;&gt;"",_xlfn.XLOOKUP(S34,ETANCHEITE!AI$19:AI$164,ETANCHEITE!$A$19:$A$164,""),    INDEX(ETANCHEITE!$A:$A,MAX(_xlfn._xlws.FILTER(ROW(ETANCHEITE!$A$19:INDIRECT("'MENUISERIES EXTERIEURES'!$A" &amp; V34-1)),ETANCHEITE!$A$19:INDIRECT("'MENUISERIES EXTERIEURES'!$A" &amp; V34-1)&lt;&gt;"")))),"")&amp;"   "&amp;IFERROR(_xlfn.XLOOKUP(S34,ETANCHEITE!AI$19:AI$164,ETANCHEITE!$B$19:$B$164),"")&amp;IFERROR(_xlfn.XLOOKUP(S34,ETANCHEITE!AI$19:AI$164,ETANCHEITE!$C$19:$C$164),"")&amp;IFERROR(_xlfn.XLOOKUP(S34,ETANCHEITE!AI$19:AI$164,ETANCHEITE!$D$19:$D$164),"")&amp;IFERROR(_xlfn.XLOOKUP(S34,ETANCHEITE!AI$19:AI$164,ETANCHEITE!$E$19:$E$164),"")&amp;IFERROR(_xlfn.XLOOKUP(S34,ETANCHEITE!AI$19:AI$164,ETANCHEITE!$F$19:$F$164),"")</f>
        <v xml:space="preserve">   </v>
      </c>
      <c r="X34" s="168" t="str">
        <f>IFERROR(VLOOKUP(S34,ETANCHEITE!AI$19:AK$164,2,FALSE),"")&amp;" "&amp;IFERROR(VLOOKUP(S34,ETANCHEITE!AI$19:AK$164,3,FALSE),"")</f>
        <v xml:space="preserve"> </v>
      </c>
      <c r="Y34" s="161" t="str">
        <f>IF(X34&lt;&gt;" ",'Feuille de Donnée'!$C$3,"")</f>
        <v/>
      </c>
      <c r="Z34" s="232" t="str" cm="1">
        <f t="array" aca="1" ref="Z34" ca="1">IFERROR(IF(_xlfn.XLOOKUP(S34,ETANCHEITE!AI$19:AI$89,ETANCHEITE!AG$19:AG$89,"")&lt;&gt;"",_xlfn.XLOOKUP(S34,ETANCHEITE!AI$19:AI$89,ETANCHEITE!AG$19:AG$89,""),    INDEX(ETANCHEITE!AG:AG,MAX(_xlfn._xlws.FILTER(ROW(ETANCHEITE!AG$19:INDIRECT("'PEINTURE'!O" &amp; V34-1)),ETANCHEITE!AG$19:INDIRECT("'PEINTURE'!O" &amp; V34-1)&lt;&gt;"")))),"")</f>
        <v/>
      </c>
      <c r="AA34" s="233" t="str" cm="1">
        <f t="array" aca="1" ref="AA34" ca="1">IFERROR(IF(_xlfn.XLOOKUP(S34,ETANCHEITE!AI$19:AI$89,ETANCHEITE!AH$19:AH$89,"")&lt;&gt;"",_xlfn.XLOOKUP(S34,ETANCHEITE!AI$19:AI$89,ETANCHEITE!AH$19:AH$89,""),    INDEX(ETANCHEITE!AH:AH,MAX(_xlfn._xlws.FILTER(ROW(ETANCHEITE!AH$19:INDIRECT("'PEINTURE'!P" &amp; V34-1)),ETANCHEITE!AH$19:INDIRECT("'PEINTURE'!P" &amp; V34-1)&lt;&gt;"")))),"")</f>
        <v/>
      </c>
      <c r="AB34" s="158">
        <v>32</v>
      </c>
      <c r="AC34" s="167" t="str">
        <f>IF(AG34&lt;&gt;" ",ETANCHEITE!$D$5,"")</f>
        <v/>
      </c>
      <c r="AD34" s="167" t="str">
        <f>IF(AG34&lt;&gt;" ",ETANCHEITE!$D$8,"")</f>
        <v/>
      </c>
      <c r="AE34" s="159" t="str">
        <f>IFERROR(MATCH(AB34,ETANCHEITE!AR$19:AR$164,0)+18,"")</f>
        <v/>
      </c>
      <c r="AF34" s="160" t="str" cm="1">
        <f t="array" aca="1" ref="AF34" ca="1">IFERROR(IF(_xlfn.XLOOKUP(AB34,ETANCHEITE!AR$19:AR$164,ETANCHEITE!$A$19:$A$164,"")&lt;&gt;"",_xlfn.XLOOKUP(AB34,ETANCHEITE!AR$19:AR$164,ETANCHEITE!$A$19:$A$164,""),    INDEX(ETANCHEITE!$A:$A,MAX(_xlfn._xlws.FILTER(ROW(ETANCHEITE!$A$19:INDIRECT("'MENUISERIES EXTERIEURES'!$A" &amp; AE34-1)),ETANCHEITE!$A$19:INDIRECT("'MENUISERIES EXTERIEURES'!$A" &amp; AE34-1)&lt;&gt;"")))),"")&amp;"   "&amp;IFERROR(_xlfn.XLOOKUP(AB34,ETANCHEITE!AR$19:AR$164,ETANCHEITE!$B$19:$B$164),"")&amp;IFERROR(_xlfn.XLOOKUP(AB34,ETANCHEITE!AR$19:AR$164,ETANCHEITE!$C$19:$C$164),"")&amp;IFERROR(_xlfn.XLOOKUP(AB34,ETANCHEITE!AR$19:AR$164,ETANCHEITE!$D$19:$D$164),"")&amp;IFERROR(_xlfn.XLOOKUP(AB34,ETANCHEITE!AR$19:AR$164,ETANCHEITE!$E$19:$E$164),"")&amp;IFERROR(_xlfn.XLOOKUP(AB34,ETANCHEITE!AR$19:AR$164,ETANCHEITE!$F$19:$F$164),"")</f>
        <v xml:space="preserve">   </v>
      </c>
      <c r="AG34" s="168" t="str">
        <f>IFERROR(VLOOKUP(AB34,ETANCHEITE!AR$19:AT$164,2,FALSE),"")&amp;" "&amp;IFERROR(VLOOKUP(AB34,ETANCHEITE!AR$19:AT$164,3,FALSE),"")</f>
        <v xml:space="preserve"> </v>
      </c>
      <c r="AH34" s="161" t="str">
        <f>IF(AG34&lt;&gt;" ",'Feuille de Donnée'!$C$3,"")</f>
        <v/>
      </c>
      <c r="AI34" s="232" t="str" cm="1">
        <f t="array" aca="1" ref="AI34" ca="1">IFERROR(IF(_xlfn.XLOOKUP(AB34,ETANCHEITE!AR$19:AR$89,ETANCHEITE!AP$19:AP$89,"")&lt;&gt;"",_xlfn.XLOOKUP(AB34,ETANCHEITE!AR$19:AR$89,ETANCHEITE!AP$19:AP$89,""),    INDEX(ETANCHEITE!AP:AP,MAX(_xlfn._xlws.FILTER(ROW(ETANCHEITE!AP$19:INDIRECT("'PEINTURE'!O" &amp; AE34-1)),ETANCHEITE!AP$19:INDIRECT("'PEINTURE'!O" &amp; AE34-1)&lt;&gt;"")))),"")</f>
        <v/>
      </c>
      <c r="AJ34" s="233" t="str" cm="1">
        <f t="array" aca="1" ref="AJ34" ca="1">IFERROR(IF(_xlfn.XLOOKUP(AB34,ETANCHEITE!AR$19:AR$89,ETANCHEITE!AQ$19:AQ$89,"")&lt;&gt;"",_xlfn.XLOOKUP(AB34,ETANCHEITE!AR$19:AR$89,ETANCHEITE!AQ$19:AQ$89,""),    INDEX(ETANCHEITE!AQ:AQ,MAX(_xlfn._xlws.FILTER(ROW(ETANCHEITE!AQ$19:INDIRECT("'PEINTURE'!P" &amp; AE34-1)),ETANCHEITE!AQ$19:INDIRECT("'PEINTURE'!P" &amp; AE34-1)&lt;&gt;"")))),"")</f>
        <v/>
      </c>
      <c r="AK34" s="158">
        <v>32</v>
      </c>
      <c r="AL34" s="167" t="str">
        <f>IF(AP34&lt;&gt;" ",ETANCHEITE!$D$5,"")</f>
        <v/>
      </c>
      <c r="AM34" s="167" t="str">
        <f>IF(AP34&lt;&gt;" ",ETANCHEITE!$D$8,"")</f>
        <v/>
      </c>
      <c r="AN34" s="159" t="str">
        <f>IFERROR(MATCH(AK34,ETANCHEITE!BA$19:BA$164,0)+18,"")</f>
        <v/>
      </c>
      <c r="AO34" s="160" t="str" cm="1">
        <f t="array" aca="1" ref="AO34" ca="1">IFERROR(IF(_xlfn.XLOOKUP(AK34,ETANCHEITE!BA$19:BA$164,ETANCHEITE!$A$19:$A$164,"")&lt;&gt;"",_xlfn.XLOOKUP(AK34,ETANCHEITE!BA$19:BA$164,ETANCHEITE!$A$19:$A$164,""),    INDEX(ETANCHEITE!$A:$A,MAX(_xlfn._xlws.FILTER(ROW(ETANCHEITE!$A$19:INDIRECT("'MENUISERIES EXTERIEURES'!$A" &amp; AN34-1)),ETANCHEITE!$A$19:INDIRECT("'MENUISERIES EXTERIEURES'!$A" &amp; AN34-1)&lt;&gt;"")))),"")&amp;"   "&amp;IFERROR(_xlfn.XLOOKUP(AK34,ETANCHEITE!BA$19:BA$164,ETANCHEITE!$B$19:$B$164),"")&amp;IFERROR(_xlfn.XLOOKUP(AK34,ETANCHEITE!BA$19:BA$164,ETANCHEITE!$C$19:$C$164),"")&amp;IFERROR(_xlfn.XLOOKUP(AK34,ETANCHEITE!BA$19:BA$164,ETANCHEITE!$D$19:$D$164),"")&amp;IFERROR(_xlfn.XLOOKUP(AK34,ETANCHEITE!BA$19:BA$164,ETANCHEITE!$E$19:$E$164),"")&amp;IFERROR(_xlfn.XLOOKUP(AK34,ETANCHEITE!BA$19:BA$164,ETANCHEITE!$F$19:$F$164),"")</f>
        <v xml:space="preserve">   </v>
      </c>
      <c r="AP34" s="168" t="str">
        <f>IFERROR(VLOOKUP(AK34,ETANCHEITE!BA$19:BC$164,2,FALSE),"")&amp;" "&amp;IFERROR(VLOOKUP(AK34,ETANCHEITE!BA$19:BC$164,3,FALSE),"")</f>
        <v xml:space="preserve"> </v>
      </c>
      <c r="AQ34" s="161" t="str">
        <f>IF(AP34&lt;&gt;" ",'Feuille de Donnée'!$C$3,"")</f>
        <v/>
      </c>
      <c r="AR34" s="232" t="str" cm="1">
        <f t="array" aca="1" ref="AR34" ca="1">IFERROR(IF(_xlfn.XLOOKUP(AK34,ETANCHEITE!BA$19:BA$89,ETANCHEITE!AY$19:AY$89,"")&lt;&gt;"",_xlfn.XLOOKUP(AK34,ETANCHEITE!BA$19:BA$89,ETANCHEITE!AY$19:AY$89,""),    INDEX(ETANCHEITE!AY:AY,MAX(_xlfn._xlws.FILTER(ROW(ETANCHEITE!AY$19:INDIRECT("'PEINTURE'!O" &amp; AN34-1)),ETANCHEITE!AY$19:INDIRECT("'PEINTURE'!O" &amp; AN34-1)&lt;&gt;"")))),"")</f>
        <v/>
      </c>
      <c r="AS34" s="233" t="str" cm="1">
        <f t="array" aca="1" ref="AS34" ca="1">IFERROR(IF(_xlfn.XLOOKUP(AK34,ETANCHEITE!BA$19:BA$89,ETANCHEITE!AZ$19:AZ$89,"")&lt;&gt;"",_xlfn.XLOOKUP(AK34,ETANCHEITE!BA$19:BA$89,ETANCHEITE!AZ$19:AZ$89,""),    INDEX(ETANCHEITE!AZ:AZ,MAX(_xlfn._xlws.FILTER(ROW(ETANCHEITE!AZ$19:INDIRECT("'PEINTURE'!P" &amp; AN34-1)),ETANCHEITE!AZ$19:INDIRECT("'PEINTURE'!P" &amp; AN34-1)&lt;&gt;"")))),"")</f>
        <v/>
      </c>
      <c r="AT34" s="158">
        <v>32</v>
      </c>
      <c r="AU34" s="167" t="str">
        <f>IF(AY34&lt;&gt;" ",ETANCHEITE!$D$5,"")</f>
        <v/>
      </c>
      <c r="AV34" s="167" t="str">
        <f>IF(AY34&lt;&gt;" ",ETANCHEITE!$D$8,"")</f>
        <v/>
      </c>
      <c r="AW34" s="159" t="str">
        <f>IFERROR(MATCH(AT34,ETANCHEITE!BJ$19:BJ$164,0)+18,"")</f>
        <v/>
      </c>
      <c r="AX34" s="160" t="str" cm="1">
        <f t="array" aca="1" ref="AX34" ca="1">IFERROR(IF(_xlfn.XLOOKUP(AT34,ETANCHEITE!BJ$19:BJ$164,ETANCHEITE!$A$19:$A$164,"")&lt;&gt;"",_xlfn.XLOOKUP(AT34,ETANCHEITE!BJ$19:BJ$164,ETANCHEITE!$A$19:$A$164,""),    INDEX(ETANCHEITE!$A:$A,MAX(_xlfn._xlws.FILTER(ROW(ETANCHEITE!$A$19:INDIRECT("'MENUISERIES EXTERIEURES'!$A" &amp; AW34-1)),ETANCHEITE!$A$19:INDIRECT("'MENUISERIES EXTERIEURES'!$A" &amp; AW34-1)&lt;&gt;"")))),"")&amp;"   "&amp;IFERROR(_xlfn.XLOOKUP(AT34,ETANCHEITE!BJ$19:BJ$164,ETANCHEITE!$B$19:$B$164),"")&amp;IFERROR(_xlfn.XLOOKUP(AT34,ETANCHEITE!BJ$19:BJ$164,ETANCHEITE!$C$19:$C$164),"")&amp;IFERROR(_xlfn.XLOOKUP(AT34,ETANCHEITE!BJ$19:BJ$164,ETANCHEITE!$D$19:$D$164),"")&amp;IFERROR(_xlfn.XLOOKUP(AT34,ETANCHEITE!BJ$19:BJ$164,ETANCHEITE!$E$19:$E$164),"")&amp;IFERROR(_xlfn.XLOOKUP(AT34,ETANCHEITE!BJ$19:BJ$164,ETANCHEITE!$F$19:$F$164),"")</f>
        <v xml:space="preserve">   </v>
      </c>
      <c r="AY34" s="168" t="str">
        <f>IFERROR(VLOOKUP(AT34,ETANCHEITE!BJ$19:BL$164,2,FALSE),"")&amp;" "&amp;IFERROR(VLOOKUP(AT34,ETANCHEITE!BJ$19:BL$164,3,FALSE),"")</f>
        <v xml:space="preserve"> </v>
      </c>
      <c r="AZ34" s="161" t="str">
        <f>IF(AY34&lt;&gt;" ",'Feuille de Donnée'!$C$3,"")</f>
        <v/>
      </c>
      <c r="BA34" s="232" t="str" cm="1">
        <f t="array" aca="1" ref="BA34" ca="1">IFERROR(IF(_xlfn.XLOOKUP(AT34,ETANCHEITE!BJ$19:BJ$89,ETANCHEITE!BH$19:BH$89,"")&lt;&gt;"",_xlfn.XLOOKUP(AT34,ETANCHEITE!BJ$19:BJ$89,ETANCHEITE!BH$19:BH$89,""),    INDEX(ETANCHEITE!BH:BH,MAX(_xlfn._xlws.FILTER(ROW(ETANCHEITE!BH$19:INDIRECT("'PEINTURE'!O" &amp; AW34-1)),ETANCHEITE!BH$19:INDIRECT("'PEINTURE'!O" &amp; AW34-1)&lt;&gt;"")))),"")</f>
        <v/>
      </c>
      <c r="BB34" s="233" t="str" cm="1">
        <f t="array" aca="1" ref="BB34" ca="1">IFERROR(IF(_xlfn.XLOOKUP(AT34,ETANCHEITE!BJ$19:BJ$89,ETANCHEITE!BI$19:BI$89,"")&lt;&gt;"",_xlfn.XLOOKUP(AT34,ETANCHEITE!BJ$19:BJ$89,ETANCHEITE!BI$19:BI$89,""),    INDEX(ETANCHEITE!BI:BI,MAX(_xlfn._xlws.FILTER(ROW(ETANCHEITE!BI$19:INDIRECT("'PEINTURE'!P" &amp; AW34-1)),ETANCHEITE!BI$19:INDIRECT("'PEINTURE'!P" &amp; AW34-1)&lt;&gt;"")))),"")</f>
        <v/>
      </c>
    </row>
    <row r="35" spans="1:54" ht="15" customHeight="1" x14ac:dyDescent="0.3">
      <c r="A35" s="158">
        <v>33</v>
      </c>
      <c r="B35" s="167" t="str">
        <f>IF(F35&lt;&gt;" ",ETANCHEITE!$D$5,"")</f>
        <v/>
      </c>
      <c r="C35" s="167" t="str">
        <f>IF(F35&lt;&gt;" ",ETANCHEITE!$D$8,"")</f>
        <v/>
      </c>
      <c r="D35" s="159" t="str">
        <f>IFERROR(MATCH(A35,ETANCHEITE!Q$19:Q$164,0)+18,"")</f>
        <v/>
      </c>
      <c r="E35" s="160" t="str" cm="1">
        <f t="array" aca="1" ref="E35" ca="1">IFERROR(IF(_xlfn.XLOOKUP(A35,ETANCHEITE!Q$19:Q$164,ETANCHEITE!$A$19:$A$164,"")&lt;&gt;"",_xlfn.XLOOKUP(A35,ETANCHEITE!Q$19:Q$164,ETANCHEITE!$A$19:$A$164,""),    INDEX(ETANCHEITE!$A:$A,MAX(_xlfn._xlws.FILTER(ROW(ETANCHEITE!$A$19:INDIRECT("'MENUISERIES EXTERIEURES'!$A" &amp; D35-1)),ETANCHEITE!$A$19:INDIRECT("'MENUISERIES EXTERIEURES'!$A" &amp; D35-1)&lt;&gt;"")))),"")&amp;"   "&amp;IFERROR(_xlfn.XLOOKUP(A35,ETANCHEITE!Q$19:Q$164,ETANCHEITE!$B$19:$B$164),"")&amp;IFERROR(_xlfn.XLOOKUP(A35,ETANCHEITE!Q$19:Q$164,ETANCHEITE!$C$19:$C$164),"")&amp;IFERROR(_xlfn.XLOOKUP(A35,ETANCHEITE!Q$19:Q$164,ETANCHEITE!$D$19:$D$164),"")&amp;IFERROR(_xlfn.XLOOKUP(A35,ETANCHEITE!Q$19:Q$164,ETANCHEITE!$E$19:$E$164),"")&amp;IFERROR(_xlfn.XLOOKUP(A35,ETANCHEITE!Q$19:Q$164,ETANCHEITE!$F$19:$F$164),"")</f>
        <v xml:space="preserve">   </v>
      </c>
      <c r="F35" s="168" t="str">
        <f>IFERROR(VLOOKUP(A35,ETANCHEITE!Q$19:S$164,2,FALSE),"")&amp;" "&amp;IFERROR(VLOOKUP(A35,ETANCHEITE!Q$19:S$164,3,FALSE),"")</f>
        <v xml:space="preserve"> </v>
      </c>
      <c r="G35" s="161" t="str">
        <f>IF(F35&lt;&gt;" ",'Feuille de Donnée'!$C$3,"")</f>
        <v/>
      </c>
      <c r="H35" s="232" t="str" cm="1">
        <f t="array" aca="1" ref="H35" ca="1">IFERROR(IF(_xlfn.XLOOKUP(A35,ETANCHEITE!Q$19:Q$89,ETANCHEITE!O$19:O$89,"")&lt;&gt;"",_xlfn.XLOOKUP(A35,ETANCHEITE!Q$19:Q$89,ETANCHEITE!O$19:O$89,""),    INDEX(ETANCHEITE!O:O,MAX(_xlfn._xlws.FILTER(ROW(ETANCHEITE!O$19:INDIRECT("'PEINTURE'!O" &amp; D35-1)),ETANCHEITE!O$19:INDIRECT("'PEINTURE'!O" &amp; D35-1)&lt;&gt;"")))),"")</f>
        <v/>
      </c>
      <c r="I35" s="233" t="str" cm="1">
        <f t="array" aca="1" ref="I35" ca="1">IFERROR(IF(_xlfn.XLOOKUP(A35,ETANCHEITE!Q$19:Q$89,ETANCHEITE!P$19:P$89,"")&lt;&gt;"",_xlfn.XLOOKUP(A35,ETANCHEITE!Q$19:Q$89,ETANCHEITE!P$19:P$89,""),    INDEX(ETANCHEITE!P:P,MAX(_xlfn._xlws.FILTER(ROW(ETANCHEITE!P$19:INDIRECT("'PEINTURE'!P" &amp; D35-1)),ETANCHEITE!P$19:INDIRECT("'PEINTURE'!P" &amp; D35-1)&lt;&gt;"")))),"")</f>
        <v/>
      </c>
      <c r="J35" s="158">
        <v>33</v>
      </c>
      <c r="K35" s="167" t="str">
        <f>IF(O35&lt;&gt;" ",ETANCHEITE!$D$5,"")</f>
        <v/>
      </c>
      <c r="L35" s="167" t="str">
        <f>IF(O35&lt;&gt;" ",ETANCHEITE!$D$8,"")</f>
        <v/>
      </c>
      <c r="M35" s="159" t="str">
        <f>IFERROR(MATCH(J35,ETANCHEITE!Z$19:Z$164,0)+18,"")</f>
        <v/>
      </c>
      <c r="N35" s="160" t="str" cm="1">
        <f t="array" aca="1" ref="N35" ca="1">IFERROR(IF(_xlfn.XLOOKUP(J35,ETANCHEITE!Z$19:Z$164,ETANCHEITE!$A$19:$A$164,"")&lt;&gt;"",_xlfn.XLOOKUP(J35,ETANCHEITE!Z$19:Z$164,ETANCHEITE!$A$19:$A$164,""),    INDEX(ETANCHEITE!$A:$A,MAX(_xlfn._xlws.FILTER(ROW(ETANCHEITE!$A$19:INDIRECT("'MENUISERIES EXTERIEURES'!$A" &amp; M35-1)),ETANCHEITE!$A$19:INDIRECT("'MENUISERIES EXTERIEURES'!$A" &amp; M35-1)&lt;&gt;"")))),"")&amp;"   "&amp;IFERROR(_xlfn.XLOOKUP(J35,ETANCHEITE!Z$19:Z$164,ETANCHEITE!$B$19:$B$164),"")&amp;IFERROR(_xlfn.XLOOKUP(J35,ETANCHEITE!Z$19:Z$164,ETANCHEITE!$C$19:$C$164),"")&amp;IFERROR(_xlfn.XLOOKUP(J35,ETANCHEITE!Z$19:Z$164,ETANCHEITE!$D$19:$D$164),"")&amp;IFERROR(_xlfn.XLOOKUP(J35,ETANCHEITE!Z$19:Z$164,ETANCHEITE!$E$19:$E$164),"")&amp;IFERROR(_xlfn.XLOOKUP(J35,ETANCHEITE!Z$19:Z$164,ETANCHEITE!$F$19:$F$164),"")</f>
        <v xml:space="preserve">   </v>
      </c>
      <c r="O35" s="168" t="str">
        <f>IFERROR(VLOOKUP(J35,ETANCHEITE!Z$19:AB$164,2,FALSE),"")&amp;" "&amp;IFERROR(VLOOKUP(J35,ETANCHEITE!Z$19:AB$164,3,FALSE),"")</f>
        <v xml:space="preserve"> </v>
      </c>
      <c r="P35" s="161" t="str">
        <f>IF(O35&lt;&gt;" ",'Feuille de Donnée'!$C$3,"")</f>
        <v/>
      </c>
      <c r="Q35" s="232" t="str" cm="1">
        <f t="array" aca="1" ref="Q35" ca="1">IFERROR(IF(_xlfn.XLOOKUP(J35,ETANCHEITE!Z$19:Z$89,ETANCHEITE!X$19:X$89,"")&lt;&gt;"",_xlfn.XLOOKUP(J35,ETANCHEITE!Z$19:Z$89,ETANCHEITE!X$19:X$89,""),    INDEX(ETANCHEITE!X:X,MAX(_xlfn._xlws.FILTER(ROW(ETANCHEITE!X$19:INDIRECT("'PEINTURE'!O" &amp; M35-1)),ETANCHEITE!X$19:INDIRECT("'PEINTURE'!O" &amp; M35-1)&lt;&gt;"")))),"")</f>
        <v/>
      </c>
      <c r="R35" s="233" t="str" cm="1">
        <f t="array" aca="1" ref="R35" ca="1">IFERROR(IF(_xlfn.XLOOKUP(J35,ETANCHEITE!Z$19:Z$89,ETANCHEITE!Y$19:Y$89,"")&lt;&gt;"",_xlfn.XLOOKUP(J35,ETANCHEITE!Z$19:Z$89,ETANCHEITE!Y$19:Y$89,""),    INDEX(ETANCHEITE!Y:Y,MAX(_xlfn._xlws.FILTER(ROW(ETANCHEITE!Y$19:INDIRECT("'PEINTURE'!P" &amp; M35-1)),ETANCHEITE!Y$19:INDIRECT("'PEINTURE'!P" &amp; M35-1)&lt;&gt;"")))),"")</f>
        <v/>
      </c>
      <c r="S35" s="158">
        <v>33</v>
      </c>
      <c r="T35" s="167" t="str">
        <f>IF(X35&lt;&gt;" ",ETANCHEITE!$D$5,"")</f>
        <v/>
      </c>
      <c r="U35" s="167" t="str">
        <f>IF(X35&lt;&gt;" ",ETANCHEITE!$D$8,"")</f>
        <v/>
      </c>
      <c r="V35" s="159" t="str">
        <f>IFERROR(MATCH(S35,ETANCHEITE!AI$19:AI$164,0)+18,"")</f>
        <v/>
      </c>
      <c r="W35" s="160" t="str" cm="1">
        <f t="array" aca="1" ref="W35" ca="1">IFERROR(IF(_xlfn.XLOOKUP(S35,ETANCHEITE!AI$19:AI$164,ETANCHEITE!$A$19:$A$164,"")&lt;&gt;"",_xlfn.XLOOKUP(S35,ETANCHEITE!AI$19:AI$164,ETANCHEITE!$A$19:$A$164,""),    INDEX(ETANCHEITE!$A:$A,MAX(_xlfn._xlws.FILTER(ROW(ETANCHEITE!$A$19:INDIRECT("'MENUISERIES EXTERIEURES'!$A" &amp; V35-1)),ETANCHEITE!$A$19:INDIRECT("'MENUISERIES EXTERIEURES'!$A" &amp; V35-1)&lt;&gt;"")))),"")&amp;"   "&amp;IFERROR(_xlfn.XLOOKUP(S35,ETANCHEITE!AI$19:AI$164,ETANCHEITE!$B$19:$B$164),"")&amp;IFERROR(_xlfn.XLOOKUP(S35,ETANCHEITE!AI$19:AI$164,ETANCHEITE!$C$19:$C$164),"")&amp;IFERROR(_xlfn.XLOOKUP(S35,ETANCHEITE!AI$19:AI$164,ETANCHEITE!$D$19:$D$164),"")&amp;IFERROR(_xlfn.XLOOKUP(S35,ETANCHEITE!AI$19:AI$164,ETANCHEITE!$E$19:$E$164),"")&amp;IFERROR(_xlfn.XLOOKUP(S35,ETANCHEITE!AI$19:AI$164,ETANCHEITE!$F$19:$F$164),"")</f>
        <v xml:space="preserve">   </v>
      </c>
      <c r="X35" s="168" t="str">
        <f>IFERROR(VLOOKUP(S35,ETANCHEITE!AI$19:AK$164,2,FALSE),"")&amp;" "&amp;IFERROR(VLOOKUP(S35,ETANCHEITE!AI$19:AK$164,3,FALSE),"")</f>
        <v xml:space="preserve"> </v>
      </c>
      <c r="Y35" s="161" t="str">
        <f>IF(X35&lt;&gt;" ",'Feuille de Donnée'!$C$3,"")</f>
        <v/>
      </c>
      <c r="Z35" s="232" t="str" cm="1">
        <f t="array" aca="1" ref="Z35" ca="1">IFERROR(IF(_xlfn.XLOOKUP(S35,ETANCHEITE!AI$19:AI$89,ETANCHEITE!AG$19:AG$89,"")&lt;&gt;"",_xlfn.XLOOKUP(S35,ETANCHEITE!AI$19:AI$89,ETANCHEITE!AG$19:AG$89,""),    INDEX(ETANCHEITE!AG:AG,MAX(_xlfn._xlws.FILTER(ROW(ETANCHEITE!AG$19:INDIRECT("'PEINTURE'!O" &amp; V35-1)),ETANCHEITE!AG$19:INDIRECT("'PEINTURE'!O" &amp; V35-1)&lt;&gt;"")))),"")</f>
        <v/>
      </c>
      <c r="AA35" s="233" t="str" cm="1">
        <f t="array" aca="1" ref="AA35" ca="1">IFERROR(IF(_xlfn.XLOOKUP(S35,ETANCHEITE!AI$19:AI$89,ETANCHEITE!AH$19:AH$89,"")&lt;&gt;"",_xlfn.XLOOKUP(S35,ETANCHEITE!AI$19:AI$89,ETANCHEITE!AH$19:AH$89,""),    INDEX(ETANCHEITE!AH:AH,MAX(_xlfn._xlws.FILTER(ROW(ETANCHEITE!AH$19:INDIRECT("'PEINTURE'!P" &amp; V35-1)),ETANCHEITE!AH$19:INDIRECT("'PEINTURE'!P" &amp; V35-1)&lt;&gt;"")))),"")</f>
        <v/>
      </c>
      <c r="AB35" s="158">
        <v>33</v>
      </c>
      <c r="AC35" s="167" t="str">
        <f>IF(AG35&lt;&gt;" ",ETANCHEITE!$D$5,"")</f>
        <v/>
      </c>
      <c r="AD35" s="167" t="str">
        <f>IF(AG35&lt;&gt;" ",ETANCHEITE!$D$8,"")</f>
        <v/>
      </c>
      <c r="AE35" s="159" t="str">
        <f>IFERROR(MATCH(AB35,ETANCHEITE!AR$19:AR$164,0)+18,"")</f>
        <v/>
      </c>
      <c r="AF35" s="160" t="str" cm="1">
        <f t="array" aca="1" ref="AF35" ca="1">IFERROR(IF(_xlfn.XLOOKUP(AB35,ETANCHEITE!AR$19:AR$164,ETANCHEITE!$A$19:$A$164,"")&lt;&gt;"",_xlfn.XLOOKUP(AB35,ETANCHEITE!AR$19:AR$164,ETANCHEITE!$A$19:$A$164,""),    INDEX(ETANCHEITE!$A:$A,MAX(_xlfn._xlws.FILTER(ROW(ETANCHEITE!$A$19:INDIRECT("'MENUISERIES EXTERIEURES'!$A" &amp; AE35-1)),ETANCHEITE!$A$19:INDIRECT("'MENUISERIES EXTERIEURES'!$A" &amp; AE35-1)&lt;&gt;"")))),"")&amp;"   "&amp;IFERROR(_xlfn.XLOOKUP(AB35,ETANCHEITE!AR$19:AR$164,ETANCHEITE!$B$19:$B$164),"")&amp;IFERROR(_xlfn.XLOOKUP(AB35,ETANCHEITE!AR$19:AR$164,ETANCHEITE!$C$19:$C$164),"")&amp;IFERROR(_xlfn.XLOOKUP(AB35,ETANCHEITE!AR$19:AR$164,ETANCHEITE!$D$19:$D$164),"")&amp;IFERROR(_xlfn.XLOOKUP(AB35,ETANCHEITE!AR$19:AR$164,ETANCHEITE!$E$19:$E$164),"")&amp;IFERROR(_xlfn.XLOOKUP(AB35,ETANCHEITE!AR$19:AR$164,ETANCHEITE!$F$19:$F$164),"")</f>
        <v xml:space="preserve">   </v>
      </c>
      <c r="AG35" s="168" t="str">
        <f>IFERROR(VLOOKUP(AB35,ETANCHEITE!AR$19:AT$164,2,FALSE),"")&amp;" "&amp;IFERROR(VLOOKUP(AB35,ETANCHEITE!AR$19:AT$164,3,FALSE),"")</f>
        <v xml:space="preserve"> </v>
      </c>
      <c r="AH35" s="161" t="str">
        <f>IF(AG35&lt;&gt;" ",'Feuille de Donnée'!$C$3,"")</f>
        <v/>
      </c>
      <c r="AI35" s="232" t="str" cm="1">
        <f t="array" aca="1" ref="AI35" ca="1">IFERROR(IF(_xlfn.XLOOKUP(AB35,ETANCHEITE!AR$19:AR$89,ETANCHEITE!AP$19:AP$89,"")&lt;&gt;"",_xlfn.XLOOKUP(AB35,ETANCHEITE!AR$19:AR$89,ETANCHEITE!AP$19:AP$89,""),    INDEX(ETANCHEITE!AP:AP,MAX(_xlfn._xlws.FILTER(ROW(ETANCHEITE!AP$19:INDIRECT("'PEINTURE'!O" &amp; AE35-1)),ETANCHEITE!AP$19:INDIRECT("'PEINTURE'!O" &amp; AE35-1)&lt;&gt;"")))),"")</f>
        <v/>
      </c>
      <c r="AJ35" s="233" t="str" cm="1">
        <f t="array" aca="1" ref="AJ35" ca="1">IFERROR(IF(_xlfn.XLOOKUP(AB35,ETANCHEITE!AR$19:AR$89,ETANCHEITE!AQ$19:AQ$89,"")&lt;&gt;"",_xlfn.XLOOKUP(AB35,ETANCHEITE!AR$19:AR$89,ETANCHEITE!AQ$19:AQ$89,""),    INDEX(ETANCHEITE!AQ:AQ,MAX(_xlfn._xlws.FILTER(ROW(ETANCHEITE!AQ$19:INDIRECT("'PEINTURE'!P" &amp; AE35-1)),ETANCHEITE!AQ$19:INDIRECT("'PEINTURE'!P" &amp; AE35-1)&lt;&gt;"")))),"")</f>
        <v/>
      </c>
      <c r="AK35" s="158">
        <v>33</v>
      </c>
      <c r="AL35" s="167" t="str">
        <f>IF(AP35&lt;&gt;" ",ETANCHEITE!$D$5,"")</f>
        <v/>
      </c>
      <c r="AM35" s="167" t="str">
        <f>IF(AP35&lt;&gt;" ",ETANCHEITE!$D$8,"")</f>
        <v/>
      </c>
      <c r="AN35" s="159" t="str">
        <f>IFERROR(MATCH(AK35,ETANCHEITE!BA$19:BA$164,0)+18,"")</f>
        <v/>
      </c>
      <c r="AO35" s="160" t="str" cm="1">
        <f t="array" aca="1" ref="AO35" ca="1">IFERROR(IF(_xlfn.XLOOKUP(AK35,ETANCHEITE!BA$19:BA$164,ETANCHEITE!$A$19:$A$164,"")&lt;&gt;"",_xlfn.XLOOKUP(AK35,ETANCHEITE!BA$19:BA$164,ETANCHEITE!$A$19:$A$164,""),    INDEX(ETANCHEITE!$A:$A,MAX(_xlfn._xlws.FILTER(ROW(ETANCHEITE!$A$19:INDIRECT("'MENUISERIES EXTERIEURES'!$A" &amp; AN35-1)),ETANCHEITE!$A$19:INDIRECT("'MENUISERIES EXTERIEURES'!$A" &amp; AN35-1)&lt;&gt;"")))),"")&amp;"   "&amp;IFERROR(_xlfn.XLOOKUP(AK35,ETANCHEITE!BA$19:BA$164,ETANCHEITE!$B$19:$B$164),"")&amp;IFERROR(_xlfn.XLOOKUP(AK35,ETANCHEITE!BA$19:BA$164,ETANCHEITE!$C$19:$C$164),"")&amp;IFERROR(_xlfn.XLOOKUP(AK35,ETANCHEITE!BA$19:BA$164,ETANCHEITE!$D$19:$D$164),"")&amp;IFERROR(_xlfn.XLOOKUP(AK35,ETANCHEITE!BA$19:BA$164,ETANCHEITE!$E$19:$E$164),"")&amp;IFERROR(_xlfn.XLOOKUP(AK35,ETANCHEITE!BA$19:BA$164,ETANCHEITE!$F$19:$F$164),"")</f>
        <v xml:space="preserve">   </v>
      </c>
      <c r="AP35" s="168" t="str">
        <f>IFERROR(VLOOKUP(AK35,ETANCHEITE!BA$19:BC$164,2,FALSE),"")&amp;" "&amp;IFERROR(VLOOKUP(AK35,ETANCHEITE!BA$19:BC$164,3,FALSE),"")</f>
        <v xml:space="preserve"> </v>
      </c>
      <c r="AQ35" s="161" t="str">
        <f>IF(AP35&lt;&gt;" ",'Feuille de Donnée'!$C$3,"")</f>
        <v/>
      </c>
      <c r="AR35" s="232" t="str" cm="1">
        <f t="array" aca="1" ref="AR35" ca="1">IFERROR(IF(_xlfn.XLOOKUP(AK35,ETANCHEITE!BA$19:BA$89,ETANCHEITE!AY$19:AY$89,"")&lt;&gt;"",_xlfn.XLOOKUP(AK35,ETANCHEITE!BA$19:BA$89,ETANCHEITE!AY$19:AY$89,""),    INDEX(ETANCHEITE!AY:AY,MAX(_xlfn._xlws.FILTER(ROW(ETANCHEITE!AY$19:INDIRECT("'PEINTURE'!O" &amp; AN35-1)),ETANCHEITE!AY$19:INDIRECT("'PEINTURE'!O" &amp; AN35-1)&lt;&gt;"")))),"")</f>
        <v/>
      </c>
      <c r="AS35" s="233" t="str" cm="1">
        <f t="array" aca="1" ref="AS35" ca="1">IFERROR(IF(_xlfn.XLOOKUP(AK35,ETANCHEITE!BA$19:BA$89,ETANCHEITE!AZ$19:AZ$89,"")&lt;&gt;"",_xlfn.XLOOKUP(AK35,ETANCHEITE!BA$19:BA$89,ETANCHEITE!AZ$19:AZ$89,""),    INDEX(ETANCHEITE!AZ:AZ,MAX(_xlfn._xlws.FILTER(ROW(ETANCHEITE!AZ$19:INDIRECT("'PEINTURE'!P" &amp; AN35-1)),ETANCHEITE!AZ$19:INDIRECT("'PEINTURE'!P" &amp; AN35-1)&lt;&gt;"")))),"")</f>
        <v/>
      </c>
      <c r="AT35" s="158">
        <v>33</v>
      </c>
      <c r="AU35" s="167" t="str">
        <f>IF(AY35&lt;&gt;" ",ETANCHEITE!$D$5,"")</f>
        <v/>
      </c>
      <c r="AV35" s="167" t="str">
        <f>IF(AY35&lt;&gt;" ",ETANCHEITE!$D$8,"")</f>
        <v/>
      </c>
      <c r="AW35" s="159" t="str">
        <f>IFERROR(MATCH(AT35,ETANCHEITE!BJ$19:BJ$164,0)+18,"")</f>
        <v/>
      </c>
      <c r="AX35" s="160" t="str" cm="1">
        <f t="array" aca="1" ref="AX35" ca="1">IFERROR(IF(_xlfn.XLOOKUP(AT35,ETANCHEITE!BJ$19:BJ$164,ETANCHEITE!$A$19:$A$164,"")&lt;&gt;"",_xlfn.XLOOKUP(AT35,ETANCHEITE!BJ$19:BJ$164,ETANCHEITE!$A$19:$A$164,""),    INDEX(ETANCHEITE!$A:$A,MAX(_xlfn._xlws.FILTER(ROW(ETANCHEITE!$A$19:INDIRECT("'MENUISERIES EXTERIEURES'!$A" &amp; AW35-1)),ETANCHEITE!$A$19:INDIRECT("'MENUISERIES EXTERIEURES'!$A" &amp; AW35-1)&lt;&gt;"")))),"")&amp;"   "&amp;IFERROR(_xlfn.XLOOKUP(AT35,ETANCHEITE!BJ$19:BJ$164,ETANCHEITE!$B$19:$B$164),"")&amp;IFERROR(_xlfn.XLOOKUP(AT35,ETANCHEITE!BJ$19:BJ$164,ETANCHEITE!$C$19:$C$164),"")&amp;IFERROR(_xlfn.XLOOKUP(AT35,ETANCHEITE!BJ$19:BJ$164,ETANCHEITE!$D$19:$D$164),"")&amp;IFERROR(_xlfn.XLOOKUP(AT35,ETANCHEITE!BJ$19:BJ$164,ETANCHEITE!$E$19:$E$164),"")&amp;IFERROR(_xlfn.XLOOKUP(AT35,ETANCHEITE!BJ$19:BJ$164,ETANCHEITE!$F$19:$F$164),"")</f>
        <v xml:space="preserve">   </v>
      </c>
      <c r="AY35" s="168" t="str">
        <f>IFERROR(VLOOKUP(AT35,ETANCHEITE!BJ$19:BL$164,2,FALSE),"")&amp;" "&amp;IFERROR(VLOOKUP(AT35,ETANCHEITE!BJ$19:BL$164,3,FALSE),"")</f>
        <v xml:space="preserve"> </v>
      </c>
      <c r="AZ35" s="161" t="str">
        <f>IF(AY35&lt;&gt;" ",'Feuille de Donnée'!$C$3,"")</f>
        <v/>
      </c>
      <c r="BA35" s="232" t="str" cm="1">
        <f t="array" aca="1" ref="BA35" ca="1">IFERROR(IF(_xlfn.XLOOKUP(AT35,ETANCHEITE!BJ$19:BJ$89,ETANCHEITE!BH$19:BH$89,"")&lt;&gt;"",_xlfn.XLOOKUP(AT35,ETANCHEITE!BJ$19:BJ$89,ETANCHEITE!BH$19:BH$89,""),    INDEX(ETANCHEITE!BH:BH,MAX(_xlfn._xlws.FILTER(ROW(ETANCHEITE!BH$19:INDIRECT("'PEINTURE'!O" &amp; AW35-1)),ETANCHEITE!BH$19:INDIRECT("'PEINTURE'!O" &amp; AW35-1)&lt;&gt;"")))),"")</f>
        <v/>
      </c>
      <c r="BB35" s="233" t="str" cm="1">
        <f t="array" aca="1" ref="BB35" ca="1">IFERROR(IF(_xlfn.XLOOKUP(AT35,ETANCHEITE!BJ$19:BJ$89,ETANCHEITE!BI$19:BI$89,"")&lt;&gt;"",_xlfn.XLOOKUP(AT35,ETANCHEITE!BJ$19:BJ$89,ETANCHEITE!BI$19:BI$89,""),    INDEX(ETANCHEITE!BI:BI,MAX(_xlfn._xlws.FILTER(ROW(ETANCHEITE!BI$19:INDIRECT("'PEINTURE'!P" &amp; AW35-1)),ETANCHEITE!BI$19:INDIRECT("'PEINTURE'!P" &amp; AW35-1)&lt;&gt;"")))),"")</f>
        <v/>
      </c>
    </row>
    <row r="36" spans="1:54" ht="15" customHeight="1" x14ac:dyDescent="0.3">
      <c r="A36" s="158">
        <v>34</v>
      </c>
      <c r="B36" s="167" t="str">
        <f>IF(F36&lt;&gt;" ",ETANCHEITE!$D$5,"")</f>
        <v/>
      </c>
      <c r="C36" s="167" t="str">
        <f>IF(F36&lt;&gt;" ",ETANCHEITE!$D$8,"")</f>
        <v/>
      </c>
      <c r="D36" s="159" t="str">
        <f>IFERROR(MATCH(A36,ETANCHEITE!Q$19:Q$164,0)+18,"")</f>
        <v/>
      </c>
      <c r="E36" s="160" t="str" cm="1">
        <f t="array" aca="1" ref="E36" ca="1">IFERROR(IF(_xlfn.XLOOKUP(A36,ETANCHEITE!Q$19:Q$164,ETANCHEITE!$A$19:$A$164,"")&lt;&gt;"",_xlfn.XLOOKUP(A36,ETANCHEITE!Q$19:Q$164,ETANCHEITE!$A$19:$A$164,""),    INDEX(ETANCHEITE!$A:$A,MAX(_xlfn._xlws.FILTER(ROW(ETANCHEITE!$A$19:INDIRECT("'MENUISERIES EXTERIEURES'!$A" &amp; D36-1)),ETANCHEITE!$A$19:INDIRECT("'MENUISERIES EXTERIEURES'!$A" &amp; D36-1)&lt;&gt;"")))),"")&amp;"   "&amp;IFERROR(_xlfn.XLOOKUP(A36,ETANCHEITE!Q$19:Q$164,ETANCHEITE!$B$19:$B$164),"")&amp;IFERROR(_xlfn.XLOOKUP(A36,ETANCHEITE!Q$19:Q$164,ETANCHEITE!$C$19:$C$164),"")&amp;IFERROR(_xlfn.XLOOKUP(A36,ETANCHEITE!Q$19:Q$164,ETANCHEITE!$D$19:$D$164),"")&amp;IFERROR(_xlfn.XLOOKUP(A36,ETANCHEITE!Q$19:Q$164,ETANCHEITE!$E$19:$E$164),"")&amp;IFERROR(_xlfn.XLOOKUP(A36,ETANCHEITE!Q$19:Q$164,ETANCHEITE!$F$19:$F$164),"")</f>
        <v xml:space="preserve">   </v>
      </c>
      <c r="F36" s="168" t="str">
        <f>IFERROR(VLOOKUP(A36,ETANCHEITE!Q$19:S$164,2,FALSE),"")&amp;" "&amp;IFERROR(VLOOKUP(A36,ETANCHEITE!Q$19:S$164,3,FALSE),"")</f>
        <v xml:space="preserve"> </v>
      </c>
      <c r="G36" s="161" t="str">
        <f>IF(F36&lt;&gt;" ",'Feuille de Donnée'!$C$3,"")</f>
        <v/>
      </c>
      <c r="H36" s="232" t="str" cm="1">
        <f t="array" aca="1" ref="H36" ca="1">IFERROR(IF(_xlfn.XLOOKUP(A36,ETANCHEITE!Q$19:Q$89,ETANCHEITE!O$19:O$89,"")&lt;&gt;"",_xlfn.XLOOKUP(A36,ETANCHEITE!Q$19:Q$89,ETANCHEITE!O$19:O$89,""),    INDEX(ETANCHEITE!O:O,MAX(_xlfn._xlws.FILTER(ROW(ETANCHEITE!O$19:INDIRECT("'PEINTURE'!O" &amp; D36-1)),ETANCHEITE!O$19:INDIRECT("'PEINTURE'!O" &amp; D36-1)&lt;&gt;"")))),"")</f>
        <v/>
      </c>
      <c r="I36" s="233" t="str" cm="1">
        <f t="array" aca="1" ref="I36" ca="1">IFERROR(IF(_xlfn.XLOOKUP(A36,ETANCHEITE!Q$19:Q$89,ETANCHEITE!P$19:P$89,"")&lt;&gt;"",_xlfn.XLOOKUP(A36,ETANCHEITE!Q$19:Q$89,ETANCHEITE!P$19:P$89,""),    INDEX(ETANCHEITE!P:P,MAX(_xlfn._xlws.FILTER(ROW(ETANCHEITE!P$19:INDIRECT("'PEINTURE'!P" &amp; D36-1)),ETANCHEITE!P$19:INDIRECT("'PEINTURE'!P" &amp; D36-1)&lt;&gt;"")))),"")</f>
        <v/>
      </c>
      <c r="J36" s="158">
        <v>34</v>
      </c>
      <c r="K36" s="167" t="str">
        <f>IF(O36&lt;&gt;" ",ETANCHEITE!$D$5,"")</f>
        <v/>
      </c>
      <c r="L36" s="167" t="str">
        <f>IF(O36&lt;&gt;" ",ETANCHEITE!$D$8,"")</f>
        <v/>
      </c>
      <c r="M36" s="159" t="str">
        <f>IFERROR(MATCH(J36,ETANCHEITE!Z$19:Z$164,0)+18,"")</f>
        <v/>
      </c>
      <c r="N36" s="160" t="str" cm="1">
        <f t="array" aca="1" ref="N36" ca="1">IFERROR(IF(_xlfn.XLOOKUP(J36,ETANCHEITE!Z$19:Z$164,ETANCHEITE!$A$19:$A$164,"")&lt;&gt;"",_xlfn.XLOOKUP(J36,ETANCHEITE!Z$19:Z$164,ETANCHEITE!$A$19:$A$164,""),    INDEX(ETANCHEITE!$A:$A,MAX(_xlfn._xlws.FILTER(ROW(ETANCHEITE!$A$19:INDIRECT("'MENUISERIES EXTERIEURES'!$A" &amp; M36-1)),ETANCHEITE!$A$19:INDIRECT("'MENUISERIES EXTERIEURES'!$A" &amp; M36-1)&lt;&gt;"")))),"")&amp;"   "&amp;IFERROR(_xlfn.XLOOKUP(J36,ETANCHEITE!Z$19:Z$164,ETANCHEITE!$B$19:$B$164),"")&amp;IFERROR(_xlfn.XLOOKUP(J36,ETANCHEITE!Z$19:Z$164,ETANCHEITE!$C$19:$C$164),"")&amp;IFERROR(_xlfn.XLOOKUP(J36,ETANCHEITE!Z$19:Z$164,ETANCHEITE!$D$19:$D$164),"")&amp;IFERROR(_xlfn.XLOOKUP(J36,ETANCHEITE!Z$19:Z$164,ETANCHEITE!$E$19:$E$164),"")&amp;IFERROR(_xlfn.XLOOKUP(J36,ETANCHEITE!Z$19:Z$164,ETANCHEITE!$F$19:$F$164),"")</f>
        <v xml:space="preserve">   </v>
      </c>
      <c r="O36" s="168" t="str">
        <f>IFERROR(VLOOKUP(J36,ETANCHEITE!Z$19:AB$164,2,FALSE),"")&amp;" "&amp;IFERROR(VLOOKUP(J36,ETANCHEITE!Z$19:AB$164,3,FALSE),"")</f>
        <v xml:space="preserve"> </v>
      </c>
      <c r="P36" s="161" t="str">
        <f>IF(O36&lt;&gt;" ",'Feuille de Donnée'!$C$3,"")</f>
        <v/>
      </c>
      <c r="Q36" s="232" t="str" cm="1">
        <f t="array" aca="1" ref="Q36" ca="1">IFERROR(IF(_xlfn.XLOOKUP(J36,ETANCHEITE!Z$19:Z$89,ETANCHEITE!X$19:X$89,"")&lt;&gt;"",_xlfn.XLOOKUP(J36,ETANCHEITE!Z$19:Z$89,ETANCHEITE!X$19:X$89,""),    INDEX(ETANCHEITE!X:X,MAX(_xlfn._xlws.FILTER(ROW(ETANCHEITE!X$19:INDIRECT("'PEINTURE'!O" &amp; M36-1)),ETANCHEITE!X$19:INDIRECT("'PEINTURE'!O" &amp; M36-1)&lt;&gt;"")))),"")</f>
        <v/>
      </c>
      <c r="R36" s="233" t="str" cm="1">
        <f t="array" aca="1" ref="R36" ca="1">IFERROR(IF(_xlfn.XLOOKUP(J36,ETANCHEITE!Z$19:Z$89,ETANCHEITE!Y$19:Y$89,"")&lt;&gt;"",_xlfn.XLOOKUP(J36,ETANCHEITE!Z$19:Z$89,ETANCHEITE!Y$19:Y$89,""),    INDEX(ETANCHEITE!Y:Y,MAX(_xlfn._xlws.FILTER(ROW(ETANCHEITE!Y$19:INDIRECT("'PEINTURE'!P" &amp; M36-1)),ETANCHEITE!Y$19:INDIRECT("'PEINTURE'!P" &amp; M36-1)&lt;&gt;"")))),"")</f>
        <v/>
      </c>
      <c r="S36" s="158">
        <v>34</v>
      </c>
      <c r="T36" s="167" t="str">
        <f>IF(X36&lt;&gt;" ",ETANCHEITE!$D$5,"")</f>
        <v/>
      </c>
      <c r="U36" s="167" t="str">
        <f>IF(X36&lt;&gt;" ",ETANCHEITE!$D$8,"")</f>
        <v/>
      </c>
      <c r="V36" s="159" t="str">
        <f>IFERROR(MATCH(S36,ETANCHEITE!AI$19:AI$164,0)+18,"")</f>
        <v/>
      </c>
      <c r="W36" s="160" t="str" cm="1">
        <f t="array" aca="1" ref="W36" ca="1">IFERROR(IF(_xlfn.XLOOKUP(S36,ETANCHEITE!AI$19:AI$164,ETANCHEITE!$A$19:$A$164,"")&lt;&gt;"",_xlfn.XLOOKUP(S36,ETANCHEITE!AI$19:AI$164,ETANCHEITE!$A$19:$A$164,""),    INDEX(ETANCHEITE!$A:$A,MAX(_xlfn._xlws.FILTER(ROW(ETANCHEITE!$A$19:INDIRECT("'MENUISERIES EXTERIEURES'!$A" &amp; V36-1)),ETANCHEITE!$A$19:INDIRECT("'MENUISERIES EXTERIEURES'!$A" &amp; V36-1)&lt;&gt;"")))),"")&amp;"   "&amp;IFERROR(_xlfn.XLOOKUP(S36,ETANCHEITE!AI$19:AI$164,ETANCHEITE!$B$19:$B$164),"")&amp;IFERROR(_xlfn.XLOOKUP(S36,ETANCHEITE!AI$19:AI$164,ETANCHEITE!$C$19:$C$164),"")&amp;IFERROR(_xlfn.XLOOKUP(S36,ETANCHEITE!AI$19:AI$164,ETANCHEITE!$D$19:$D$164),"")&amp;IFERROR(_xlfn.XLOOKUP(S36,ETANCHEITE!AI$19:AI$164,ETANCHEITE!$E$19:$E$164),"")&amp;IFERROR(_xlfn.XLOOKUP(S36,ETANCHEITE!AI$19:AI$164,ETANCHEITE!$F$19:$F$164),"")</f>
        <v xml:space="preserve">   </v>
      </c>
      <c r="X36" s="168" t="str">
        <f>IFERROR(VLOOKUP(S36,ETANCHEITE!AI$19:AK$164,2,FALSE),"")&amp;" "&amp;IFERROR(VLOOKUP(S36,ETANCHEITE!AI$19:AK$164,3,FALSE),"")</f>
        <v xml:space="preserve"> </v>
      </c>
      <c r="Y36" s="161" t="str">
        <f>IF(X36&lt;&gt;" ",'Feuille de Donnée'!$C$3,"")</f>
        <v/>
      </c>
      <c r="Z36" s="232" t="str" cm="1">
        <f t="array" aca="1" ref="Z36" ca="1">IFERROR(IF(_xlfn.XLOOKUP(S36,ETANCHEITE!AI$19:AI$89,ETANCHEITE!AG$19:AG$89,"")&lt;&gt;"",_xlfn.XLOOKUP(S36,ETANCHEITE!AI$19:AI$89,ETANCHEITE!AG$19:AG$89,""),    INDEX(ETANCHEITE!AG:AG,MAX(_xlfn._xlws.FILTER(ROW(ETANCHEITE!AG$19:INDIRECT("'PEINTURE'!O" &amp; V36-1)),ETANCHEITE!AG$19:INDIRECT("'PEINTURE'!O" &amp; V36-1)&lt;&gt;"")))),"")</f>
        <v/>
      </c>
      <c r="AA36" s="233" t="str" cm="1">
        <f t="array" aca="1" ref="AA36" ca="1">IFERROR(IF(_xlfn.XLOOKUP(S36,ETANCHEITE!AI$19:AI$89,ETANCHEITE!AH$19:AH$89,"")&lt;&gt;"",_xlfn.XLOOKUP(S36,ETANCHEITE!AI$19:AI$89,ETANCHEITE!AH$19:AH$89,""),    INDEX(ETANCHEITE!AH:AH,MAX(_xlfn._xlws.FILTER(ROW(ETANCHEITE!AH$19:INDIRECT("'PEINTURE'!P" &amp; V36-1)),ETANCHEITE!AH$19:INDIRECT("'PEINTURE'!P" &amp; V36-1)&lt;&gt;"")))),"")</f>
        <v/>
      </c>
      <c r="AB36" s="158">
        <v>34</v>
      </c>
      <c r="AC36" s="167" t="str">
        <f>IF(AG36&lt;&gt;" ",ETANCHEITE!$D$5,"")</f>
        <v/>
      </c>
      <c r="AD36" s="167" t="str">
        <f>IF(AG36&lt;&gt;" ",ETANCHEITE!$D$8,"")</f>
        <v/>
      </c>
      <c r="AE36" s="159" t="str">
        <f>IFERROR(MATCH(AB36,ETANCHEITE!AR$19:AR$164,0)+18,"")</f>
        <v/>
      </c>
      <c r="AF36" s="160" t="str" cm="1">
        <f t="array" aca="1" ref="AF36" ca="1">IFERROR(IF(_xlfn.XLOOKUP(AB36,ETANCHEITE!AR$19:AR$164,ETANCHEITE!$A$19:$A$164,"")&lt;&gt;"",_xlfn.XLOOKUP(AB36,ETANCHEITE!AR$19:AR$164,ETANCHEITE!$A$19:$A$164,""),    INDEX(ETANCHEITE!$A:$A,MAX(_xlfn._xlws.FILTER(ROW(ETANCHEITE!$A$19:INDIRECT("'MENUISERIES EXTERIEURES'!$A" &amp; AE36-1)),ETANCHEITE!$A$19:INDIRECT("'MENUISERIES EXTERIEURES'!$A" &amp; AE36-1)&lt;&gt;"")))),"")&amp;"   "&amp;IFERROR(_xlfn.XLOOKUP(AB36,ETANCHEITE!AR$19:AR$164,ETANCHEITE!$B$19:$B$164),"")&amp;IFERROR(_xlfn.XLOOKUP(AB36,ETANCHEITE!AR$19:AR$164,ETANCHEITE!$C$19:$C$164),"")&amp;IFERROR(_xlfn.XLOOKUP(AB36,ETANCHEITE!AR$19:AR$164,ETANCHEITE!$D$19:$D$164),"")&amp;IFERROR(_xlfn.XLOOKUP(AB36,ETANCHEITE!AR$19:AR$164,ETANCHEITE!$E$19:$E$164),"")&amp;IFERROR(_xlfn.XLOOKUP(AB36,ETANCHEITE!AR$19:AR$164,ETANCHEITE!$F$19:$F$164),"")</f>
        <v xml:space="preserve">   </v>
      </c>
      <c r="AG36" s="168" t="str">
        <f>IFERROR(VLOOKUP(AB36,ETANCHEITE!AR$19:AT$164,2,FALSE),"")&amp;" "&amp;IFERROR(VLOOKUP(AB36,ETANCHEITE!AR$19:AT$164,3,FALSE),"")</f>
        <v xml:space="preserve"> </v>
      </c>
      <c r="AH36" s="161" t="str">
        <f>IF(AG36&lt;&gt;" ",'Feuille de Donnée'!$C$3,"")</f>
        <v/>
      </c>
      <c r="AI36" s="232" t="str" cm="1">
        <f t="array" aca="1" ref="AI36" ca="1">IFERROR(IF(_xlfn.XLOOKUP(AB36,ETANCHEITE!AR$19:AR$89,ETANCHEITE!AP$19:AP$89,"")&lt;&gt;"",_xlfn.XLOOKUP(AB36,ETANCHEITE!AR$19:AR$89,ETANCHEITE!AP$19:AP$89,""),    INDEX(ETANCHEITE!AP:AP,MAX(_xlfn._xlws.FILTER(ROW(ETANCHEITE!AP$19:INDIRECT("'PEINTURE'!O" &amp; AE36-1)),ETANCHEITE!AP$19:INDIRECT("'PEINTURE'!O" &amp; AE36-1)&lt;&gt;"")))),"")</f>
        <v/>
      </c>
      <c r="AJ36" s="233" t="str" cm="1">
        <f t="array" aca="1" ref="AJ36" ca="1">IFERROR(IF(_xlfn.XLOOKUP(AB36,ETANCHEITE!AR$19:AR$89,ETANCHEITE!AQ$19:AQ$89,"")&lt;&gt;"",_xlfn.XLOOKUP(AB36,ETANCHEITE!AR$19:AR$89,ETANCHEITE!AQ$19:AQ$89,""),    INDEX(ETANCHEITE!AQ:AQ,MAX(_xlfn._xlws.FILTER(ROW(ETANCHEITE!AQ$19:INDIRECT("'PEINTURE'!P" &amp; AE36-1)),ETANCHEITE!AQ$19:INDIRECT("'PEINTURE'!P" &amp; AE36-1)&lt;&gt;"")))),"")</f>
        <v/>
      </c>
      <c r="AK36" s="158">
        <v>34</v>
      </c>
      <c r="AL36" s="167" t="str">
        <f>IF(AP36&lt;&gt;" ",ETANCHEITE!$D$5,"")</f>
        <v/>
      </c>
      <c r="AM36" s="167" t="str">
        <f>IF(AP36&lt;&gt;" ",ETANCHEITE!$D$8,"")</f>
        <v/>
      </c>
      <c r="AN36" s="159" t="str">
        <f>IFERROR(MATCH(AK36,ETANCHEITE!BA$19:BA$164,0)+18,"")</f>
        <v/>
      </c>
      <c r="AO36" s="160" t="str" cm="1">
        <f t="array" aca="1" ref="AO36" ca="1">IFERROR(IF(_xlfn.XLOOKUP(AK36,ETANCHEITE!BA$19:BA$164,ETANCHEITE!$A$19:$A$164,"")&lt;&gt;"",_xlfn.XLOOKUP(AK36,ETANCHEITE!BA$19:BA$164,ETANCHEITE!$A$19:$A$164,""),    INDEX(ETANCHEITE!$A:$A,MAX(_xlfn._xlws.FILTER(ROW(ETANCHEITE!$A$19:INDIRECT("'MENUISERIES EXTERIEURES'!$A" &amp; AN36-1)),ETANCHEITE!$A$19:INDIRECT("'MENUISERIES EXTERIEURES'!$A" &amp; AN36-1)&lt;&gt;"")))),"")&amp;"   "&amp;IFERROR(_xlfn.XLOOKUP(AK36,ETANCHEITE!BA$19:BA$164,ETANCHEITE!$B$19:$B$164),"")&amp;IFERROR(_xlfn.XLOOKUP(AK36,ETANCHEITE!BA$19:BA$164,ETANCHEITE!$C$19:$C$164),"")&amp;IFERROR(_xlfn.XLOOKUP(AK36,ETANCHEITE!BA$19:BA$164,ETANCHEITE!$D$19:$D$164),"")&amp;IFERROR(_xlfn.XLOOKUP(AK36,ETANCHEITE!BA$19:BA$164,ETANCHEITE!$E$19:$E$164),"")&amp;IFERROR(_xlfn.XLOOKUP(AK36,ETANCHEITE!BA$19:BA$164,ETANCHEITE!$F$19:$F$164),"")</f>
        <v xml:space="preserve">   </v>
      </c>
      <c r="AP36" s="168" t="str">
        <f>IFERROR(VLOOKUP(AK36,ETANCHEITE!BA$19:BC$164,2,FALSE),"")&amp;" "&amp;IFERROR(VLOOKUP(AK36,ETANCHEITE!BA$19:BC$164,3,FALSE),"")</f>
        <v xml:space="preserve"> </v>
      </c>
      <c r="AQ36" s="161" t="str">
        <f>IF(AP36&lt;&gt;" ",'Feuille de Donnée'!$C$3,"")</f>
        <v/>
      </c>
      <c r="AR36" s="232" t="str" cm="1">
        <f t="array" aca="1" ref="AR36" ca="1">IFERROR(IF(_xlfn.XLOOKUP(AK36,ETANCHEITE!BA$19:BA$89,ETANCHEITE!AY$19:AY$89,"")&lt;&gt;"",_xlfn.XLOOKUP(AK36,ETANCHEITE!BA$19:BA$89,ETANCHEITE!AY$19:AY$89,""),    INDEX(ETANCHEITE!AY:AY,MAX(_xlfn._xlws.FILTER(ROW(ETANCHEITE!AY$19:INDIRECT("'PEINTURE'!O" &amp; AN36-1)),ETANCHEITE!AY$19:INDIRECT("'PEINTURE'!O" &amp; AN36-1)&lt;&gt;"")))),"")</f>
        <v/>
      </c>
      <c r="AS36" s="233" t="str" cm="1">
        <f t="array" aca="1" ref="AS36" ca="1">IFERROR(IF(_xlfn.XLOOKUP(AK36,ETANCHEITE!BA$19:BA$89,ETANCHEITE!AZ$19:AZ$89,"")&lt;&gt;"",_xlfn.XLOOKUP(AK36,ETANCHEITE!BA$19:BA$89,ETANCHEITE!AZ$19:AZ$89,""),    INDEX(ETANCHEITE!AZ:AZ,MAX(_xlfn._xlws.FILTER(ROW(ETANCHEITE!AZ$19:INDIRECT("'PEINTURE'!P" &amp; AN36-1)),ETANCHEITE!AZ$19:INDIRECT("'PEINTURE'!P" &amp; AN36-1)&lt;&gt;"")))),"")</f>
        <v/>
      </c>
      <c r="AT36" s="158">
        <v>34</v>
      </c>
      <c r="AU36" s="167" t="str">
        <f>IF(AY36&lt;&gt;" ",ETANCHEITE!$D$5,"")</f>
        <v/>
      </c>
      <c r="AV36" s="167" t="str">
        <f>IF(AY36&lt;&gt;" ",ETANCHEITE!$D$8,"")</f>
        <v/>
      </c>
      <c r="AW36" s="159" t="str">
        <f>IFERROR(MATCH(AT36,ETANCHEITE!BJ$19:BJ$164,0)+18,"")</f>
        <v/>
      </c>
      <c r="AX36" s="160" t="str" cm="1">
        <f t="array" aca="1" ref="AX36" ca="1">IFERROR(IF(_xlfn.XLOOKUP(AT36,ETANCHEITE!BJ$19:BJ$164,ETANCHEITE!$A$19:$A$164,"")&lt;&gt;"",_xlfn.XLOOKUP(AT36,ETANCHEITE!BJ$19:BJ$164,ETANCHEITE!$A$19:$A$164,""),    INDEX(ETANCHEITE!$A:$A,MAX(_xlfn._xlws.FILTER(ROW(ETANCHEITE!$A$19:INDIRECT("'MENUISERIES EXTERIEURES'!$A" &amp; AW36-1)),ETANCHEITE!$A$19:INDIRECT("'MENUISERIES EXTERIEURES'!$A" &amp; AW36-1)&lt;&gt;"")))),"")&amp;"   "&amp;IFERROR(_xlfn.XLOOKUP(AT36,ETANCHEITE!BJ$19:BJ$164,ETANCHEITE!$B$19:$B$164),"")&amp;IFERROR(_xlfn.XLOOKUP(AT36,ETANCHEITE!BJ$19:BJ$164,ETANCHEITE!$C$19:$C$164),"")&amp;IFERROR(_xlfn.XLOOKUP(AT36,ETANCHEITE!BJ$19:BJ$164,ETANCHEITE!$D$19:$D$164),"")&amp;IFERROR(_xlfn.XLOOKUP(AT36,ETANCHEITE!BJ$19:BJ$164,ETANCHEITE!$E$19:$E$164),"")&amp;IFERROR(_xlfn.XLOOKUP(AT36,ETANCHEITE!BJ$19:BJ$164,ETANCHEITE!$F$19:$F$164),"")</f>
        <v xml:space="preserve">   </v>
      </c>
      <c r="AY36" s="168" t="str">
        <f>IFERROR(VLOOKUP(AT36,ETANCHEITE!BJ$19:BL$164,2,FALSE),"")&amp;" "&amp;IFERROR(VLOOKUP(AT36,ETANCHEITE!BJ$19:BL$164,3,FALSE),"")</f>
        <v xml:space="preserve"> </v>
      </c>
      <c r="AZ36" s="161" t="str">
        <f>IF(AY36&lt;&gt;" ",'Feuille de Donnée'!$C$3,"")</f>
        <v/>
      </c>
      <c r="BA36" s="232" t="str" cm="1">
        <f t="array" aca="1" ref="BA36" ca="1">IFERROR(IF(_xlfn.XLOOKUP(AT36,ETANCHEITE!BJ$19:BJ$89,ETANCHEITE!BH$19:BH$89,"")&lt;&gt;"",_xlfn.XLOOKUP(AT36,ETANCHEITE!BJ$19:BJ$89,ETANCHEITE!BH$19:BH$89,""),    INDEX(ETANCHEITE!BH:BH,MAX(_xlfn._xlws.FILTER(ROW(ETANCHEITE!BH$19:INDIRECT("'PEINTURE'!O" &amp; AW36-1)),ETANCHEITE!BH$19:INDIRECT("'PEINTURE'!O" &amp; AW36-1)&lt;&gt;"")))),"")</f>
        <v/>
      </c>
      <c r="BB36" s="233" t="str" cm="1">
        <f t="array" aca="1" ref="BB36" ca="1">IFERROR(IF(_xlfn.XLOOKUP(AT36,ETANCHEITE!BJ$19:BJ$89,ETANCHEITE!BI$19:BI$89,"")&lt;&gt;"",_xlfn.XLOOKUP(AT36,ETANCHEITE!BJ$19:BJ$89,ETANCHEITE!BI$19:BI$89,""),    INDEX(ETANCHEITE!BI:BI,MAX(_xlfn._xlws.FILTER(ROW(ETANCHEITE!BI$19:INDIRECT("'PEINTURE'!P" &amp; AW36-1)),ETANCHEITE!BI$19:INDIRECT("'PEINTURE'!P" &amp; AW36-1)&lt;&gt;"")))),"")</f>
        <v/>
      </c>
    </row>
    <row r="37" spans="1:54" ht="16.5" customHeight="1" x14ac:dyDescent="0.3">
      <c r="A37" s="158">
        <v>35</v>
      </c>
      <c r="B37" s="167" t="str">
        <f>IF(F37&lt;&gt;" ",ETANCHEITE!$D$5,"")</f>
        <v/>
      </c>
      <c r="C37" s="167" t="str">
        <f>IF(F37&lt;&gt;" ",ETANCHEITE!$D$8,"")</f>
        <v/>
      </c>
      <c r="D37" s="159" t="str">
        <f>IFERROR(MATCH(A37,ETANCHEITE!Q$19:Q$164,0)+18,"")</f>
        <v/>
      </c>
      <c r="E37" s="160" t="str" cm="1">
        <f t="array" aca="1" ref="E37" ca="1">IFERROR(IF(_xlfn.XLOOKUP(A37,ETANCHEITE!Q$19:Q$164,ETANCHEITE!$A$19:$A$164,"")&lt;&gt;"",_xlfn.XLOOKUP(A37,ETANCHEITE!Q$19:Q$164,ETANCHEITE!$A$19:$A$164,""),    INDEX(ETANCHEITE!$A:$A,MAX(_xlfn._xlws.FILTER(ROW(ETANCHEITE!$A$19:INDIRECT("'MENUISERIES EXTERIEURES'!$A" &amp; D37-1)),ETANCHEITE!$A$19:INDIRECT("'MENUISERIES EXTERIEURES'!$A" &amp; D37-1)&lt;&gt;"")))),"")&amp;"   "&amp;IFERROR(_xlfn.XLOOKUP(A37,ETANCHEITE!Q$19:Q$164,ETANCHEITE!$B$19:$B$164),"")&amp;IFERROR(_xlfn.XLOOKUP(A37,ETANCHEITE!Q$19:Q$164,ETANCHEITE!$C$19:$C$164),"")&amp;IFERROR(_xlfn.XLOOKUP(A37,ETANCHEITE!Q$19:Q$164,ETANCHEITE!$D$19:$D$164),"")&amp;IFERROR(_xlfn.XLOOKUP(A37,ETANCHEITE!Q$19:Q$164,ETANCHEITE!$E$19:$E$164),"")&amp;IFERROR(_xlfn.XLOOKUP(A37,ETANCHEITE!Q$19:Q$164,ETANCHEITE!$F$19:$F$164),"")</f>
        <v xml:space="preserve">   </v>
      </c>
      <c r="F37" s="168" t="str">
        <f>IFERROR(VLOOKUP(A37,ETANCHEITE!Q$19:S$164,2,FALSE),"")&amp;" "&amp;IFERROR(VLOOKUP(A37,ETANCHEITE!Q$19:S$164,3,FALSE),"")</f>
        <v xml:space="preserve"> </v>
      </c>
      <c r="G37" s="161" t="str">
        <f>IF(F37&lt;&gt;" ",'Feuille de Donnée'!$C$3,"")</f>
        <v/>
      </c>
      <c r="H37" s="232" t="str" cm="1">
        <f t="array" aca="1" ref="H37" ca="1">IFERROR(IF(_xlfn.XLOOKUP(A37,ETANCHEITE!Q$19:Q$89,ETANCHEITE!O$19:O$89,"")&lt;&gt;"",_xlfn.XLOOKUP(A37,ETANCHEITE!Q$19:Q$89,ETANCHEITE!O$19:O$89,""),    INDEX(ETANCHEITE!O:O,MAX(_xlfn._xlws.FILTER(ROW(ETANCHEITE!O$19:INDIRECT("'PEINTURE'!O" &amp; D37-1)),ETANCHEITE!O$19:INDIRECT("'PEINTURE'!O" &amp; D37-1)&lt;&gt;"")))),"")</f>
        <v/>
      </c>
      <c r="I37" s="233" t="str" cm="1">
        <f t="array" aca="1" ref="I37" ca="1">IFERROR(IF(_xlfn.XLOOKUP(A37,ETANCHEITE!Q$19:Q$89,ETANCHEITE!P$19:P$89,"")&lt;&gt;"",_xlfn.XLOOKUP(A37,ETANCHEITE!Q$19:Q$89,ETANCHEITE!P$19:P$89,""),    INDEX(ETANCHEITE!P:P,MAX(_xlfn._xlws.FILTER(ROW(ETANCHEITE!P$19:INDIRECT("'PEINTURE'!P" &amp; D37-1)),ETANCHEITE!P$19:INDIRECT("'PEINTURE'!P" &amp; D37-1)&lt;&gt;"")))),"")</f>
        <v/>
      </c>
      <c r="J37" s="158">
        <v>35</v>
      </c>
      <c r="K37" s="167" t="str">
        <f>IF(O37&lt;&gt;" ",ETANCHEITE!$D$5,"")</f>
        <v/>
      </c>
      <c r="L37" s="167" t="str">
        <f>IF(O37&lt;&gt;" ",ETANCHEITE!$D$8,"")</f>
        <v/>
      </c>
      <c r="M37" s="159" t="str">
        <f>IFERROR(MATCH(J37,ETANCHEITE!Z$19:Z$164,0)+18,"")</f>
        <v/>
      </c>
      <c r="N37" s="160" t="str" cm="1">
        <f t="array" aca="1" ref="N37" ca="1">IFERROR(IF(_xlfn.XLOOKUP(J37,ETANCHEITE!Z$19:Z$164,ETANCHEITE!$A$19:$A$164,"")&lt;&gt;"",_xlfn.XLOOKUP(J37,ETANCHEITE!Z$19:Z$164,ETANCHEITE!$A$19:$A$164,""),    INDEX(ETANCHEITE!$A:$A,MAX(_xlfn._xlws.FILTER(ROW(ETANCHEITE!$A$19:INDIRECT("'MENUISERIES EXTERIEURES'!$A" &amp; M37-1)),ETANCHEITE!$A$19:INDIRECT("'MENUISERIES EXTERIEURES'!$A" &amp; M37-1)&lt;&gt;"")))),"")&amp;"   "&amp;IFERROR(_xlfn.XLOOKUP(J37,ETANCHEITE!Z$19:Z$164,ETANCHEITE!$B$19:$B$164),"")&amp;IFERROR(_xlfn.XLOOKUP(J37,ETANCHEITE!Z$19:Z$164,ETANCHEITE!$C$19:$C$164),"")&amp;IFERROR(_xlfn.XLOOKUP(J37,ETANCHEITE!Z$19:Z$164,ETANCHEITE!$D$19:$D$164),"")&amp;IFERROR(_xlfn.XLOOKUP(J37,ETANCHEITE!Z$19:Z$164,ETANCHEITE!$E$19:$E$164),"")&amp;IFERROR(_xlfn.XLOOKUP(J37,ETANCHEITE!Z$19:Z$164,ETANCHEITE!$F$19:$F$164),"")</f>
        <v xml:space="preserve">   </v>
      </c>
      <c r="O37" s="168" t="str">
        <f>IFERROR(VLOOKUP(J37,ETANCHEITE!Z$19:AB$164,2,FALSE),"")&amp;" "&amp;IFERROR(VLOOKUP(J37,ETANCHEITE!Z$19:AB$164,3,FALSE),"")</f>
        <v xml:space="preserve"> </v>
      </c>
      <c r="P37" s="161" t="str">
        <f>IF(O37&lt;&gt;" ",'Feuille de Donnée'!$C$3,"")</f>
        <v/>
      </c>
      <c r="Q37" s="232" t="str" cm="1">
        <f t="array" aca="1" ref="Q37" ca="1">IFERROR(IF(_xlfn.XLOOKUP(J37,ETANCHEITE!Z$19:Z$89,ETANCHEITE!X$19:X$89,"")&lt;&gt;"",_xlfn.XLOOKUP(J37,ETANCHEITE!Z$19:Z$89,ETANCHEITE!X$19:X$89,""),    INDEX(ETANCHEITE!X:X,MAX(_xlfn._xlws.FILTER(ROW(ETANCHEITE!X$19:INDIRECT("'PEINTURE'!O" &amp; M37-1)),ETANCHEITE!X$19:INDIRECT("'PEINTURE'!O" &amp; M37-1)&lt;&gt;"")))),"")</f>
        <v/>
      </c>
      <c r="R37" s="233" t="str" cm="1">
        <f t="array" aca="1" ref="R37" ca="1">IFERROR(IF(_xlfn.XLOOKUP(J37,ETANCHEITE!Z$19:Z$89,ETANCHEITE!Y$19:Y$89,"")&lt;&gt;"",_xlfn.XLOOKUP(J37,ETANCHEITE!Z$19:Z$89,ETANCHEITE!Y$19:Y$89,""),    INDEX(ETANCHEITE!Y:Y,MAX(_xlfn._xlws.FILTER(ROW(ETANCHEITE!Y$19:INDIRECT("'PEINTURE'!P" &amp; M37-1)),ETANCHEITE!Y$19:INDIRECT("'PEINTURE'!P" &amp; M37-1)&lt;&gt;"")))),"")</f>
        <v/>
      </c>
      <c r="S37" s="158">
        <v>35</v>
      </c>
      <c r="T37" s="167" t="str">
        <f>IF(X37&lt;&gt;" ",ETANCHEITE!$D$5,"")</f>
        <v/>
      </c>
      <c r="U37" s="167" t="str">
        <f>IF(X37&lt;&gt;" ",ETANCHEITE!$D$8,"")</f>
        <v/>
      </c>
      <c r="V37" s="159" t="str">
        <f>IFERROR(MATCH(S37,ETANCHEITE!AI$19:AI$164,0)+18,"")</f>
        <v/>
      </c>
      <c r="W37" s="160" t="str" cm="1">
        <f t="array" aca="1" ref="W37" ca="1">IFERROR(IF(_xlfn.XLOOKUP(S37,ETANCHEITE!AI$19:AI$164,ETANCHEITE!$A$19:$A$164,"")&lt;&gt;"",_xlfn.XLOOKUP(S37,ETANCHEITE!AI$19:AI$164,ETANCHEITE!$A$19:$A$164,""),    INDEX(ETANCHEITE!$A:$A,MAX(_xlfn._xlws.FILTER(ROW(ETANCHEITE!$A$19:INDIRECT("'MENUISERIES EXTERIEURES'!$A" &amp; V37-1)),ETANCHEITE!$A$19:INDIRECT("'MENUISERIES EXTERIEURES'!$A" &amp; V37-1)&lt;&gt;"")))),"")&amp;"   "&amp;IFERROR(_xlfn.XLOOKUP(S37,ETANCHEITE!AI$19:AI$164,ETANCHEITE!$B$19:$B$164),"")&amp;IFERROR(_xlfn.XLOOKUP(S37,ETANCHEITE!AI$19:AI$164,ETANCHEITE!$C$19:$C$164),"")&amp;IFERROR(_xlfn.XLOOKUP(S37,ETANCHEITE!AI$19:AI$164,ETANCHEITE!$D$19:$D$164),"")&amp;IFERROR(_xlfn.XLOOKUP(S37,ETANCHEITE!AI$19:AI$164,ETANCHEITE!$E$19:$E$164),"")&amp;IFERROR(_xlfn.XLOOKUP(S37,ETANCHEITE!AI$19:AI$164,ETANCHEITE!$F$19:$F$164),"")</f>
        <v xml:space="preserve">   </v>
      </c>
      <c r="X37" s="168" t="str">
        <f>IFERROR(VLOOKUP(S37,ETANCHEITE!AI$19:AK$164,2,FALSE),"")&amp;" "&amp;IFERROR(VLOOKUP(S37,ETANCHEITE!AI$19:AK$164,3,FALSE),"")</f>
        <v xml:space="preserve"> </v>
      </c>
      <c r="Y37" s="161" t="str">
        <f>IF(X37&lt;&gt;" ",'Feuille de Donnée'!$C$3,"")</f>
        <v/>
      </c>
      <c r="Z37" s="232" t="str" cm="1">
        <f t="array" aca="1" ref="Z37" ca="1">IFERROR(IF(_xlfn.XLOOKUP(S37,ETANCHEITE!AI$19:AI$89,ETANCHEITE!AG$19:AG$89,"")&lt;&gt;"",_xlfn.XLOOKUP(S37,ETANCHEITE!AI$19:AI$89,ETANCHEITE!AG$19:AG$89,""),    INDEX(ETANCHEITE!AG:AG,MAX(_xlfn._xlws.FILTER(ROW(ETANCHEITE!AG$19:INDIRECT("'PEINTURE'!O" &amp; V37-1)),ETANCHEITE!AG$19:INDIRECT("'PEINTURE'!O" &amp; V37-1)&lt;&gt;"")))),"")</f>
        <v/>
      </c>
      <c r="AA37" s="233" t="str" cm="1">
        <f t="array" aca="1" ref="AA37" ca="1">IFERROR(IF(_xlfn.XLOOKUP(S37,ETANCHEITE!AI$19:AI$89,ETANCHEITE!AH$19:AH$89,"")&lt;&gt;"",_xlfn.XLOOKUP(S37,ETANCHEITE!AI$19:AI$89,ETANCHEITE!AH$19:AH$89,""),    INDEX(ETANCHEITE!AH:AH,MAX(_xlfn._xlws.FILTER(ROW(ETANCHEITE!AH$19:INDIRECT("'PEINTURE'!P" &amp; V37-1)),ETANCHEITE!AH$19:INDIRECT("'PEINTURE'!P" &amp; V37-1)&lt;&gt;"")))),"")</f>
        <v/>
      </c>
      <c r="AB37" s="158">
        <v>35</v>
      </c>
      <c r="AC37" s="167" t="str">
        <f>IF(AG37&lt;&gt;" ",ETANCHEITE!$D$5,"")</f>
        <v/>
      </c>
      <c r="AD37" s="167" t="str">
        <f>IF(AG37&lt;&gt;" ",ETANCHEITE!$D$8,"")</f>
        <v/>
      </c>
      <c r="AE37" s="159" t="str">
        <f>IFERROR(MATCH(AB37,ETANCHEITE!AR$19:AR$164,0)+18,"")</f>
        <v/>
      </c>
      <c r="AF37" s="160" t="str" cm="1">
        <f t="array" aca="1" ref="AF37" ca="1">IFERROR(IF(_xlfn.XLOOKUP(AB37,ETANCHEITE!AR$19:AR$164,ETANCHEITE!$A$19:$A$164,"")&lt;&gt;"",_xlfn.XLOOKUP(AB37,ETANCHEITE!AR$19:AR$164,ETANCHEITE!$A$19:$A$164,""),    INDEX(ETANCHEITE!$A:$A,MAX(_xlfn._xlws.FILTER(ROW(ETANCHEITE!$A$19:INDIRECT("'MENUISERIES EXTERIEURES'!$A" &amp; AE37-1)),ETANCHEITE!$A$19:INDIRECT("'MENUISERIES EXTERIEURES'!$A" &amp; AE37-1)&lt;&gt;"")))),"")&amp;"   "&amp;IFERROR(_xlfn.XLOOKUP(AB37,ETANCHEITE!AR$19:AR$164,ETANCHEITE!$B$19:$B$164),"")&amp;IFERROR(_xlfn.XLOOKUP(AB37,ETANCHEITE!AR$19:AR$164,ETANCHEITE!$C$19:$C$164),"")&amp;IFERROR(_xlfn.XLOOKUP(AB37,ETANCHEITE!AR$19:AR$164,ETANCHEITE!$D$19:$D$164),"")&amp;IFERROR(_xlfn.XLOOKUP(AB37,ETANCHEITE!AR$19:AR$164,ETANCHEITE!$E$19:$E$164),"")&amp;IFERROR(_xlfn.XLOOKUP(AB37,ETANCHEITE!AR$19:AR$164,ETANCHEITE!$F$19:$F$164),"")</f>
        <v xml:space="preserve">   </v>
      </c>
      <c r="AG37" s="168" t="str">
        <f>IFERROR(VLOOKUP(AB37,ETANCHEITE!AR$19:AT$164,2,FALSE),"")&amp;" "&amp;IFERROR(VLOOKUP(AB37,ETANCHEITE!AR$19:AT$164,3,FALSE),"")</f>
        <v xml:space="preserve"> </v>
      </c>
      <c r="AH37" s="161" t="str">
        <f>IF(AG37&lt;&gt;" ",'Feuille de Donnée'!$C$3,"")</f>
        <v/>
      </c>
      <c r="AI37" s="232" t="str" cm="1">
        <f t="array" aca="1" ref="AI37" ca="1">IFERROR(IF(_xlfn.XLOOKUP(AB37,ETANCHEITE!AR$19:AR$89,ETANCHEITE!AP$19:AP$89,"")&lt;&gt;"",_xlfn.XLOOKUP(AB37,ETANCHEITE!AR$19:AR$89,ETANCHEITE!AP$19:AP$89,""),    INDEX(ETANCHEITE!AP:AP,MAX(_xlfn._xlws.FILTER(ROW(ETANCHEITE!AP$19:INDIRECT("'PEINTURE'!O" &amp; AE37-1)),ETANCHEITE!AP$19:INDIRECT("'PEINTURE'!O" &amp; AE37-1)&lt;&gt;"")))),"")</f>
        <v/>
      </c>
      <c r="AJ37" s="233" t="str" cm="1">
        <f t="array" aca="1" ref="AJ37" ca="1">IFERROR(IF(_xlfn.XLOOKUP(AB37,ETANCHEITE!AR$19:AR$89,ETANCHEITE!AQ$19:AQ$89,"")&lt;&gt;"",_xlfn.XLOOKUP(AB37,ETANCHEITE!AR$19:AR$89,ETANCHEITE!AQ$19:AQ$89,""),    INDEX(ETANCHEITE!AQ:AQ,MAX(_xlfn._xlws.FILTER(ROW(ETANCHEITE!AQ$19:INDIRECT("'PEINTURE'!P" &amp; AE37-1)),ETANCHEITE!AQ$19:INDIRECT("'PEINTURE'!P" &amp; AE37-1)&lt;&gt;"")))),"")</f>
        <v/>
      </c>
      <c r="AK37" s="158">
        <v>35</v>
      </c>
      <c r="AL37" s="167" t="str">
        <f>IF(AP37&lt;&gt;" ",ETANCHEITE!$D$5,"")</f>
        <v/>
      </c>
      <c r="AM37" s="167" t="str">
        <f>IF(AP37&lt;&gt;" ",ETANCHEITE!$D$8,"")</f>
        <v/>
      </c>
      <c r="AN37" s="159" t="str">
        <f>IFERROR(MATCH(AK37,ETANCHEITE!BA$19:BA$164,0)+18,"")</f>
        <v/>
      </c>
      <c r="AO37" s="160" t="str" cm="1">
        <f t="array" aca="1" ref="AO37" ca="1">IFERROR(IF(_xlfn.XLOOKUP(AK37,ETANCHEITE!BA$19:BA$164,ETANCHEITE!$A$19:$A$164,"")&lt;&gt;"",_xlfn.XLOOKUP(AK37,ETANCHEITE!BA$19:BA$164,ETANCHEITE!$A$19:$A$164,""),    INDEX(ETANCHEITE!$A:$A,MAX(_xlfn._xlws.FILTER(ROW(ETANCHEITE!$A$19:INDIRECT("'MENUISERIES EXTERIEURES'!$A" &amp; AN37-1)),ETANCHEITE!$A$19:INDIRECT("'MENUISERIES EXTERIEURES'!$A" &amp; AN37-1)&lt;&gt;"")))),"")&amp;"   "&amp;IFERROR(_xlfn.XLOOKUP(AK37,ETANCHEITE!BA$19:BA$164,ETANCHEITE!$B$19:$B$164),"")&amp;IFERROR(_xlfn.XLOOKUP(AK37,ETANCHEITE!BA$19:BA$164,ETANCHEITE!$C$19:$C$164),"")&amp;IFERROR(_xlfn.XLOOKUP(AK37,ETANCHEITE!BA$19:BA$164,ETANCHEITE!$D$19:$D$164),"")&amp;IFERROR(_xlfn.XLOOKUP(AK37,ETANCHEITE!BA$19:BA$164,ETANCHEITE!$E$19:$E$164),"")&amp;IFERROR(_xlfn.XLOOKUP(AK37,ETANCHEITE!BA$19:BA$164,ETANCHEITE!$F$19:$F$164),"")</f>
        <v xml:space="preserve">   </v>
      </c>
      <c r="AP37" s="168" t="str">
        <f>IFERROR(VLOOKUP(AK37,ETANCHEITE!BA$19:BC$164,2,FALSE),"")&amp;" "&amp;IFERROR(VLOOKUP(AK37,ETANCHEITE!BA$19:BC$164,3,FALSE),"")</f>
        <v xml:space="preserve"> </v>
      </c>
      <c r="AQ37" s="161" t="str">
        <f>IF(AP37&lt;&gt;" ",'Feuille de Donnée'!$C$3,"")</f>
        <v/>
      </c>
      <c r="AR37" s="232" t="str" cm="1">
        <f t="array" aca="1" ref="AR37" ca="1">IFERROR(IF(_xlfn.XLOOKUP(AK37,ETANCHEITE!BA$19:BA$89,ETANCHEITE!AY$19:AY$89,"")&lt;&gt;"",_xlfn.XLOOKUP(AK37,ETANCHEITE!BA$19:BA$89,ETANCHEITE!AY$19:AY$89,""),    INDEX(ETANCHEITE!AY:AY,MAX(_xlfn._xlws.FILTER(ROW(ETANCHEITE!AY$19:INDIRECT("'PEINTURE'!O" &amp; AN37-1)),ETANCHEITE!AY$19:INDIRECT("'PEINTURE'!O" &amp; AN37-1)&lt;&gt;"")))),"")</f>
        <v/>
      </c>
      <c r="AS37" s="233" t="str" cm="1">
        <f t="array" aca="1" ref="AS37" ca="1">IFERROR(IF(_xlfn.XLOOKUP(AK37,ETANCHEITE!BA$19:BA$89,ETANCHEITE!AZ$19:AZ$89,"")&lt;&gt;"",_xlfn.XLOOKUP(AK37,ETANCHEITE!BA$19:BA$89,ETANCHEITE!AZ$19:AZ$89,""),    INDEX(ETANCHEITE!AZ:AZ,MAX(_xlfn._xlws.FILTER(ROW(ETANCHEITE!AZ$19:INDIRECT("'PEINTURE'!P" &amp; AN37-1)),ETANCHEITE!AZ$19:INDIRECT("'PEINTURE'!P" &amp; AN37-1)&lt;&gt;"")))),"")</f>
        <v/>
      </c>
      <c r="AT37" s="158">
        <v>35</v>
      </c>
      <c r="AU37" s="167" t="str">
        <f>IF(AY37&lt;&gt;" ",ETANCHEITE!$D$5,"")</f>
        <v/>
      </c>
      <c r="AV37" s="167" t="str">
        <f>IF(AY37&lt;&gt;" ",ETANCHEITE!$D$8,"")</f>
        <v/>
      </c>
      <c r="AW37" s="159" t="str">
        <f>IFERROR(MATCH(AT37,ETANCHEITE!BJ$19:BJ$164,0)+18,"")</f>
        <v/>
      </c>
      <c r="AX37" s="160" t="str" cm="1">
        <f t="array" aca="1" ref="AX37" ca="1">IFERROR(IF(_xlfn.XLOOKUP(AT37,ETANCHEITE!BJ$19:BJ$164,ETANCHEITE!$A$19:$A$164,"")&lt;&gt;"",_xlfn.XLOOKUP(AT37,ETANCHEITE!BJ$19:BJ$164,ETANCHEITE!$A$19:$A$164,""),    INDEX(ETANCHEITE!$A:$A,MAX(_xlfn._xlws.FILTER(ROW(ETANCHEITE!$A$19:INDIRECT("'MENUISERIES EXTERIEURES'!$A" &amp; AW37-1)),ETANCHEITE!$A$19:INDIRECT("'MENUISERIES EXTERIEURES'!$A" &amp; AW37-1)&lt;&gt;"")))),"")&amp;"   "&amp;IFERROR(_xlfn.XLOOKUP(AT37,ETANCHEITE!BJ$19:BJ$164,ETANCHEITE!$B$19:$B$164),"")&amp;IFERROR(_xlfn.XLOOKUP(AT37,ETANCHEITE!BJ$19:BJ$164,ETANCHEITE!$C$19:$C$164),"")&amp;IFERROR(_xlfn.XLOOKUP(AT37,ETANCHEITE!BJ$19:BJ$164,ETANCHEITE!$D$19:$D$164),"")&amp;IFERROR(_xlfn.XLOOKUP(AT37,ETANCHEITE!BJ$19:BJ$164,ETANCHEITE!$E$19:$E$164),"")&amp;IFERROR(_xlfn.XLOOKUP(AT37,ETANCHEITE!BJ$19:BJ$164,ETANCHEITE!$F$19:$F$164),"")</f>
        <v xml:space="preserve">   </v>
      </c>
      <c r="AY37" s="168" t="str">
        <f>IFERROR(VLOOKUP(AT37,ETANCHEITE!BJ$19:BL$164,2,FALSE),"")&amp;" "&amp;IFERROR(VLOOKUP(AT37,ETANCHEITE!BJ$19:BL$164,3,FALSE),"")</f>
        <v xml:space="preserve"> </v>
      </c>
      <c r="AZ37" s="161" t="str">
        <f>IF(AY37&lt;&gt;" ",'Feuille de Donnée'!$C$3,"")</f>
        <v/>
      </c>
      <c r="BA37" s="232" t="str" cm="1">
        <f t="array" aca="1" ref="BA37" ca="1">IFERROR(IF(_xlfn.XLOOKUP(AT37,ETANCHEITE!BJ$19:BJ$89,ETANCHEITE!BH$19:BH$89,"")&lt;&gt;"",_xlfn.XLOOKUP(AT37,ETANCHEITE!BJ$19:BJ$89,ETANCHEITE!BH$19:BH$89,""),    INDEX(ETANCHEITE!BH:BH,MAX(_xlfn._xlws.FILTER(ROW(ETANCHEITE!BH$19:INDIRECT("'PEINTURE'!O" &amp; AW37-1)),ETANCHEITE!BH$19:INDIRECT("'PEINTURE'!O" &amp; AW37-1)&lt;&gt;"")))),"")</f>
        <v/>
      </c>
      <c r="BB37" s="233" t="str" cm="1">
        <f t="array" aca="1" ref="BB37" ca="1">IFERROR(IF(_xlfn.XLOOKUP(AT37,ETANCHEITE!BJ$19:BJ$89,ETANCHEITE!BI$19:BI$89,"")&lt;&gt;"",_xlfn.XLOOKUP(AT37,ETANCHEITE!BJ$19:BJ$89,ETANCHEITE!BI$19:BI$89,""),    INDEX(ETANCHEITE!BI:BI,MAX(_xlfn._xlws.FILTER(ROW(ETANCHEITE!BI$19:INDIRECT("'PEINTURE'!P" &amp; AW37-1)),ETANCHEITE!BI$19:INDIRECT("'PEINTURE'!P" &amp; AW37-1)&lt;&gt;"")))),"")</f>
        <v/>
      </c>
    </row>
    <row r="38" spans="1:54" ht="16.5" customHeight="1" x14ac:dyDescent="0.3">
      <c r="A38" s="158">
        <v>36</v>
      </c>
      <c r="B38" s="167" t="str">
        <f>IF(F38&lt;&gt;" ",ETANCHEITE!$D$5,"")</f>
        <v/>
      </c>
      <c r="C38" s="167" t="str">
        <f>IF(F38&lt;&gt;" ",ETANCHEITE!$D$8,"")</f>
        <v/>
      </c>
      <c r="D38" s="159" t="str">
        <f>IFERROR(MATCH(A38,ETANCHEITE!Q$19:Q$164,0)+18,"")</f>
        <v/>
      </c>
      <c r="E38" s="160" t="str" cm="1">
        <f t="array" aca="1" ref="E38" ca="1">IFERROR(IF(_xlfn.XLOOKUP(A38,ETANCHEITE!Q$19:Q$164,ETANCHEITE!$A$19:$A$164,"")&lt;&gt;"",_xlfn.XLOOKUP(A38,ETANCHEITE!Q$19:Q$164,ETANCHEITE!$A$19:$A$164,""),    INDEX(ETANCHEITE!$A:$A,MAX(_xlfn._xlws.FILTER(ROW(ETANCHEITE!$A$19:INDIRECT("'MENUISERIES EXTERIEURES'!$A" &amp; D38-1)),ETANCHEITE!$A$19:INDIRECT("'MENUISERIES EXTERIEURES'!$A" &amp; D38-1)&lt;&gt;"")))),"")&amp;"   "&amp;IFERROR(_xlfn.XLOOKUP(A38,ETANCHEITE!Q$19:Q$164,ETANCHEITE!$B$19:$B$164),"")&amp;IFERROR(_xlfn.XLOOKUP(A38,ETANCHEITE!Q$19:Q$164,ETANCHEITE!$C$19:$C$164),"")&amp;IFERROR(_xlfn.XLOOKUP(A38,ETANCHEITE!Q$19:Q$164,ETANCHEITE!$D$19:$D$164),"")&amp;IFERROR(_xlfn.XLOOKUP(A38,ETANCHEITE!Q$19:Q$164,ETANCHEITE!$E$19:$E$164),"")&amp;IFERROR(_xlfn.XLOOKUP(A38,ETANCHEITE!Q$19:Q$164,ETANCHEITE!$F$19:$F$164),"")</f>
        <v xml:space="preserve">   </v>
      </c>
      <c r="F38" s="168" t="str">
        <f>IFERROR(VLOOKUP(A38,ETANCHEITE!Q$19:S$164,2,FALSE),"")&amp;" "&amp;IFERROR(VLOOKUP(A38,ETANCHEITE!Q$19:S$164,3,FALSE),"")</f>
        <v xml:space="preserve"> </v>
      </c>
      <c r="G38" s="161" t="str">
        <f>IF(F38&lt;&gt;" ",'Feuille de Donnée'!$C$3,"")</f>
        <v/>
      </c>
      <c r="H38" s="232" t="str" cm="1">
        <f t="array" aca="1" ref="H38" ca="1">IFERROR(IF(_xlfn.XLOOKUP(A38,ETANCHEITE!Q$19:Q$89,ETANCHEITE!O$19:O$89,"")&lt;&gt;"",_xlfn.XLOOKUP(A38,ETANCHEITE!Q$19:Q$89,ETANCHEITE!O$19:O$89,""),    INDEX(ETANCHEITE!O:O,MAX(_xlfn._xlws.FILTER(ROW(ETANCHEITE!O$19:INDIRECT("'PEINTURE'!O" &amp; D38-1)),ETANCHEITE!O$19:INDIRECT("'PEINTURE'!O" &amp; D38-1)&lt;&gt;"")))),"")</f>
        <v/>
      </c>
      <c r="I38" s="233" t="str" cm="1">
        <f t="array" aca="1" ref="I38" ca="1">IFERROR(IF(_xlfn.XLOOKUP(A38,ETANCHEITE!Q$19:Q$89,ETANCHEITE!P$19:P$89,"")&lt;&gt;"",_xlfn.XLOOKUP(A38,ETANCHEITE!Q$19:Q$89,ETANCHEITE!P$19:P$89,""),    INDEX(ETANCHEITE!P:P,MAX(_xlfn._xlws.FILTER(ROW(ETANCHEITE!P$19:INDIRECT("'PEINTURE'!P" &amp; D38-1)),ETANCHEITE!P$19:INDIRECT("'PEINTURE'!P" &amp; D38-1)&lt;&gt;"")))),"")</f>
        <v/>
      </c>
      <c r="J38" s="158">
        <v>36</v>
      </c>
      <c r="K38" s="167" t="str">
        <f>IF(O38&lt;&gt;" ",ETANCHEITE!$D$5,"")</f>
        <v/>
      </c>
      <c r="L38" s="167" t="str">
        <f>IF(O38&lt;&gt;" ",ETANCHEITE!$D$8,"")</f>
        <v/>
      </c>
      <c r="M38" s="159" t="str">
        <f>IFERROR(MATCH(J38,ETANCHEITE!Z$19:Z$164,0)+18,"")</f>
        <v/>
      </c>
      <c r="N38" s="160" t="str" cm="1">
        <f t="array" aca="1" ref="N38" ca="1">IFERROR(IF(_xlfn.XLOOKUP(J38,ETANCHEITE!Z$19:Z$164,ETANCHEITE!$A$19:$A$164,"")&lt;&gt;"",_xlfn.XLOOKUP(J38,ETANCHEITE!Z$19:Z$164,ETANCHEITE!$A$19:$A$164,""),    INDEX(ETANCHEITE!$A:$A,MAX(_xlfn._xlws.FILTER(ROW(ETANCHEITE!$A$19:INDIRECT("'MENUISERIES EXTERIEURES'!$A" &amp; M38-1)),ETANCHEITE!$A$19:INDIRECT("'MENUISERIES EXTERIEURES'!$A" &amp; M38-1)&lt;&gt;"")))),"")&amp;"   "&amp;IFERROR(_xlfn.XLOOKUP(J38,ETANCHEITE!Z$19:Z$164,ETANCHEITE!$B$19:$B$164),"")&amp;IFERROR(_xlfn.XLOOKUP(J38,ETANCHEITE!Z$19:Z$164,ETANCHEITE!$C$19:$C$164),"")&amp;IFERROR(_xlfn.XLOOKUP(J38,ETANCHEITE!Z$19:Z$164,ETANCHEITE!$D$19:$D$164),"")&amp;IFERROR(_xlfn.XLOOKUP(J38,ETANCHEITE!Z$19:Z$164,ETANCHEITE!$E$19:$E$164),"")&amp;IFERROR(_xlfn.XLOOKUP(J38,ETANCHEITE!Z$19:Z$164,ETANCHEITE!$F$19:$F$164),"")</f>
        <v xml:space="preserve">   </v>
      </c>
      <c r="O38" s="168" t="str">
        <f>IFERROR(VLOOKUP(J38,ETANCHEITE!Z$19:AB$164,2,FALSE),"")&amp;" "&amp;IFERROR(VLOOKUP(J38,ETANCHEITE!Z$19:AB$164,3,FALSE),"")</f>
        <v xml:space="preserve"> </v>
      </c>
      <c r="P38" s="161" t="str">
        <f>IF(O38&lt;&gt;" ",'Feuille de Donnée'!$C$3,"")</f>
        <v/>
      </c>
      <c r="Q38" s="232" t="str" cm="1">
        <f t="array" aca="1" ref="Q38" ca="1">IFERROR(IF(_xlfn.XLOOKUP(J38,ETANCHEITE!Z$19:Z$89,ETANCHEITE!X$19:X$89,"")&lt;&gt;"",_xlfn.XLOOKUP(J38,ETANCHEITE!Z$19:Z$89,ETANCHEITE!X$19:X$89,""),    INDEX(ETANCHEITE!X:X,MAX(_xlfn._xlws.FILTER(ROW(ETANCHEITE!X$19:INDIRECT("'PEINTURE'!O" &amp; M38-1)),ETANCHEITE!X$19:INDIRECT("'PEINTURE'!O" &amp; M38-1)&lt;&gt;"")))),"")</f>
        <v/>
      </c>
      <c r="R38" s="233" t="str" cm="1">
        <f t="array" aca="1" ref="R38" ca="1">IFERROR(IF(_xlfn.XLOOKUP(J38,ETANCHEITE!Z$19:Z$89,ETANCHEITE!Y$19:Y$89,"")&lt;&gt;"",_xlfn.XLOOKUP(J38,ETANCHEITE!Z$19:Z$89,ETANCHEITE!Y$19:Y$89,""),    INDEX(ETANCHEITE!Y:Y,MAX(_xlfn._xlws.FILTER(ROW(ETANCHEITE!Y$19:INDIRECT("'PEINTURE'!P" &amp; M38-1)),ETANCHEITE!Y$19:INDIRECT("'PEINTURE'!P" &amp; M38-1)&lt;&gt;"")))),"")</f>
        <v/>
      </c>
      <c r="S38" s="158">
        <v>36</v>
      </c>
      <c r="T38" s="167" t="str">
        <f>IF(X38&lt;&gt;" ",ETANCHEITE!$D$5,"")</f>
        <v/>
      </c>
      <c r="U38" s="167" t="str">
        <f>IF(X38&lt;&gt;" ",ETANCHEITE!$D$8,"")</f>
        <v/>
      </c>
      <c r="V38" s="159" t="str">
        <f>IFERROR(MATCH(S38,ETANCHEITE!AI$19:AI$164,0)+18,"")</f>
        <v/>
      </c>
      <c r="W38" s="160" t="str" cm="1">
        <f t="array" aca="1" ref="W38" ca="1">IFERROR(IF(_xlfn.XLOOKUP(S38,ETANCHEITE!AI$19:AI$164,ETANCHEITE!$A$19:$A$164,"")&lt;&gt;"",_xlfn.XLOOKUP(S38,ETANCHEITE!AI$19:AI$164,ETANCHEITE!$A$19:$A$164,""),    INDEX(ETANCHEITE!$A:$A,MAX(_xlfn._xlws.FILTER(ROW(ETANCHEITE!$A$19:INDIRECT("'MENUISERIES EXTERIEURES'!$A" &amp; V38-1)),ETANCHEITE!$A$19:INDIRECT("'MENUISERIES EXTERIEURES'!$A" &amp; V38-1)&lt;&gt;"")))),"")&amp;"   "&amp;IFERROR(_xlfn.XLOOKUP(S38,ETANCHEITE!AI$19:AI$164,ETANCHEITE!$B$19:$B$164),"")&amp;IFERROR(_xlfn.XLOOKUP(S38,ETANCHEITE!AI$19:AI$164,ETANCHEITE!$C$19:$C$164),"")&amp;IFERROR(_xlfn.XLOOKUP(S38,ETANCHEITE!AI$19:AI$164,ETANCHEITE!$D$19:$D$164),"")&amp;IFERROR(_xlfn.XLOOKUP(S38,ETANCHEITE!AI$19:AI$164,ETANCHEITE!$E$19:$E$164),"")&amp;IFERROR(_xlfn.XLOOKUP(S38,ETANCHEITE!AI$19:AI$164,ETANCHEITE!$F$19:$F$164),"")</f>
        <v xml:space="preserve">   </v>
      </c>
      <c r="X38" s="168" t="str">
        <f>IFERROR(VLOOKUP(S38,ETANCHEITE!AI$19:AK$164,2,FALSE),"")&amp;" "&amp;IFERROR(VLOOKUP(S38,ETANCHEITE!AI$19:AK$164,3,FALSE),"")</f>
        <v xml:space="preserve"> </v>
      </c>
      <c r="Y38" s="161" t="str">
        <f>IF(X38&lt;&gt;" ",'Feuille de Donnée'!$C$3,"")</f>
        <v/>
      </c>
      <c r="Z38" s="232" t="str" cm="1">
        <f t="array" aca="1" ref="Z38" ca="1">IFERROR(IF(_xlfn.XLOOKUP(S38,ETANCHEITE!AI$19:AI$89,ETANCHEITE!AG$19:AG$89,"")&lt;&gt;"",_xlfn.XLOOKUP(S38,ETANCHEITE!AI$19:AI$89,ETANCHEITE!AG$19:AG$89,""),    INDEX(ETANCHEITE!AG:AG,MAX(_xlfn._xlws.FILTER(ROW(ETANCHEITE!AG$19:INDIRECT("'PEINTURE'!O" &amp; V38-1)),ETANCHEITE!AG$19:INDIRECT("'PEINTURE'!O" &amp; V38-1)&lt;&gt;"")))),"")</f>
        <v/>
      </c>
      <c r="AA38" s="233" t="str" cm="1">
        <f t="array" aca="1" ref="AA38" ca="1">IFERROR(IF(_xlfn.XLOOKUP(S38,ETANCHEITE!AI$19:AI$89,ETANCHEITE!AH$19:AH$89,"")&lt;&gt;"",_xlfn.XLOOKUP(S38,ETANCHEITE!AI$19:AI$89,ETANCHEITE!AH$19:AH$89,""),    INDEX(ETANCHEITE!AH:AH,MAX(_xlfn._xlws.FILTER(ROW(ETANCHEITE!AH$19:INDIRECT("'PEINTURE'!P" &amp; V38-1)),ETANCHEITE!AH$19:INDIRECT("'PEINTURE'!P" &amp; V38-1)&lt;&gt;"")))),"")</f>
        <v/>
      </c>
      <c r="AB38" s="158">
        <v>36</v>
      </c>
      <c r="AC38" s="167" t="str">
        <f>IF(AG38&lt;&gt;" ",ETANCHEITE!$D$5,"")</f>
        <v/>
      </c>
      <c r="AD38" s="167" t="str">
        <f>IF(AG38&lt;&gt;" ",ETANCHEITE!$D$8,"")</f>
        <v/>
      </c>
      <c r="AE38" s="159" t="str">
        <f>IFERROR(MATCH(AB38,ETANCHEITE!AR$19:AR$164,0)+18,"")</f>
        <v/>
      </c>
      <c r="AF38" s="160" t="str" cm="1">
        <f t="array" aca="1" ref="AF38" ca="1">IFERROR(IF(_xlfn.XLOOKUP(AB38,ETANCHEITE!AR$19:AR$164,ETANCHEITE!$A$19:$A$164,"")&lt;&gt;"",_xlfn.XLOOKUP(AB38,ETANCHEITE!AR$19:AR$164,ETANCHEITE!$A$19:$A$164,""),    INDEX(ETANCHEITE!$A:$A,MAX(_xlfn._xlws.FILTER(ROW(ETANCHEITE!$A$19:INDIRECT("'MENUISERIES EXTERIEURES'!$A" &amp; AE38-1)),ETANCHEITE!$A$19:INDIRECT("'MENUISERIES EXTERIEURES'!$A" &amp; AE38-1)&lt;&gt;"")))),"")&amp;"   "&amp;IFERROR(_xlfn.XLOOKUP(AB38,ETANCHEITE!AR$19:AR$164,ETANCHEITE!$B$19:$B$164),"")&amp;IFERROR(_xlfn.XLOOKUP(AB38,ETANCHEITE!AR$19:AR$164,ETANCHEITE!$C$19:$C$164),"")&amp;IFERROR(_xlfn.XLOOKUP(AB38,ETANCHEITE!AR$19:AR$164,ETANCHEITE!$D$19:$D$164),"")&amp;IFERROR(_xlfn.XLOOKUP(AB38,ETANCHEITE!AR$19:AR$164,ETANCHEITE!$E$19:$E$164),"")&amp;IFERROR(_xlfn.XLOOKUP(AB38,ETANCHEITE!AR$19:AR$164,ETANCHEITE!$F$19:$F$164),"")</f>
        <v xml:space="preserve">   </v>
      </c>
      <c r="AG38" s="168" t="str">
        <f>IFERROR(VLOOKUP(AB38,ETANCHEITE!AR$19:AT$164,2,FALSE),"")&amp;" "&amp;IFERROR(VLOOKUP(AB38,ETANCHEITE!AR$19:AT$164,3,FALSE),"")</f>
        <v xml:space="preserve"> </v>
      </c>
      <c r="AH38" s="161" t="str">
        <f>IF(AG38&lt;&gt;" ",'Feuille de Donnée'!$C$3,"")</f>
        <v/>
      </c>
      <c r="AI38" s="232" t="str" cm="1">
        <f t="array" aca="1" ref="AI38" ca="1">IFERROR(IF(_xlfn.XLOOKUP(AB38,ETANCHEITE!AR$19:AR$89,ETANCHEITE!AP$19:AP$89,"")&lt;&gt;"",_xlfn.XLOOKUP(AB38,ETANCHEITE!AR$19:AR$89,ETANCHEITE!AP$19:AP$89,""),    INDEX(ETANCHEITE!AP:AP,MAX(_xlfn._xlws.FILTER(ROW(ETANCHEITE!AP$19:INDIRECT("'PEINTURE'!O" &amp; AE38-1)),ETANCHEITE!AP$19:INDIRECT("'PEINTURE'!O" &amp; AE38-1)&lt;&gt;"")))),"")</f>
        <v/>
      </c>
      <c r="AJ38" s="233" t="str" cm="1">
        <f t="array" aca="1" ref="AJ38" ca="1">IFERROR(IF(_xlfn.XLOOKUP(AB38,ETANCHEITE!AR$19:AR$89,ETANCHEITE!AQ$19:AQ$89,"")&lt;&gt;"",_xlfn.XLOOKUP(AB38,ETANCHEITE!AR$19:AR$89,ETANCHEITE!AQ$19:AQ$89,""),    INDEX(ETANCHEITE!AQ:AQ,MAX(_xlfn._xlws.FILTER(ROW(ETANCHEITE!AQ$19:INDIRECT("'PEINTURE'!P" &amp; AE38-1)),ETANCHEITE!AQ$19:INDIRECT("'PEINTURE'!P" &amp; AE38-1)&lt;&gt;"")))),"")</f>
        <v/>
      </c>
      <c r="AK38" s="158">
        <v>36</v>
      </c>
      <c r="AL38" s="167" t="str">
        <f>IF(AP38&lt;&gt;" ",ETANCHEITE!$D$5,"")</f>
        <v/>
      </c>
      <c r="AM38" s="167" t="str">
        <f>IF(AP38&lt;&gt;" ",ETANCHEITE!$D$8,"")</f>
        <v/>
      </c>
      <c r="AN38" s="159" t="str">
        <f>IFERROR(MATCH(AK38,ETANCHEITE!BA$19:BA$164,0)+18,"")</f>
        <v/>
      </c>
      <c r="AO38" s="160" t="str" cm="1">
        <f t="array" aca="1" ref="AO38" ca="1">IFERROR(IF(_xlfn.XLOOKUP(AK38,ETANCHEITE!BA$19:BA$164,ETANCHEITE!$A$19:$A$164,"")&lt;&gt;"",_xlfn.XLOOKUP(AK38,ETANCHEITE!BA$19:BA$164,ETANCHEITE!$A$19:$A$164,""),    INDEX(ETANCHEITE!$A:$A,MAX(_xlfn._xlws.FILTER(ROW(ETANCHEITE!$A$19:INDIRECT("'MENUISERIES EXTERIEURES'!$A" &amp; AN38-1)),ETANCHEITE!$A$19:INDIRECT("'MENUISERIES EXTERIEURES'!$A" &amp; AN38-1)&lt;&gt;"")))),"")&amp;"   "&amp;IFERROR(_xlfn.XLOOKUP(AK38,ETANCHEITE!BA$19:BA$164,ETANCHEITE!$B$19:$B$164),"")&amp;IFERROR(_xlfn.XLOOKUP(AK38,ETANCHEITE!BA$19:BA$164,ETANCHEITE!$C$19:$C$164),"")&amp;IFERROR(_xlfn.XLOOKUP(AK38,ETANCHEITE!BA$19:BA$164,ETANCHEITE!$D$19:$D$164),"")&amp;IFERROR(_xlfn.XLOOKUP(AK38,ETANCHEITE!BA$19:BA$164,ETANCHEITE!$E$19:$E$164),"")&amp;IFERROR(_xlfn.XLOOKUP(AK38,ETANCHEITE!BA$19:BA$164,ETANCHEITE!$F$19:$F$164),"")</f>
        <v xml:space="preserve">   </v>
      </c>
      <c r="AP38" s="168" t="str">
        <f>IFERROR(VLOOKUP(AK38,ETANCHEITE!BA$19:BC$164,2,FALSE),"")&amp;" "&amp;IFERROR(VLOOKUP(AK38,ETANCHEITE!BA$19:BC$164,3,FALSE),"")</f>
        <v xml:space="preserve"> </v>
      </c>
      <c r="AQ38" s="161" t="str">
        <f>IF(AP38&lt;&gt;" ",'Feuille de Donnée'!$C$3,"")</f>
        <v/>
      </c>
      <c r="AR38" s="232" t="str" cm="1">
        <f t="array" aca="1" ref="AR38" ca="1">IFERROR(IF(_xlfn.XLOOKUP(AK38,ETANCHEITE!BA$19:BA$89,ETANCHEITE!AY$19:AY$89,"")&lt;&gt;"",_xlfn.XLOOKUP(AK38,ETANCHEITE!BA$19:BA$89,ETANCHEITE!AY$19:AY$89,""),    INDEX(ETANCHEITE!AY:AY,MAX(_xlfn._xlws.FILTER(ROW(ETANCHEITE!AY$19:INDIRECT("'PEINTURE'!O" &amp; AN38-1)),ETANCHEITE!AY$19:INDIRECT("'PEINTURE'!O" &amp; AN38-1)&lt;&gt;"")))),"")</f>
        <v/>
      </c>
      <c r="AS38" s="233" t="str" cm="1">
        <f t="array" aca="1" ref="AS38" ca="1">IFERROR(IF(_xlfn.XLOOKUP(AK38,ETANCHEITE!BA$19:BA$89,ETANCHEITE!AZ$19:AZ$89,"")&lt;&gt;"",_xlfn.XLOOKUP(AK38,ETANCHEITE!BA$19:BA$89,ETANCHEITE!AZ$19:AZ$89,""),    INDEX(ETANCHEITE!AZ:AZ,MAX(_xlfn._xlws.FILTER(ROW(ETANCHEITE!AZ$19:INDIRECT("'PEINTURE'!P" &amp; AN38-1)),ETANCHEITE!AZ$19:INDIRECT("'PEINTURE'!P" &amp; AN38-1)&lt;&gt;"")))),"")</f>
        <v/>
      </c>
      <c r="AT38" s="158">
        <v>36</v>
      </c>
      <c r="AU38" s="167" t="str">
        <f>IF(AY38&lt;&gt;" ",ETANCHEITE!$D$5,"")</f>
        <v/>
      </c>
      <c r="AV38" s="167" t="str">
        <f>IF(AY38&lt;&gt;" ",ETANCHEITE!$D$8,"")</f>
        <v/>
      </c>
      <c r="AW38" s="159" t="str">
        <f>IFERROR(MATCH(AT38,ETANCHEITE!BJ$19:BJ$164,0)+18,"")</f>
        <v/>
      </c>
      <c r="AX38" s="160" t="str" cm="1">
        <f t="array" aca="1" ref="AX38" ca="1">IFERROR(IF(_xlfn.XLOOKUP(AT38,ETANCHEITE!BJ$19:BJ$164,ETANCHEITE!$A$19:$A$164,"")&lt;&gt;"",_xlfn.XLOOKUP(AT38,ETANCHEITE!BJ$19:BJ$164,ETANCHEITE!$A$19:$A$164,""),    INDEX(ETANCHEITE!$A:$A,MAX(_xlfn._xlws.FILTER(ROW(ETANCHEITE!$A$19:INDIRECT("'MENUISERIES EXTERIEURES'!$A" &amp; AW38-1)),ETANCHEITE!$A$19:INDIRECT("'MENUISERIES EXTERIEURES'!$A" &amp; AW38-1)&lt;&gt;"")))),"")&amp;"   "&amp;IFERROR(_xlfn.XLOOKUP(AT38,ETANCHEITE!BJ$19:BJ$164,ETANCHEITE!$B$19:$B$164),"")&amp;IFERROR(_xlfn.XLOOKUP(AT38,ETANCHEITE!BJ$19:BJ$164,ETANCHEITE!$C$19:$C$164),"")&amp;IFERROR(_xlfn.XLOOKUP(AT38,ETANCHEITE!BJ$19:BJ$164,ETANCHEITE!$D$19:$D$164),"")&amp;IFERROR(_xlfn.XLOOKUP(AT38,ETANCHEITE!BJ$19:BJ$164,ETANCHEITE!$E$19:$E$164),"")&amp;IFERROR(_xlfn.XLOOKUP(AT38,ETANCHEITE!BJ$19:BJ$164,ETANCHEITE!$F$19:$F$164),"")</f>
        <v xml:space="preserve">   </v>
      </c>
      <c r="AY38" s="168" t="str">
        <f>IFERROR(VLOOKUP(AT38,ETANCHEITE!BJ$19:BL$164,2,FALSE),"")&amp;" "&amp;IFERROR(VLOOKUP(AT38,ETANCHEITE!BJ$19:BL$164,3,FALSE),"")</f>
        <v xml:space="preserve"> </v>
      </c>
      <c r="AZ38" s="161" t="str">
        <f>IF(AY38&lt;&gt;" ",'Feuille de Donnée'!$C$3,"")</f>
        <v/>
      </c>
      <c r="BA38" s="232" t="str" cm="1">
        <f t="array" aca="1" ref="BA38" ca="1">IFERROR(IF(_xlfn.XLOOKUP(AT38,ETANCHEITE!BJ$19:BJ$89,ETANCHEITE!BH$19:BH$89,"")&lt;&gt;"",_xlfn.XLOOKUP(AT38,ETANCHEITE!BJ$19:BJ$89,ETANCHEITE!BH$19:BH$89,""),    INDEX(ETANCHEITE!BH:BH,MAX(_xlfn._xlws.FILTER(ROW(ETANCHEITE!BH$19:INDIRECT("'PEINTURE'!O" &amp; AW38-1)),ETANCHEITE!BH$19:INDIRECT("'PEINTURE'!O" &amp; AW38-1)&lt;&gt;"")))),"")</f>
        <v/>
      </c>
      <c r="BB38" s="233" t="str" cm="1">
        <f t="array" aca="1" ref="BB38" ca="1">IFERROR(IF(_xlfn.XLOOKUP(AT38,ETANCHEITE!BJ$19:BJ$89,ETANCHEITE!BI$19:BI$89,"")&lt;&gt;"",_xlfn.XLOOKUP(AT38,ETANCHEITE!BJ$19:BJ$89,ETANCHEITE!BI$19:BI$89,""),    INDEX(ETANCHEITE!BI:BI,MAX(_xlfn._xlws.FILTER(ROW(ETANCHEITE!BI$19:INDIRECT("'PEINTURE'!P" &amp; AW38-1)),ETANCHEITE!BI$19:INDIRECT("'PEINTURE'!P" &amp; AW38-1)&lt;&gt;"")))),"")</f>
        <v/>
      </c>
    </row>
    <row r="39" spans="1:54" ht="16.5" customHeight="1" x14ac:dyDescent="0.3">
      <c r="A39" s="158">
        <v>37</v>
      </c>
      <c r="B39" s="167" t="str">
        <f>IF(F39&lt;&gt;" ",ETANCHEITE!$D$5,"")</f>
        <v/>
      </c>
      <c r="C39" s="167" t="str">
        <f>IF(F39&lt;&gt;" ",ETANCHEITE!$D$8,"")</f>
        <v/>
      </c>
      <c r="D39" s="159" t="str">
        <f>IFERROR(MATCH(A39,ETANCHEITE!Q$19:Q$164,0)+18,"")</f>
        <v/>
      </c>
      <c r="E39" s="160" t="str" cm="1">
        <f t="array" aca="1" ref="E39" ca="1">IFERROR(IF(_xlfn.XLOOKUP(A39,ETANCHEITE!Q$19:Q$164,ETANCHEITE!$A$19:$A$164,"")&lt;&gt;"",_xlfn.XLOOKUP(A39,ETANCHEITE!Q$19:Q$164,ETANCHEITE!$A$19:$A$164,""),    INDEX(ETANCHEITE!$A:$A,MAX(_xlfn._xlws.FILTER(ROW(ETANCHEITE!$A$19:INDIRECT("'MENUISERIES EXTERIEURES'!$A" &amp; D39-1)),ETANCHEITE!$A$19:INDIRECT("'MENUISERIES EXTERIEURES'!$A" &amp; D39-1)&lt;&gt;"")))),"")&amp;"   "&amp;IFERROR(_xlfn.XLOOKUP(A39,ETANCHEITE!Q$19:Q$164,ETANCHEITE!$B$19:$B$164),"")&amp;IFERROR(_xlfn.XLOOKUP(A39,ETANCHEITE!Q$19:Q$164,ETANCHEITE!$C$19:$C$164),"")&amp;IFERROR(_xlfn.XLOOKUP(A39,ETANCHEITE!Q$19:Q$164,ETANCHEITE!$D$19:$D$164),"")&amp;IFERROR(_xlfn.XLOOKUP(A39,ETANCHEITE!Q$19:Q$164,ETANCHEITE!$E$19:$E$164),"")&amp;IFERROR(_xlfn.XLOOKUP(A39,ETANCHEITE!Q$19:Q$164,ETANCHEITE!$F$19:$F$164),"")</f>
        <v xml:space="preserve">   </v>
      </c>
      <c r="F39" s="168" t="str">
        <f>IFERROR(VLOOKUP(A39,ETANCHEITE!Q$19:S$164,2,FALSE),"")&amp;" "&amp;IFERROR(VLOOKUP(A39,ETANCHEITE!Q$19:S$164,3,FALSE),"")</f>
        <v xml:space="preserve"> </v>
      </c>
      <c r="G39" s="161" t="str">
        <f>IF(F39&lt;&gt;" ",'Feuille de Donnée'!$C$3,"")</f>
        <v/>
      </c>
      <c r="H39" s="232" t="str" cm="1">
        <f t="array" aca="1" ref="H39" ca="1">IFERROR(IF(_xlfn.XLOOKUP(A39,ETANCHEITE!Q$19:Q$89,ETANCHEITE!O$19:O$89,"")&lt;&gt;"",_xlfn.XLOOKUP(A39,ETANCHEITE!Q$19:Q$89,ETANCHEITE!O$19:O$89,""),    INDEX(ETANCHEITE!O:O,MAX(_xlfn._xlws.FILTER(ROW(ETANCHEITE!O$19:INDIRECT("'PEINTURE'!O" &amp; D39-1)),ETANCHEITE!O$19:INDIRECT("'PEINTURE'!O" &amp; D39-1)&lt;&gt;"")))),"")</f>
        <v/>
      </c>
      <c r="I39" s="233" t="str" cm="1">
        <f t="array" aca="1" ref="I39" ca="1">IFERROR(IF(_xlfn.XLOOKUP(A39,ETANCHEITE!Q$19:Q$89,ETANCHEITE!P$19:P$89,"")&lt;&gt;"",_xlfn.XLOOKUP(A39,ETANCHEITE!Q$19:Q$89,ETANCHEITE!P$19:P$89,""),    INDEX(ETANCHEITE!P:P,MAX(_xlfn._xlws.FILTER(ROW(ETANCHEITE!P$19:INDIRECT("'PEINTURE'!P" &amp; D39-1)),ETANCHEITE!P$19:INDIRECT("'PEINTURE'!P" &amp; D39-1)&lt;&gt;"")))),"")</f>
        <v/>
      </c>
      <c r="J39" s="158">
        <v>37</v>
      </c>
      <c r="K39" s="167" t="str">
        <f>IF(O39&lt;&gt;" ",ETANCHEITE!$D$5,"")</f>
        <v/>
      </c>
      <c r="L39" s="167" t="str">
        <f>IF(O39&lt;&gt;" ",ETANCHEITE!$D$8,"")</f>
        <v/>
      </c>
      <c r="M39" s="159" t="str">
        <f>IFERROR(MATCH(J39,ETANCHEITE!Z$19:Z$164,0)+18,"")</f>
        <v/>
      </c>
      <c r="N39" s="160" t="str" cm="1">
        <f t="array" aca="1" ref="N39" ca="1">IFERROR(IF(_xlfn.XLOOKUP(J39,ETANCHEITE!Z$19:Z$164,ETANCHEITE!$A$19:$A$164,"")&lt;&gt;"",_xlfn.XLOOKUP(J39,ETANCHEITE!Z$19:Z$164,ETANCHEITE!$A$19:$A$164,""),    INDEX(ETANCHEITE!$A:$A,MAX(_xlfn._xlws.FILTER(ROW(ETANCHEITE!$A$19:INDIRECT("'MENUISERIES EXTERIEURES'!$A" &amp; M39-1)),ETANCHEITE!$A$19:INDIRECT("'MENUISERIES EXTERIEURES'!$A" &amp; M39-1)&lt;&gt;"")))),"")&amp;"   "&amp;IFERROR(_xlfn.XLOOKUP(J39,ETANCHEITE!Z$19:Z$164,ETANCHEITE!$B$19:$B$164),"")&amp;IFERROR(_xlfn.XLOOKUP(J39,ETANCHEITE!Z$19:Z$164,ETANCHEITE!$C$19:$C$164),"")&amp;IFERROR(_xlfn.XLOOKUP(J39,ETANCHEITE!Z$19:Z$164,ETANCHEITE!$D$19:$D$164),"")&amp;IFERROR(_xlfn.XLOOKUP(J39,ETANCHEITE!Z$19:Z$164,ETANCHEITE!$E$19:$E$164),"")&amp;IFERROR(_xlfn.XLOOKUP(J39,ETANCHEITE!Z$19:Z$164,ETANCHEITE!$F$19:$F$164),"")</f>
        <v xml:space="preserve">   </v>
      </c>
      <c r="O39" s="168" t="str">
        <f>IFERROR(VLOOKUP(J39,ETANCHEITE!Z$19:AB$164,2,FALSE),"")&amp;" "&amp;IFERROR(VLOOKUP(J39,ETANCHEITE!Z$19:AB$164,3,FALSE),"")</f>
        <v xml:space="preserve"> </v>
      </c>
      <c r="P39" s="161" t="str">
        <f>IF(O39&lt;&gt;" ",'Feuille de Donnée'!$C$3,"")</f>
        <v/>
      </c>
      <c r="Q39" s="232" t="str" cm="1">
        <f t="array" aca="1" ref="Q39" ca="1">IFERROR(IF(_xlfn.XLOOKUP(J39,ETANCHEITE!Z$19:Z$89,ETANCHEITE!X$19:X$89,"")&lt;&gt;"",_xlfn.XLOOKUP(J39,ETANCHEITE!Z$19:Z$89,ETANCHEITE!X$19:X$89,""),    INDEX(ETANCHEITE!X:X,MAX(_xlfn._xlws.FILTER(ROW(ETANCHEITE!X$19:INDIRECT("'PEINTURE'!O" &amp; M39-1)),ETANCHEITE!X$19:INDIRECT("'PEINTURE'!O" &amp; M39-1)&lt;&gt;"")))),"")</f>
        <v/>
      </c>
      <c r="R39" s="233" t="str" cm="1">
        <f t="array" aca="1" ref="R39" ca="1">IFERROR(IF(_xlfn.XLOOKUP(J39,ETANCHEITE!Z$19:Z$89,ETANCHEITE!Y$19:Y$89,"")&lt;&gt;"",_xlfn.XLOOKUP(J39,ETANCHEITE!Z$19:Z$89,ETANCHEITE!Y$19:Y$89,""),    INDEX(ETANCHEITE!Y:Y,MAX(_xlfn._xlws.FILTER(ROW(ETANCHEITE!Y$19:INDIRECT("'PEINTURE'!P" &amp; M39-1)),ETANCHEITE!Y$19:INDIRECT("'PEINTURE'!P" &amp; M39-1)&lt;&gt;"")))),"")</f>
        <v/>
      </c>
      <c r="S39" s="158">
        <v>37</v>
      </c>
      <c r="T39" s="167" t="str">
        <f>IF(X39&lt;&gt;" ",ETANCHEITE!$D$5,"")</f>
        <v/>
      </c>
      <c r="U39" s="167" t="str">
        <f>IF(X39&lt;&gt;" ",ETANCHEITE!$D$8,"")</f>
        <v/>
      </c>
      <c r="V39" s="159" t="str">
        <f>IFERROR(MATCH(S39,ETANCHEITE!AI$19:AI$164,0)+18,"")</f>
        <v/>
      </c>
      <c r="W39" s="160" t="str" cm="1">
        <f t="array" aca="1" ref="W39" ca="1">IFERROR(IF(_xlfn.XLOOKUP(S39,ETANCHEITE!AI$19:AI$164,ETANCHEITE!$A$19:$A$164,"")&lt;&gt;"",_xlfn.XLOOKUP(S39,ETANCHEITE!AI$19:AI$164,ETANCHEITE!$A$19:$A$164,""),    INDEX(ETANCHEITE!$A:$A,MAX(_xlfn._xlws.FILTER(ROW(ETANCHEITE!$A$19:INDIRECT("'MENUISERIES EXTERIEURES'!$A" &amp; V39-1)),ETANCHEITE!$A$19:INDIRECT("'MENUISERIES EXTERIEURES'!$A" &amp; V39-1)&lt;&gt;"")))),"")&amp;"   "&amp;IFERROR(_xlfn.XLOOKUP(S39,ETANCHEITE!AI$19:AI$164,ETANCHEITE!$B$19:$B$164),"")&amp;IFERROR(_xlfn.XLOOKUP(S39,ETANCHEITE!AI$19:AI$164,ETANCHEITE!$C$19:$C$164),"")&amp;IFERROR(_xlfn.XLOOKUP(S39,ETANCHEITE!AI$19:AI$164,ETANCHEITE!$D$19:$D$164),"")&amp;IFERROR(_xlfn.XLOOKUP(S39,ETANCHEITE!AI$19:AI$164,ETANCHEITE!$E$19:$E$164),"")&amp;IFERROR(_xlfn.XLOOKUP(S39,ETANCHEITE!AI$19:AI$164,ETANCHEITE!$F$19:$F$164),"")</f>
        <v xml:space="preserve">   </v>
      </c>
      <c r="X39" s="168" t="str">
        <f>IFERROR(VLOOKUP(S39,ETANCHEITE!AI$19:AK$164,2,FALSE),"")&amp;" "&amp;IFERROR(VLOOKUP(S39,ETANCHEITE!AI$19:AK$164,3,FALSE),"")</f>
        <v xml:space="preserve"> </v>
      </c>
      <c r="Y39" s="161" t="str">
        <f>IF(X39&lt;&gt;" ",'Feuille de Donnée'!$C$3,"")</f>
        <v/>
      </c>
      <c r="Z39" s="232" t="str" cm="1">
        <f t="array" aca="1" ref="Z39" ca="1">IFERROR(IF(_xlfn.XLOOKUP(S39,ETANCHEITE!AI$19:AI$89,ETANCHEITE!AG$19:AG$89,"")&lt;&gt;"",_xlfn.XLOOKUP(S39,ETANCHEITE!AI$19:AI$89,ETANCHEITE!AG$19:AG$89,""),    INDEX(ETANCHEITE!AG:AG,MAX(_xlfn._xlws.FILTER(ROW(ETANCHEITE!AG$19:INDIRECT("'PEINTURE'!O" &amp; V39-1)),ETANCHEITE!AG$19:INDIRECT("'PEINTURE'!O" &amp; V39-1)&lt;&gt;"")))),"")</f>
        <v/>
      </c>
      <c r="AA39" s="233" t="str" cm="1">
        <f t="array" aca="1" ref="AA39" ca="1">IFERROR(IF(_xlfn.XLOOKUP(S39,ETANCHEITE!AI$19:AI$89,ETANCHEITE!AH$19:AH$89,"")&lt;&gt;"",_xlfn.XLOOKUP(S39,ETANCHEITE!AI$19:AI$89,ETANCHEITE!AH$19:AH$89,""),    INDEX(ETANCHEITE!AH:AH,MAX(_xlfn._xlws.FILTER(ROW(ETANCHEITE!AH$19:INDIRECT("'PEINTURE'!P" &amp; V39-1)),ETANCHEITE!AH$19:INDIRECT("'PEINTURE'!P" &amp; V39-1)&lt;&gt;"")))),"")</f>
        <v/>
      </c>
      <c r="AB39" s="158">
        <v>37</v>
      </c>
      <c r="AC39" s="167" t="str">
        <f>IF(AG39&lt;&gt;" ",ETANCHEITE!$D$5,"")</f>
        <v/>
      </c>
      <c r="AD39" s="167" t="str">
        <f>IF(AG39&lt;&gt;" ",ETANCHEITE!$D$8,"")</f>
        <v/>
      </c>
      <c r="AE39" s="159" t="str">
        <f>IFERROR(MATCH(AB39,ETANCHEITE!AR$19:AR$164,0)+18,"")</f>
        <v/>
      </c>
      <c r="AF39" s="160" t="str" cm="1">
        <f t="array" aca="1" ref="AF39" ca="1">IFERROR(IF(_xlfn.XLOOKUP(AB39,ETANCHEITE!AR$19:AR$164,ETANCHEITE!$A$19:$A$164,"")&lt;&gt;"",_xlfn.XLOOKUP(AB39,ETANCHEITE!AR$19:AR$164,ETANCHEITE!$A$19:$A$164,""),    INDEX(ETANCHEITE!$A:$A,MAX(_xlfn._xlws.FILTER(ROW(ETANCHEITE!$A$19:INDIRECT("'MENUISERIES EXTERIEURES'!$A" &amp; AE39-1)),ETANCHEITE!$A$19:INDIRECT("'MENUISERIES EXTERIEURES'!$A" &amp; AE39-1)&lt;&gt;"")))),"")&amp;"   "&amp;IFERROR(_xlfn.XLOOKUP(AB39,ETANCHEITE!AR$19:AR$164,ETANCHEITE!$B$19:$B$164),"")&amp;IFERROR(_xlfn.XLOOKUP(AB39,ETANCHEITE!AR$19:AR$164,ETANCHEITE!$C$19:$C$164),"")&amp;IFERROR(_xlfn.XLOOKUP(AB39,ETANCHEITE!AR$19:AR$164,ETANCHEITE!$D$19:$D$164),"")&amp;IFERROR(_xlfn.XLOOKUP(AB39,ETANCHEITE!AR$19:AR$164,ETANCHEITE!$E$19:$E$164),"")&amp;IFERROR(_xlfn.XLOOKUP(AB39,ETANCHEITE!AR$19:AR$164,ETANCHEITE!$F$19:$F$164),"")</f>
        <v xml:space="preserve">   </v>
      </c>
      <c r="AG39" s="168" t="str">
        <f>IFERROR(VLOOKUP(AB39,ETANCHEITE!AR$19:AT$164,2,FALSE),"")&amp;" "&amp;IFERROR(VLOOKUP(AB39,ETANCHEITE!AR$19:AT$164,3,FALSE),"")</f>
        <v xml:space="preserve"> </v>
      </c>
      <c r="AH39" s="161" t="str">
        <f>IF(AG39&lt;&gt;" ",'Feuille de Donnée'!$C$3,"")</f>
        <v/>
      </c>
      <c r="AI39" s="232" t="str" cm="1">
        <f t="array" aca="1" ref="AI39" ca="1">IFERROR(IF(_xlfn.XLOOKUP(AB39,ETANCHEITE!AR$19:AR$89,ETANCHEITE!AP$19:AP$89,"")&lt;&gt;"",_xlfn.XLOOKUP(AB39,ETANCHEITE!AR$19:AR$89,ETANCHEITE!AP$19:AP$89,""),    INDEX(ETANCHEITE!AP:AP,MAX(_xlfn._xlws.FILTER(ROW(ETANCHEITE!AP$19:INDIRECT("'PEINTURE'!O" &amp; AE39-1)),ETANCHEITE!AP$19:INDIRECT("'PEINTURE'!O" &amp; AE39-1)&lt;&gt;"")))),"")</f>
        <v/>
      </c>
      <c r="AJ39" s="233" t="str" cm="1">
        <f t="array" aca="1" ref="AJ39" ca="1">IFERROR(IF(_xlfn.XLOOKUP(AB39,ETANCHEITE!AR$19:AR$89,ETANCHEITE!AQ$19:AQ$89,"")&lt;&gt;"",_xlfn.XLOOKUP(AB39,ETANCHEITE!AR$19:AR$89,ETANCHEITE!AQ$19:AQ$89,""),    INDEX(ETANCHEITE!AQ:AQ,MAX(_xlfn._xlws.FILTER(ROW(ETANCHEITE!AQ$19:INDIRECT("'PEINTURE'!P" &amp; AE39-1)),ETANCHEITE!AQ$19:INDIRECT("'PEINTURE'!P" &amp; AE39-1)&lt;&gt;"")))),"")</f>
        <v/>
      </c>
      <c r="AK39" s="158">
        <v>37</v>
      </c>
      <c r="AL39" s="167" t="str">
        <f>IF(AP39&lt;&gt;" ",ETANCHEITE!$D$5,"")</f>
        <v/>
      </c>
      <c r="AM39" s="167" t="str">
        <f>IF(AP39&lt;&gt;" ",ETANCHEITE!$D$8,"")</f>
        <v/>
      </c>
      <c r="AN39" s="159" t="str">
        <f>IFERROR(MATCH(AK39,ETANCHEITE!BA$19:BA$164,0)+18,"")</f>
        <v/>
      </c>
      <c r="AO39" s="160" t="str" cm="1">
        <f t="array" aca="1" ref="AO39" ca="1">IFERROR(IF(_xlfn.XLOOKUP(AK39,ETANCHEITE!BA$19:BA$164,ETANCHEITE!$A$19:$A$164,"")&lt;&gt;"",_xlfn.XLOOKUP(AK39,ETANCHEITE!BA$19:BA$164,ETANCHEITE!$A$19:$A$164,""),    INDEX(ETANCHEITE!$A:$A,MAX(_xlfn._xlws.FILTER(ROW(ETANCHEITE!$A$19:INDIRECT("'MENUISERIES EXTERIEURES'!$A" &amp; AN39-1)),ETANCHEITE!$A$19:INDIRECT("'MENUISERIES EXTERIEURES'!$A" &amp; AN39-1)&lt;&gt;"")))),"")&amp;"   "&amp;IFERROR(_xlfn.XLOOKUP(AK39,ETANCHEITE!BA$19:BA$164,ETANCHEITE!$B$19:$B$164),"")&amp;IFERROR(_xlfn.XLOOKUP(AK39,ETANCHEITE!BA$19:BA$164,ETANCHEITE!$C$19:$C$164),"")&amp;IFERROR(_xlfn.XLOOKUP(AK39,ETANCHEITE!BA$19:BA$164,ETANCHEITE!$D$19:$D$164),"")&amp;IFERROR(_xlfn.XLOOKUP(AK39,ETANCHEITE!BA$19:BA$164,ETANCHEITE!$E$19:$E$164),"")&amp;IFERROR(_xlfn.XLOOKUP(AK39,ETANCHEITE!BA$19:BA$164,ETANCHEITE!$F$19:$F$164),"")</f>
        <v xml:space="preserve">   </v>
      </c>
      <c r="AP39" s="168" t="str">
        <f>IFERROR(VLOOKUP(AK39,ETANCHEITE!BA$19:BC$164,2,FALSE),"")&amp;" "&amp;IFERROR(VLOOKUP(AK39,ETANCHEITE!BA$19:BC$164,3,FALSE),"")</f>
        <v xml:space="preserve"> </v>
      </c>
      <c r="AQ39" s="161" t="str">
        <f>IF(AP39&lt;&gt;" ",'Feuille de Donnée'!$C$3,"")</f>
        <v/>
      </c>
      <c r="AR39" s="232" t="str" cm="1">
        <f t="array" aca="1" ref="AR39" ca="1">IFERROR(IF(_xlfn.XLOOKUP(AK39,ETANCHEITE!BA$19:BA$89,ETANCHEITE!AY$19:AY$89,"")&lt;&gt;"",_xlfn.XLOOKUP(AK39,ETANCHEITE!BA$19:BA$89,ETANCHEITE!AY$19:AY$89,""),    INDEX(ETANCHEITE!AY:AY,MAX(_xlfn._xlws.FILTER(ROW(ETANCHEITE!AY$19:INDIRECT("'PEINTURE'!O" &amp; AN39-1)),ETANCHEITE!AY$19:INDIRECT("'PEINTURE'!O" &amp; AN39-1)&lt;&gt;"")))),"")</f>
        <v/>
      </c>
      <c r="AS39" s="233" t="str" cm="1">
        <f t="array" aca="1" ref="AS39" ca="1">IFERROR(IF(_xlfn.XLOOKUP(AK39,ETANCHEITE!BA$19:BA$89,ETANCHEITE!AZ$19:AZ$89,"")&lt;&gt;"",_xlfn.XLOOKUP(AK39,ETANCHEITE!BA$19:BA$89,ETANCHEITE!AZ$19:AZ$89,""),    INDEX(ETANCHEITE!AZ:AZ,MAX(_xlfn._xlws.FILTER(ROW(ETANCHEITE!AZ$19:INDIRECT("'PEINTURE'!P" &amp; AN39-1)),ETANCHEITE!AZ$19:INDIRECT("'PEINTURE'!P" &amp; AN39-1)&lt;&gt;"")))),"")</f>
        <v/>
      </c>
      <c r="AT39" s="158">
        <v>37</v>
      </c>
      <c r="AU39" s="167" t="str">
        <f>IF(AY39&lt;&gt;" ",ETANCHEITE!$D$5,"")</f>
        <v/>
      </c>
      <c r="AV39" s="167" t="str">
        <f>IF(AY39&lt;&gt;" ",ETANCHEITE!$D$8,"")</f>
        <v/>
      </c>
      <c r="AW39" s="159" t="str">
        <f>IFERROR(MATCH(AT39,ETANCHEITE!BJ$19:BJ$164,0)+18,"")</f>
        <v/>
      </c>
      <c r="AX39" s="160" t="str" cm="1">
        <f t="array" aca="1" ref="AX39" ca="1">IFERROR(IF(_xlfn.XLOOKUP(AT39,ETANCHEITE!BJ$19:BJ$164,ETANCHEITE!$A$19:$A$164,"")&lt;&gt;"",_xlfn.XLOOKUP(AT39,ETANCHEITE!BJ$19:BJ$164,ETANCHEITE!$A$19:$A$164,""),    INDEX(ETANCHEITE!$A:$A,MAX(_xlfn._xlws.FILTER(ROW(ETANCHEITE!$A$19:INDIRECT("'MENUISERIES EXTERIEURES'!$A" &amp; AW39-1)),ETANCHEITE!$A$19:INDIRECT("'MENUISERIES EXTERIEURES'!$A" &amp; AW39-1)&lt;&gt;"")))),"")&amp;"   "&amp;IFERROR(_xlfn.XLOOKUP(AT39,ETANCHEITE!BJ$19:BJ$164,ETANCHEITE!$B$19:$B$164),"")&amp;IFERROR(_xlfn.XLOOKUP(AT39,ETANCHEITE!BJ$19:BJ$164,ETANCHEITE!$C$19:$C$164),"")&amp;IFERROR(_xlfn.XLOOKUP(AT39,ETANCHEITE!BJ$19:BJ$164,ETANCHEITE!$D$19:$D$164),"")&amp;IFERROR(_xlfn.XLOOKUP(AT39,ETANCHEITE!BJ$19:BJ$164,ETANCHEITE!$E$19:$E$164),"")&amp;IFERROR(_xlfn.XLOOKUP(AT39,ETANCHEITE!BJ$19:BJ$164,ETANCHEITE!$F$19:$F$164),"")</f>
        <v xml:space="preserve">   </v>
      </c>
      <c r="AY39" s="168" t="str">
        <f>IFERROR(VLOOKUP(AT39,ETANCHEITE!BJ$19:BL$164,2,FALSE),"")&amp;" "&amp;IFERROR(VLOOKUP(AT39,ETANCHEITE!BJ$19:BL$164,3,FALSE),"")</f>
        <v xml:space="preserve"> </v>
      </c>
      <c r="AZ39" s="161" t="str">
        <f>IF(AY39&lt;&gt;" ",'Feuille de Donnée'!$C$3,"")</f>
        <v/>
      </c>
      <c r="BA39" s="232" t="str" cm="1">
        <f t="array" aca="1" ref="BA39" ca="1">IFERROR(IF(_xlfn.XLOOKUP(AT39,ETANCHEITE!BJ$19:BJ$89,ETANCHEITE!BH$19:BH$89,"")&lt;&gt;"",_xlfn.XLOOKUP(AT39,ETANCHEITE!BJ$19:BJ$89,ETANCHEITE!BH$19:BH$89,""),    INDEX(ETANCHEITE!BH:BH,MAX(_xlfn._xlws.FILTER(ROW(ETANCHEITE!BH$19:INDIRECT("'PEINTURE'!O" &amp; AW39-1)),ETANCHEITE!BH$19:INDIRECT("'PEINTURE'!O" &amp; AW39-1)&lt;&gt;"")))),"")</f>
        <v/>
      </c>
      <c r="BB39" s="233" t="str" cm="1">
        <f t="array" aca="1" ref="BB39" ca="1">IFERROR(IF(_xlfn.XLOOKUP(AT39,ETANCHEITE!BJ$19:BJ$89,ETANCHEITE!BI$19:BI$89,"")&lt;&gt;"",_xlfn.XLOOKUP(AT39,ETANCHEITE!BJ$19:BJ$89,ETANCHEITE!BI$19:BI$89,""),    INDEX(ETANCHEITE!BI:BI,MAX(_xlfn._xlws.FILTER(ROW(ETANCHEITE!BI$19:INDIRECT("'PEINTURE'!P" &amp; AW39-1)),ETANCHEITE!BI$19:INDIRECT("'PEINTURE'!P" &amp; AW39-1)&lt;&gt;"")))),"")</f>
        <v/>
      </c>
    </row>
    <row r="40" spans="1:54" ht="16.5" customHeight="1" x14ac:dyDescent="0.3">
      <c r="A40" s="158">
        <v>38</v>
      </c>
      <c r="B40" s="167" t="str">
        <f>IF(F40&lt;&gt;" ",ETANCHEITE!$D$5,"")</f>
        <v/>
      </c>
      <c r="C40" s="167" t="str">
        <f>IF(F40&lt;&gt;" ",ETANCHEITE!$D$8,"")</f>
        <v/>
      </c>
      <c r="D40" s="159" t="str">
        <f>IFERROR(MATCH(A40,ETANCHEITE!Q$19:Q$164,0)+18,"")</f>
        <v/>
      </c>
      <c r="E40" s="160" t="str" cm="1">
        <f t="array" aca="1" ref="E40" ca="1">IFERROR(IF(_xlfn.XLOOKUP(A40,ETANCHEITE!Q$19:Q$164,ETANCHEITE!$A$19:$A$164,"")&lt;&gt;"",_xlfn.XLOOKUP(A40,ETANCHEITE!Q$19:Q$164,ETANCHEITE!$A$19:$A$164,""),    INDEX(ETANCHEITE!$A:$A,MAX(_xlfn._xlws.FILTER(ROW(ETANCHEITE!$A$19:INDIRECT("'MENUISERIES EXTERIEURES'!$A" &amp; D40-1)),ETANCHEITE!$A$19:INDIRECT("'MENUISERIES EXTERIEURES'!$A" &amp; D40-1)&lt;&gt;"")))),"")&amp;"   "&amp;IFERROR(_xlfn.XLOOKUP(A40,ETANCHEITE!Q$19:Q$164,ETANCHEITE!$B$19:$B$164),"")&amp;IFERROR(_xlfn.XLOOKUP(A40,ETANCHEITE!Q$19:Q$164,ETANCHEITE!$C$19:$C$164),"")&amp;IFERROR(_xlfn.XLOOKUP(A40,ETANCHEITE!Q$19:Q$164,ETANCHEITE!$D$19:$D$164),"")&amp;IFERROR(_xlfn.XLOOKUP(A40,ETANCHEITE!Q$19:Q$164,ETANCHEITE!$E$19:$E$164),"")&amp;IFERROR(_xlfn.XLOOKUP(A40,ETANCHEITE!Q$19:Q$164,ETANCHEITE!$F$19:$F$164),"")</f>
        <v xml:space="preserve">   </v>
      </c>
      <c r="F40" s="168" t="str">
        <f>IFERROR(VLOOKUP(A40,ETANCHEITE!Q$19:S$164,2,FALSE),"")&amp;" "&amp;IFERROR(VLOOKUP(A40,ETANCHEITE!Q$19:S$164,3,FALSE),"")</f>
        <v xml:space="preserve"> </v>
      </c>
      <c r="G40" s="161" t="str">
        <f>IF(F40&lt;&gt;" ",'Feuille de Donnée'!$C$3,"")</f>
        <v/>
      </c>
      <c r="H40" s="232" t="str" cm="1">
        <f t="array" aca="1" ref="H40" ca="1">IFERROR(IF(_xlfn.XLOOKUP(A40,ETANCHEITE!Q$19:Q$89,ETANCHEITE!O$19:O$89,"")&lt;&gt;"",_xlfn.XLOOKUP(A40,ETANCHEITE!Q$19:Q$89,ETANCHEITE!O$19:O$89,""),    INDEX(ETANCHEITE!O:O,MAX(_xlfn._xlws.FILTER(ROW(ETANCHEITE!O$19:INDIRECT("'PEINTURE'!O" &amp; D40-1)),ETANCHEITE!O$19:INDIRECT("'PEINTURE'!O" &amp; D40-1)&lt;&gt;"")))),"")</f>
        <v/>
      </c>
      <c r="I40" s="233" t="str" cm="1">
        <f t="array" aca="1" ref="I40" ca="1">IFERROR(IF(_xlfn.XLOOKUP(A40,ETANCHEITE!Q$19:Q$89,ETANCHEITE!P$19:P$89,"")&lt;&gt;"",_xlfn.XLOOKUP(A40,ETANCHEITE!Q$19:Q$89,ETANCHEITE!P$19:P$89,""),    INDEX(ETANCHEITE!P:P,MAX(_xlfn._xlws.FILTER(ROW(ETANCHEITE!P$19:INDIRECT("'PEINTURE'!P" &amp; D40-1)),ETANCHEITE!P$19:INDIRECT("'PEINTURE'!P" &amp; D40-1)&lt;&gt;"")))),"")</f>
        <v/>
      </c>
      <c r="J40" s="158">
        <v>38</v>
      </c>
      <c r="K40" s="167" t="str">
        <f>IF(O40&lt;&gt;" ",ETANCHEITE!$D$5,"")</f>
        <v/>
      </c>
      <c r="L40" s="167" t="str">
        <f>IF(O40&lt;&gt;" ",ETANCHEITE!$D$8,"")</f>
        <v/>
      </c>
      <c r="M40" s="159" t="str">
        <f>IFERROR(MATCH(J40,ETANCHEITE!Z$19:Z$164,0)+18,"")</f>
        <v/>
      </c>
      <c r="N40" s="160" t="str" cm="1">
        <f t="array" aca="1" ref="N40" ca="1">IFERROR(IF(_xlfn.XLOOKUP(J40,ETANCHEITE!Z$19:Z$164,ETANCHEITE!$A$19:$A$164,"")&lt;&gt;"",_xlfn.XLOOKUP(J40,ETANCHEITE!Z$19:Z$164,ETANCHEITE!$A$19:$A$164,""),    INDEX(ETANCHEITE!$A:$A,MAX(_xlfn._xlws.FILTER(ROW(ETANCHEITE!$A$19:INDIRECT("'MENUISERIES EXTERIEURES'!$A" &amp; M40-1)),ETANCHEITE!$A$19:INDIRECT("'MENUISERIES EXTERIEURES'!$A" &amp; M40-1)&lt;&gt;"")))),"")&amp;"   "&amp;IFERROR(_xlfn.XLOOKUP(J40,ETANCHEITE!Z$19:Z$164,ETANCHEITE!$B$19:$B$164),"")&amp;IFERROR(_xlfn.XLOOKUP(J40,ETANCHEITE!Z$19:Z$164,ETANCHEITE!$C$19:$C$164),"")&amp;IFERROR(_xlfn.XLOOKUP(J40,ETANCHEITE!Z$19:Z$164,ETANCHEITE!$D$19:$D$164),"")&amp;IFERROR(_xlfn.XLOOKUP(J40,ETANCHEITE!Z$19:Z$164,ETANCHEITE!$E$19:$E$164),"")&amp;IFERROR(_xlfn.XLOOKUP(J40,ETANCHEITE!Z$19:Z$164,ETANCHEITE!$F$19:$F$164),"")</f>
        <v xml:space="preserve">   </v>
      </c>
      <c r="O40" s="168" t="str">
        <f>IFERROR(VLOOKUP(J40,ETANCHEITE!Z$19:AB$164,2,FALSE),"")&amp;" "&amp;IFERROR(VLOOKUP(J40,ETANCHEITE!Z$19:AB$164,3,FALSE),"")</f>
        <v xml:space="preserve"> </v>
      </c>
      <c r="P40" s="161" t="str">
        <f>IF(O40&lt;&gt;" ",'Feuille de Donnée'!$C$3,"")</f>
        <v/>
      </c>
      <c r="Q40" s="232" t="str" cm="1">
        <f t="array" aca="1" ref="Q40" ca="1">IFERROR(IF(_xlfn.XLOOKUP(J40,ETANCHEITE!Z$19:Z$89,ETANCHEITE!X$19:X$89,"")&lt;&gt;"",_xlfn.XLOOKUP(J40,ETANCHEITE!Z$19:Z$89,ETANCHEITE!X$19:X$89,""),    INDEX(ETANCHEITE!X:X,MAX(_xlfn._xlws.FILTER(ROW(ETANCHEITE!X$19:INDIRECT("'PEINTURE'!O" &amp; M40-1)),ETANCHEITE!X$19:INDIRECT("'PEINTURE'!O" &amp; M40-1)&lt;&gt;"")))),"")</f>
        <v/>
      </c>
      <c r="R40" s="233" t="str" cm="1">
        <f t="array" aca="1" ref="R40" ca="1">IFERROR(IF(_xlfn.XLOOKUP(J40,ETANCHEITE!Z$19:Z$89,ETANCHEITE!Y$19:Y$89,"")&lt;&gt;"",_xlfn.XLOOKUP(J40,ETANCHEITE!Z$19:Z$89,ETANCHEITE!Y$19:Y$89,""),    INDEX(ETANCHEITE!Y:Y,MAX(_xlfn._xlws.FILTER(ROW(ETANCHEITE!Y$19:INDIRECT("'PEINTURE'!P" &amp; M40-1)),ETANCHEITE!Y$19:INDIRECT("'PEINTURE'!P" &amp; M40-1)&lt;&gt;"")))),"")</f>
        <v/>
      </c>
      <c r="S40" s="158">
        <v>38</v>
      </c>
      <c r="T40" s="167" t="str">
        <f>IF(X40&lt;&gt;" ",ETANCHEITE!$D$5,"")</f>
        <v/>
      </c>
      <c r="U40" s="167" t="str">
        <f>IF(X40&lt;&gt;" ",ETANCHEITE!$D$8,"")</f>
        <v/>
      </c>
      <c r="V40" s="159" t="str">
        <f>IFERROR(MATCH(S40,ETANCHEITE!AI$19:AI$164,0)+18,"")</f>
        <v/>
      </c>
      <c r="W40" s="160" t="str" cm="1">
        <f t="array" aca="1" ref="W40" ca="1">IFERROR(IF(_xlfn.XLOOKUP(S40,ETANCHEITE!AI$19:AI$164,ETANCHEITE!$A$19:$A$164,"")&lt;&gt;"",_xlfn.XLOOKUP(S40,ETANCHEITE!AI$19:AI$164,ETANCHEITE!$A$19:$A$164,""),    INDEX(ETANCHEITE!$A:$A,MAX(_xlfn._xlws.FILTER(ROW(ETANCHEITE!$A$19:INDIRECT("'MENUISERIES EXTERIEURES'!$A" &amp; V40-1)),ETANCHEITE!$A$19:INDIRECT("'MENUISERIES EXTERIEURES'!$A" &amp; V40-1)&lt;&gt;"")))),"")&amp;"   "&amp;IFERROR(_xlfn.XLOOKUP(S40,ETANCHEITE!AI$19:AI$164,ETANCHEITE!$B$19:$B$164),"")&amp;IFERROR(_xlfn.XLOOKUP(S40,ETANCHEITE!AI$19:AI$164,ETANCHEITE!$C$19:$C$164),"")&amp;IFERROR(_xlfn.XLOOKUP(S40,ETANCHEITE!AI$19:AI$164,ETANCHEITE!$D$19:$D$164),"")&amp;IFERROR(_xlfn.XLOOKUP(S40,ETANCHEITE!AI$19:AI$164,ETANCHEITE!$E$19:$E$164),"")&amp;IFERROR(_xlfn.XLOOKUP(S40,ETANCHEITE!AI$19:AI$164,ETANCHEITE!$F$19:$F$164),"")</f>
        <v xml:space="preserve">   </v>
      </c>
      <c r="X40" s="168" t="str">
        <f>IFERROR(VLOOKUP(S40,ETANCHEITE!AI$19:AK$164,2,FALSE),"")&amp;" "&amp;IFERROR(VLOOKUP(S40,ETANCHEITE!AI$19:AK$164,3,FALSE),"")</f>
        <v xml:space="preserve"> </v>
      </c>
      <c r="Y40" s="161" t="str">
        <f>IF(X40&lt;&gt;" ",'Feuille de Donnée'!$C$3,"")</f>
        <v/>
      </c>
      <c r="Z40" s="232" t="str" cm="1">
        <f t="array" aca="1" ref="Z40" ca="1">IFERROR(IF(_xlfn.XLOOKUP(S40,ETANCHEITE!AI$19:AI$89,ETANCHEITE!AG$19:AG$89,"")&lt;&gt;"",_xlfn.XLOOKUP(S40,ETANCHEITE!AI$19:AI$89,ETANCHEITE!AG$19:AG$89,""),    INDEX(ETANCHEITE!AG:AG,MAX(_xlfn._xlws.FILTER(ROW(ETANCHEITE!AG$19:INDIRECT("'PEINTURE'!O" &amp; V40-1)),ETANCHEITE!AG$19:INDIRECT("'PEINTURE'!O" &amp; V40-1)&lt;&gt;"")))),"")</f>
        <v/>
      </c>
      <c r="AA40" s="233" t="str" cm="1">
        <f t="array" aca="1" ref="AA40" ca="1">IFERROR(IF(_xlfn.XLOOKUP(S40,ETANCHEITE!AI$19:AI$89,ETANCHEITE!AH$19:AH$89,"")&lt;&gt;"",_xlfn.XLOOKUP(S40,ETANCHEITE!AI$19:AI$89,ETANCHEITE!AH$19:AH$89,""),    INDEX(ETANCHEITE!AH:AH,MAX(_xlfn._xlws.FILTER(ROW(ETANCHEITE!AH$19:INDIRECT("'PEINTURE'!P" &amp; V40-1)),ETANCHEITE!AH$19:INDIRECT("'PEINTURE'!P" &amp; V40-1)&lt;&gt;"")))),"")</f>
        <v/>
      </c>
      <c r="AB40" s="158">
        <v>38</v>
      </c>
      <c r="AC40" s="167" t="str">
        <f>IF(AG40&lt;&gt;" ",ETANCHEITE!$D$5,"")</f>
        <v/>
      </c>
      <c r="AD40" s="167" t="str">
        <f>IF(AG40&lt;&gt;" ",ETANCHEITE!$D$8,"")</f>
        <v/>
      </c>
      <c r="AE40" s="159" t="str">
        <f>IFERROR(MATCH(AB40,ETANCHEITE!AR$19:AR$164,0)+18,"")</f>
        <v/>
      </c>
      <c r="AF40" s="160" t="str" cm="1">
        <f t="array" aca="1" ref="AF40" ca="1">IFERROR(IF(_xlfn.XLOOKUP(AB40,ETANCHEITE!AR$19:AR$164,ETANCHEITE!$A$19:$A$164,"")&lt;&gt;"",_xlfn.XLOOKUP(AB40,ETANCHEITE!AR$19:AR$164,ETANCHEITE!$A$19:$A$164,""),    INDEX(ETANCHEITE!$A:$A,MAX(_xlfn._xlws.FILTER(ROW(ETANCHEITE!$A$19:INDIRECT("'MENUISERIES EXTERIEURES'!$A" &amp; AE40-1)),ETANCHEITE!$A$19:INDIRECT("'MENUISERIES EXTERIEURES'!$A" &amp; AE40-1)&lt;&gt;"")))),"")&amp;"   "&amp;IFERROR(_xlfn.XLOOKUP(AB40,ETANCHEITE!AR$19:AR$164,ETANCHEITE!$B$19:$B$164),"")&amp;IFERROR(_xlfn.XLOOKUP(AB40,ETANCHEITE!AR$19:AR$164,ETANCHEITE!$C$19:$C$164),"")&amp;IFERROR(_xlfn.XLOOKUP(AB40,ETANCHEITE!AR$19:AR$164,ETANCHEITE!$D$19:$D$164),"")&amp;IFERROR(_xlfn.XLOOKUP(AB40,ETANCHEITE!AR$19:AR$164,ETANCHEITE!$E$19:$E$164),"")&amp;IFERROR(_xlfn.XLOOKUP(AB40,ETANCHEITE!AR$19:AR$164,ETANCHEITE!$F$19:$F$164),"")</f>
        <v xml:space="preserve">   </v>
      </c>
      <c r="AG40" s="168" t="str">
        <f>IFERROR(VLOOKUP(AB40,ETANCHEITE!AR$19:AT$164,2,FALSE),"")&amp;" "&amp;IFERROR(VLOOKUP(AB40,ETANCHEITE!AR$19:AT$164,3,FALSE),"")</f>
        <v xml:space="preserve"> </v>
      </c>
      <c r="AH40" s="161" t="str">
        <f>IF(AG40&lt;&gt;" ",'Feuille de Donnée'!$C$3,"")</f>
        <v/>
      </c>
      <c r="AI40" s="232" t="str" cm="1">
        <f t="array" aca="1" ref="AI40" ca="1">IFERROR(IF(_xlfn.XLOOKUP(AB40,ETANCHEITE!AR$19:AR$89,ETANCHEITE!AP$19:AP$89,"")&lt;&gt;"",_xlfn.XLOOKUP(AB40,ETANCHEITE!AR$19:AR$89,ETANCHEITE!AP$19:AP$89,""),    INDEX(ETANCHEITE!AP:AP,MAX(_xlfn._xlws.FILTER(ROW(ETANCHEITE!AP$19:INDIRECT("'PEINTURE'!O" &amp; AE40-1)),ETANCHEITE!AP$19:INDIRECT("'PEINTURE'!O" &amp; AE40-1)&lt;&gt;"")))),"")</f>
        <v/>
      </c>
      <c r="AJ40" s="233" t="str" cm="1">
        <f t="array" aca="1" ref="AJ40" ca="1">IFERROR(IF(_xlfn.XLOOKUP(AB40,ETANCHEITE!AR$19:AR$89,ETANCHEITE!AQ$19:AQ$89,"")&lt;&gt;"",_xlfn.XLOOKUP(AB40,ETANCHEITE!AR$19:AR$89,ETANCHEITE!AQ$19:AQ$89,""),    INDEX(ETANCHEITE!AQ:AQ,MAX(_xlfn._xlws.FILTER(ROW(ETANCHEITE!AQ$19:INDIRECT("'PEINTURE'!P" &amp; AE40-1)),ETANCHEITE!AQ$19:INDIRECT("'PEINTURE'!P" &amp; AE40-1)&lt;&gt;"")))),"")</f>
        <v/>
      </c>
      <c r="AK40" s="158">
        <v>38</v>
      </c>
      <c r="AL40" s="167" t="str">
        <f>IF(AP40&lt;&gt;" ",ETANCHEITE!$D$5,"")</f>
        <v/>
      </c>
      <c r="AM40" s="167" t="str">
        <f>IF(AP40&lt;&gt;" ",ETANCHEITE!$D$8,"")</f>
        <v/>
      </c>
      <c r="AN40" s="159" t="str">
        <f>IFERROR(MATCH(AK40,ETANCHEITE!BA$19:BA$164,0)+18,"")</f>
        <v/>
      </c>
      <c r="AO40" s="160" t="str" cm="1">
        <f t="array" aca="1" ref="AO40" ca="1">IFERROR(IF(_xlfn.XLOOKUP(AK40,ETANCHEITE!BA$19:BA$164,ETANCHEITE!$A$19:$A$164,"")&lt;&gt;"",_xlfn.XLOOKUP(AK40,ETANCHEITE!BA$19:BA$164,ETANCHEITE!$A$19:$A$164,""),    INDEX(ETANCHEITE!$A:$A,MAX(_xlfn._xlws.FILTER(ROW(ETANCHEITE!$A$19:INDIRECT("'MENUISERIES EXTERIEURES'!$A" &amp; AN40-1)),ETANCHEITE!$A$19:INDIRECT("'MENUISERIES EXTERIEURES'!$A" &amp; AN40-1)&lt;&gt;"")))),"")&amp;"   "&amp;IFERROR(_xlfn.XLOOKUP(AK40,ETANCHEITE!BA$19:BA$164,ETANCHEITE!$B$19:$B$164),"")&amp;IFERROR(_xlfn.XLOOKUP(AK40,ETANCHEITE!BA$19:BA$164,ETANCHEITE!$C$19:$C$164),"")&amp;IFERROR(_xlfn.XLOOKUP(AK40,ETANCHEITE!BA$19:BA$164,ETANCHEITE!$D$19:$D$164),"")&amp;IFERROR(_xlfn.XLOOKUP(AK40,ETANCHEITE!BA$19:BA$164,ETANCHEITE!$E$19:$E$164),"")&amp;IFERROR(_xlfn.XLOOKUP(AK40,ETANCHEITE!BA$19:BA$164,ETANCHEITE!$F$19:$F$164),"")</f>
        <v xml:space="preserve">   </v>
      </c>
      <c r="AP40" s="168" t="str">
        <f>IFERROR(VLOOKUP(AK40,ETANCHEITE!BA$19:BC$164,2,FALSE),"")&amp;" "&amp;IFERROR(VLOOKUP(AK40,ETANCHEITE!BA$19:BC$164,3,FALSE),"")</f>
        <v xml:space="preserve"> </v>
      </c>
      <c r="AQ40" s="161" t="str">
        <f>IF(AP40&lt;&gt;" ",'Feuille de Donnée'!$C$3,"")</f>
        <v/>
      </c>
      <c r="AR40" s="232" t="str" cm="1">
        <f t="array" aca="1" ref="AR40" ca="1">IFERROR(IF(_xlfn.XLOOKUP(AK40,ETANCHEITE!BA$19:BA$89,ETANCHEITE!AY$19:AY$89,"")&lt;&gt;"",_xlfn.XLOOKUP(AK40,ETANCHEITE!BA$19:BA$89,ETANCHEITE!AY$19:AY$89,""),    INDEX(ETANCHEITE!AY:AY,MAX(_xlfn._xlws.FILTER(ROW(ETANCHEITE!AY$19:INDIRECT("'PEINTURE'!O" &amp; AN40-1)),ETANCHEITE!AY$19:INDIRECT("'PEINTURE'!O" &amp; AN40-1)&lt;&gt;"")))),"")</f>
        <v/>
      </c>
      <c r="AS40" s="233" t="str" cm="1">
        <f t="array" aca="1" ref="AS40" ca="1">IFERROR(IF(_xlfn.XLOOKUP(AK40,ETANCHEITE!BA$19:BA$89,ETANCHEITE!AZ$19:AZ$89,"")&lt;&gt;"",_xlfn.XLOOKUP(AK40,ETANCHEITE!BA$19:BA$89,ETANCHEITE!AZ$19:AZ$89,""),    INDEX(ETANCHEITE!AZ:AZ,MAX(_xlfn._xlws.FILTER(ROW(ETANCHEITE!AZ$19:INDIRECT("'PEINTURE'!P" &amp; AN40-1)),ETANCHEITE!AZ$19:INDIRECT("'PEINTURE'!P" &amp; AN40-1)&lt;&gt;"")))),"")</f>
        <v/>
      </c>
      <c r="AT40" s="158">
        <v>38</v>
      </c>
      <c r="AU40" s="167" t="str">
        <f>IF(AY40&lt;&gt;" ",ETANCHEITE!$D$5,"")</f>
        <v/>
      </c>
      <c r="AV40" s="167" t="str">
        <f>IF(AY40&lt;&gt;" ",ETANCHEITE!$D$8,"")</f>
        <v/>
      </c>
      <c r="AW40" s="159" t="str">
        <f>IFERROR(MATCH(AT40,ETANCHEITE!BJ$19:BJ$164,0)+18,"")</f>
        <v/>
      </c>
      <c r="AX40" s="160" t="str" cm="1">
        <f t="array" aca="1" ref="AX40" ca="1">IFERROR(IF(_xlfn.XLOOKUP(AT40,ETANCHEITE!BJ$19:BJ$164,ETANCHEITE!$A$19:$A$164,"")&lt;&gt;"",_xlfn.XLOOKUP(AT40,ETANCHEITE!BJ$19:BJ$164,ETANCHEITE!$A$19:$A$164,""),    INDEX(ETANCHEITE!$A:$A,MAX(_xlfn._xlws.FILTER(ROW(ETANCHEITE!$A$19:INDIRECT("'MENUISERIES EXTERIEURES'!$A" &amp; AW40-1)),ETANCHEITE!$A$19:INDIRECT("'MENUISERIES EXTERIEURES'!$A" &amp; AW40-1)&lt;&gt;"")))),"")&amp;"   "&amp;IFERROR(_xlfn.XLOOKUP(AT40,ETANCHEITE!BJ$19:BJ$164,ETANCHEITE!$B$19:$B$164),"")&amp;IFERROR(_xlfn.XLOOKUP(AT40,ETANCHEITE!BJ$19:BJ$164,ETANCHEITE!$C$19:$C$164),"")&amp;IFERROR(_xlfn.XLOOKUP(AT40,ETANCHEITE!BJ$19:BJ$164,ETANCHEITE!$D$19:$D$164),"")&amp;IFERROR(_xlfn.XLOOKUP(AT40,ETANCHEITE!BJ$19:BJ$164,ETANCHEITE!$E$19:$E$164),"")&amp;IFERROR(_xlfn.XLOOKUP(AT40,ETANCHEITE!BJ$19:BJ$164,ETANCHEITE!$F$19:$F$164),"")</f>
        <v xml:space="preserve">   </v>
      </c>
      <c r="AY40" s="168" t="str">
        <f>IFERROR(VLOOKUP(AT40,ETANCHEITE!BJ$19:BL$164,2,FALSE),"")&amp;" "&amp;IFERROR(VLOOKUP(AT40,ETANCHEITE!BJ$19:BL$164,3,FALSE),"")</f>
        <v xml:space="preserve"> </v>
      </c>
      <c r="AZ40" s="161" t="str">
        <f>IF(AY40&lt;&gt;" ",'Feuille de Donnée'!$C$3,"")</f>
        <v/>
      </c>
      <c r="BA40" s="232" t="str" cm="1">
        <f t="array" aca="1" ref="BA40" ca="1">IFERROR(IF(_xlfn.XLOOKUP(AT40,ETANCHEITE!BJ$19:BJ$89,ETANCHEITE!BH$19:BH$89,"")&lt;&gt;"",_xlfn.XLOOKUP(AT40,ETANCHEITE!BJ$19:BJ$89,ETANCHEITE!BH$19:BH$89,""),    INDEX(ETANCHEITE!BH:BH,MAX(_xlfn._xlws.FILTER(ROW(ETANCHEITE!BH$19:INDIRECT("'PEINTURE'!O" &amp; AW40-1)),ETANCHEITE!BH$19:INDIRECT("'PEINTURE'!O" &amp; AW40-1)&lt;&gt;"")))),"")</f>
        <v/>
      </c>
      <c r="BB40" s="233" t="str" cm="1">
        <f t="array" aca="1" ref="BB40" ca="1">IFERROR(IF(_xlfn.XLOOKUP(AT40,ETANCHEITE!BJ$19:BJ$89,ETANCHEITE!BI$19:BI$89,"")&lt;&gt;"",_xlfn.XLOOKUP(AT40,ETANCHEITE!BJ$19:BJ$89,ETANCHEITE!BI$19:BI$89,""),    INDEX(ETANCHEITE!BI:BI,MAX(_xlfn._xlws.FILTER(ROW(ETANCHEITE!BI$19:INDIRECT("'PEINTURE'!P" &amp; AW40-1)),ETANCHEITE!BI$19:INDIRECT("'PEINTURE'!P" &amp; AW40-1)&lt;&gt;"")))),"")</f>
        <v/>
      </c>
    </row>
    <row r="41" spans="1:54" ht="16.5" customHeight="1" x14ac:dyDescent="0.3">
      <c r="A41" s="158">
        <v>39</v>
      </c>
      <c r="B41" s="167" t="str">
        <f>IF(F41&lt;&gt;" ",ETANCHEITE!$D$5,"")</f>
        <v/>
      </c>
      <c r="C41" s="167" t="str">
        <f>IF(F41&lt;&gt;" ",ETANCHEITE!$D$8,"")</f>
        <v/>
      </c>
      <c r="D41" s="159" t="str">
        <f>IFERROR(MATCH(A41,ETANCHEITE!Q$19:Q$164,0)+18,"")</f>
        <v/>
      </c>
      <c r="E41" s="160" t="str" cm="1">
        <f t="array" aca="1" ref="E41" ca="1">IFERROR(IF(_xlfn.XLOOKUP(A41,ETANCHEITE!Q$19:Q$164,ETANCHEITE!$A$19:$A$164,"")&lt;&gt;"",_xlfn.XLOOKUP(A41,ETANCHEITE!Q$19:Q$164,ETANCHEITE!$A$19:$A$164,""),    INDEX(ETANCHEITE!$A:$A,MAX(_xlfn._xlws.FILTER(ROW(ETANCHEITE!$A$19:INDIRECT("'MENUISERIES EXTERIEURES'!$A" &amp; D41-1)),ETANCHEITE!$A$19:INDIRECT("'MENUISERIES EXTERIEURES'!$A" &amp; D41-1)&lt;&gt;"")))),"")&amp;"   "&amp;IFERROR(_xlfn.XLOOKUP(A41,ETANCHEITE!Q$19:Q$164,ETANCHEITE!$B$19:$B$164),"")&amp;IFERROR(_xlfn.XLOOKUP(A41,ETANCHEITE!Q$19:Q$164,ETANCHEITE!$C$19:$C$164),"")&amp;IFERROR(_xlfn.XLOOKUP(A41,ETANCHEITE!Q$19:Q$164,ETANCHEITE!$D$19:$D$164),"")&amp;IFERROR(_xlfn.XLOOKUP(A41,ETANCHEITE!Q$19:Q$164,ETANCHEITE!$E$19:$E$164),"")&amp;IFERROR(_xlfn.XLOOKUP(A41,ETANCHEITE!Q$19:Q$164,ETANCHEITE!$F$19:$F$164),"")</f>
        <v xml:space="preserve">   </v>
      </c>
      <c r="F41" s="168" t="str">
        <f>IFERROR(VLOOKUP(A41,ETANCHEITE!Q$19:S$164,2,FALSE),"")&amp;" "&amp;IFERROR(VLOOKUP(A41,ETANCHEITE!Q$19:S$164,3,FALSE),"")</f>
        <v xml:space="preserve"> </v>
      </c>
      <c r="G41" s="161" t="str">
        <f>IF(F41&lt;&gt;" ",'Feuille de Donnée'!$C$3,"")</f>
        <v/>
      </c>
      <c r="H41" s="232" t="str" cm="1">
        <f t="array" aca="1" ref="H41" ca="1">IFERROR(IF(_xlfn.XLOOKUP(A41,ETANCHEITE!Q$19:Q$89,ETANCHEITE!O$19:O$89,"")&lt;&gt;"",_xlfn.XLOOKUP(A41,ETANCHEITE!Q$19:Q$89,ETANCHEITE!O$19:O$89,""),    INDEX(ETANCHEITE!O:O,MAX(_xlfn._xlws.FILTER(ROW(ETANCHEITE!O$19:INDIRECT("'PEINTURE'!O" &amp; D41-1)),ETANCHEITE!O$19:INDIRECT("'PEINTURE'!O" &amp; D41-1)&lt;&gt;"")))),"")</f>
        <v/>
      </c>
      <c r="I41" s="233" t="str" cm="1">
        <f t="array" aca="1" ref="I41" ca="1">IFERROR(IF(_xlfn.XLOOKUP(A41,ETANCHEITE!Q$19:Q$89,ETANCHEITE!P$19:P$89,"")&lt;&gt;"",_xlfn.XLOOKUP(A41,ETANCHEITE!Q$19:Q$89,ETANCHEITE!P$19:P$89,""),    INDEX(ETANCHEITE!P:P,MAX(_xlfn._xlws.FILTER(ROW(ETANCHEITE!P$19:INDIRECT("'PEINTURE'!P" &amp; D41-1)),ETANCHEITE!P$19:INDIRECT("'PEINTURE'!P" &amp; D41-1)&lt;&gt;"")))),"")</f>
        <v/>
      </c>
      <c r="J41" s="158">
        <v>39</v>
      </c>
      <c r="K41" s="167" t="str">
        <f>IF(O41&lt;&gt;" ",ETANCHEITE!$D$5,"")</f>
        <v/>
      </c>
      <c r="L41" s="167" t="str">
        <f>IF(O41&lt;&gt;" ",ETANCHEITE!$D$8,"")</f>
        <v/>
      </c>
      <c r="M41" s="159" t="str">
        <f>IFERROR(MATCH(J41,ETANCHEITE!Z$19:Z$164,0)+18,"")</f>
        <v/>
      </c>
      <c r="N41" s="160" t="str" cm="1">
        <f t="array" aca="1" ref="N41" ca="1">IFERROR(IF(_xlfn.XLOOKUP(J41,ETANCHEITE!Z$19:Z$164,ETANCHEITE!$A$19:$A$164,"")&lt;&gt;"",_xlfn.XLOOKUP(J41,ETANCHEITE!Z$19:Z$164,ETANCHEITE!$A$19:$A$164,""),    INDEX(ETANCHEITE!$A:$A,MAX(_xlfn._xlws.FILTER(ROW(ETANCHEITE!$A$19:INDIRECT("'MENUISERIES EXTERIEURES'!$A" &amp; M41-1)),ETANCHEITE!$A$19:INDIRECT("'MENUISERIES EXTERIEURES'!$A" &amp; M41-1)&lt;&gt;"")))),"")&amp;"   "&amp;IFERROR(_xlfn.XLOOKUP(J41,ETANCHEITE!Z$19:Z$164,ETANCHEITE!$B$19:$B$164),"")&amp;IFERROR(_xlfn.XLOOKUP(J41,ETANCHEITE!Z$19:Z$164,ETANCHEITE!$C$19:$C$164),"")&amp;IFERROR(_xlfn.XLOOKUP(J41,ETANCHEITE!Z$19:Z$164,ETANCHEITE!$D$19:$D$164),"")&amp;IFERROR(_xlfn.XLOOKUP(J41,ETANCHEITE!Z$19:Z$164,ETANCHEITE!$E$19:$E$164),"")&amp;IFERROR(_xlfn.XLOOKUP(J41,ETANCHEITE!Z$19:Z$164,ETANCHEITE!$F$19:$F$164),"")</f>
        <v xml:space="preserve">   </v>
      </c>
      <c r="O41" s="168" t="str">
        <f>IFERROR(VLOOKUP(J41,ETANCHEITE!Z$19:AB$164,2,FALSE),"")&amp;" "&amp;IFERROR(VLOOKUP(J41,ETANCHEITE!Z$19:AB$164,3,FALSE),"")</f>
        <v xml:space="preserve"> </v>
      </c>
      <c r="P41" s="161" t="str">
        <f>IF(O41&lt;&gt;" ",'Feuille de Donnée'!$C$3,"")</f>
        <v/>
      </c>
      <c r="Q41" s="232" t="str" cm="1">
        <f t="array" aca="1" ref="Q41" ca="1">IFERROR(IF(_xlfn.XLOOKUP(J41,ETANCHEITE!Z$19:Z$89,ETANCHEITE!X$19:X$89,"")&lt;&gt;"",_xlfn.XLOOKUP(J41,ETANCHEITE!Z$19:Z$89,ETANCHEITE!X$19:X$89,""),    INDEX(ETANCHEITE!X:X,MAX(_xlfn._xlws.FILTER(ROW(ETANCHEITE!X$19:INDIRECT("'PEINTURE'!O" &amp; M41-1)),ETANCHEITE!X$19:INDIRECT("'PEINTURE'!O" &amp; M41-1)&lt;&gt;"")))),"")</f>
        <v/>
      </c>
      <c r="R41" s="233" t="str" cm="1">
        <f t="array" aca="1" ref="R41" ca="1">IFERROR(IF(_xlfn.XLOOKUP(J41,ETANCHEITE!Z$19:Z$89,ETANCHEITE!Y$19:Y$89,"")&lt;&gt;"",_xlfn.XLOOKUP(J41,ETANCHEITE!Z$19:Z$89,ETANCHEITE!Y$19:Y$89,""),    INDEX(ETANCHEITE!Y:Y,MAX(_xlfn._xlws.FILTER(ROW(ETANCHEITE!Y$19:INDIRECT("'PEINTURE'!P" &amp; M41-1)),ETANCHEITE!Y$19:INDIRECT("'PEINTURE'!P" &amp; M41-1)&lt;&gt;"")))),"")</f>
        <v/>
      </c>
      <c r="S41" s="158">
        <v>39</v>
      </c>
      <c r="T41" s="167" t="str">
        <f>IF(X41&lt;&gt;" ",ETANCHEITE!$D$5,"")</f>
        <v/>
      </c>
      <c r="U41" s="167" t="str">
        <f>IF(X41&lt;&gt;" ",ETANCHEITE!$D$8,"")</f>
        <v/>
      </c>
      <c r="V41" s="159" t="str">
        <f>IFERROR(MATCH(S41,ETANCHEITE!AI$19:AI$164,0)+18,"")</f>
        <v/>
      </c>
      <c r="W41" s="160" t="str" cm="1">
        <f t="array" aca="1" ref="W41" ca="1">IFERROR(IF(_xlfn.XLOOKUP(S41,ETANCHEITE!AI$19:AI$164,ETANCHEITE!$A$19:$A$164,"")&lt;&gt;"",_xlfn.XLOOKUP(S41,ETANCHEITE!AI$19:AI$164,ETANCHEITE!$A$19:$A$164,""),    INDEX(ETANCHEITE!$A:$A,MAX(_xlfn._xlws.FILTER(ROW(ETANCHEITE!$A$19:INDIRECT("'MENUISERIES EXTERIEURES'!$A" &amp; V41-1)),ETANCHEITE!$A$19:INDIRECT("'MENUISERIES EXTERIEURES'!$A" &amp; V41-1)&lt;&gt;"")))),"")&amp;"   "&amp;IFERROR(_xlfn.XLOOKUP(S41,ETANCHEITE!AI$19:AI$164,ETANCHEITE!$B$19:$B$164),"")&amp;IFERROR(_xlfn.XLOOKUP(S41,ETANCHEITE!AI$19:AI$164,ETANCHEITE!$C$19:$C$164),"")&amp;IFERROR(_xlfn.XLOOKUP(S41,ETANCHEITE!AI$19:AI$164,ETANCHEITE!$D$19:$D$164),"")&amp;IFERROR(_xlfn.XLOOKUP(S41,ETANCHEITE!AI$19:AI$164,ETANCHEITE!$E$19:$E$164),"")&amp;IFERROR(_xlfn.XLOOKUP(S41,ETANCHEITE!AI$19:AI$164,ETANCHEITE!$F$19:$F$164),"")</f>
        <v xml:space="preserve">   </v>
      </c>
      <c r="X41" s="168" t="str">
        <f>IFERROR(VLOOKUP(S41,ETANCHEITE!AI$19:AK$164,2,FALSE),"")&amp;" "&amp;IFERROR(VLOOKUP(S41,ETANCHEITE!AI$19:AK$164,3,FALSE),"")</f>
        <v xml:space="preserve"> </v>
      </c>
      <c r="Y41" s="161" t="str">
        <f>IF(X41&lt;&gt;" ",'Feuille de Donnée'!$C$3,"")</f>
        <v/>
      </c>
      <c r="Z41" s="232" t="str" cm="1">
        <f t="array" aca="1" ref="Z41" ca="1">IFERROR(IF(_xlfn.XLOOKUP(S41,ETANCHEITE!AI$19:AI$89,ETANCHEITE!AG$19:AG$89,"")&lt;&gt;"",_xlfn.XLOOKUP(S41,ETANCHEITE!AI$19:AI$89,ETANCHEITE!AG$19:AG$89,""),    INDEX(ETANCHEITE!AG:AG,MAX(_xlfn._xlws.FILTER(ROW(ETANCHEITE!AG$19:INDIRECT("'PEINTURE'!O" &amp; V41-1)),ETANCHEITE!AG$19:INDIRECT("'PEINTURE'!O" &amp; V41-1)&lt;&gt;"")))),"")</f>
        <v/>
      </c>
      <c r="AA41" s="233" t="str" cm="1">
        <f t="array" aca="1" ref="AA41" ca="1">IFERROR(IF(_xlfn.XLOOKUP(S41,ETANCHEITE!AI$19:AI$89,ETANCHEITE!AH$19:AH$89,"")&lt;&gt;"",_xlfn.XLOOKUP(S41,ETANCHEITE!AI$19:AI$89,ETANCHEITE!AH$19:AH$89,""),    INDEX(ETANCHEITE!AH:AH,MAX(_xlfn._xlws.FILTER(ROW(ETANCHEITE!AH$19:INDIRECT("'PEINTURE'!P" &amp; V41-1)),ETANCHEITE!AH$19:INDIRECT("'PEINTURE'!P" &amp; V41-1)&lt;&gt;"")))),"")</f>
        <v/>
      </c>
      <c r="AB41" s="158">
        <v>39</v>
      </c>
      <c r="AC41" s="167" t="str">
        <f>IF(AG41&lt;&gt;" ",ETANCHEITE!$D$5,"")</f>
        <v/>
      </c>
      <c r="AD41" s="167" t="str">
        <f>IF(AG41&lt;&gt;" ",ETANCHEITE!$D$8,"")</f>
        <v/>
      </c>
      <c r="AE41" s="159" t="str">
        <f>IFERROR(MATCH(AB41,ETANCHEITE!AR$19:AR$164,0)+18,"")</f>
        <v/>
      </c>
      <c r="AF41" s="160" t="str" cm="1">
        <f t="array" aca="1" ref="AF41" ca="1">IFERROR(IF(_xlfn.XLOOKUP(AB41,ETANCHEITE!AR$19:AR$164,ETANCHEITE!$A$19:$A$164,"")&lt;&gt;"",_xlfn.XLOOKUP(AB41,ETANCHEITE!AR$19:AR$164,ETANCHEITE!$A$19:$A$164,""),    INDEX(ETANCHEITE!$A:$A,MAX(_xlfn._xlws.FILTER(ROW(ETANCHEITE!$A$19:INDIRECT("'MENUISERIES EXTERIEURES'!$A" &amp; AE41-1)),ETANCHEITE!$A$19:INDIRECT("'MENUISERIES EXTERIEURES'!$A" &amp; AE41-1)&lt;&gt;"")))),"")&amp;"   "&amp;IFERROR(_xlfn.XLOOKUP(AB41,ETANCHEITE!AR$19:AR$164,ETANCHEITE!$B$19:$B$164),"")&amp;IFERROR(_xlfn.XLOOKUP(AB41,ETANCHEITE!AR$19:AR$164,ETANCHEITE!$C$19:$C$164),"")&amp;IFERROR(_xlfn.XLOOKUP(AB41,ETANCHEITE!AR$19:AR$164,ETANCHEITE!$D$19:$D$164),"")&amp;IFERROR(_xlfn.XLOOKUP(AB41,ETANCHEITE!AR$19:AR$164,ETANCHEITE!$E$19:$E$164),"")&amp;IFERROR(_xlfn.XLOOKUP(AB41,ETANCHEITE!AR$19:AR$164,ETANCHEITE!$F$19:$F$164),"")</f>
        <v xml:space="preserve">   </v>
      </c>
      <c r="AG41" s="168" t="str">
        <f>IFERROR(VLOOKUP(AB41,ETANCHEITE!AR$19:AT$164,2,FALSE),"")&amp;" "&amp;IFERROR(VLOOKUP(AB41,ETANCHEITE!AR$19:AT$164,3,FALSE),"")</f>
        <v xml:space="preserve"> </v>
      </c>
      <c r="AH41" s="161" t="str">
        <f>IF(AG41&lt;&gt;" ",'Feuille de Donnée'!$C$3,"")</f>
        <v/>
      </c>
      <c r="AI41" s="232" t="str" cm="1">
        <f t="array" aca="1" ref="AI41" ca="1">IFERROR(IF(_xlfn.XLOOKUP(AB41,ETANCHEITE!AR$19:AR$89,ETANCHEITE!AP$19:AP$89,"")&lt;&gt;"",_xlfn.XLOOKUP(AB41,ETANCHEITE!AR$19:AR$89,ETANCHEITE!AP$19:AP$89,""),    INDEX(ETANCHEITE!AP:AP,MAX(_xlfn._xlws.FILTER(ROW(ETANCHEITE!AP$19:INDIRECT("'PEINTURE'!O" &amp; AE41-1)),ETANCHEITE!AP$19:INDIRECT("'PEINTURE'!O" &amp; AE41-1)&lt;&gt;"")))),"")</f>
        <v/>
      </c>
      <c r="AJ41" s="233" t="str" cm="1">
        <f t="array" aca="1" ref="AJ41" ca="1">IFERROR(IF(_xlfn.XLOOKUP(AB41,ETANCHEITE!AR$19:AR$89,ETANCHEITE!AQ$19:AQ$89,"")&lt;&gt;"",_xlfn.XLOOKUP(AB41,ETANCHEITE!AR$19:AR$89,ETANCHEITE!AQ$19:AQ$89,""),    INDEX(ETANCHEITE!AQ:AQ,MAX(_xlfn._xlws.FILTER(ROW(ETANCHEITE!AQ$19:INDIRECT("'PEINTURE'!P" &amp; AE41-1)),ETANCHEITE!AQ$19:INDIRECT("'PEINTURE'!P" &amp; AE41-1)&lt;&gt;"")))),"")</f>
        <v/>
      </c>
      <c r="AK41" s="158">
        <v>39</v>
      </c>
      <c r="AL41" s="167" t="str">
        <f>IF(AP41&lt;&gt;" ",ETANCHEITE!$D$5,"")</f>
        <v/>
      </c>
      <c r="AM41" s="167" t="str">
        <f>IF(AP41&lt;&gt;" ",ETANCHEITE!$D$8,"")</f>
        <v/>
      </c>
      <c r="AN41" s="159" t="str">
        <f>IFERROR(MATCH(AK41,ETANCHEITE!BA$19:BA$164,0)+18,"")</f>
        <v/>
      </c>
      <c r="AO41" s="160" t="str" cm="1">
        <f t="array" aca="1" ref="AO41" ca="1">IFERROR(IF(_xlfn.XLOOKUP(AK41,ETANCHEITE!BA$19:BA$164,ETANCHEITE!$A$19:$A$164,"")&lt;&gt;"",_xlfn.XLOOKUP(AK41,ETANCHEITE!BA$19:BA$164,ETANCHEITE!$A$19:$A$164,""),    INDEX(ETANCHEITE!$A:$A,MAX(_xlfn._xlws.FILTER(ROW(ETANCHEITE!$A$19:INDIRECT("'MENUISERIES EXTERIEURES'!$A" &amp; AN41-1)),ETANCHEITE!$A$19:INDIRECT("'MENUISERIES EXTERIEURES'!$A" &amp; AN41-1)&lt;&gt;"")))),"")&amp;"   "&amp;IFERROR(_xlfn.XLOOKUP(AK41,ETANCHEITE!BA$19:BA$164,ETANCHEITE!$B$19:$B$164),"")&amp;IFERROR(_xlfn.XLOOKUP(AK41,ETANCHEITE!BA$19:BA$164,ETANCHEITE!$C$19:$C$164),"")&amp;IFERROR(_xlfn.XLOOKUP(AK41,ETANCHEITE!BA$19:BA$164,ETANCHEITE!$D$19:$D$164),"")&amp;IFERROR(_xlfn.XLOOKUP(AK41,ETANCHEITE!BA$19:BA$164,ETANCHEITE!$E$19:$E$164),"")&amp;IFERROR(_xlfn.XLOOKUP(AK41,ETANCHEITE!BA$19:BA$164,ETANCHEITE!$F$19:$F$164),"")</f>
        <v xml:space="preserve">   </v>
      </c>
      <c r="AP41" s="168" t="str">
        <f>IFERROR(VLOOKUP(AK41,ETANCHEITE!BA$19:BC$164,2,FALSE),"")&amp;" "&amp;IFERROR(VLOOKUP(AK41,ETANCHEITE!BA$19:BC$164,3,FALSE),"")</f>
        <v xml:space="preserve"> </v>
      </c>
      <c r="AQ41" s="161" t="str">
        <f>IF(AP41&lt;&gt;" ",'Feuille de Donnée'!$C$3,"")</f>
        <v/>
      </c>
      <c r="AR41" s="232" t="str" cm="1">
        <f t="array" aca="1" ref="AR41" ca="1">IFERROR(IF(_xlfn.XLOOKUP(AK41,ETANCHEITE!BA$19:BA$89,ETANCHEITE!AY$19:AY$89,"")&lt;&gt;"",_xlfn.XLOOKUP(AK41,ETANCHEITE!BA$19:BA$89,ETANCHEITE!AY$19:AY$89,""),    INDEX(ETANCHEITE!AY:AY,MAX(_xlfn._xlws.FILTER(ROW(ETANCHEITE!AY$19:INDIRECT("'PEINTURE'!O" &amp; AN41-1)),ETANCHEITE!AY$19:INDIRECT("'PEINTURE'!O" &amp; AN41-1)&lt;&gt;"")))),"")</f>
        <v/>
      </c>
      <c r="AS41" s="233" t="str" cm="1">
        <f t="array" aca="1" ref="AS41" ca="1">IFERROR(IF(_xlfn.XLOOKUP(AK41,ETANCHEITE!BA$19:BA$89,ETANCHEITE!AZ$19:AZ$89,"")&lt;&gt;"",_xlfn.XLOOKUP(AK41,ETANCHEITE!BA$19:BA$89,ETANCHEITE!AZ$19:AZ$89,""),    INDEX(ETANCHEITE!AZ:AZ,MAX(_xlfn._xlws.FILTER(ROW(ETANCHEITE!AZ$19:INDIRECT("'PEINTURE'!P" &amp; AN41-1)),ETANCHEITE!AZ$19:INDIRECT("'PEINTURE'!P" &amp; AN41-1)&lt;&gt;"")))),"")</f>
        <v/>
      </c>
      <c r="AT41" s="158">
        <v>39</v>
      </c>
      <c r="AU41" s="167" t="str">
        <f>IF(AY41&lt;&gt;" ",ETANCHEITE!$D$5,"")</f>
        <v/>
      </c>
      <c r="AV41" s="167" t="str">
        <f>IF(AY41&lt;&gt;" ",ETANCHEITE!$D$8,"")</f>
        <v/>
      </c>
      <c r="AW41" s="159" t="str">
        <f>IFERROR(MATCH(AT41,ETANCHEITE!BJ$19:BJ$164,0)+18,"")</f>
        <v/>
      </c>
      <c r="AX41" s="160" t="str" cm="1">
        <f t="array" aca="1" ref="AX41" ca="1">IFERROR(IF(_xlfn.XLOOKUP(AT41,ETANCHEITE!BJ$19:BJ$164,ETANCHEITE!$A$19:$A$164,"")&lt;&gt;"",_xlfn.XLOOKUP(AT41,ETANCHEITE!BJ$19:BJ$164,ETANCHEITE!$A$19:$A$164,""),    INDEX(ETANCHEITE!$A:$A,MAX(_xlfn._xlws.FILTER(ROW(ETANCHEITE!$A$19:INDIRECT("'MENUISERIES EXTERIEURES'!$A" &amp; AW41-1)),ETANCHEITE!$A$19:INDIRECT("'MENUISERIES EXTERIEURES'!$A" &amp; AW41-1)&lt;&gt;"")))),"")&amp;"   "&amp;IFERROR(_xlfn.XLOOKUP(AT41,ETANCHEITE!BJ$19:BJ$164,ETANCHEITE!$B$19:$B$164),"")&amp;IFERROR(_xlfn.XLOOKUP(AT41,ETANCHEITE!BJ$19:BJ$164,ETANCHEITE!$C$19:$C$164),"")&amp;IFERROR(_xlfn.XLOOKUP(AT41,ETANCHEITE!BJ$19:BJ$164,ETANCHEITE!$D$19:$D$164),"")&amp;IFERROR(_xlfn.XLOOKUP(AT41,ETANCHEITE!BJ$19:BJ$164,ETANCHEITE!$E$19:$E$164),"")&amp;IFERROR(_xlfn.XLOOKUP(AT41,ETANCHEITE!BJ$19:BJ$164,ETANCHEITE!$F$19:$F$164),"")</f>
        <v xml:space="preserve">   </v>
      </c>
      <c r="AY41" s="168" t="str">
        <f>IFERROR(VLOOKUP(AT41,ETANCHEITE!BJ$19:BL$164,2,FALSE),"")&amp;" "&amp;IFERROR(VLOOKUP(AT41,ETANCHEITE!BJ$19:BL$164,3,FALSE),"")</f>
        <v xml:space="preserve"> </v>
      </c>
      <c r="AZ41" s="161" t="str">
        <f>IF(AY41&lt;&gt;" ",'Feuille de Donnée'!$C$3,"")</f>
        <v/>
      </c>
      <c r="BA41" s="232" t="str" cm="1">
        <f t="array" aca="1" ref="BA41" ca="1">IFERROR(IF(_xlfn.XLOOKUP(AT41,ETANCHEITE!BJ$19:BJ$89,ETANCHEITE!BH$19:BH$89,"")&lt;&gt;"",_xlfn.XLOOKUP(AT41,ETANCHEITE!BJ$19:BJ$89,ETANCHEITE!BH$19:BH$89,""),    INDEX(ETANCHEITE!BH:BH,MAX(_xlfn._xlws.FILTER(ROW(ETANCHEITE!BH$19:INDIRECT("'PEINTURE'!O" &amp; AW41-1)),ETANCHEITE!BH$19:INDIRECT("'PEINTURE'!O" &amp; AW41-1)&lt;&gt;"")))),"")</f>
        <v/>
      </c>
      <c r="BB41" s="233" t="str" cm="1">
        <f t="array" aca="1" ref="BB41" ca="1">IFERROR(IF(_xlfn.XLOOKUP(AT41,ETANCHEITE!BJ$19:BJ$89,ETANCHEITE!BI$19:BI$89,"")&lt;&gt;"",_xlfn.XLOOKUP(AT41,ETANCHEITE!BJ$19:BJ$89,ETANCHEITE!BI$19:BI$89,""),    INDEX(ETANCHEITE!BI:BI,MAX(_xlfn._xlws.FILTER(ROW(ETANCHEITE!BI$19:INDIRECT("'PEINTURE'!P" &amp; AW41-1)),ETANCHEITE!BI$19:INDIRECT("'PEINTURE'!P" &amp; AW41-1)&lt;&gt;"")))),"")</f>
        <v/>
      </c>
    </row>
    <row r="42" spans="1:54" ht="16.5" customHeight="1" x14ac:dyDescent="0.3">
      <c r="A42" s="158">
        <v>40</v>
      </c>
      <c r="B42" s="167" t="str">
        <f>IF(F42&lt;&gt;" ",ETANCHEITE!$D$5,"")</f>
        <v/>
      </c>
      <c r="C42" s="167" t="str">
        <f>IF(F42&lt;&gt;" ",ETANCHEITE!$D$8,"")</f>
        <v/>
      </c>
      <c r="D42" s="159" t="str">
        <f>IFERROR(MATCH(A42,ETANCHEITE!Q$19:Q$164,0)+18,"")</f>
        <v/>
      </c>
      <c r="E42" s="160" t="str" cm="1">
        <f t="array" aca="1" ref="E42" ca="1">IFERROR(IF(_xlfn.XLOOKUP(A42,ETANCHEITE!Q$19:Q$164,ETANCHEITE!$A$19:$A$164,"")&lt;&gt;"",_xlfn.XLOOKUP(A42,ETANCHEITE!Q$19:Q$164,ETANCHEITE!$A$19:$A$164,""),    INDEX(ETANCHEITE!$A:$A,MAX(_xlfn._xlws.FILTER(ROW(ETANCHEITE!$A$19:INDIRECT("'MENUISERIES EXTERIEURES'!$A" &amp; D42-1)),ETANCHEITE!$A$19:INDIRECT("'MENUISERIES EXTERIEURES'!$A" &amp; D42-1)&lt;&gt;"")))),"")&amp;"   "&amp;IFERROR(_xlfn.XLOOKUP(A42,ETANCHEITE!Q$19:Q$164,ETANCHEITE!$B$19:$B$164),"")&amp;IFERROR(_xlfn.XLOOKUP(A42,ETANCHEITE!Q$19:Q$164,ETANCHEITE!$C$19:$C$164),"")&amp;IFERROR(_xlfn.XLOOKUP(A42,ETANCHEITE!Q$19:Q$164,ETANCHEITE!$D$19:$D$164),"")&amp;IFERROR(_xlfn.XLOOKUP(A42,ETANCHEITE!Q$19:Q$164,ETANCHEITE!$E$19:$E$164),"")&amp;IFERROR(_xlfn.XLOOKUP(A42,ETANCHEITE!Q$19:Q$164,ETANCHEITE!$F$19:$F$164),"")</f>
        <v xml:space="preserve">   </v>
      </c>
      <c r="F42" s="168" t="str">
        <f>IFERROR(VLOOKUP(A42,ETANCHEITE!Q$19:S$164,2,FALSE),"")&amp;" "&amp;IFERROR(VLOOKUP(A42,ETANCHEITE!Q$19:S$164,3,FALSE),"")</f>
        <v xml:space="preserve"> </v>
      </c>
      <c r="G42" s="161" t="str">
        <f>IF(F42&lt;&gt;" ",'Feuille de Donnée'!$C$3,"")</f>
        <v/>
      </c>
      <c r="H42" s="232" t="str" cm="1">
        <f t="array" aca="1" ref="H42" ca="1">IFERROR(IF(_xlfn.XLOOKUP(A42,ETANCHEITE!Q$19:Q$89,ETANCHEITE!O$19:O$89,"")&lt;&gt;"",_xlfn.XLOOKUP(A42,ETANCHEITE!Q$19:Q$89,ETANCHEITE!O$19:O$89,""),    INDEX(ETANCHEITE!O:O,MAX(_xlfn._xlws.FILTER(ROW(ETANCHEITE!O$19:INDIRECT("'PEINTURE'!O" &amp; D42-1)),ETANCHEITE!O$19:INDIRECT("'PEINTURE'!O" &amp; D42-1)&lt;&gt;"")))),"")</f>
        <v/>
      </c>
      <c r="I42" s="233" t="str" cm="1">
        <f t="array" aca="1" ref="I42" ca="1">IFERROR(IF(_xlfn.XLOOKUP(A42,ETANCHEITE!Q$19:Q$89,ETANCHEITE!P$19:P$89,"")&lt;&gt;"",_xlfn.XLOOKUP(A42,ETANCHEITE!Q$19:Q$89,ETANCHEITE!P$19:P$89,""),    INDEX(ETANCHEITE!P:P,MAX(_xlfn._xlws.FILTER(ROW(ETANCHEITE!P$19:INDIRECT("'PEINTURE'!P" &amp; D42-1)),ETANCHEITE!P$19:INDIRECT("'PEINTURE'!P" &amp; D42-1)&lt;&gt;"")))),"")</f>
        <v/>
      </c>
      <c r="J42" s="158">
        <v>40</v>
      </c>
      <c r="K42" s="167" t="str">
        <f>IF(O42&lt;&gt;" ",ETANCHEITE!$D$5,"")</f>
        <v/>
      </c>
      <c r="L42" s="167" t="str">
        <f>IF(O42&lt;&gt;" ",ETANCHEITE!$D$8,"")</f>
        <v/>
      </c>
      <c r="M42" s="159" t="str">
        <f>IFERROR(MATCH(J42,ETANCHEITE!Z$19:Z$164,0)+18,"")</f>
        <v/>
      </c>
      <c r="N42" s="160" t="str" cm="1">
        <f t="array" aca="1" ref="N42" ca="1">IFERROR(IF(_xlfn.XLOOKUP(J42,ETANCHEITE!Z$19:Z$164,ETANCHEITE!$A$19:$A$164,"")&lt;&gt;"",_xlfn.XLOOKUP(J42,ETANCHEITE!Z$19:Z$164,ETANCHEITE!$A$19:$A$164,""),    INDEX(ETANCHEITE!$A:$A,MAX(_xlfn._xlws.FILTER(ROW(ETANCHEITE!$A$19:INDIRECT("'MENUISERIES EXTERIEURES'!$A" &amp; M42-1)),ETANCHEITE!$A$19:INDIRECT("'MENUISERIES EXTERIEURES'!$A" &amp; M42-1)&lt;&gt;"")))),"")&amp;"   "&amp;IFERROR(_xlfn.XLOOKUP(J42,ETANCHEITE!Z$19:Z$164,ETANCHEITE!$B$19:$B$164),"")&amp;IFERROR(_xlfn.XLOOKUP(J42,ETANCHEITE!Z$19:Z$164,ETANCHEITE!$C$19:$C$164),"")&amp;IFERROR(_xlfn.XLOOKUP(J42,ETANCHEITE!Z$19:Z$164,ETANCHEITE!$D$19:$D$164),"")&amp;IFERROR(_xlfn.XLOOKUP(J42,ETANCHEITE!Z$19:Z$164,ETANCHEITE!$E$19:$E$164),"")&amp;IFERROR(_xlfn.XLOOKUP(J42,ETANCHEITE!Z$19:Z$164,ETANCHEITE!$F$19:$F$164),"")</f>
        <v xml:space="preserve">   </v>
      </c>
      <c r="O42" s="168" t="str">
        <f>IFERROR(VLOOKUP(J42,ETANCHEITE!Z$19:AB$164,2,FALSE),"")&amp;" "&amp;IFERROR(VLOOKUP(J42,ETANCHEITE!Z$19:AB$164,3,FALSE),"")</f>
        <v xml:space="preserve"> </v>
      </c>
      <c r="P42" s="161" t="str">
        <f>IF(O42&lt;&gt;" ",'Feuille de Donnée'!$C$3,"")</f>
        <v/>
      </c>
      <c r="Q42" s="232" t="str" cm="1">
        <f t="array" aca="1" ref="Q42" ca="1">IFERROR(IF(_xlfn.XLOOKUP(J42,ETANCHEITE!Z$19:Z$89,ETANCHEITE!X$19:X$89,"")&lt;&gt;"",_xlfn.XLOOKUP(J42,ETANCHEITE!Z$19:Z$89,ETANCHEITE!X$19:X$89,""),    INDEX(ETANCHEITE!X:X,MAX(_xlfn._xlws.FILTER(ROW(ETANCHEITE!X$19:INDIRECT("'PEINTURE'!O" &amp; M42-1)),ETANCHEITE!X$19:INDIRECT("'PEINTURE'!O" &amp; M42-1)&lt;&gt;"")))),"")</f>
        <v/>
      </c>
      <c r="R42" s="233" t="str" cm="1">
        <f t="array" aca="1" ref="R42" ca="1">IFERROR(IF(_xlfn.XLOOKUP(J42,ETANCHEITE!Z$19:Z$89,ETANCHEITE!Y$19:Y$89,"")&lt;&gt;"",_xlfn.XLOOKUP(J42,ETANCHEITE!Z$19:Z$89,ETANCHEITE!Y$19:Y$89,""),    INDEX(ETANCHEITE!Y:Y,MAX(_xlfn._xlws.FILTER(ROW(ETANCHEITE!Y$19:INDIRECT("'PEINTURE'!P" &amp; M42-1)),ETANCHEITE!Y$19:INDIRECT("'PEINTURE'!P" &amp; M42-1)&lt;&gt;"")))),"")</f>
        <v/>
      </c>
      <c r="S42" s="158">
        <v>40</v>
      </c>
      <c r="T42" s="167" t="str">
        <f>IF(X42&lt;&gt;" ",ETANCHEITE!$D$5,"")</f>
        <v/>
      </c>
      <c r="U42" s="167" t="str">
        <f>IF(X42&lt;&gt;" ",ETANCHEITE!$D$8,"")</f>
        <v/>
      </c>
      <c r="V42" s="159" t="str">
        <f>IFERROR(MATCH(S42,ETANCHEITE!AI$19:AI$164,0)+18,"")</f>
        <v/>
      </c>
      <c r="W42" s="160" t="str" cm="1">
        <f t="array" aca="1" ref="W42" ca="1">IFERROR(IF(_xlfn.XLOOKUP(S42,ETANCHEITE!AI$19:AI$164,ETANCHEITE!$A$19:$A$164,"")&lt;&gt;"",_xlfn.XLOOKUP(S42,ETANCHEITE!AI$19:AI$164,ETANCHEITE!$A$19:$A$164,""),    INDEX(ETANCHEITE!$A:$A,MAX(_xlfn._xlws.FILTER(ROW(ETANCHEITE!$A$19:INDIRECT("'MENUISERIES EXTERIEURES'!$A" &amp; V42-1)),ETANCHEITE!$A$19:INDIRECT("'MENUISERIES EXTERIEURES'!$A" &amp; V42-1)&lt;&gt;"")))),"")&amp;"   "&amp;IFERROR(_xlfn.XLOOKUP(S42,ETANCHEITE!AI$19:AI$164,ETANCHEITE!$B$19:$B$164),"")&amp;IFERROR(_xlfn.XLOOKUP(S42,ETANCHEITE!AI$19:AI$164,ETANCHEITE!$C$19:$C$164),"")&amp;IFERROR(_xlfn.XLOOKUP(S42,ETANCHEITE!AI$19:AI$164,ETANCHEITE!$D$19:$D$164),"")&amp;IFERROR(_xlfn.XLOOKUP(S42,ETANCHEITE!AI$19:AI$164,ETANCHEITE!$E$19:$E$164),"")&amp;IFERROR(_xlfn.XLOOKUP(S42,ETANCHEITE!AI$19:AI$164,ETANCHEITE!$F$19:$F$164),"")</f>
        <v xml:space="preserve">   </v>
      </c>
      <c r="X42" s="168" t="str">
        <f>IFERROR(VLOOKUP(S42,ETANCHEITE!AI$19:AK$164,2,FALSE),"")&amp;" "&amp;IFERROR(VLOOKUP(S42,ETANCHEITE!AI$19:AK$164,3,FALSE),"")</f>
        <v xml:space="preserve"> </v>
      </c>
      <c r="Y42" s="161" t="str">
        <f>IF(X42&lt;&gt;" ",'Feuille de Donnée'!$C$3,"")</f>
        <v/>
      </c>
      <c r="Z42" s="232" t="str" cm="1">
        <f t="array" aca="1" ref="Z42" ca="1">IFERROR(IF(_xlfn.XLOOKUP(S42,ETANCHEITE!AI$19:AI$89,ETANCHEITE!AG$19:AG$89,"")&lt;&gt;"",_xlfn.XLOOKUP(S42,ETANCHEITE!AI$19:AI$89,ETANCHEITE!AG$19:AG$89,""),    INDEX(ETANCHEITE!AG:AG,MAX(_xlfn._xlws.FILTER(ROW(ETANCHEITE!AG$19:INDIRECT("'PEINTURE'!O" &amp; V42-1)),ETANCHEITE!AG$19:INDIRECT("'PEINTURE'!O" &amp; V42-1)&lt;&gt;"")))),"")</f>
        <v/>
      </c>
      <c r="AA42" s="233" t="str" cm="1">
        <f t="array" aca="1" ref="AA42" ca="1">IFERROR(IF(_xlfn.XLOOKUP(S42,ETANCHEITE!AI$19:AI$89,ETANCHEITE!AH$19:AH$89,"")&lt;&gt;"",_xlfn.XLOOKUP(S42,ETANCHEITE!AI$19:AI$89,ETANCHEITE!AH$19:AH$89,""),    INDEX(ETANCHEITE!AH:AH,MAX(_xlfn._xlws.FILTER(ROW(ETANCHEITE!AH$19:INDIRECT("'PEINTURE'!P" &amp; V42-1)),ETANCHEITE!AH$19:INDIRECT("'PEINTURE'!P" &amp; V42-1)&lt;&gt;"")))),"")</f>
        <v/>
      </c>
      <c r="AB42" s="158">
        <v>40</v>
      </c>
      <c r="AC42" s="167" t="str">
        <f>IF(AG42&lt;&gt;" ",ETANCHEITE!$D$5,"")</f>
        <v/>
      </c>
      <c r="AD42" s="167" t="str">
        <f>IF(AG42&lt;&gt;" ",ETANCHEITE!$D$8,"")</f>
        <v/>
      </c>
      <c r="AE42" s="159" t="str">
        <f>IFERROR(MATCH(AB42,ETANCHEITE!AR$19:AR$164,0)+18,"")</f>
        <v/>
      </c>
      <c r="AF42" s="160" t="str" cm="1">
        <f t="array" aca="1" ref="AF42" ca="1">IFERROR(IF(_xlfn.XLOOKUP(AB42,ETANCHEITE!AR$19:AR$164,ETANCHEITE!$A$19:$A$164,"")&lt;&gt;"",_xlfn.XLOOKUP(AB42,ETANCHEITE!AR$19:AR$164,ETANCHEITE!$A$19:$A$164,""),    INDEX(ETANCHEITE!$A:$A,MAX(_xlfn._xlws.FILTER(ROW(ETANCHEITE!$A$19:INDIRECT("'MENUISERIES EXTERIEURES'!$A" &amp; AE42-1)),ETANCHEITE!$A$19:INDIRECT("'MENUISERIES EXTERIEURES'!$A" &amp; AE42-1)&lt;&gt;"")))),"")&amp;"   "&amp;IFERROR(_xlfn.XLOOKUP(AB42,ETANCHEITE!AR$19:AR$164,ETANCHEITE!$B$19:$B$164),"")&amp;IFERROR(_xlfn.XLOOKUP(AB42,ETANCHEITE!AR$19:AR$164,ETANCHEITE!$C$19:$C$164),"")&amp;IFERROR(_xlfn.XLOOKUP(AB42,ETANCHEITE!AR$19:AR$164,ETANCHEITE!$D$19:$D$164),"")&amp;IFERROR(_xlfn.XLOOKUP(AB42,ETANCHEITE!AR$19:AR$164,ETANCHEITE!$E$19:$E$164),"")&amp;IFERROR(_xlfn.XLOOKUP(AB42,ETANCHEITE!AR$19:AR$164,ETANCHEITE!$F$19:$F$164),"")</f>
        <v xml:space="preserve">   </v>
      </c>
      <c r="AG42" s="168" t="str">
        <f>IFERROR(VLOOKUP(AB42,ETANCHEITE!AR$19:AT$164,2,FALSE),"")&amp;" "&amp;IFERROR(VLOOKUP(AB42,ETANCHEITE!AR$19:AT$164,3,FALSE),"")</f>
        <v xml:space="preserve"> </v>
      </c>
      <c r="AH42" s="161" t="str">
        <f>IF(AG42&lt;&gt;" ",'Feuille de Donnée'!$C$3,"")</f>
        <v/>
      </c>
      <c r="AI42" s="232" t="str" cm="1">
        <f t="array" aca="1" ref="AI42" ca="1">IFERROR(IF(_xlfn.XLOOKUP(AB42,ETANCHEITE!AR$19:AR$89,ETANCHEITE!AP$19:AP$89,"")&lt;&gt;"",_xlfn.XLOOKUP(AB42,ETANCHEITE!AR$19:AR$89,ETANCHEITE!AP$19:AP$89,""),    INDEX(ETANCHEITE!AP:AP,MAX(_xlfn._xlws.FILTER(ROW(ETANCHEITE!AP$19:INDIRECT("'PEINTURE'!O" &amp; AE42-1)),ETANCHEITE!AP$19:INDIRECT("'PEINTURE'!O" &amp; AE42-1)&lt;&gt;"")))),"")</f>
        <v/>
      </c>
      <c r="AJ42" s="233" t="str" cm="1">
        <f t="array" aca="1" ref="AJ42" ca="1">IFERROR(IF(_xlfn.XLOOKUP(AB42,ETANCHEITE!AR$19:AR$89,ETANCHEITE!AQ$19:AQ$89,"")&lt;&gt;"",_xlfn.XLOOKUP(AB42,ETANCHEITE!AR$19:AR$89,ETANCHEITE!AQ$19:AQ$89,""),    INDEX(ETANCHEITE!AQ:AQ,MAX(_xlfn._xlws.FILTER(ROW(ETANCHEITE!AQ$19:INDIRECT("'PEINTURE'!P" &amp; AE42-1)),ETANCHEITE!AQ$19:INDIRECT("'PEINTURE'!P" &amp; AE42-1)&lt;&gt;"")))),"")</f>
        <v/>
      </c>
      <c r="AK42" s="158">
        <v>40</v>
      </c>
      <c r="AL42" s="167" t="str">
        <f>IF(AP42&lt;&gt;" ",ETANCHEITE!$D$5,"")</f>
        <v/>
      </c>
      <c r="AM42" s="167" t="str">
        <f>IF(AP42&lt;&gt;" ",ETANCHEITE!$D$8,"")</f>
        <v/>
      </c>
      <c r="AN42" s="159" t="str">
        <f>IFERROR(MATCH(AK42,ETANCHEITE!BA$19:BA$164,0)+18,"")</f>
        <v/>
      </c>
      <c r="AO42" s="160" t="str" cm="1">
        <f t="array" aca="1" ref="AO42" ca="1">IFERROR(IF(_xlfn.XLOOKUP(AK42,ETANCHEITE!BA$19:BA$164,ETANCHEITE!$A$19:$A$164,"")&lt;&gt;"",_xlfn.XLOOKUP(AK42,ETANCHEITE!BA$19:BA$164,ETANCHEITE!$A$19:$A$164,""),    INDEX(ETANCHEITE!$A:$A,MAX(_xlfn._xlws.FILTER(ROW(ETANCHEITE!$A$19:INDIRECT("'MENUISERIES EXTERIEURES'!$A" &amp; AN42-1)),ETANCHEITE!$A$19:INDIRECT("'MENUISERIES EXTERIEURES'!$A" &amp; AN42-1)&lt;&gt;"")))),"")&amp;"   "&amp;IFERROR(_xlfn.XLOOKUP(AK42,ETANCHEITE!BA$19:BA$164,ETANCHEITE!$B$19:$B$164),"")&amp;IFERROR(_xlfn.XLOOKUP(AK42,ETANCHEITE!BA$19:BA$164,ETANCHEITE!$C$19:$C$164),"")&amp;IFERROR(_xlfn.XLOOKUP(AK42,ETANCHEITE!BA$19:BA$164,ETANCHEITE!$D$19:$D$164),"")&amp;IFERROR(_xlfn.XLOOKUP(AK42,ETANCHEITE!BA$19:BA$164,ETANCHEITE!$E$19:$E$164),"")&amp;IFERROR(_xlfn.XLOOKUP(AK42,ETANCHEITE!BA$19:BA$164,ETANCHEITE!$F$19:$F$164),"")</f>
        <v xml:space="preserve">   </v>
      </c>
      <c r="AP42" s="168" t="str">
        <f>IFERROR(VLOOKUP(AK42,ETANCHEITE!BA$19:BC$164,2,FALSE),"")&amp;" "&amp;IFERROR(VLOOKUP(AK42,ETANCHEITE!BA$19:BC$164,3,FALSE),"")</f>
        <v xml:space="preserve"> </v>
      </c>
      <c r="AQ42" s="161" t="str">
        <f>IF(AP42&lt;&gt;" ",'Feuille de Donnée'!$C$3,"")</f>
        <v/>
      </c>
      <c r="AR42" s="232" t="str" cm="1">
        <f t="array" aca="1" ref="AR42" ca="1">IFERROR(IF(_xlfn.XLOOKUP(AK42,ETANCHEITE!BA$19:BA$89,ETANCHEITE!AY$19:AY$89,"")&lt;&gt;"",_xlfn.XLOOKUP(AK42,ETANCHEITE!BA$19:BA$89,ETANCHEITE!AY$19:AY$89,""),    INDEX(ETANCHEITE!AY:AY,MAX(_xlfn._xlws.FILTER(ROW(ETANCHEITE!AY$19:INDIRECT("'PEINTURE'!O" &amp; AN42-1)),ETANCHEITE!AY$19:INDIRECT("'PEINTURE'!O" &amp; AN42-1)&lt;&gt;"")))),"")</f>
        <v/>
      </c>
      <c r="AS42" s="233" t="str" cm="1">
        <f t="array" aca="1" ref="AS42" ca="1">IFERROR(IF(_xlfn.XLOOKUP(AK42,ETANCHEITE!BA$19:BA$89,ETANCHEITE!AZ$19:AZ$89,"")&lt;&gt;"",_xlfn.XLOOKUP(AK42,ETANCHEITE!BA$19:BA$89,ETANCHEITE!AZ$19:AZ$89,""),    INDEX(ETANCHEITE!AZ:AZ,MAX(_xlfn._xlws.FILTER(ROW(ETANCHEITE!AZ$19:INDIRECT("'PEINTURE'!P" &amp; AN42-1)),ETANCHEITE!AZ$19:INDIRECT("'PEINTURE'!P" &amp; AN42-1)&lt;&gt;"")))),"")</f>
        <v/>
      </c>
      <c r="AT42" s="158">
        <v>40</v>
      </c>
      <c r="AU42" s="167" t="str">
        <f>IF(AY42&lt;&gt;" ",ETANCHEITE!$D$5,"")</f>
        <v/>
      </c>
      <c r="AV42" s="167" t="str">
        <f>IF(AY42&lt;&gt;" ",ETANCHEITE!$D$8,"")</f>
        <v/>
      </c>
      <c r="AW42" s="159" t="str">
        <f>IFERROR(MATCH(AT42,ETANCHEITE!BJ$19:BJ$164,0)+18,"")</f>
        <v/>
      </c>
      <c r="AX42" s="160" t="str" cm="1">
        <f t="array" aca="1" ref="AX42" ca="1">IFERROR(IF(_xlfn.XLOOKUP(AT42,ETANCHEITE!BJ$19:BJ$164,ETANCHEITE!$A$19:$A$164,"")&lt;&gt;"",_xlfn.XLOOKUP(AT42,ETANCHEITE!BJ$19:BJ$164,ETANCHEITE!$A$19:$A$164,""),    INDEX(ETANCHEITE!$A:$A,MAX(_xlfn._xlws.FILTER(ROW(ETANCHEITE!$A$19:INDIRECT("'MENUISERIES EXTERIEURES'!$A" &amp; AW42-1)),ETANCHEITE!$A$19:INDIRECT("'MENUISERIES EXTERIEURES'!$A" &amp; AW42-1)&lt;&gt;"")))),"")&amp;"   "&amp;IFERROR(_xlfn.XLOOKUP(AT42,ETANCHEITE!BJ$19:BJ$164,ETANCHEITE!$B$19:$B$164),"")&amp;IFERROR(_xlfn.XLOOKUP(AT42,ETANCHEITE!BJ$19:BJ$164,ETANCHEITE!$C$19:$C$164),"")&amp;IFERROR(_xlfn.XLOOKUP(AT42,ETANCHEITE!BJ$19:BJ$164,ETANCHEITE!$D$19:$D$164),"")&amp;IFERROR(_xlfn.XLOOKUP(AT42,ETANCHEITE!BJ$19:BJ$164,ETANCHEITE!$E$19:$E$164),"")&amp;IFERROR(_xlfn.XLOOKUP(AT42,ETANCHEITE!BJ$19:BJ$164,ETANCHEITE!$F$19:$F$164),"")</f>
        <v xml:space="preserve">   </v>
      </c>
      <c r="AY42" s="168" t="str">
        <f>IFERROR(VLOOKUP(AT42,ETANCHEITE!BJ$19:BL$164,2,FALSE),"")&amp;" "&amp;IFERROR(VLOOKUP(AT42,ETANCHEITE!BJ$19:BL$164,3,FALSE),"")</f>
        <v xml:space="preserve"> </v>
      </c>
      <c r="AZ42" s="161" t="str">
        <f>IF(AY42&lt;&gt;" ",'Feuille de Donnée'!$C$3,"")</f>
        <v/>
      </c>
      <c r="BA42" s="232" t="str" cm="1">
        <f t="array" aca="1" ref="BA42" ca="1">IFERROR(IF(_xlfn.XLOOKUP(AT42,ETANCHEITE!BJ$19:BJ$89,ETANCHEITE!BH$19:BH$89,"")&lt;&gt;"",_xlfn.XLOOKUP(AT42,ETANCHEITE!BJ$19:BJ$89,ETANCHEITE!BH$19:BH$89,""),    INDEX(ETANCHEITE!BH:BH,MAX(_xlfn._xlws.FILTER(ROW(ETANCHEITE!BH$19:INDIRECT("'PEINTURE'!O" &amp; AW42-1)),ETANCHEITE!BH$19:INDIRECT("'PEINTURE'!O" &amp; AW42-1)&lt;&gt;"")))),"")</f>
        <v/>
      </c>
      <c r="BB42" s="233" t="str" cm="1">
        <f t="array" aca="1" ref="BB42" ca="1">IFERROR(IF(_xlfn.XLOOKUP(AT42,ETANCHEITE!BJ$19:BJ$89,ETANCHEITE!BI$19:BI$89,"")&lt;&gt;"",_xlfn.XLOOKUP(AT42,ETANCHEITE!BJ$19:BJ$89,ETANCHEITE!BI$19:BI$89,""),    INDEX(ETANCHEITE!BI:BI,MAX(_xlfn._xlws.FILTER(ROW(ETANCHEITE!BI$19:INDIRECT("'PEINTURE'!P" &amp; AW42-1)),ETANCHEITE!BI$19:INDIRECT("'PEINTURE'!P" &amp; AW42-1)&lt;&gt;"")))),"")</f>
        <v/>
      </c>
    </row>
    <row r="43" spans="1:54" ht="16.5" customHeight="1" x14ac:dyDescent="0.3">
      <c r="A43" s="158">
        <v>41</v>
      </c>
      <c r="B43" s="167" t="str">
        <f>IF(F43&lt;&gt;" ",ETANCHEITE!$D$5,"")</f>
        <v/>
      </c>
      <c r="C43" s="167" t="str">
        <f>IF(F43&lt;&gt;" ",ETANCHEITE!$D$8,"")</f>
        <v/>
      </c>
      <c r="D43" s="159" t="str">
        <f>IFERROR(MATCH(A43,ETANCHEITE!Q$19:Q$164,0)+18,"")</f>
        <v/>
      </c>
      <c r="E43" s="160" t="str" cm="1">
        <f t="array" aca="1" ref="E43" ca="1">IFERROR(IF(_xlfn.XLOOKUP(A43,ETANCHEITE!Q$19:Q$164,ETANCHEITE!$A$19:$A$164,"")&lt;&gt;"",_xlfn.XLOOKUP(A43,ETANCHEITE!Q$19:Q$164,ETANCHEITE!$A$19:$A$164,""),    INDEX(ETANCHEITE!$A:$A,MAX(_xlfn._xlws.FILTER(ROW(ETANCHEITE!$A$19:INDIRECT("'MENUISERIES EXTERIEURES'!$A" &amp; D43-1)),ETANCHEITE!$A$19:INDIRECT("'MENUISERIES EXTERIEURES'!$A" &amp; D43-1)&lt;&gt;"")))),"")&amp;"   "&amp;IFERROR(_xlfn.XLOOKUP(A43,ETANCHEITE!Q$19:Q$164,ETANCHEITE!$B$19:$B$164),"")&amp;IFERROR(_xlfn.XLOOKUP(A43,ETANCHEITE!Q$19:Q$164,ETANCHEITE!$C$19:$C$164),"")&amp;IFERROR(_xlfn.XLOOKUP(A43,ETANCHEITE!Q$19:Q$164,ETANCHEITE!$D$19:$D$164),"")&amp;IFERROR(_xlfn.XLOOKUP(A43,ETANCHEITE!Q$19:Q$164,ETANCHEITE!$E$19:$E$164),"")&amp;IFERROR(_xlfn.XLOOKUP(A43,ETANCHEITE!Q$19:Q$164,ETANCHEITE!$F$19:$F$164),"")</f>
        <v xml:space="preserve">   </v>
      </c>
      <c r="F43" s="168" t="str">
        <f>IFERROR(VLOOKUP(A43,ETANCHEITE!Q$19:S$164,2,FALSE),"")&amp;" "&amp;IFERROR(VLOOKUP(A43,ETANCHEITE!Q$19:S$164,3,FALSE),"")</f>
        <v xml:space="preserve"> </v>
      </c>
      <c r="G43" s="161" t="str">
        <f>IF(F43&lt;&gt;" ",'Feuille de Donnée'!$C$3,"")</f>
        <v/>
      </c>
      <c r="H43" s="232" t="str" cm="1">
        <f t="array" aca="1" ref="H43" ca="1">IFERROR(IF(_xlfn.XLOOKUP(A43,ETANCHEITE!Q$19:Q$89,ETANCHEITE!O$19:O$89,"")&lt;&gt;"",_xlfn.XLOOKUP(A43,ETANCHEITE!Q$19:Q$89,ETANCHEITE!O$19:O$89,""),    INDEX(ETANCHEITE!O:O,MAX(_xlfn._xlws.FILTER(ROW(ETANCHEITE!O$19:INDIRECT("'PEINTURE'!O" &amp; D43-1)),ETANCHEITE!O$19:INDIRECT("'PEINTURE'!O" &amp; D43-1)&lt;&gt;"")))),"")</f>
        <v/>
      </c>
      <c r="I43" s="233" t="str" cm="1">
        <f t="array" aca="1" ref="I43" ca="1">IFERROR(IF(_xlfn.XLOOKUP(A43,ETANCHEITE!Q$19:Q$89,ETANCHEITE!P$19:P$89,"")&lt;&gt;"",_xlfn.XLOOKUP(A43,ETANCHEITE!Q$19:Q$89,ETANCHEITE!P$19:P$89,""),    INDEX(ETANCHEITE!P:P,MAX(_xlfn._xlws.FILTER(ROW(ETANCHEITE!P$19:INDIRECT("'PEINTURE'!P" &amp; D43-1)),ETANCHEITE!P$19:INDIRECT("'PEINTURE'!P" &amp; D43-1)&lt;&gt;"")))),"")</f>
        <v/>
      </c>
      <c r="J43" s="158">
        <v>41</v>
      </c>
      <c r="K43" s="167" t="str">
        <f>IF(O43&lt;&gt;" ",ETANCHEITE!$D$5,"")</f>
        <v/>
      </c>
      <c r="L43" s="167" t="str">
        <f>IF(O43&lt;&gt;" ",ETANCHEITE!$D$8,"")</f>
        <v/>
      </c>
      <c r="M43" s="159" t="str">
        <f>IFERROR(MATCH(J43,ETANCHEITE!Z$19:Z$164,0)+18,"")</f>
        <v/>
      </c>
      <c r="N43" s="160" t="str" cm="1">
        <f t="array" aca="1" ref="N43" ca="1">IFERROR(IF(_xlfn.XLOOKUP(J43,ETANCHEITE!Z$19:Z$164,ETANCHEITE!$A$19:$A$164,"")&lt;&gt;"",_xlfn.XLOOKUP(J43,ETANCHEITE!Z$19:Z$164,ETANCHEITE!$A$19:$A$164,""),    INDEX(ETANCHEITE!$A:$A,MAX(_xlfn._xlws.FILTER(ROW(ETANCHEITE!$A$19:INDIRECT("'MENUISERIES EXTERIEURES'!$A" &amp; M43-1)),ETANCHEITE!$A$19:INDIRECT("'MENUISERIES EXTERIEURES'!$A" &amp; M43-1)&lt;&gt;"")))),"")&amp;"   "&amp;IFERROR(_xlfn.XLOOKUP(J43,ETANCHEITE!Z$19:Z$164,ETANCHEITE!$B$19:$B$164),"")&amp;IFERROR(_xlfn.XLOOKUP(J43,ETANCHEITE!Z$19:Z$164,ETANCHEITE!$C$19:$C$164),"")&amp;IFERROR(_xlfn.XLOOKUP(J43,ETANCHEITE!Z$19:Z$164,ETANCHEITE!$D$19:$D$164),"")&amp;IFERROR(_xlfn.XLOOKUP(J43,ETANCHEITE!Z$19:Z$164,ETANCHEITE!$E$19:$E$164),"")&amp;IFERROR(_xlfn.XLOOKUP(J43,ETANCHEITE!Z$19:Z$164,ETANCHEITE!$F$19:$F$164),"")</f>
        <v xml:space="preserve">   </v>
      </c>
      <c r="O43" s="168" t="str">
        <f>IFERROR(VLOOKUP(J43,ETANCHEITE!Z$19:AB$164,2,FALSE),"")&amp;" "&amp;IFERROR(VLOOKUP(J43,ETANCHEITE!Z$19:AB$164,3,FALSE),"")</f>
        <v xml:space="preserve"> </v>
      </c>
      <c r="P43" s="161" t="str">
        <f>IF(O43&lt;&gt;" ",'Feuille de Donnée'!$C$3,"")</f>
        <v/>
      </c>
      <c r="Q43" s="232" t="str" cm="1">
        <f t="array" aca="1" ref="Q43" ca="1">IFERROR(IF(_xlfn.XLOOKUP(J43,ETANCHEITE!Z$19:Z$89,ETANCHEITE!X$19:X$89,"")&lt;&gt;"",_xlfn.XLOOKUP(J43,ETANCHEITE!Z$19:Z$89,ETANCHEITE!X$19:X$89,""),    INDEX(ETANCHEITE!X:X,MAX(_xlfn._xlws.FILTER(ROW(ETANCHEITE!X$19:INDIRECT("'PEINTURE'!O" &amp; M43-1)),ETANCHEITE!X$19:INDIRECT("'PEINTURE'!O" &amp; M43-1)&lt;&gt;"")))),"")</f>
        <v/>
      </c>
      <c r="R43" s="233" t="str" cm="1">
        <f t="array" aca="1" ref="R43" ca="1">IFERROR(IF(_xlfn.XLOOKUP(J43,ETANCHEITE!Z$19:Z$89,ETANCHEITE!Y$19:Y$89,"")&lt;&gt;"",_xlfn.XLOOKUP(J43,ETANCHEITE!Z$19:Z$89,ETANCHEITE!Y$19:Y$89,""),    INDEX(ETANCHEITE!Y:Y,MAX(_xlfn._xlws.FILTER(ROW(ETANCHEITE!Y$19:INDIRECT("'PEINTURE'!P" &amp; M43-1)),ETANCHEITE!Y$19:INDIRECT("'PEINTURE'!P" &amp; M43-1)&lt;&gt;"")))),"")</f>
        <v/>
      </c>
      <c r="S43" s="158">
        <v>41</v>
      </c>
      <c r="T43" s="167" t="str">
        <f>IF(X43&lt;&gt;" ",ETANCHEITE!$D$5,"")</f>
        <v/>
      </c>
      <c r="U43" s="167" t="str">
        <f>IF(X43&lt;&gt;" ",ETANCHEITE!$D$8,"")</f>
        <v/>
      </c>
      <c r="V43" s="159" t="str">
        <f>IFERROR(MATCH(S43,ETANCHEITE!AI$19:AI$164,0)+18,"")</f>
        <v/>
      </c>
      <c r="W43" s="160" t="str" cm="1">
        <f t="array" aca="1" ref="W43" ca="1">IFERROR(IF(_xlfn.XLOOKUP(S43,ETANCHEITE!AI$19:AI$164,ETANCHEITE!$A$19:$A$164,"")&lt;&gt;"",_xlfn.XLOOKUP(S43,ETANCHEITE!AI$19:AI$164,ETANCHEITE!$A$19:$A$164,""),    INDEX(ETANCHEITE!$A:$A,MAX(_xlfn._xlws.FILTER(ROW(ETANCHEITE!$A$19:INDIRECT("'MENUISERIES EXTERIEURES'!$A" &amp; V43-1)),ETANCHEITE!$A$19:INDIRECT("'MENUISERIES EXTERIEURES'!$A" &amp; V43-1)&lt;&gt;"")))),"")&amp;"   "&amp;IFERROR(_xlfn.XLOOKUP(S43,ETANCHEITE!AI$19:AI$164,ETANCHEITE!$B$19:$B$164),"")&amp;IFERROR(_xlfn.XLOOKUP(S43,ETANCHEITE!AI$19:AI$164,ETANCHEITE!$C$19:$C$164),"")&amp;IFERROR(_xlfn.XLOOKUP(S43,ETANCHEITE!AI$19:AI$164,ETANCHEITE!$D$19:$D$164),"")&amp;IFERROR(_xlfn.XLOOKUP(S43,ETANCHEITE!AI$19:AI$164,ETANCHEITE!$E$19:$E$164),"")&amp;IFERROR(_xlfn.XLOOKUP(S43,ETANCHEITE!AI$19:AI$164,ETANCHEITE!$F$19:$F$164),"")</f>
        <v xml:space="preserve">   </v>
      </c>
      <c r="X43" s="168" t="str">
        <f>IFERROR(VLOOKUP(S43,ETANCHEITE!AI$19:AK$164,2,FALSE),"")&amp;" "&amp;IFERROR(VLOOKUP(S43,ETANCHEITE!AI$19:AK$164,3,FALSE),"")</f>
        <v xml:space="preserve"> </v>
      </c>
      <c r="Y43" s="161" t="str">
        <f>IF(X43&lt;&gt;" ",'Feuille de Donnée'!$C$3,"")</f>
        <v/>
      </c>
      <c r="Z43" s="232" t="str" cm="1">
        <f t="array" aca="1" ref="Z43" ca="1">IFERROR(IF(_xlfn.XLOOKUP(S43,ETANCHEITE!AI$19:AI$89,ETANCHEITE!AG$19:AG$89,"")&lt;&gt;"",_xlfn.XLOOKUP(S43,ETANCHEITE!AI$19:AI$89,ETANCHEITE!AG$19:AG$89,""),    INDEX(ETANCHEITE!AG:AG,MAX(_xlfn._xlws.FILTER(ROW(ETANCHEITE!AG$19:INDIRECT("'PEINTURE'!O" &amp; V43-1)),ETANCHEITE!AG$19:INDIRECT("'PEINTURE'!O" &amp; V43-1)&lt;&gt;"")))),"")</f>
        <v/>
      </c>
      <c r="AA43" s="233" t="str" cm="1">
        <f t="array" aca="1" ref="AA43" ca="1">IFERROR(IF(_xlfn.XLOOKUP(S43,ETANCHEITE!AI$19:AI$89,ETANCHEITE!AH$19:AH$89,"")&lt;&gt;"",_xlfn.XLOOKUP(S43,ETANCHEITE!AI$19:AI$89,ETANCHEITE!AH$19:AH$89,""),    INDEX(ETANCHEITE!AH:AH,MAX(_xlfn._xlws.FILTER(ROW(ETANCHEITE!AH$19:INDIRECT("'PEINTURE'!P" &amp; V43-1)),ETANCHEITE!AH$19:INDIRECT("'PEINTURE'!P" &amp; V43-1)&lt;&gt;"")))),"")</f>
        <v/>
      </c>
      <c r="AB43" s="158">
        <v>41</v>
      </c>
      <c r="AC43" s="167" t="str">
        <f>IF(AG43&lt;&gt;" ",ETANCHEITE!$D$5,"")</f>
        <v/>
      </c>
      <c r="AD43" s="167" t="str">
        <f>IF(AG43&lt;&gt;" ",ETANCHEITE!$D$8,"")</f>
        <v/>
      </c>
      <c r="AE43" s="159" t="str">
        <f>IFERROR(MATCH(AB43,ETANCHEITE!AR$19:AR$164,0)+18,"")</f>
        <v/>
      </c>
      <c r="AF43" s="160" t="str" cm="1">
        <f t="array" aca="1" ref="AF43" ca="1">IFERROR(IF(_xlfn.XLOOKUP(AB43,ETANCHEITE!AR$19:AR$164,ETANCHEITE!$A$19:$A$164,"")&lt;&gt;"",_xlfn.XLOOKUP(AB43,ETANCHEITE!AR$19:AR$164,ETANCHEITE!$A$19:$A$164,""),    INDEX(ETANCHEITE!$A:$A,MAX(_xlfn._xlws.FILTER(ROW(ETANCHEITE!$A$19:INDIRECT("'MENUISERIES EXTERIEURES'!$A" &amp; AE43-1)),ETANCHEITE!$A$19:INDIRECT("'MENUISERIES EXTERIEURES'!$A" &amp; AE43-1)&lt;&gt;"")))),"")&amp;"   "&amp;IFERROR(_xlfn.XLOOKUP(AB43,ETANCHEITE!AR$19:AR$164,ETANCHEITE!$B$19:$B$164),"")&amp;IFERROR(_xlfn.XLOOKUP(AB43,ETANCHEITE!AR$19:AR$164,ETANCHEITE!$C$19:$C$164),"")&amp;IFERROR(_xlfn.XLOOKUP(AB43,ETANCHEITE!AR$19:AR$164,ETANCHEITE!$D$19:$D$164),"")&amp;IFERROR(_xlfn.XLOOKUP(AB43,ETANCHEITE!AR$19:AR$164,ETANCHEITE!$E$19:$E$164),"")&amp;IFERROR(_xlfn.XLOOKUP(AB43,ETANCHEITE!AR$19:AR$164,ETANCHEITE!$F$19:$F$164),"")</f>
        <v xml:space="preserve">   </v>
      </c>
      <c r="AG43" s="168" t="str">
        <f>IFERROR(VLOOKUP(AB43,ETANCHEITE!AR$19:AT$164,2,FALSE),"")&amp;" "&amp;IFERROR(VLOOKUP(AB43,ETANCHEITE!AR$19:AT$164,3,FALSE),"")</f>
        <v xml:space="preserve"> </v>
      </c>
      <c r="AH43" s="161" t="str">
        <f>IF(AG43&lt;&gt;" ",'Feuille de Donnée'!$C$3,"")</f>
        <v/>
      </c>
      <c r="AI43" s="232" t="str" cm="1">
        <f t="array" aca="1" ref="AI43" ca="1">IFERROR(IF(_xlfn.XLOOKUP(AB43,ETANCHEITE!AR$19:AR$89,ETANCHEITE!AP$19:AP$89,"")&lt;&gt;"",_xlfn.XLOOKUP(AB43,ETANCHEITE!AR$19:AR$89,ETANCHEITE!AP$19:AP$89,""),    INDEX(ETANCHEITE!AP:AP,MAX(_xlfn._xlws.FILTER(ROW(ETANCHEITE!AP$19:INDIRECT("'PEINTURE'!O" &amp; AE43-1)),ETANCHEITE!AP$19:INDIRECT("'PEINTURE'!O" &amp; AE43-1)&lt;&gt;"")))),"")</f>
        <v/>
      </c>
      <c r="AJ43" s="233" t="str" cm="1">
        <f t="array" aca="1" ref="AJ43" ca="1">IFERROR(IF(_xlfn.XLOOKUP(AB43,ETANCHEITE!AR$19:AR$89,ETANCHEITE!AQ$19:AQ$89,"")&lt;&gt;"",_xlfn.XLOOKUP(AB43,ETANCHEITE!AR$19:AR$89,ETANCHEITE!AQ$19:AQ$89,""),    INDEX(ETANCHEITE!AQ:AQ,MAX(_xlfn._xlws.FILTER(ROW(ETANCHEITE!AQ$19:INDIRECT("'PEINTURE'!P" &amp; AE43-1)),ETANCHEITE!AQ$19:INDIRECT("'PEINTURE'!P" &amp; AE43-1)&lt;&gt;"")))),"")</f>
        <v/>
      </c>
      <c r="AK43" s="158">
        <v>41</v>
      </c>
      <c r="AL43" s="167" t="str">
        <f>IF(AP43&lt;&gt;" ",ETANCHEITE!$D$5,"")</f>
        <v/>
      </c>
      <c r="AM43" s="167" t="str">
        <f>IF(AP43&lt;&gt;" ",ETANCHEITE!$D$8,"")</f>
        <v/>
      </c>
      <c r="AN43" s="159" t="str">
        <f>IFERROR(MATCH(AK43,ETANCHEITE!BA$19:BA$164,0)+18,"")</f>
        <v/>
      </c>
      <c r="AO43" s="160" t="str" cm="1">
        <f t="array" aca="1" ref="AO43" ca="1">IFERROR(IF(_xlfn.XLOOKUP(AK43,ETANCHEITE!BA$19:BA$164,ETANCHEITE!$A$19:$A$164,"")&lt;&gt;"",_xlfn.XLOOKUP(AK43,ETANCHEITE!BA$19:BA$164,ETANCHEITE!$A$19:$A$164,""),    INDEX(ETANCHEITE!$A:$A,MAX(_xlfn._xlws.FILTER(ROW(ETANCHEITE!$A$19:INDIRECT("'MENUISERIES EXTERIEURES'!$A" &amp; AN43-1)),ETANCHEITE!$A$19:INDIRECT("'MENUISERIES EXTERIEURES'!$A" &amp; AN43-1)&lt;&gt;"")))),"")&amp;"   "&amp;IFERROR(_xlfn.XLOOKUP(AK43,ETANCHEITE!BA$19:BA$164,ETANCHEITE!$B$19:$B$164),"")&amp;IFERROR(_xlfn.XLOOKUP(AK43,ETANCHEITE!BA$19:BA$164,ETANCHEITE!$C$19:$C$164),"")&amp;IFERROR(_xlfn.XLOOKUP(AK43,ETANCHEITE!BA$19:BA$164,ETANCHEITE!$D$19:$D$164),"")&amp;IFERROR(_xlfn.XLOOKUP(AK43,ETANCHEITE!BA$19:BA$164,ETANCHEITE!$E$19:$E$164),"")&amp;IFERROR(_xlfn.XLOOKUP(AK43,ETANCHEITE!BA$19:BA$164,ETANCHEITE!$F$19:$F$164),"")</f>
        <v xml:space="preserve">   </v>
      </c>
      <c r="AP43" s="168" t="str">
        <f>IFERROR(VLOOKUP(AK43,ETANCHEITE!BA$19:BC$164,2,FALSE),"")&amp;" "&amp;IFERROR(VLOOKUP(AK43,ETANCHEITE!BA$19:BC$164,3,FALSE),"")</f>
        <v xml:space="preserve"> </v>
      </c>
      <c r="AQ43" s="161" t="str">
        <f>IF(AP43&lt;&gt;" ",'Feuille de Donnée'!$C$3,"")</f>
        <v/>
      </c>
      <c r="AR43" s="232" t="str" cm="1">
        <f t="array" aca="1" ref="AR43" ca="1">IFERROR(IF(_xlfn.XLOOKUP(AK43,ETANCHEITE!BA$19:BA$89,ETANCHEITE!AY$19:AY$89,"")&lt;&gt;"",_xlfn.XLOOKUP(AK43,ETANCHEITE!BA$19:BA$89,ETANCHEITE!AY$19:AY$89,""),    INDEX(ETANCHEITE!AY:AY,MAX(_xlfn._xlws.FILTER(ROW(ETANCHEITE!AY$19:INDIRECT("'PEINTURE'!O" &amp; AN43-1)),ETANCHEITE!AY$19:INDIRECT("'PEINTURE'!O" &amp; AN43-1)&lt;&gt;"")))),"")</f>
        <v/>
      </c>
      <c r="AS43" s="233" t="str" cm="1">
        <f t="array" aca="1" ref="AS43" ca="1">IFERROR(IF(_xlfn.XLOOKUP(AK43,ETANCHEITE!BA$19:BA$89,ETANCHEITE!AZ$19:AZ$89,"")&lt;&gt;"",_xlfn.XLOOKUP(AK43,ETANCHEITE!BA$19:BA$89,ETANCHEITE!AZ$19:AZ$89,""),    INDEX(ETANCHEITE!AZ:AZ,MAX(_xlfn._xlws.FILTER(ROW(ETANCHEITE!AZ$19:INDIRECT("'PEINTURE'!P" &amp; AN43-1)),ETANCHEITE!AZ$19:INDIRECT("'PEINTURE'!P" &amp; AN43-1)&lt;&gt;"")))),"")</f>
        <v/>
      </c>
      <c r="AT43" s="158">
        <v>41</v>
      </c>
      <c r="AU43" s="167" t="str">
        <f>IF(AY43&lt;&gt;" ",ETANCHEITE!$D$5,"")</f>
        <v/>
      </c>
      <c r="AV43" s="167" t="str">
        <f>IF(AY43&lt;&gt;" ",ETANCHEITE!$D$8,"")</f>
        <v/>
      </c>
      <c r="AW43" s="159" t="str">
        <f>IFERROR(MATCH(AT43,ETANCHEITE!BJ$19:BJ$164,0)+18,"")</f>
        <v/>
      </c>
      <c r="AX43" s="160" t="str" cm="1">
        <f t="array" aca="1" ref="AX43" ca="1">IFERROR(IF(_xlfn.XLOOKUP(AT43,ETANCHEITE!BJ$19:BJ$164,ETANCHEITE!$A$19:$A$164,"")&lt;&gt;"",_xlfn.XLOOKUP(AT43,ETANCHEITE!BJ$19:BJ$164,ETANCHEITE!$A$19:$A$164,""),    INDEX(ETANCHEITE!$A:$A,MAX(_xlfn._xlws.FILTER(ROW(ETANCHEITE!$A$19:INDIRECT("'MENUISERIES EXTERIEURES'!$A" &amp; AW43-1)),ETANCHEITE!$A$19:INDIRECT("'MENUISERIES EXTERIEURES'!$A" &amp; AW43-1)&lt;&gt;"")))),"")&amp;"   "&amp;IFERROR(_xlfn.XLOOKUP(AT43,ETANCHEITE!BJ$19:BJ$164,ETANCHEITE!$B$19:$B$164),"")&amp;IFERROR(_xlfn.XLOOKUP(AT43,ETANCHEITE!BJ$19:BJ$164,ETANCHEITE!$C$19:$C$164),"")&amp;IFERROR(_xlfn.XLOOKUP(AT43,ETANCHEITE!BJ$19:BJ$164,ETANCHEITE!$D$19:$D$164),"")&amp;IFERROR(_xlfn.XLOOKUP(AT43,ETANCHEITE!BJ$19:BJ$164,ETANCHEITE!$E$19:$E$164),"")&amp;IFERROR(_xlfn.XLOOKUP(AT43,ETANCHEITE!BJ$19:BJ$164,ETANCHEITE!$F$19:$F$164),"")</f>
        <v xml:space="preserve">   </v>
      </c>
      <c r="AY43" s="168" t="str">
        <f>IFERROR(VLOOKUP(AT43,ETANCHEITE!BJ$19:BL$164,2,FALSE),"")&amp;" "&amp;IFERROR(VLOOKUP(AT43,ETANCHEITE!BJ$19:BL$164,3,FALSE),"")</f>
        <v xml:space="preserve"> </v>
      </c>
      <c r="AZ43" s="161" t="str">
        <f>IF(AY43&lt;&gt;" ",'Feuille de Donnée'!$C$3,"")</f>
        <v/>
      </c>
      <c r="BA43" s="232" t="str" cm="1">
        <f t="array" aca="1" ref="BA43" ca="1">IFERROR(IF(_xlfn.XLOOKUP(AT43,ETANCHEITE!BJ$19:BJ$89,ETANCHEITE!BH$19:BH$89,"")&lt;&gt;"",_xlfn.XLOOKUP(AT43,ETANCHEITE!BJ$19:BJ$89,ETANCHEITE!BH$19:BH$89,""),    INDEX(ETANCHEITE!BH:BH,MAX(_xlfn._xlws.FILTER(ROW(ETANCHEITE!BH$19:INDIRECT("'PEINTURE'!O" &amp; AW43-1)),ETANCHEITE!BH$19:INDIRECT("'PEINTURE'!O" &amp; AW43-1)&lt;&gt;"")))),"")</f>
        <v/>
      </c>
      <c r="BB43" s="233" t="str" cm="1">
        <f t="array" aca="1" ref="BB43" ca="1">IFERROR(IF(_xlfn.XLOOKUP(AT43,ETANCHEITE!BJ$19:BJ$89,ETANCHEITE!BI$19:BI$89,"")&lt;&gt;"",_xlfn.XLOOKUP(AT43,ETANCHEITE!BJ$19:BJ$89,ETANCHEITE!BI$19:BI$89,""),    INDEX(ETANCHEITE!BI:BI,MAX(_xlfn._xlws.FILTER(ROW(ETANCHEITE!BI$19:INDIRECT("'PEINTURE'!P" &amp; AW43-1)),ETANCHEITE!BI$19:INDIRECT("'PEINTURE'!P" &amp; AW43-1)&lt;&gt;"")))),"")</f>
        <v/>
      </c>
    </row>
    <row r="44" spans="1:54" ht="16.5" customHeight="1" x14ac:dyDescent="0.3">
      <c r="A44" s="158">
        <v>42</v>
      </c>
      <c r="B44" s="167" t="str">
        <f>IF(F44&lt;&gt;" ",ETANCHEITE!$D$5,"")</f>
        <v/>
      </c>
      <c r="C44" s="167" t="str">
        <f>IF(F44&lt;&gt;" ",ETANCHEITE!$D$8,"")</f>
        <v/>
      </c>
      <c r="D44" s="159" t="str">
        <f>IFERROR(MATCH(A44,ETANCHEITE!Q$19:Q$164,0)+18,"")</f>
        <v/>
      </c>
      <c r="E44" s="160" t="str" cm="1">
        <f t="array" aca="1" ref="E44" ca="1">IFERROR(IF(_xlfn.XLOOKUP(A44,ETANCHEITE!Q$19:Q$164,ETANCHEITE!$A$19:$A$164,"")&lt;&gt;"",_xlfn.XLOOKUP(A44,ETANCHEITE!Q$19:Q$164,ETANCHEITE!$A$19:$A$164,""),    INDEX(ETANCHEITE!$A:$A,MAX(_xlfn._xlws.FILTER(ROW(ETANCHEITE!$A$19:INDIRECT("'MENUISERIES EXTERIEURES'!$A" &amp; D44-1)),ETANCHEITE!$A$19:INDIRECT("'MENUISERIES EXTERIEURES'!$A" &amp; D44-1)&lt;&gt;"")))),"")&amp;"   "&amp;IFERROR(_xlfn.XLOOKUP(A44,ETANCHEITE!Q$19:Q$164,ETANCHEITE!$B$19:$B$164),"")&amp;IFERROR(_xlfn.XLOOKUP(A44,ETANCHEITE!Q$19:Q$164,ETANCHEITE!$C$19:$C$164),"")&amp;IFERROR(_xlfn.XLOOKUP(A44,ETANCHEITE!Q$19:Q$164,ETANCHEITE!$D$19:$D$164),"")&amp;IFERROR(_xlfn.XLOOKUP(A44,ETANCHEITE!Q$19:Q$164,ETANCHEITE!$E$19:$E$164),"")&amp;IFERROR(_xlfn.XLOOKUP(A44,ETANCHEITE!Q$19:Q$164,ETANCHEITE!$F$19:$F$164),"")</f>
        <v xml:space="preserve">   </v>
      </c>
      <c r="F44" s="168" t="str">
        <f>IFERROR(VLOOKUP(A44,ETANCHEITE!Q$19:S$164,2,FALSE),"")&amp;" "&amp;IFERROR(VLOOKUP(A44,ETANCHEITE!Q$19:S$164,3,FALSE),"")</f>
        <v xml:space="preserve"> </v>
      </c>
      <c r="G44" s="161" t="str">
        <f>IF(F44&lt;&gt;" ",'Feuille de Donnée'!$C$3,"")</f>
        <v/>
      </c>
      <c r="H44" s="232" t="str" cm="1">
        <f t="array" aca="1" ref="H44" ca="1">IFERROR(IF(_xlfn.XLOOKUP(A44,ETANCHEITE!Q$19:Q$89,ETANCHEITE!O$19:O$89,"")&lt;&gt;"",_xlfn.XLOOKUP(A44,ETANCHEITE!Q$19:Q$89,ETANCHEITE!O$19:O$89,""),    INDEX(ETANCHEITE!O:O,MAX(_xlfn._xlws.FILTER(ROW(ETANCHEITE!O$19:INDIRECT("'PEINTURE'!O" &amp; D44-1)),ETANCHEITE!O$19:INDIRECT("'PEINTURE'!O" &amp; D44-1)&lt;&gt;"")))),"")</f>
        <v/>
      </c>
      <c r="I44" s="233" t="str" cm="1">
        <f t="array" aca="1" ref="I44" ca="1">IFERROR(IF(_xlfn.XLOOKUP(A44,ETANCHEITE!Q$19:Q$89,ETANCHEITE!P$19:P$89,"")&lt;&gt;"",_xlfn.XLOOKUP(A44,ETANCHEITE!Q$19:Q$89,ETANCHEITE!P$19:P$89,""),    INDEX(ETANCHEITE!P:P,MAX(_xlfn._xlws.FILTER(ROW(ETANCHEITE!P$19:INDIRECT("'PEINTURE'!P" &amp; D44-1)),ETANCHEITE!P$19:INDIRECT("'PEINTURE'!P" &amp; D44-1)&lt;&gt;"")))),"")</f>
        <v/>
      </c>
      <c r="J44" s="158">
        <v>42</v>
      </c>
      <c r="K44" s="167" t="str">
        <f>IF(O44&lt;&gt;" ",ETANCHEITE!$D$5,"")</f>
        <v/>
      </c>
      <c r="L44" s="167" t="str">
        <f>IF(O44&lt;&gt;" ",ETANCHEITE!$D$8,"")</f>
        <v/>
      </c>
      <c r="M44" s="159" t="str">
        <f>IFERROR(MATCH(J44,ETANCHEITE!Z$19:Z$164,0)+18,"")</f>
        <v/>
      </c>
      <c r="N44" s="160" t="str" cm="1">
        <f t="array" aca="1" ref="N44" ca="1">IFERROR(IF(_xlfn.XLOOKUP(J44,ETANCHEITE!Z$19:Z$164,ETANCHEITE!$A$19:$A$164,"")&lt;&gt;"",_xlfn.XLOOKUP(J44,ETANCHEITE!Z$19:Z$164,ETANCHEITE!$A$19:$A$164,""),    INDEX(ETANCHEITE!$A:$A,MAX(_xlfn._xlws.FILTER(ROW(ETANCHEITE!$A$19:INDIRECT("'MENUISERIES EXTERIEURES'!$A" &amp; M44-1)),ETANCHEITE!$A$19:INDIRECT("'MENUISERIES EXTERIEURES'!$A" &amp; M44-1)&lt;&gt;"")))),"")&amp;"   "&amp;IFERROR(_xlfn.XLOOKUP(J44,ETANCHEITE!Z$19:Z$164,ETANCHEITE!$B$19:$B$164),"")&amp;IFERROR(_xlfn.XLOOKUP(J44,ETANCHEITE!Z$19:Z$164,ETANCHEITE!$C$19:$C$164),"")&amp;IFERROR(_xlfn.XLOOKUP(J44,ETANCHEITE!Z$19:Z$164,ETANCHEITE!$D$19:$D$164),"")&amp;IFERROR(_xlfn.XLOOKUP(J44,ETANCHEITE!Z$19:Z$164,ETANCHEITE!$E$19:$E$164),"")&amp;IFERROR(_xlfn.XLOOKUP(J44,ETANCHEITE!Z$19:Z$164,ETANCHEITE!$F$19:$F$164),"")</f>
        <v xml:space="preserve">   </v>
      </c>
      <c r="O44" s="168" t="str">
        <f>IFERROR(VLOOKUP(J44,ETANCHEITE!Z$19:AB$164,2,FALSE),"")&amp;" "&amp;IFERROR(VLOOKUP(J44,ETANCHEITE!Z$19:AB$164,3,FALSE),"")</f>
        <v xml:space="preserve"> </v>
      </c>
      <c r="P44" s="161" t="str">
        <f>IF(O44&lt;&gt;" ",'Feuille de Donnée'!$C$3,"")</f>
        <v/>
      </c>
      <c r="Q44" s="232" t="str" cm="1">
        <f t="array" aca="1" ref="Q44" ca="1">IFERROR(IF(_xlfn.XLOOKUP(J44,ETANCHEITE!Z$19:Z$89,ETANCHEITE!X$19:X$89,"")&lt;&gt;"",_xlfn.XLOOKUP(J44,ETANCHEITE!Z$19:Z$89,ETANCHEITE!X$19:X$89,""),    INDEX(ETANCHEITE!X:X,MAX(_xlfn._xlws.FILTER(ROW(ETANCHEITE!X$19:INDIRECT("'PEINTURE'!O" &amp; M44-1)),ETANCHEITE!X$19:INDIRECT("'PEINTURE'!O" &amp; M44-1)&lt;&gt;"")))),"")</f>
        <v/>
      </c>
      <c r="R44" s="233" t="str" cm="1">
        <f t="array" aca="1" ref="R44" ca="1">IFERROR(IF(_xlfn.XLOOKUP(J44,ETANCHEITE!Z$19:Z$89,ETANCHEITE!Y$19:Y$89,"")&lt;&gt;"",_xlfn.XLOOKUP(J44,ETANCHEITE!Z$19:Z$89,ETANCHEITE!Y$19:Y$89,""),    INDEX(ETANCHEITE!Y:Y,MAX(_xlfn._xlws.FILTER(ROW(ETANCHEITE!Y$19:INDIRECT("'PEINTURE'!P" &amp; M44-1)),ETANCHEITE!Y$19:INDIRECT("'PEINTURE'!P" &amp; M44-1)&lt;&gt;"")))),"")</f>
        <v/>
      </c>
      <c r="S44" s="158">
        <v>42</v>
      </c>
      <c r="T44" s="167" t="str">
        <f>IF(X44&lt;&gt;" ",ETANCHEITE!$D$5,"")</f>
        <v/>
      </c>
      <c r="U44" s="167" t="str">
        <f>IF(X44&lt;&gt;" ",ETANCHEITE!$D$8,"")</f>
        <v/>
      </c>
      <c r="V44" s="159" t="str">
        <f>IFERROR(MATCH(S44,ETANCHEITE!AI$19:AI$164,0)+18,"")</f>
        <v/>
      </c>
      <c r="W44" s="160" t="str" cm="1">
        <f t="array" aca="1" ref="W44" ca="1">IFERROR(IF(_xlfn.XLOOKUP(S44,ETANCHEITE!AI$19:AI$164,ETANCHEITE!$A$19:$A$164,"")&lt;&gt;"",_xlfn.XLOOKUP(S44,ETANCHEITE!AI$19:AI$164,ETANCHEITE!$A$19:$A$164,""),    INDEX(ETANCHEITE!$A:$A,MAX(_xlfn._xlws.FILTER(ROW(ETANCHEITE!$A$19:INDIRECT("'MENUISERIES EXTERIEURES'!$A" &amp; V44-1)),ETANCHEITE!$A$19:INDIRECT("'MENUISERIES EXTERIEURES'!$A" &amp; V44-1)&lt;&gt;"")))),"")&amp;"   "&amp;IFERROR(_xlfn.XLOOKUP(S44,ETANCHEITE!AI$19:AI$164,ETANCHEITE!$B$19:$B$164),"")&amp;IFERROR(_xlfn.XLOOKUP(S44,ETANCHEITE!AI$19:AI$164,ETANCHEITE!$C$19:$C$164),"")&amp;IFERROR(_xlfn.XLOOKUP(S44,ETANCHEITE!AI$19:AI$164,ETANCHEITE!$D$19:$D$164),"")&amp;IFERROR(_xlfn.XLOOKUP(S44,ETANCHEITE!AI$19:AI$164,ETANCHEITE!$E$19:$E$164),"")&amp;IFERROR(_xlfn.XLOOKUP(S44,ETANCHEITE!AI$19:AI$164,ETANCHEITE!$F$19:$F$164),"")</f>
        <v xml:space="preserve">   </v>
      </c>
      <c r="X44" s="168" t="str">
        <f>IFERROR(VLOOKUP(S44,ETANCHEITE!AI$19:AK$164,2,FALSE),"")&amp;" "&amp;IFERROR(VLOOKUP(S44,ETANCHEITE!AI$19:AK$164,3,FALSE),"")</f>
        <v xml:space="preserve"> </v>
      </c>
      <c r="Y44" s="161" t="str">
        <f>IF(X44&lt;&gt;" ",'Feuille de Donnée'!$C$3,"")</f>
        <v/>
      </c>
      <c r="Z44" s="232" t="str" cm="1">
        <f t="array" aca="1" ref="Z44" ca="1">IFERROR(IF(_xlfn.XLOOKUP(S44,ETANCHEITE!AI$19:AI$89,ETANCHEITE!AG$19:AG$89,"")&lt;&gt;"",_xlfn.XLOOKUP(S44,ETANCHEITE!AI$19:AI$89,ETANCHEITE!AG$19:AG$89,""),    INDEX(ETANCHEITE!AG:AG,MAX(_xlfn._xlws.FILTER(ROW(ETANCHEITE!AG$19:INDIRECT("'PEINTURE'!O" &amp; V44-1)),ETANCHEITE!AG$19:INDIRECT("'PEINTURE'!O" &amp; V44-1)&lt;&gt;"")))),"")</f>
        <v/>
      </c>
      <c r="AA44" s="233" t="str" cm="1">
        <f t="array" aca="1" ref="AA44" ca="1">IFERROR(IF(_xlfn.XLOOKUP(S44,ETANCHEITE!AI$19:AI$89,ETANCHEITE!AH$19:AH$89,"")&lt;&gt;"",_xlfn.XLOOKUP(S44,ETANCHEITE!AI$19:AI$89,ETANCHEITE!AH$19:AH$89,""),    INDEX(ETANCHEITE!AH:AH,MAX(_xlfn._xlws.FILTER(ROW(ETANCHEITE!AH$19:INDIRECT("'PEINTURE'!P" &amp; V44-1)),ETANCHEITE!AH$19:INDIRECT("'PEINTURE'!P" &amp; V44-1)&lt;&gt;"")))),"")</f>
        <v/>
      </c>
      <c r="AB44" s="158">
        <v>42</v>
      </c>
      <c r="AC44" s="167" t="str">
        <f>IF(AG44&lt;&gt;" ",ETANCHEITE!$D$5,"")</f>
        <v/>
      </c>
      <c r="AD44" s="167" t="str">
        <f>IF(AG44&lt;&gt;" ",ETANCHEITE!$D$8,"")</f>
        <v/>
      </c>
      <c r="AE44" s="159" t="str">
        <f>IFERROR(MATCH(AB44,ETANCHEITE!AR$19:AR$164,0)+18,"")</f>
        <v/>
      </c>
      <c r="AF44" s="160" t="str" cm="1">
        <f t="array" aca="1" ref="AF44" ca="1">IFERROR(IF(_xlfn.XLOOKUP(AB44,ETANCHEITE!AR$19:AR$164,ETANCHEITE!$A$19:$A$164,"")&lt;&gt;"",_xlfn.XLOOKUP(AB44,ETANCHEITE!AR$19:AR$164,ETANCHEITE!$A$19:$A$164,""),    INDEX(ETANCHEITE!$A:$A,MAX(_xlfn._xlws.FILTER(ROW(ETANCHEITE!$A$19:INDIRECT("'MENUISERIES EXTERIEURES'!$A" &amp; AE44-1)),ETANCHEITE!$A$19:INDIRECT("'MENUISERIES EXTERIEURES'!$A" &amp; AE44-1)&lt;&gt;"")))),"")&amp;"   "&amp;IFERROR(_xlfn.XLOOKUP(AB44,ETANCHEITE!AR$19:AR$164,ETANCHEITE!$B$19:$B$164),"")&amp;IFERROR(_xlfn.XLOOKUP(AB44,ETANCHEITE!AR$19:AR$164,ETANCHEITE!$C$19:$C$164),"")&amp;IFERROR(_xlfn.XLOOKUP(AB44,ETANCHEITE!AR$19:AR$164,ETANCHEITE!$D$19:$D$164),"")&amp;IFERROR(_xlfn.XLOOKUP(AB44,ETANCHEITE!AR$19:AR$164,ETANCHEITE!$E$19:$E$164),"")&amp;IFERROR(_xlfn.XLOOKUP(AB44,ETANCHEITE!AR$19:AR$164,ETANCHEITE!$F$19:$F$164),"")</f>
        <v xml:space="preserve">   </v>
      </c>
      <c r="AG44" s="168" t="str">
        <f>IFERROR(VLOOKUP(AB44,ETANCHEITE!AR$19:AT$164,2,FALSE),"")&amp;" "&amp;IFERROR(VLOOKUP(AB44,ETANCHEITE!AR$19:AT$164,3,FALSE),"")</f>
        <v xml:space="preserve"> </v>
      </c>
      <c r="AH44" s="161" t="str">
        <f>IF(AG44&lt;&gt;" ",'Feuille de Donnée'!$C$3,"")</f>
        <v/>
      </c>
      <c r="AI44" s="232" t="str" cm="1">
        <f t="array" aca="1" ref="AI44" ca="1">IFERROR(IF(_xlfn.XLOOKUP(AB44,ETANCHEITE!AR$19:AR$89,ETANCHEITE!AP$19:AP$89,"")&lt;&gt;"",_xlfn.XLOOKUP(AB44,ETANCHEITE!AR$19:AR$89,ETANCHEITE!AP$19:AP$89,""),    INDEX(ETANCHEITE!AP:AP,MAX(_xlfn._xlws.FILTER(ROW(ETANCHEITE!AP$19:INDIRECT("'PEINTURE'!O" &amp; AE44-1)),ETANCHEITE!AP$19:INDIRECT("'PEINTURE'!O" &amp; AE44-1)&lt;&gt;"")))),"")</f>
        <v/>
      </c>
      <c r="AJ44" s="233" t="str" cm="1">
        <f t="array" aca="1" ref="AJ44" ca="1">IFERROR(IF(_xlfn.XLOOKUP(AB44,ETANCHEITE!AR$19:AR$89,ETANCHEITE!AQ$19:AQ$89,"")&lt;&gt;"",_xlfn.XLOOKUP(AB44,ETANCHEITE!AR$19:AR$89,ETANCHEITE!AQ$19:AQ$89,""),    INDEX(ETANCHEITE!AQ:AQ,MAX(_xlfn._xlws.FILTER(ROW(ETANCHEITE!AQ$19:INDIRECT("'PEINTURE'!P" &amp; AE44-1)),ETANCHEITE!AQ$19:INDIRECT("'PEINTURE'!P" &amp; AE44-1)&lt;&gt;"")))),"")</f>
        <v/>
      </c>
      <c r="AK44" s="158">
        <v>42</v>
      </c>
      <c r="AL44" s="167" t="str">
        <f>IF(AP44&lt;&gt;" ",ETANCHEITE!$D$5,"")</f>
        <v/>
      </c>
      <c r="AM44" s="167" t="str">
        <f>IF(AP44&lt;&gt;" ",ETANCHEITE!$D$8,"")</f>
        <v/>
      </c>
      <c r="AN44" s="159" t="str">
        <f>IFERROR(MATCH(AK44,ETANCHEITE!BA$19:BA$164,0)+18,"")</f>
        <v/>
      </c>
      <c r="AO44" s="160" t="str" cm="1">
        <f t="array" aca="1" ref="AO44" ca="1">IFERROR(IF(_xlfn.XLOOKUP(AK44,ETANCHEITE!BA$19:BA$164,ETANCHEITE!$A$19:$A$164,"")&lt;&gt;"",_xlfn.XLOOKUP(AK44,ETANCHEITE!BA$19:BA$164,ETANCHEITE!$A$19:$A$164,""),    INDEX(ETANCHEITE!$A:$A,MAX(_xlfn._xlws.FILTER(ROW(ETANCHEITE!$A$19:INDIRECT("'MENUISERIES EXTERIEURES'!$A" &amp; AN44-1)),ETANCHEITE!$A$19:INDIRECT("'MENUISERIES EXTERIEURES'!$A" &amp; AN44-1)&lt;&gt;"")))),"")&amp;"   "&amp;IFERROR(_xlfn.XLOOKUP(AK44,ETANCHEITE!BA$19:BA$164,ETANCHEITE!$B$19:$B$164),"")&amp;IFERROR(_xlfn.XLOOKUP(AK44,ETANCHEITE!BA$19:BA$164,ETANCHEITE!$C$19:$C$164),"")&amp;IFERROR(_xlfn.XLOOKUP(AK44,ETANCHEITE!BA$19:BA$164,ETANCHEITE!$D$19:$D$164),"")&amp;IFERROR(_xlfn.XLOOKUP(AK44,ETANCHEITE!BA$19:BA$164,ETANCHEITE!$E$19:$E$164),"")&amp;IFERROR(_xlfn.XLOOKUP(AK44,ETANCHEITE!BA$19:BA$164,ETANCHEITE!$F$19:$F$164),"")</f>
        <v xml:space="preserve">   </v>
      </c>
      <c r="AP44" s="168" t="str">
        <f>IFERROR(VLOOKUP(AK44,ETANCHEITE!BA$19:BC$164,2,FALSE),"")&amp;" "&amp;IFERROR(VLOOKUP(AK44,ETANCHEITE!BA$19:BC$164,3,FALSE),"")</f>
        <v xml:space="preserve"> </v>
      </c>
      <c r="AQ44" s="161" t="str">
        <f>IF(AP44&lt;&gt;" ",'Feuille de Donnée'!$C$3,"")</f>
        <v/>
      </c>
      <c r="AR44" s="232" t="str" cm="1">
        <f t="array" aca="1" ref="AR44" ca="1">IFERROR(IF(_xlfn.XLOOKUP(AK44,ETANCHEITE!BA$19:BA$89,ETANCHEITE!AY$19:AY$89,"")&lt;&gt;"",_xlfn.XLOOKUP(AK44,ETANCHEITE!BA$19:BA$89,ETANCHEITE!AY$19:AY$89,""),    INDEX(ETANCHEITE!AY:AY,MAX(_xlfn._xlws.FILTER(ROW(ETANCHEITE!AY$19:INDIRECT("'PEINTURE'!O" &amp; AN44-1)),ETANCHEITE!AY$19:INDIRECT("'PEINTURE'!O" &amp; AN44-1)&lt;&gt;"")))),"")</f>
        <v/>
      </c>
      <c r="AS44" s="233" t="str" cm="1">
        <f t="array" aca="1" ref="AS44" ca="1">IFERROR(IF(_xlfn.XLOOKUP(AK44,ETANCHEITE!BA$19:BA$89,ETANCHEITE!AZ$19:AZ$89,"")&lt;&gt;"",_xlfn.XLOOKUP(AK44,ETANCHEITE!BA$19:BA$89,ETANCHEITE!AZ$19:AZ$89,""),    INDEX(ETANCHEITE!AZ:AZ,MAX(_xlfn._xlws.FILTER(ROW(ETANCHEITE!AZ$19:INDIRECT("'PEINTURE'!P" &amp; AN44-1)),ETANCHEITE!AZ$19:INDIRECT("'PEINTURE'!P" &amp; AN44-1)&lt;&gt;"")))),"")</f>
        <v/>
      </c>
      <c r="AT44" s="158">
        <v>42</v>
      </c>
      <c r="AU44" s="167" t="str">
        <f>IF(AY44&lt;&gt;" ",ETANCHEITE!$D$5,"")</f>
        <v/>
      </c>
      <c r="AV44" s="167" t="str">
        <f>IF(AY44&lt;&gt;" ",ETANCHEITE!$D$8,"")</f>
        <v/>
      </c>
      <c r="AW44" s="159" t="str">
        <f>IFERROR(MATCH(AT44,ETANCHEITE!BJ$19:BJ$164,0)+18,"")</f>
        <v/>
      </c>
      <c r="AX44" s="160" t="str" cm="1">
        <f t="array" aca="1" ref="AX44" ca="1">IFERROR(IF(_xlfn.XLOOKUP(AT44,ETANCHEITE!BJ$19:BJ$164,ETANCHEITE!$A$19:$A$164,"")&lt;&gt;"",_xlfn.XLOOKUP(AT44,ETANCHEITE!BJ$19:BJ$164,ETANCHEITE!$A$19:$A$164,""),    INDEX(ETANCHEITE!$A:$A,MAX(_xlfn._xlws.FILTER(ROW(ETANCHEITE!$A$19:INDIRECT("'MENUISERIES EXTERIEURES'!$A" &amp; AW44-1)),ETANCHEITE!$A$19:INDIRECT("'MENUISERIES EXTERIEURES'!$A" &amp; AW44-1)&lt;&gt;"")))),"")&amp;"   "&amp;IFERROR(_xlfn.XLOOKUP(AT44,ETANCHEITE!BJ$19:BJ$164,ETANCHEITE!$B$19:$B$164),"")&amp;IFERROR(_xlfn.XLOOKUP(AT44,ETANCHEITE!BJ$19:BJ$164,ETANCHEITE!$C$19:$C$164),"")&amp;IFERROR(_xlfn.XLOOKUP(AT44,ETANCHEITE!BJ$19:BJ$164,ETANCHEITE!$D$19:$D$164),"")&amp;IFERROR(_xlfn.XLOOKUP(AT44,ETANCHEITE!BJ$19:BJ$164,ETANCHEITE!$E$19:$E$164),"")&amp;IFERROR(_xlfn.XLOOKUP(AT44,ETANCHEITE!BJ$19:BJ$164,ETANCHEITE!$F$19:$F$164),"")</f>
        <v xml:space="preserve">   </v>
      </c>
      <c r="AY44" s="168" t="str">
        <f>IFERROR(VLOOKUP(AT44,ETANCHEITE!BJ$19:BL$164,2,FALSE),"")&amp;" "&amp;IFERROR(VLOOKUP(AT44,ETANCHEITE!BJ$19:BL$164,3,FALSE),"")</f>
        <v xml:space="preserve"> </v>
      </c>
      <c r="AZ44" s="161" t="str">
        <f>IF(AY44&lt;&gt;" ",'Feuille de Donnée'!$C$3,"")</f>
        <v/>
      </c>
      <c r="BA44" s="232" t="str" cm="1">
        <f t="array" aca="1" ref="BA44" ca="1">IFERROR(IF(_xlfn.XLOOKUP(AT44,ETANCHEITE!BJ$19:BJ$89,ETANCHEITE!BH$19:BH$89,"")&lt;&gt;"",_xlfn.XLOOKUP(AT44,ETANCHEITE!BJ$19:BJ$89,ETANCHEITE!BH$19:BH$89,""),    INDEX(ETANCHEITE!BH:BH,MAX(_xlfn._xlws.FILTER(ROW(ETANCHEITE!BH$19:INDIRECT("'PEINTURE'!O" &amp; AW44-1)),ETANCHEITE!BH$19:INDIRECT("'PEINTURE'!O" &amp; AW44-1)&lt;&gt;"")))),"")</f>
        <v/>
      </c>
      <c r="BB44" s="233" t="str" cm="1">
        <f t="array" aca="1" ref="BB44" ca="1">IFERROR(IF(_xlfn.XLOOKUP(AT44,ETANCHEITE!BJ$19:BJ$89,ETANCHEITE!BI$19:BI$89,"")&lt;&gt;"",_xlfn.XLOOKUP(AT44,ETANCHEITE!BJ$19:BJ$89,ETANCHEITE!BI$19:BI$89,""),    INDEX(ETANCHEITE!BI:BI,MAX(_xlfn._xlws.FILTER(ROW(ETANCHEITE!BI$19:INDIRECT("'PEINTURE'!P" &amp; AW44-1)),ETANCHEITE!BI$19:INDIRECT("'PEINTURE'!P" &amp; AW44-1)&lt;&gt;"")))),"")</f>
        <v/>
      </c>
    </row>
    <row r="45" spans="1:54" ht="16.5" customHeight="1" x14ac:dyDescent="0.3">
      <c r="A45" s="158">
        <v>43</v>
      </c>
      <c r="B45" s="167" t="str">
        <f>IF(F45&lt;&gt;" ",ETANCHEITE!$D$5,"")</f>
        <v/>
      </c>
      <c r="C45" s="167" t="str">
        <f>IF(F45&lt;&gt;" ",ETANCHEITE!$D$8,"")</f>
        <v/>
      </c>
      <c r="D45" s="159" t="str">
        <f>IFERROR(MATCH(A45,ETANCHEITE!Q$19:Q$164,0)+18,"")</f>
        <v/>
      </c>
      <c r="E45" s="160" t="str" cm="1">
        <f t="array" aca="1" ref="E45" ca="1">IFERROR(IF(_xlfn.XLOOKUP(A45,ETANCHEITE!Q$19:Q$164,ETANCHEITE!$A$19:$A$164,"")&lt;&gt;"",_xlfn.XLOOKUP(A45,ETANCHEITE!Q$19:Q$164,ETANCHEITE!$A$19:$A$164,""),    INDEX(ETANCHEITE!$A:$A,MAX(_xlfn._xlws.FILTER(ROW(ETANCHEITE!$A$19:INDIRECT("'MENUISERIES EXTERIEURES'!$A" &amp; D45-1)),ETANCHEITE!$A$19:INDIRECT("'MENUISERIES EXTERIEURES'!$A" &amp; D45-1)&lt;&gt;"")))),"")&amp;"   "&amp;IFERROR(_xlfn.XLOOKUP(A45,ETANCHEITE!Q$19:Q$164,ETANCHEITE!$B$19:$B$164),"")&amp;IFERROR(_xlfn.XLOOKUP(A45,ETANCHEITE!Q$19:Q$164,ETANCHEITE!$C$19:$C$164),"")&amp;IFERROR(_xlfn.XLOOKUP(A45,ETANCHEITE!Q$19:Q$164,ETANCHEITE!$D$19:$D$164),"")&amp;IFERROR(_xlfn.XLOOKUP(A45,ETANCHEITE!Q$19:Q$164,ETANCHEITE!$E$19:$E$164),"")&amp;IFERROR(_xlfn.XLOOKUP(A45,ETANCHEITE!Q$19:Q$164,ETANCHEITE!$F$19:$F$164),"")</f>
        <v xml:space="preserve">   </v>
      </c>
      <c r="F45" s="168" t="str">
        <f>IFERROR(VLOOKUP(A45,ETANCHEITE!Q$19:S$164,2,FALSE),"")&amp;" "&amp;IFERROR(VLOOKUP(A45,ETANCHEITE!Q$19:S$164,3,FALSE),"")</f>
        <v xml:space="preserve"> </v>
      </c>
      <c r="G45" s="161" t="str">
        <f>IF(F45&lt;&gt;" ",'Feuille de Donnée'!$C$3,"")</f>
        <v/>
      </c>
      <c r="H45" s="232" t="str" cm="1">
        <f t="array" aca="1" ref="H45" ca="1">IFERROR(IF(_xlfn.XLOOKUP(A45,ETANCHEITE!Q$19:Q$89,ETANCHEITE!O$19:O$89,"")&lt;&gt;"",_xlfn.XLOOKUP(A45,ETANCHEITE!Q$19:Q$89,ETANCHEITE!O$19:O$89,""),    INDEX(ETANCHEITE!O:O,MAX(_xlfn._xlws.FILTER(ROW(ETANCHEITE!O$19:INDIRECT("'PEINTURE'!O" &amp; D45-1)),ETANCHEITE!O$19:INDIRECT("'PEINTURE'!O" &amp; D45-1)&lt;&gt;"")))),"")</f>
        <v/>
      </c>
      <c r="I45" s="233" t="str" cm="1">
        <f t="array" aca="1" ref="I45" ca="1">IFERROR(IF(_xlfn.XLOOKUP(A45,ETANCHEITE!Q$19:Q$89,ETANCHEITE!P$19:P$89,"")&lt;&gt;"",_xlfn.XLOOKUP(A45,ETANCHEITE!Q$19:Q$89,ETANCHEITE!P$19:P$89,""),    INDEX(ETANCHEITE!P:P,MAX(_xlfn._xlws.FILTER(ROW(ETANCHEITE!P$19:INDIRECT("'PEINTURE'!P" &amp; D45-1)),ETANCHEITE!P$19:INDIRECT("'PEINTURE'!P" &amp; D45-1)&lt;&gt;"")))),"")</f>
        <v/>
      </c>
      <c r="J45" s="158">
        <v>43</v>
      </c>
      <c r="K45" s="167" t="str">
        <f>IF(O45&lt;&gt;" ",ETANCHEITE!$D$5,"")</f>
        <v/>
      </c>
      <c r="L45" s="167" t="str">
        <f>IF(O45&lt;&gt;" ",ETANCHEITE!$D$8,"")</f>
        <v/>
      </c>
      <c r="M45" s="159" t="str">
        <f>IFERROR(MATCH(J45,ETANCHEITE!Z$19:Z$164,0)+18,"")</f>
        <v/>
      </c>
      <c r="N45" s="160" t="str" cm="1">
        <f t="array" aca="1" ref="N45" ca="1">IFERROR(IF(_xlfn.XLOOKUP(J45,ETANCHEITE!Z$19:Z$164,ETANCHEITE!$A$19:$A$164,"")&lt;&gt;"",_xlfn.XLOOKUP(J45,ETANCHEITE!Z$19:Z$164,ETANCHEITE!$A$19:$A$164,""),    INDEX(ETANCHEITE!$A:$A,MAX(_xlfn._xlws.FILTER(ROW(ETANCHEITE!$A$19:INDIRECT("'MENUISERIES EXTERIEURES'!$A" &amp; M45-1)),ETANCHEITE!$A$19:INDIRECT("'MENUISERIES EXTERIEURES'!$A" &amp; M45-1)&lt;&gt;"")))),"")&amp;"   "&amp;IFERROR(_xlfn.XLOOKUP(J45,ETANCHEITE!Z$19:Z$164,ETANCHEITE!$B$19:$B$164),"")&amp;IFERROR(_xlfn.XLOOKUP(J45,ETANCHEITE!Z$19:Z$164,ETANCHEITE!$C$19:$C$164),"")&amp;IFERROR(_xlfn.XLOOKUP(J45,ETANCHEITE!Z$19:Z$164,ETANCHEITE!$D$19:$D$164),"")&amp;IFERROR(_xlfn.XLOOKUP(J45,ETANCHEITE!Z$19:Z$164,ETANCHEITE!$E$19:$E$164),"")&amp;IFERROR(_xlfn.XLOOKUP(J45,ETANCHEITE!Z$19:Z$164,ETANCHEITE!$F$19:$F$164),"")</f>
        <v xml:space="preserve">   </v>
      </c>
      <c r="O45" s="168" t="str">
        <f>IFERROR(VLOOKUP(J45,ETANCHEITE!Z$19:AB$164,2,FALSE),"")&amp;" "&amp;IFERROR(VLOOKUP(J45,ETANCHEITE!Z$19:AB$164,3,FALSE),"")</f>
        <v xml:space="preserve"> </v>
      </c>
      <c r="P45" s="161" t="str">
        <f>IF(O45&lt;&gt;" ",'Feuille de Donnée'!$C$3,"")</f>
        <v/>
      </c>
      <c r="Q45" s="232" t="str" cm="1">
        <f t="array" aca="1" ref="Q45" ca="1">IFERROR(IF(_xlfn.XLOOKUP(J45,ETANCHEITE!Z$19:Z$89,ETANCHEITE!X$19:X$89,"")&lt;&gt;"",_xlfn.XLOOKUP(J45,ETANCHEITE!Z$19:Z$89,ETANCHEITE!X$19:X$89,""),    INDEX(ETANCHEITE!X:X,MAX(_xlfn._xlws.FILTER(ROW(ETANCHEITE!X$19:INDIRECT("'PEINTURE'!O" &amp; M45-1)),ETANCHEITE!X$19:INDIRECT("'PEINTURE'!O" &amp; M45-1)&lt;&gt;"")))),"")</f>
        <v/>
      </c>
      <c r="R45" s="233" t="str" cm="1">
        <f t="array" aca="1" ref="R45" ca="1">IFERROR(IF(_xlfn.XLOOKUP(J45,ETANCHEITE!Z$19:Z$89,ETANCHEITE!Y$19:Y$89,"")&lt;&gt;"",_xlfn.XLOOKUP(J45,ETANCHEITE!Z$19:Z$89,ETANCHEITE!Y$19:Y$89,""),    INDEX(ETANCHEITE!Y:Y,MAX(_xlfn._xlws.FILTER(ROW(ETANCHEITE!Y$19:INDIRECT("'PEINTURE'!P" &amp; M45-1)),ETANCHEITE!Y$19:INDIRECT("'PEINTURE'!P" &amp; M45-1)&lt;&gt;"")))),"")</f>
        <v/>
      </c>
      <c r="S45" s="158">
        <v>43</v>
      </c>
      <c r="T45" s="167" t="str">
        <f>IF(X45&lt;&gt;" ",ETANCHEITE!$D$5,"")</f>
        <v/>
      </c>
      <c r="U45" s="167" t="str">
        <f>IF(X45&lt;&gt;" ",ETANCHEITE!$D$8,"")</f>
        <v/>
      </c>
      <c r="V45" s="159" t="str">
        <f>IFERROR(MATCH(S45,ETANCHEITE!AI$19:AI$164,0)+18,"")</f>
        <v/>
      </c>
      <c r="W45" s="160" t="str" cm="1">
        <f t="array" aca="1" ref="W45" ca="1">IFERROR(IF(_xlfn.XLOOKUP(S45,ETANCHEITE!AI$19:AI$164,ETANCHEITE!$A$19:$A$164,"")&lt;&gt;"",_xlfn.XLOOKUP(S45,ETANCHEITE!AI$19:AI$164,ETANCHEITE!$A$19:$A$164,""),    INDEX(ETANCHEITE!$A:$A,MAX(_xlfn._xlws.FILTER(ROW(ETANCHEITE!$A$19:INDIRECT("'MENUISERIES EXTERIEURES'!$A" &amp; V45-1)),ETANCHEITE!$A$19:INDIRECT("'MENUISERIES EXTERIEURES'!$A" &amp; V45-1)&lt;&gt;"")))),"")&amp;"   "&amp;IFERROR(_xlfn.XLOOKUP(S45,ETANCHEITE!AI$19:AI$164,ETANCHEITE!$B$19:$B$164),"")&amp;IFERROR(_xlfn.XLOOKUP(S45,ETANCHEITE!AI$19:AI$164,ETANCHEITE!$C$19:$C$164),"")&amp;IFERROR(_xlfn.XLOOKUP(S45,ETANCHEITE!AI$19:AI$164,ETANCHEITE!$D$19:$D$164),"")&amp;IFERROR(_xlfn.XLOOKUP(S45,ETANCHEITE!AI$19:AI$164,ETANCHEITE!$E$19:$E$164),"")&amp;IFERROR(_xlfn.XLOOKUP(S45,ETANCHEITE!AI$19:AI$164,ETANCHEITE!$F$19:$F$164),"")</f>
        <v xml:space="preserve">   </v>
      </c>
      <c r="X45" s="168" t="str">
        <f>IFERROR(VLOOKUP(S45,ETANCHEITE!AI$19:AK$164,2,FALSE),"")&amp;" "&amp;IFERROR(VLOOKUP(S45,ETANCHEITE!AI$19:AK$164,3,FALSE),"")</f>
        <v xml:space="preserve"> </v>
      </c>
      <c r="Y45" s="161" t="str">
        <f>IF(X45&lt;&gt;" ",'Feuille de Donnée'!$C$3,"")</f>
        <v/>
      </c>
      <c r="Z45" s="232" t="str" cm="1">
        <f t="array" aca="1" ref="Z45" ca="1">IFERROR(IF(_xlfn.XLOOKUP(S45,ETANCHEITE!AI$19:AI$89,ETANCHEITE!AG$19:AG$89,"")&lt;&gt;"",_xlfn.XLOOKUP(S45,ETANCHEITE!AI$19:AI$89,ETANCHEITE!AG$19:AG$89,""),    INDEX(ETANCHEITE!AG:AG,MAX(_xlfn._xlws.FILTER(ROW(ETANCHEITE!AG$19:INDIRECT("'PEINTURE'!O" &amp; V45-1)),ETANCHEITE!AG$19:INDIRECT("'PEINTURE'!O" &amp; V45-1)&lt;&gt;"")))),"")</f>
        <v/>
      </c>
      <c r="AA45" s="233" t="str" cm="1">
        <f t="array" aca="1" ref="AA45" ca="1">IFERROR(IF(_xlfn.XLOOKUP(S45,ETANCHEITE!AI$19:AI$89,ETANCHEITE!AH$19:AH$89,"")&lt;&gt;"",_xlfn.XLOOKUP(S45,ETANCHEITE!AI$19:AI$89,ETANCHEITE!AH$19:AH$89,""),    INDEX(ETANCHEITE!AH:AH,MAX(_xlfn._xlws.FILTER(ROW(ETANCHEITE!AH$19:INDIRECT("'PEINTURE'!P" &amp; V45-1)),ETANCHEITE!AH$19:INDIRECT("'PEINTURE'!P" &amp; V45-1)&lt;&gt;"")))),"")</f>
        <v/>
      </c>
      <c r="AB45" s="158">
        <v>43</v>
      </c>
      <c r="AC45" s="167" t="str">
        <f>IF(AG45&lt;&gt;" ",ETANCHEITE!$D$5,"")</f>
        <v/>
      </c>
      <c r="AD45" s="167" t="str">
        <f>IF(AG45&lt;&gt;" ",ETANCHEITE!$D$8,"")</f>
        <v/>
      </c>
      <c r="AE45" s="159" t="str">
        <f>IFERROR(MATCH(AB45,ETANCHEITE!AR$19:AR$164,0)+18,"")</f>
        <v/>
      </c>
      <c r="AF45" s="160" t="str" cm="1">
        <f t="array" aca="1" ref="AF45" ca="1">IFERROR(IF(_xlfn.XLOOKUP(AB45,ETANCHEITE!AR$19:AR$164,ETANCHEITE!$A$19:$A$164,"")&lt;&gt;"",_xlfn.XLOOKUP(AB45,ETANCHEITE!AR$19:AR$164,ETANCHEITE!$A$19:$A$164,""),    INDEX(ETANCHEITE!$A:$A,MAX(_xlfn._xlws.FILTER(ROW(ETANCHEITE!$A$19:INDIRECT("'MENUISERIES EXTERIEURES'!$A" &amp; AE45-1)),ETANCHEITE!$A$19:INDIRECT("'MENUISERIES EXTERIEURES'!$A" &amp; AE45-1)&lt;&gt;"")))),"")&amp;"   "&amp;IFERROR(_xlfn.XLOOKUP(AB45,ETANCHEITE!AR$19:AR$164,ETANCHEITE!$B$19:$B$164),"")&amp;IFERROR(_xlfn.XLOOKUP(AB45,ETANCHEITE!AR$19:AR$164,ETANCHEITE!$C$19:$C$164),"")&amp;IFERROR(_xlfn.XLOOKUP(AB45,ETANCHEITE!AR$19:AR$164,ETANCHEITE!$D$19:$D$164),"")&amp;IFERROR(_xlfn.XLOOKUP(AB45,ETANCHEITE!AR$19:AR$164,ETANCHEITE!$E$19:$E$164),"")&amp;IFERROR(_xlfn.XLOOKUP(AB45,ETANCHEITE!AR$19:AR$164,ETANCHEITE!$F$19:$F$164),"")</f>
        <v xml:space="preserve">   </v>
      </c>
      <c r="AG45" s="168" t="str">
        <f>IFERROR(VLOOKUP(AB45,ETANCHEITE!AR$19:AT$164,2,FALSE),"")&amp;" "&amp;IFERROR(VLOOKUP(AB45,ETANCHEITE!AR$19:AT$164,3,FALSE),"")</f>
        <v xml:space="preserve"> </v>
      </c>
      <c r="AH45" s="161" t="str">
        <f>IF(AG45&lt;&gt;" ",'Feuille de Donnée'!$C$3,"")</f>
        <v/>
      </c>
      <c r="AI45" s="232" t="str" cm="1">
        <f t="array" aca="1" ref="AI45" ca="1">IFERROR(IF(_xlfn.XLOOKUP(AB45,ETANCHEITE!AR$19:AR$89,ETANCHEITE!AP$19:AP$89,"")&lt;&gt;"",_xlfn.XLOOKUP(AB45,ETANCHEITE!AR$19:AR$89,ETANCHEITE!AP$19:AP$89,""),    INDEX(ETANCHEITE!AP:AP,MAX(_xlfn._xlws.FILTER(ROW(ETANCHEITE!AP$19:INDIRECT("'PEINTURE'!O" &amp; AE45-1)),ETANCHEITE!AP$19:INDIRECT("'PEINTURE'!O" &amp; AE45-1)&lt;&gt;"")))),"")</f>
        <v/>
      </c>
      <c r="AJ45" s="233" t="str" cm="1">
        <f t="array" aca="1" ref="AJ45" ca="1">IFERROR(IF(_xlfn.XLOOKUP(AB45,ETANCHEITE!AR$19:AR$89,ETANCHEITE!AQ$19:AQ$89,"")&lt;&gt;"",_xlfn.XLOOKUP(AB45,ETANCHEITE!AR$19:AR$89,ETANCHEITE!AQ$19:AQ$89,""),    INDEX(ETANCHEITE!AQ:AQ,MAX(_xlfn._xlws.FILTER(ROW(ETANCHEITE!AQ$19:INDIRECT("'PEINTURE'!P" &amp; AE45-1)),ETANCHEITE!AQ$19:INDIRECT("'PEINTURE'!P" &amp; AE45-1)&lt;&gt;"")))),"")</f>
        <v/>
      </c>
      <c r="AK45" s="158">
        <v>43</v>
      </c>
      <c r="AL45" s="167" t="str">
        <f>IF(AP45&lt;&gt;" ",ETANCHEITE!$D$5,"")</f>
        <v/>
      </c>
      <c r="AM45" s="167" t="str">
        <f>IF(AP45&lt;&gt;" ",ETANCHEITE!$D$8,"")</f>
        <v/>
      </c>
      <c r="AN45" s="159" t="str">
        <f>IFERROR(MATCH(AK45,ETANCHEITE!BA$19:BA$164,0)+18,"")</f>
        <v/>
      </c>
      <c r="AO45" s="160" t="str" cm="1">
        <f t="array" aca="1" ref="AO45" ca="1">IFERROR(IF(_xlfn.XLOOKUP(AK45,ETANCHEITE!BA$19:BA$164,ETANCHEITE!$A$19:$A$164,"")&lt;&gt;"",_xlfn.XLOOKUP(AK45,ETANCHEITE!BA$19:BA$164,ETANCHEITE!$A$19:$A$164,""),    INDEX(ETANCHEITE!$A:$A,MAX(_xlfn._xlws.FILTER(ROW(ETANCHEITE!$A$19:INDIRECT("'MENUISERIES EXTERIEURES'!$A" &amp; AN45-1)),ETANCHEITE!$A$19:INDIRECT("'MENUISERIES EXTERIEURES'!$A" &amp; AN45-1)&lt;&gt;"")))),"")&amp;"   "&amp;IFERROR(_xlfn.XLOOKUP(AK45,ETANCHEITE!BA$19:BA$164,ETANCHEITE!$B$19:$B$164),"")&amp;IFERROR(_xlfn.XLOOKUP(AK45,ETANCHEITE!BA$19:BA$164,ETANCHEITE!$C$19:$C$164),"")&amp;IFERROR(_xlfn.XLOOKUP(AK45,ETANCHEITE!BA$19:BA$164,ETANCHEITE!$D$19:$D$164),"")&amp;IFERROR(_xlfn.XLOOKUP(AK45,ETANCHEITE!BA$19:BA$164,ETANCHEITE!$E$19:$E$164),"")&amp;IFERROR(_xlfn.XLOOKUP(AK45,ETANCHEITE!BA$19:BA$164,ETANCHEITE!$F$19:$F$164),"")</f>
        <v xml:space="preserve">   </v>
      </c>
      <c r="AP45" s="168" t="str">
        <f>IFERROR(VLOOKUP(AK45,ETANCHEITE!BA$19:BC$164,2,FALSE),"")&amp;" "&amp;IFERROR(VLOOKUP(AK45,ETANCHEITE!BA$19:BC$164,3,FALSE),"")</f>
        <v xml:space="preserve"> </v>
      </c>
      <c r="AQ45" s="161" t="str">
        <f>IF(AP45&lt;&gt;" ",'Feuille de Donnée'!$C$3,"")</f>
        <v/>
      </c>
      <c r="AR45" s="232" t="str" cm="1">
        <f t="array" aca="1" ref="AR45" ca="1">IFERROR(IF(_xlfn.XLOOKUP(AK45,ETANCHEITE!BA$19:BA$89,ETANCHEITE!AY$19:AY$89,"")&lt;&gt;"",_xlfn.XLOOKUP(AK45,ETANCHEITE!BA$19:BA$89,ETANCHEITE!AY$19:AY$89,""),    INDEX(ETANCHEITE!AY:AY,MAX(_xlfn._xlws.FILTER(ROW(ETANCHEITE!AY$19:INDIRECT("'PEINTURE'!O" &amp; AN45-1)),ETANCHEITE!AY$19:INDIRECT("'PEINTURE'!O" &amp; AN45-1)&lt;&gt;"")))),"")</f>
        <v/>
      </c>
      <c r="AS45" s="233" t="str" cm="1">
        <f t="array" aca="1" ref="AS45" ca="1">IFERROR(IF(_xlfn.XLOOKUP(AK45,ETANCHEITE!BA$19:BA$89,ETANCHEITE!AZ$19:AZ$89,"")&lt;&gt;"",_xlfn.XLOOKUP(AK45,ETANCHEITE!BA$19:BA$89,ETANCHEITE!AZ$19:AZ$89,""),    INDEX(ETANCHEITE!AZ:AZ,MAX(_xlfn._xlws.FILTER(ROW(ETANCHEITE!AZ$19:INDIRECT("'PEINTURE'!P" &amp; AN45-1)),ETANCHEITE!AZ$19:INDIRECT("'PEINTURE'!P" &amp; AN45-1)&lt;&gt;"")))),"")</f>
        <v/>
      </c>
      <c r="AT45" s="158">
        <v>43</v>
      </c>
      <c r="AU45" s="167" t="str">
        <f>IF(AY45&lt;&gt;" ",ETANCHEITE!$D$5,"")</f>
        <v/>
      </c>
      <c r="AV45" s="167" t="str">
        <f>IF(AY45&lt;&gt;" ",ETANCHEITE!$D$8,"")</f>
        <v/>
      </c>
      <c r="AW45" s="159" t="str">
        <f>IFERROR(MATCH(AT45,ETANCHEITE!BJ$19:BJ$164,0)+18,"")</f>
        <v/>
      </c>
      <c r="AX45" s="160" t="str" cm="1">
        <f t="array" aca="1" ref="AX45" ca="1">IFERROR(IF(_xlfn.XLOOKUP(AT45,ETANCHEITE!BJ$19:BJ$164,ETANCHEITE!$A$19:$A$164,"")&lt;&gt;"",_xlfn.XLOOKUP(AT45,ETANCHEITE!BJ$19:BJ$164,ETANCHEITE!$A$19:$A$164,""),    INDEX(ETANCHEITE!$A:$A,MAX(_xlfn._xlws.FILTER(ROW(ETANCHEITE!$A$19:INDIRECT("'MENUISERIES EXTERIEURES'!$A" &amp; AW45-1)),ETANCHEITE!$A$19:INDIRECT("'MENUISERIES EXTERIEURES'!$A" &amp; AW45-1)&lt;&gt;"")))),"")&amp;"   "&amp;IFERROR(_xlfn.XLOOKUP(AT45,ETANCHEITE!BJ$19:BJ$164,ETANCHEITE!$B$19:$B$164),"")&amp;IFERROR(_xlfn.XLOOKUP(AT45,ETANCHEITE!BJ$19:BJ$164,ETANCHEITE!$C$19:$C$164),"")&amp;IFERROR(_xlfn.XLOOKUP(AT45,ETANCHEITE!BJ$19:BJ$164,ETANCHEITE!$D$19:$D$164),"")&amp;IFERROR(_xlfn.XLOOKUP(AT45,ETANCHEITE!BJ$19:BJ$164,ETANCHEITE!$E$19:$E$164),"")&amp;IFERROR(_xlfn.XLOOKUP(AT45,ETANCHEITE!BJ$19:BJ$164,ETANCHEITE!$F$19:$F$164),"")</f>
        <v xml:space="preserve">   </v>
      </c>
      <c r="AY45" s="168" t="str">
        <f>IFERROR(VLOOKUP(AT45,ETANCHEITE!BJ$19:BL$164,2,FALSE),"")&amp;" "&amp;IFERROR(VLOOKUP(AT45,ETANCHEITE!BJ$19:BL$164,3,FALSE),"")</f>
        <v xml:space="preserve"> </v>
      </c>
      <c r="AZ45" s="161" t="str">
        <f>IF(AY45&lt;&gt;" ",'Feuille de Donnée'!$C$3,"")</f>
        <v/>
      </c>
      <c r="BA45" s="232" t="str" cm="1">
        <f t="array" aca="1" ref="BA45" ca="1">IFERROR(IF(_xlfn.XLOOKUP(AT45,ETANCHEITE!BJ$19:BJ$89,ETANCHEITE!BH$19:BH$89,"")&lt;&gt;"",_xlfn.XLOOKUP(AT45,ETANCHEITE!BJ$19:BJ$89,ETANCHEITE!BH$19:BH$89,""),    INDEX(ETANCHEITE!BH:BH,MAX(_xlfn._xlws.FILTER(ROW(ETANCHEITE!BH$19:INDIRECT("'PEINTURE'!O" &amp; AW45-1)),ETANCHEITE!BH$19:INDIRECT("'PEINTURE'!O" &amp; AW45-1)&lt;&gt;"")))),"")</f>
        <v/>
      </c>
      <c r="BB45" s="233" t="str" cm="1">
        <f t="array" aca="1" ref="BB45" ca="1">IFERROR(IF(_xlfn.XLOOKUP(AT45,ETANCHEITE!BJ$19:BJ$89,ETANCHEITE!BI$19:BI$89,"")&lt;&gt;"",_xlfn.XLOOKUP(AT45,ETANCHEITE!BJ$19:BJ$89,ETANCHEITE!BI$19:BI$89,""),    INDEX(ETANCHEITE!BI:BI,MAX(_xlfn._xlws.FILTER(ROW(ETANCHEITE!BI$19:INDIRECT("'PEINTURE'!P" &amp; AW45-1)),ETANCHEITE!BI$19:INDIRECT("'PEINTURE'!P" &amp; AW45-1)&lt;&gt;"")))),"")</f>
        <v/>
      </c>
    </row>
    <row r="46" spans="1:54" ht="16.5" customHeight="1" x14ac:dyDescent="0.3">
      <c r="A46" s="158">
        <v>44</v>
      </c>
      <c r="B46" s="167" t="str">
        <f>IF(F46&lt;&gt;" ",ETANCHEITE!$D$5,"")</f>
        <v/>
      </c>
      <c r="C46" s="167" t="str">
        <f>IF(F46&lt;&gt;" ",ETANCHEITE!$D$8,"")</f>
        <v/>
      </c>
      <c r="D46" s="159" t="str">
        <f>IFERROR(MATCH(A46,ETANCHEITE!Q$19:Q$164,0)+18,"")</f>
        <v/>
      </c>
      <c r="E46" s="160" t="str" cm="1">
        <f t="array" aca="1" ref="E46" ca="1">IFERROR(IF(_xlfn.XLOOKUP(A46,ETANCHEITE!Q$19:Q$164,ETANCHEITE!$A$19:$A$164,"")&lt;&gt;"",_xlfn.XLOOKUP(A46,ETANCHEITE!Q$19:Q$164,ETANCHEITE!$A$19:$A$164,""),    INDEX(ETANCHEITE!$A:$A,MAX(_xlfn._xlws.FILTER(ROW(ETANCHEITE!$A$19:INDIRECT("'MENUISERIES EXTERIEURES'!$A" &amp; D46-1)),ETANCHEITE!$A$19:INDIRECT("'MENUISERIES EXTERIEURES'!$A" &amp; D46-1)&lt;&gt;"")))),"")&amp;"   "&amp;IFERROR(_xlfn.XLOOKUP(A46,ETANCHEITE!Q$19:Q$164,ETANCHEITE!$B$19:$B$164),"")&amp;IFERROR(_xlfn.XLOOKUP(A46,ETANCHEITE!Q$19:Q$164,ETANCHEITE!$C$19:$C$164),"")&amp;IFERROR(_xlfn.XLOOKUP(A46,ETANCHEITE!Q$19:Q$164,ETANCHEITE!$D$19:$D$164),"")&amp;IFERROR(_xlfn.XLOOKUP(A46,ETANCHEITE!Q$19:Q$164,ETANCHEITE!$E$19:$E$164),"")&amp;IFERROR(_xlfn.XLOOKUP(A46,ETANCHEITE!Q$19:Q$164,ETANCHEITE!$F$19:$F$164),"")</f>
        <v xml:space="preserve">   </v>
      </c>
      <c r="F46" s="168" t="str">
        <f>IFERROR(VLOOKUP(A46,ETANCHEITE!Q$19:S$164,2,FALSE),"")&amp;" "&amp;IFERROR(VLOOKUP(A46,ETANCHEITE!Q$19:S$164,3,FALSE),"")</f>
        <v xml:space="preserve"> </v>
      </c>
      <c r="G46" s="161" t="str">
        <f>IF(F46&lt;&gt;" ",'Feuille de Donnée'!$C$3,"")</f>
        <v/>
      </c>
      <c r="H46" s="232" t="str" cm="1">
        <f t="array" aca="1" ref="H46" ca="1">IFERROR(IF(_xlfn.XLOOKUP(A46,ETANCHEITE!Q$19:Q$89,ETANCHEITE!O$19:O$89,"")&lt;&gt;"",_xlfn.XLOOKUP(A46,ETANCHEITE!Q$19:Q$89,ETANCHEITE!O$19:O$89,""),    INDEX(ETANCHEITE!O:O,MAX(_xlfn._xlws.FILTER(ROW(ETANCHEITE!O$19:INDIRECT("'PEINTURE'!O" &amp; D46-1)),ETANCHEITE!O$19:INDIRECT("'PEINTURE'!O" &amp; D46-1)&lt;&gt;"")))),"")</f>
        <v/>
      </c>
      <c r="I46" s="233" t="str" cm="1">
        <f t="array" aca="1" ref="I46" ca="1">IFERROR(IF(_xlfn.XLOOKUP(A46,ETANCHEITE!Q$19:Q$89,ETANCHEITE!P$19:P$89,"")&lt;&gt;"",_xlfn.XLOOKUP(A46,ETANCHEITE!Q$19:Q$89,ETANCHEITE!P$19:P$89,""),    INDEX(ETANCHEITE!P:P,MAX(_xlfn._xlws.FILTER(ROW(ETANCHEITE!P$19:INDIRECT("'PEINTURE'!P" &amp; D46-1)),ETANCHEITE!P$19:INDIRECT("'PEINTURE'!P" &amp; D46-1)&lt;&gt;"")))),"")</f>
        <v/>
      </c>
      <c r="J46" s="158">
        <v>44</v>
      </c>
      <c r="K46" s="167" t="str">
        <f>IF(O46&lt;&gt;" ",ETANCHEITE!$D$5,"")</f>
        <v/>
      </c>
      <c r="L46" s="167" t="str">
        <f>IF(O46&lt;&gt;" ",ETANCHEITE!$D$8,"")</f>
        <v/>
      </c>
      <c r="M46" s="159" t="str">
        <f>IFERROR(MATCH(J46,ETANCHEITE!Z$19:Z$164,0)+18,"")</f>
        <v/>
      </c>
      <c r="N46" s="160" t="str" cm="1">
        <f t="array" aca="1" ref="N46" ca="1">IFERROR(IF(_xlfn.XLOOKUP(J46,ETANCHEITE!Z$19:Z$164,ETANCHEITE!$A$19:$A$164,"")&lt;&gt;"",_xlfn.XLOOKUP(J46,ETANCHEITE!Z$19:Z$164,ETANCHEITE!$A$19:$A$164,""),    INDEX(ETANCHEITE!$A:$A,MAX(_xlfn._xlws.FILTER(ROW(ETANCHEITE!$A$19:INDIRECT("'MENUISERIES EXTERIEURES'!$A" &amp; M46-1)),ETANCHEITE!$A$19:INDIRECT("'MENUISERIES EXTERIEURES'!$A" &amp; M46-1)&lt;&gt;"")))),"")&amp;"   "&amp;IFERROR(_xlfn.XLOOKUP(J46,ETANCHEITE!Z$19:Z$164,ETANCHEITE!$B$19:$B$164),"")&amp;IFERROR(_xlfn.XLOOKUP(J46,ETANCHEITE!Z$19:Z$164,ETANCHEITE!$C$19:$C$164),"")&amp;IFERROR(_xlfn.XLOOKUP(J46,ETANCHEITE!Z$19:Z$164,ETANCHEITE!$D$19:$D$164),"")&amp;IFERROR(_xlfn.XLOOKUP(J46,ETANCHEITE!Z$19:Z$164,ETANCHEITE!$E$19:$E$164),"")&amp;IFERROR(_xlfn.XLOOKUP(J46,ETANCHEITE!Z$19:Z$164,ETANCHEITE!$F$19:$F$164),"")</f>
        <v xml:space="preserve">   </v>
      </c>
      <c r="O46" s="168" t="str">
        <f>IFERROR(VLOOKUP(J46,ETANCHEITE!Z$19:AB$164,2,FALSE),"")&amp;" "&amp;IFERROR(VLOOKUP(J46,ETANCHEITE!Z$19:AB$164,3,FALSE),"")</f>
        <v xml:space="preserve"> </v>
      </c>
      <c r="P46" s="161" t="str">
        <f>IF(O46&lt;&gt;" ",'Feuille de Donnée'!$C$3,"")</f>
        <v/>
      </c>
      <c r="Q46" s="232" t="str" cm="1">
        <f t="array" aca="1" ref="Q46" ca="1">IFERROR(IF(_xlfn.XLOOKUP(J46,ETANCHEITE!Z$19:Z$89,ETANCHEITE!X$19:X$89,"")&lt;&gt;"",_xlfn.XLOOKUP(J46,ETANCHEITE!Z$19:Z$89,ETANCHEITE!X$19:X$89,""),    INDEX(ETANCHEITE!X:X,MAX(_xlfn._xlws.FILTER(ROW(ETANCHEITE!X$19:INDIRECT("'PEINTURE'!O" &amp; M46-1)),ETANCHEITE!X$19:INDIRECT("'PEINTURE'!O" &amp; M46-1)&lt;&gt;"")))),"")</f>
        <v/>
      </c>
      <c r="R46" s="233" t="str" cm="1">
        <f t="array" aca="1" ref="R46" ca="1">IFERROR(IF(_xlfn.XLOOKUP(J46,ETANCHEITE!Z$19:Z$89,ETANCHEITE!Y$19:Y$89,"")&lt;&gt;"",_xlfn.XLOOKUP(J46,ETANCHEITE!Z$19:Z$89,ETANCHEITE!Y$19:Y$89,""),    INDEX(ETANCHEITE!Y:Y,MAX(_xlfn._xlws.FILTER(ROW(ETANCHEITE!Y$19:INDIRECT("'PEINTURE'!P" &amp; M46-1)),ETANCHEITE!Y$19:INDIRECT("'PEINTURE'!P" &amp; M46-1)&lt;&gt;"")))),"")</f>
        <v/>
      </c>
      <c r="S46" s="158">
        <v>44</v>
      </c>
      <c r="T46" s="167" t="str">
        <f>IF(X46&lt;&gt;" ",ETANCHEITE!$D$5,"")</f>
        <v/>
      </c>
      <c r="U46" s="167" t="str">
        <f>IF(X46&lt;&gt;" ",ETANCHEITE!$D$8,"")</f>
        <v/>
      </c>
      <c r="V46" s="159" t="str">
        <f>IFERROR(MATCH(S46,ETANCHEITE!AI$19:AI$164,0)+18,"")</f>
        <v/>
      </c>
      <c r="W46" s="160" t="str" cm="1">
        <f t="array" aca="1" ref="W46" ca="1">IFERROR(IF(_xlfn.XLOOKUP(S46,ETANCHEITE!AI$19:AI$164,ETANCHEITE!$A$19:$A$164,"")&lt;&gt;"",_xlfn.XLOOKUP(S46,ETANCHEITE!AI$19:AI$164,ETANCHEITE!$A$19:$A$164,""),    INDEX(ETANCHEITE!$A:$A,MAX(_xlfn._xlws.FILTER(ROW(ETANCHEITE!$A$19:INDIRECT("'MENUISERIES EXTERIEURES'!$A" &amp; V46-1)),ETANCHEITE!$A$19:INDIRECT("'MENUISERIES EXTERIEURES'!$A" &amp; V46-1)&lt;&gt;"")))),"")&amp;"   "&amp;IFERROR(_xlfn.XLOOKUP(S46,ETANCHEITE!AI$19:AI$164,ETANCHEITE!$B$19:$B$164),"")&amp;IFERROR(_xlfn.XLOOKUP(S46,ETANCHEITE!AI$19:AI$164,ETANCHEITE!$C$19:$C$164),"")&amp;IFERROR(_xlfn.XLOOKUP(S46,ETANCHEITE!AI$19:AI$164,ETANCHEITE!$D$19:$D$164),"")&amp;IFERROR(_xlfn.XLOOKUP(S46,ETANCHEITE!AI$19:AI$164,ETANCHEITE!$E$19:$E$164),"")&amp;IFERROR(_xlfn.XLOOKUP(S46,ETANCHEITE!AI$19:AI$164,ETANCHEITE!$F$19:$F$164),"")</f>
        <v xml:space="preserve">   </v>
      </c>
      <c r="X46" s="168" t="str">
        <f>IFERROR(VLOOKUP(S46,ETANCHEITE!AI$19:AK$164,2,FALSE),"")&amp;" "&amp;IFERROR(VLOOKUP(S46,ETANCHEITE!AI$19:AK$164,3,FALSE),"")</f>
        <v xml:space="preserve"> </v>
      </c>
      <c r="Y46" s="161" t="str">
        <f>IF(X46&lt;&gt;" ",'Feuille de Donnée'!$C$3,"")</f>
        <v/>
      </c>
      <c r="Z46" s="232" t="str" cm="1">
        <f t="array" aca="1" ref="Z46" ca="1">IFERROR(IF(_xlfn.XLOOKUP(S46,ETANCHEITE!AI$19:AI$89,ETANCHEITE!AG$19:AG$89,"")&lt;&gt;"",_xlfn.XLOOKUP(S46,ETANCHEITE!AI$19:AI$89,ETANCHEITE!AG$19:AG$89,""),    INDEX(ETANCHEITE!AG:AG,MAX(_xlfn._xlws.FILTER(ROW(ETANCHEITE!AG$19:INDIRECT("'PEINTURE'!O" &amp; V46-1)),ETANCHEITE!AG$19:INDIRECT("'PEINTURE'!O" &amp; V46-1)&lt;&gt;"")))),"")</f>
        <v/>
      </c>
      <c r="AA46" s="233" t="str" cm="1">
        <f t="array" aca="1" ref="AA46" ca="1">IFERROR(IF(_xlfn.XLOOKUP(S46,ETANCHEITE!AI$19:AI$89,ETANCHEITE!AH$19:AH$89,"")&lt;&gt;"",_xlfn.XLOOKUP(S46,ETANCHEITE!AI$19:AI$89,ETANCHEITE!AH$19:AH$89,""),    INDEX(ETANCHEITE!AH:AH,MAX(_xlfn._xlws.FILTER(ROW(ETANCHEITE!AH$19:INDIRECT("'PEINTURE'!P" &amp; V46-1)),ETANCHEITE!AH$19:INDIRECT("'PEINTURE'!P" &amp; V46-1)&lt;&gt;"")))),"")</f>
        <v/>
      </c>
      <c r="AB46" s="158">
        <v>44</v>
      </c>
      <c r="AC46" s="167" t="str">
        <f>IF(AG46&lt;&gt;" ",ETANCHEITE!$D$5,"")</f>
        <v/>
      </c>
      <c r="AD46" s="167" t="str">
        <f>IF(AG46&lt;&gt;" ",ETANCHEITE!$D$8,"")</f>
        <v/>
      </c>
      <c r="AE46" s="159" t="str">
        <f>IFERROR(MATCH(AB46,ETANCHEITE!AR$19:AR$164,0)+18,"")</f>
        <v/>
      </c>
      <c r="AF46" s="160" t="str" cm="1">
        <f t="array" aca="1" ref="AF46" ca="1">IFERROR(IF(_xlfn.XLOOKUP(AB46,ETANCHEITE!AR$19:AR$164,ETANCHEITE!$A$19:$A$164,"")&lt;&gt;"",_xlfn.XLOOKUP(AB46,ETANCHEITE!AR$19:AR$164,ETANCHEITE!$A$19:$A$164,""),    INDEX(ETANCHEITE!$A:$A,MAX(_xlfn._xlws.FILTER(ROW(ETANCHEITE!$A$19:INDIRECT("'MENUISERIES EXTERIEURES'!$A" &amp; AE46-1)),ETANCHEITE!$A$19:INDIRECT("'MENUISERIES EXTERIEURES'!$A" &amp; AE46-1)&lt;&gt;"")))),"")&amp;"   "&amp;IFERROR(_xlfn.XLOOKUP(AB46,ETANCHEITE!AR$19:AR$164,ETANCHEITE!$B$19:$B$164),"")&amp;IFERROR(_xlfn.XLOOKUP(AB46,ETANCHEITE!AR$19:AR$164,ETANCHEITE!$C$19:$C$164),"")&amp;IFERROR(_xlfn.XLOOKUP(AB46,ETANCHEITE!AR$19:AR$164,ETANCHEITE!$D$19:$D$164),"")&amp;IFERROR(_xlfn.XLOOKUP(AB46,ETANCHEITE!AR$19:AR$164,ETANCHEITE!$E$19:$E$164),"")&amp;IFERROR(_xlfn.XLOOKUP(AB46,ETANCHEITE!AR$19:AR$164,ETANCHEITE!$F$19:$F$164),"")</f>
        <v xml:space="preserve">   </v>
      </c>
      <c r="AG46" s="168" t="str">
        <f>IFERROR(VLOOKUP(AB46,ETANCHEITE!AR$19:AT$164,2,FALSE),"")&amp;" "&amp;IFERROR(VLOOKUP(AB46,ETANCHEITE!AR$19:AT$164,3,FALSE),"")</f>
        <v xml:space="preserve"> </v>
      </c>
      <c r="AH46" s="161" t="str">
        <f>IF(AG46&lt;&gt;" ",'Feuille de Donnée'!$C$3,"")</f>
        <v/>
      </c>
      <c r="AI46" s="232" t="str" cm="1">
        <f t="array" aca="1" ref="AI46" ca="1">IFERROR(IF(_xlfn.XLOOKUP(AB46,ETANCHEITE!AR$19:AR$89,ETANCHEITE!AP$19:AP$89,"")&lt;&gt;"",_xlfn.XLOOKUP(AB46,ETANCHEITE!AR$19:AR$89,ETANCHEITE!AP$19:AP$89,""),    INDEX(ETANCHEITE!AP:AP,MAX(_xlfn._xlws.FILTER(ROW(ETANCHEITE!AP$19:INDIRECT("'PEINTURE'!O" &amp; AE46-1)),ETANCHEITE!AP$19:INDIRECT("'PEINTURE'!O" &amp; AE46-1)&lt;&gt;"")))),"")</f>
        <v/>
      </c>
      <c r="AJ46" s="233" t="str" cm="1">
        <f t="array" aca="1" ref="AJ46" ca="1">IFERROR(IF(_xlfn.XLOOKUP(AB46,ETANCHEITE!AR$19:AR$89,ETANCHEITE!AQ$19:AQ$89,"")&lt;&gt;"",_xlfn.XLOOKUP(AB46,ETANCHEITE!AR$19:AR$89,ETANCHEITE!AQ$19:AQ$89,""),    INDEX(ETANCHEITE!AQ:AQ,MAX(_xlfn._xlws.FILTER(ROW(ETANCHEITE!AQ$19:INDIRECT("'PEINTURE'!P" &amp; AE46-1)),ETANCHEITE!AQ$19:INDIRECT("'PEINTURE'!P" &amp; AE46-1)&lt;&gt;"")))),"")</f>
        <v/>
      </c>
      <c r="AK46" s="158">
        <v>44</v>
      </c>
      <c r="AL46" s="167" t="str">
        <f>IF(AP46&lt;&gt;" ",ETANCHEITE!$D$5,"")</f>
        <v/>
      </c>
      <c r="AM46" s="167" t="str">
        <f>IF(AP46&lt;&gt;" ",ETANCHEITE!$D$8,"")</f>
        <v/>
      </c>
      <c r="AN46" s="159" t="str">
        <f>IFERROR(MATCH(AK46,ETANCHEITE!BA$19:BA$164,0)+18,"")</f>
        <v/>
      </c>
      <c r="AO46" s="160" t="str" cm="1">
        <f t="array" aca="1" ref="AO46" ca="1">IFERROR(IF(_xlfn.XLOOKUP(AK46,ETANCHEITE!BA$19:BA$164,ETANCHEITE!$A$19:$A$164,"")&lt;&gt;"",_xlfn.XLOOKUP(AK46,ETANCHEITE!BA$19:BA$164,ETANCHEITE!$A$19:$A$164,""),    INDEX(ETANCHEITE!$A:$A,MAX(_xlfn._xlws.FILTER(ROW(ETANCHEITE!$A$19:INDIRECT("'MENUISERIES EXTERIEURES'!$A" &amp; AN46-1)),ETANCHEITE!$A$19:INDIRECT("'MENUISERIES EXTERIEURES'!$A" &amp; AN46-1)&lt;&gt;"")))),"")&amp;"   "&amp;IFERROR(_xlfn.XLOOKUP(AK46,ETANCHEITE!BA$19:BA$164,ETANCHEITE!$B$19:$B$164),"")&amp;IFERROR(_xlfn.XLOOKUP(AK46,ETANCHEITE!BA$19:BA$164,ETANCHEITE!$C$19:$C$164),"")&amp;IFERROR(_xlfn.XLOOKUP(AK46,ETANCHEITE!BA$19:BA$164,ETANCHEITE!$D$19:$D$164),"")&amp;IFERROR(_xlfn.XLOOKUP(AK46,ETANCHEITE!BA$19:BA$164,ETANCHEITE!$E$19:$E$164),"")&amp;IFERROR(_xlfn.XLOOKUP(AK46,ETANCHEITE!BA$19:BA$164,ETANCHEITE!$F$19:$F$164),"")</f>
        <v xml:space="preserve">   </v>
      </c>
      <c r="AP46" s="168" t="str">
        <f>IFERROR(VLOOKUP(AK46,ETANCHEITE!BA$19:BC$164,2,FALSE),"")&amp;" "&amp;IFERROR(VLOOKUP(AK46,ETANCHEITE!BA$19:BC$164,3,FALSE),"")</f>
        <v xml:space="preserve"> </v>
      </c>
      <c r="AQ46" s="161" t="str">
        <f>IF(AP46&lt;&gt;" ",'Feuille de Donnée'!$C$3,"")</f>
        <v/>
      </c>
      <c r="AR46" s="232" t="str" cm="1">
        <f t="array" aca="1" ref="AR46" ca="1">IFERROR(IF(_xlfn.XLOOKUP(AK46,ETANCHEITE!BA$19:BA$89,ETANCHEITE!AY$19:AY$89,"")&lt;&gt;"",_xlfn.XLOOKUP(AK46,ETANCHEITE!BA$19:BA$89,ETANCHEITE!AY$19:AY$89,""),    INDEX(ETANCHEITE!AY:AY,MAX(_xlfn._xlws.FILTER(ROW(ETANCHEITE!AY$19:INDIRECT("'PEINTURE'!O" &amp; AN46-1)),ETANCHEITE!AY$19:INDIRECT("'PEINTURE'!O" &amp; AN46-1)&lt;&gt;"")))),"")</f>
        <v/>
      </c>
      <c r="AS46" s="233" t="str" cm="1">
        <f t="array" aca="1" ref="AS46" ca="1">IFERROR(IF(_xlfn.XLOOKUP(AK46,ETANCHEITE!BA$19:BA$89,ETANCHEITE!AZ$19:AZ$89,"")&lt;&gt;"",_xlfn.XLOOKUP(AK46,ETANCHEITE!BA$19:BA$89,ETANCHEITE!AZ$19:AZ$89,""),    INDEX(ETANCHEITE!AZ:AZ,MAX(_xlfn._xlws.FILTER(ROW(ETANCHEITE!AZ$19:INDIRECT("'PEINTURE'!P" &amp; AN46-1)),ETANCHEITE!AZ$19:INDIRECT("'PEINTURE'!P" &amp; AN46-1)&lt;&gt;"")))),"")</f>
        <v/>
      </c>
      <c r="AT46" s="158">
        <v>44</v>
      </c>
      <c r="AU46" s="167" t="str">
        <f>IF(AY46&lt;&gt;" ",ETANCHEITE!$D$5,"")</f>
        <v/>
      </c>
      <c r="AV46" s="167" t="str">
        <f>IF(AY46&lt;&gt;" ",ETANCHEITE!$D$8,"")</f>
        <v/>
      </c>
      <c r="AW46" s="159" t="str">
        <f>IFERROR(MATCH(AT46,ETANCHEITE!BJ$19:BJ$164,0)+18,"")</f>
        <v/>
      </c>
      <c r="AX46" s="160" t="str" cm="1">
        <f t="array" aca="1" ref="AX46" ca="1">IFERROR(IF(_xlfn.XLOOKUP(AT46,ETANCHEITE!BJ$19:BJ$164,ETANCHEITE!$A$19:$A$164,"")&lt;&gt;"",_xlfn.XLOOKUP(AT46,ETANCHEITE!BJ$19:BJ$164,ETANCHEITE!$A$19:$A$164,""),    INDEX(ETANCHEITE!$A:$A,MAX(_xlfn._xlws.FILTER(ROW(ETANCHEITE!$A$19:INDIRECT("'MENUISERIES EXTERIEURES'!$A" &amp; AW46-1)),ETANCHEITE!$A$19:INDIRECT("'MENUISERIES EXTERIEURES'!$A" &amp; AW46-1)&lt;&gt;"")))),"")&amp;"   "&amp;IFERROR(_xlfn.XLOOKUP(AT46,ETANCHEITE!BJ$19:BJ$164,ETANCHEITE!$B$19:$B$164),"")&amp;IFERROR(_xlfn.XLOOKUP(AT46,ETANCHEITE!BJ$19:BJ$164,ETANCHEITE!$C$19:$C$164),"")&amp;IFERROR(_xlfn.XLOOKUP(AT46,ETANCHEITE!BJ$19:BJ$164,ETANCHEITE!$D$19:$D$164),"")&amp;IFERROR(_xlfn.XLOOKUP(AT46,ETANCHEITE!BJ$19:BJ$164,ETANCHEITE!$E$19:$E$164),"")&amp;IFERROR(_xlfn.XLOOKUP(AT46,ETANCHEITE!BJ$19:BJ$164,ETANCHEITE!$F$19:$F$164),"")</f>
        <v xml:space="preserve">   </v>
      </c>
      <c r="AY46" s="168" t="str">
        <f>IFERROR(VLOOKUP(AT46,ETANCHEITE!BJ$19:BL$164,2,FALSE),"")&amp;" "&amp;IFERROR(VLOOKUP(AT46,ETANCHEITE!BJ$19:BL$164,3,FALSE),"")</f>
        <v xml:space="preserve"> </v>
      </c>
      <c r="AZ46" s="161" t="str">
        <f>IF(AY46&lt;&gt;" ",'Feuille de Donnée'!$C$3,"")</f>
        <v/>
      </c>
      <c r="BA46" s="232" t="str" cm="1">
        <f t="array" aca="1" ref="BA46" ca="1">IFERROR(IF(_xlfn.XLOOKUP(AT46,ETANCHEITE!BJ$19:BJ$89,ETANCHEITE!BH$19:BH$89,"")&lt;&gt;"",_xlfn.XLOOKUP(AT46,ETANCHEITE!BJ$19:BJ$89,ETANCHEITE!BH$19:BH$89,""),    INDEX(ETANCHEITE!BH:BH,MAX(_xlfn._xlws.FILTER(ROW(ETANCHEITE!BH$19:INDIRECT("'PEINTURE'!O" &amp; AW46-1)),ETANCHEITE!BH$19:INDIRECT("'PEINTURE'!O" &amp; AW46-1)&lt;&gt;"")))),"")</f>
        <v/>
      </c>
      <c r="BB46" s="233" t="str" cm="1">
        <f t="array" aca="1" ref="BB46" ca="1">IFERROR(IF(_xlfn.XLOOKUP(AT46,ETANCHEITE!BJ$19:BJ$89,ETANCHEITE!BI$19:BI$89,"")&lt;&gt;"",_xlfn.XLOOKUP(AT46,ETANCHEITE!BJ$19:BJ$89,ETANCHEITE!BI$19:BI$89,""),    INDEX(ETANCHEITE!BI:BI,MAX(_xlfn._xlws.FILTER(ROW(ETANCHEITE!BI$19:INDIRECT("'PEINTURE'!P" &amp; AW46-1)),ETANCHEITE!BI$19:INDIRECT("'PEINTURE'!P" &amp; AW46-1)&lt;&gt;"")))),"")</f>
        <v/>
      </c>
    </row>
    <row r="47" spans="1:54" ht="16.5" customHeight="1" x14ac:dyDescent="0.3">
      <c r="A47" s="158">
        <v>45</v>
      </c>
      <c r="B47" s="167" t="str">
        <f>IF(F47&lt;&gt;" ",ETANCHEITE!$D$5,"")</f>
        <v/>
      </c>
      <c r="C47" s="167" t="str">
        <f>IF(F47&lt;&gt;" ",ETANCHEITE!$D$8,"")</f>
        <v/>
      </c>
      <c r="D47" s="159" t="str">
        <f>IFERROR(MATCH(A47,ETANCHEITE!Q$19:Q$164,0)+18,"")</f>
        <v/>
      </c>
      <c r="E47" s="160" t="str" cm="1">
        <f t="array" aca="1" ref="E47" ca="1">IFERROR(IF(_xlfn.XLOOKUP(A47,ETANCHEITE!Q$19:Q$164,ETANCHEITE!$A$19:$A$164,"")&lt;&gt;"",_xlfn.XLOOKUP(A47,ETANCHEITE!Q$19:Q$164,ETANCHEITE!$A$19:$A$164,""),    INDEX(ETANCHEITE!$A:$A,MAX(_xlfn._xlws.FILTER(ROW(ETANCHEITE!$A$19:INDIRECT("'MENUISERIES EXTERIEURES'!$A" &amp; D47-1)),ETANCHEITE!$A$19:INDIRECT("'MENUISERIES EXTERIEURES'!$A" &amp; D47-1)&lt;&gt;"")))),"")&amp;"   "&amp;IFERROR(_xlfn.XLOOKUP(A47,ETANCHEITE!Q$19:Q$164,ETANCHEITE!$B$19:$B$164),"")&amp;IFERROR(_xlfn.XLOOKUP(A47,ETANCHEITE!Q$19:Q$164,ETANCHEITE!$C$19:$C$164),"")&amp;IFERROR(_xlfn.XLOOKUP(A47,ETANCHEITE!Q$19:Q$164,ETANCHEITE!$D$19:$D$164),"")&amp;IFERROR(_xlfn.XLOOKUP(A47,ETANCHEITE!Q$19:Q$164,ETANCHEITE!$E$19:$E$164),"")&amp;IFERROR(_xlfn.XLOOKUP(A47,ETANCHEITE!Q$19:Q$164,ETANCHEITE!$F$19:$F$164),"")</f>
        <v xml:space="preserve">   </v>
      </c>
      <c r="F47" s="168" t="str">
        <f>IFERROR(VLOOKUP(A47,ETANCHEITE!Q$19:S$164,2,FALSE),"")&amp;" "&amp;IFERROR(VLOOKUP(A47,ETANCHEITE!Q$19:S$164,3,FALSE),"")</f>
        <v xml:space="preserve"> </v>
      </c>
      <c r="G47" s="161" t="str">
        <f>IF(F47&lt;&gt;" ",'Feuille de Donnée'!$C$3,"")</f>
        <v/>
      </c>
      <c r="H47" s="232" t="str" cm="1">
        <f t="array" aca="1" ref="H47" ca="1">IFERROR(IF(_xlfn.XLOOKUP(A47,ETANCHEITE!Q$19:Q$89,ETANCHEITE!O$19:O$89,"")&lt;&gt;"",_xlfn.XLOOKUP(A47,ETANCHEITE!Q$19:Q$89,ETANCHEITE!O$19:O$89,""),    INDEX(ETANCHEITE!O:O,MAX(_xlfn._xlws.FILTER(ROW(ETANCHEITE!O$19:INDIRECT("'PEINTURE'!O" &amp; D47-1)),ETANCHEITE!O$19:INDIRECT("'PEINTURE'!O" &amp; D47-1)&lt;&gt;"")))),"")</f>
        <v/>
      </c>
      <c r="I47" s="233" t="str" cm="1">
        <f t="array" aca="1" ref="I47" ca="1">IFERROR(IF(_xlfn.XLOOKUP(A47,ETANCHEITE!Q$19:Q$89,ETANCHEITE!P$19:P$89,"")&lt;&gt;"",_xlfn.XLOOKUP(A47,ETANCHEITE!Q$19:Q$89,ETANCHEITE!P$19:P$89,""),    INDEX(ETANCHEITE!P:P,MAX(_xlfn._xlws.FILTER(ROW(ETANCHEITE!P$19:INDIRECT("'PEINTURE'!P" &amp; D47-1)),ETANCHEITE!P$19:INDIRECT("'PEINTURE'!P" &amp; D47-1)&lt;&gt;"")))),"")</f>
        <v/>
      </c>
      <c r="J47" s="158">
        <v>45</v>
      </c>
      <c r="K47" s="167" t="str">
        <f>IF(O47&lt;&gt;" ",ETANCHEITE!$D$5,"")</f>
        <v/>
      </c>
      <c r="L47" s="167" t="str">
        <f>IF(O47&lt;&gt;" ",ETANCHEITE!$D$8,"")</f>
        <v/>
      </c>
      <c r="M47" s="159" t="str">
        <f>IFERROR(MATCH(J47,ETANCHEITE!Z$19:Z$164,0)+18,"")</f>
        <v/>
      </c>
      <c r="N47" s="160" t="str" cm="1">
        <f t="array" aca="1" ref="N47" ca="1">IFERROR(IF(_xlfn.XLOOKUP(J47,ETANCHEITE!Z$19:Z$164,ETANCHEITE!$A$19:$A$164,"")&lt;&gt;"",_xlfn.XLOOKUP(J47,ETANCHEITE!Z$19:Z$164,ETANCHEITE!$A$19:$A$164,""),    INDEX(ETANCHEITE!$A:$A,MAX(_xlfn._xlws.FILTER(ROW(ETANCHEITE!$A$19:INDIRECT("'MENUISERIES EXTERIEURES'!$A" &amp; M47-1)),ETANCHEITE!$A$19:INDIRECT("'MENUISERIES EXTERIEURES'!$A" &amp; M47-1)&lt;&gt;"")))),"")&amp;"   "&amp;IFERROR(_xlfn.XLOOKUP(J47,ETANCHEITE!Z$19:Z$164,ETANCHEITE!$B$19:$B$164),"")&amp;IFERROR(_xlfn.XLOOKUP(J47,ETANCHEITE!Z$19:Z$164,ETANCHEITE!$C$19:$C$164),"")&amp;IFERROR(_xlfn.XLOOKUP(J47,ETANCHEITE!Z$19:Z$164,ETANCHEITE!$D$19:$D$164),"")&amp;IFERROR(_xlfn.XLOOKUP(J47,ETANCHEITE!Z$19:Z$164,ETANCHEITE!$E$19:$E$164),"")&amp;IFERROR(_xlfn.XLOOKUP(J47,ETANCHEITE!Z$19:Z$164,ETANCHEITE!$F$19:$F$164),"")</f>
        <v xml:space="preserve">   </v>
      </c>
      <c r="O47" s="168" t="str">
        <f>IFERROR(VLOOKUP(J47,ETANCHEITE!Z$19:AB$164,2,FALSE),"")&amp;" "&amp;IFERROR(VLOOKUP(J47,ETANCHEITE!Z$19:AB$164,3,FALSE),"")</f>
        <v xml:space="preserve"> </v>
      </c>
      <c r="P47" s="161" t="str">
        <f>IF(O47&lt;&gt;" ",'Feuille de Donnée'!$C$3,"")</f>
        <v/>
      </c>
      <c r="Q47" s="232" t="str" cm="1">
        <f t="array" aca="1" ref="Q47" ca="1">IFERROR(IF(_xlfn.XLOOKUP(J47,ETANCHEITE!Z$19:Z$89,ETANCHEITE!X$19:X$89,"")&lt;&gt;"",_xlfn.XLOOKUP(J47,ETANCHEITE!Z$19:Z$89,ETANCHEITE!X$19:X$89,""),    INDEX(ETANCHEITE!X:X,MAX(_xlfn._xlws.FILTER(ROW(ETANCHEITE!X$19:INDIRECT("'PEINTURE'!O" &amp; M47-1)),ETANCHEITE!X$19:INDIRECT("'PEINTURE'!O" &amp; M47-1)&lt;&gt;"")))),"")</f>
        <v/>
      </c>
      <c r="R47" s="233" t="str" cm="1">
        <f t="array" aca="1" ref="R47" ca="1">IFERROR(IF(_xlfn.XLOOKUP(J47,ETANCHEITE!Z$19:Z$89,ETANCHEITE!Y$19:Y$89,"")&lt;&gt;"",_xlfn.XLOOKUP(J47,ETANCHEITE!Z$19:Z$89,ETANCHEITE!Y$19:Y$89,""),    INDEX(ETANCHEITE!Y:Y,MAX(_xlfn._xlws.FILTER(ROW(ETANCHEITE!Y$19:INDIRECT("'PEINTURE'!P" &amp; M47-1)),ETANCHEITE!Y$19:INDIRECT("'PEINTURE'!P" &amp; M47-1)&lt;&gt;"")))),"")</f>
        <v/>
      </c>
      <c r="S47" s="158">
        <v>45</v>
      </c>
      <c r="T47" s="167" t="str">
        <f>IF(X47&lt;&gt;" ",ETANCHEITE!$D$5,"")</f>
        <v/>
      </c>
      <c r="U47" s="167" t="str">
        <f>IF(X47&lt;&gt;" ",ETANCHEITE!$D$8,"")</f>
        <v/>
      </c>
      <c r="V47" s="159" t="str">
        <f>IFERROR(MATCH(S47,ETANCHEITE!AI$19:AI$164,0)+18,"")</f>
        <v/>
      </c>
      <c r="W47" s="160" t="str" cm="1">
        <f t="array" aca="1" ref="W47" ca="1">IFERROR(IF(_xlfn.XLOOKUP(S47,ETANCHEITE!AI$19:AI$164,ETANCHEITE!$A$19:$A$164,"")&lt;&gt;"",_xlfn.XLOOKUP(S47,ETANCHEITE!AI$19:AI$164,ETANCHEITE!$A$19:$A$164,""),    INDEX(ETANCHEITE!$A:$A,MAX(_xlfn._xlws.FILTER(ROW(ETANCHEITE!$A$19:INDIRECT("'MENUISERIES EXTERIEURES'!$A" &amp; V47-1)),ETANCHEITE!$A$19:INDIRECT("'MENUISERIES EXTERIEURES'!$A" &amp; V47-1)&lt;&gt;"")))),"")&amp;"   "&amp;IFERROR(_xlfn.XLOOKUP(S47,ETANCHEITE!AI$19:AI$164,ETANCHEITE!$B$19:$B$164),"")&amp;IFERROR(_xlfn.XLOOKUP(S47,ETANCHEITE!AI$19:AI$164,ETANCHEITE!$C$19:$C$164),"")&amp;IFERROR(_xlfn.XLOOKUP(S47,ETANCHEITE!AI$19:AI$164,ETANCHEITE!$D$19:$D$164),"")&amp;IFERROR(_xlfn.XLOOKUP(S47,ETANCHEITE!AI$19:AI$164,ETANCHEITE!$E$19:$E$164),"")&amp;IFERROR(_xlfn.XLOOKUP(S47,ETANCHEITE!AI$19:AI$164,ETANCHEITE!$F$19:$F$164),"")</f>
        <v xml:space="preserve">   </v>
      </c>
      <c r="X47" s="168" t="str">
        <f>IFERROR(VLOOKUP(S47,ETANCHEITE!AI$19:AK$164,2,FALSE),"")&amp;" "&amp;IFERROR(VLOOKUP(S47,ETANCHEITE!AI$19:AK$164,3,FALSE),"")</f>
        <v xml:space="preserve"> </v>
      </c>
      <c r="Y47" s="161" t="str">
        <f>IF(X47&lt;&gt;" ",'Feuille de Donnée'!$C$3,"")</f>
        <v/>
      </c>
      <c r="Z47" s="232" t="str" cm="1">
        <f t="array" aca="1" ref="Z47" ca="1">IFERROR(IF(_xlfn.XLOOKUP(S47,ETANCHEITE!AI$19:AI$89,ETANCHEITE!AG$19:AG$89,"")&lt;&gt;"",_xlfn.XLOOKUP(S47,ETANCHEITE!AI$19:AI$89,ETANCHEITE!AG$19:AG$89,""),    INDEX(ETANCHEITE!AG:AG,MAX(_xlfn._xlws.FILTER(ROW(ETANCHEITE!AG$19:INDIRECT("'PEINTURE'!O" &amp; V47-1)),ETANCHEITE!AG$19:INDIRECT("'PEINTURE'!O" &amp; V47-1)&lt;&gt;"")))),"")</f>
        <v/>
      </c>
      <c r="AA47" s="233" t="str" cm="1">
        <f t="array" aca="1" ref="AA47" ca="1">IFERROR(IF(_xlfn.XLOOKUP(S47,ETANCHEITE!AI$19:AI$89,ETANCHEITE!AH$19:AH$89,"")&lt;&gt;"",_xlfn.XLOOKUP(S47,ETANCHEITE!AI$19:AI$89,ETANCHEITE!AH$19:AH$89,""),    INDEX(ETANCHEITE!AH:AH,MAX(_xlfn._xlws.FILTER(ROW(ETANCHEITE!AH$19:INDIRECT("'PEINTURE'!P" &amp; V47-1)),ETANCHEITE!AH$19:INDIRECT("'PEINTURE'!P" &amp; V47-1)&lt;&gt;"")))),"")</f>
        <v/>
      </c>
      <c r="AB47" s="158">
        <v>45</v>
      </c>
      <c r="AC47" s="167" t="str">
        <f>IF(AG47&lt;&gt;" ",ETANCHEITE!$D$5,"")</f>
        <v/>
      </c>
      <c r="AD47" s="167" t="str">
        <f>IF(AG47&lt;&gt;" ",ETANCHEITE!$D$8,"")</f>
        <v/>
      </c>
      <c r="AE47" s="159" t="str">
        <f>IFERROR(MATCH(AB47,ETANCHEITE!AR$19:AR$164,0)+18,"")</f>
        <v/>
      </c>
      <c r="AF47" s="160" t="str" cm="1">
        <f t="array" aca="1" ref="AF47" ca="1">IFERROR(IF(_xlfn.XLOOKUP(AB47,ETANCHEITE!AR$19:AR$164,ETANCHEITE!$A$19:$A$164,"")&lt;&gt;"",_xlfn.XLOOKUP(AB47,ETANCHEITE!AR$19:AR$164,ETANCHEITE!$A$19:$A$164,""),    INDEX(ETANCHEITE!$A:$A,MAX(_xlfn._xlws.FILTER(ROW(ETANCHEITE!$A$19:INDIRECT("'MENUISERIES EXTERIEURES'!$A" &amp; AE47-1)),ETANCHEITE!$A$19:INDIRECT("'MENUISERIES EXTERIEURES'!$A" &amp; AE47-1)&lt;&gt;"")))),"")&amp;"   "&amp;IFERROR(_xlfn.XLOOKUP(AB47,ETANCHEITE!AR$19:AR$164,ETANCHEITE!$B$19:$B$164),"")&amp;IFERROR(_xlfn.XLOOKUP(AB47,ETANCHEITE!AR$19:AR$164,ETANCHEITE!$C$19:$C$164),"")&amp;IFERROR(_xlfn.XLOOKUP(AB47,ETANCHEITE!AR$19:AR$164,ETANCHEITE!$D$19:$D$164),"")&amp;IFERROR(_xlfn.XLOOKUP(AB47,ETANCHEITE!AR$19:AR$164,ETANCHEITE!$E$19:$E$164),"")&amp;IFERROR(_xlfn.XLOOKUP(AB47,ETANCHEITE!AR$19:AR$164,ETANCHEITE!$F$19:$F$164),"")</f>
        <v xml:space="preserve">   </v>
      </c>
      <c r="AG47" s="168" t="str">
        <f>IFERROR(VLOOKUP(AB47,ETANCHEITE!AR$19:AT$164,2,FALSE),"")&amp;" "&amp;IFERROR(VLOOKUP(AB47,ETANCHEITE!AR$19:AT$164,3,FALSE),"")</f>
        <v xml:space="preserve"> </v>
      </c>
      <c r="AH47" s="161" t="str">
        <f>IF(AG47&lt;&gt;" ",'Feuille de Donnée'!$C$3,"")</f>
        <v/>
      </c>
      <c r="AI47" s="232" t="str" cm="1">
        <f t="array" aca="1" ref="AI47" ca="1">IFERROR(IF(_xlfn.XLOOKUP(AB47,ETANCHEITE!AR$19:AR$89,ETANCHEITE!AP$19:AP$89,"")&lt;&gt;"",_xlfn.XLOOKUP(AB47,ETANCHEITE!AR$19:AR$89,ETANCHEITE!AP$19:AP$89,""),    INDEX(ETANCHEITE!AP:AP,MAX(_xlfn._xlws.FILTER(ROW(ETANCHEITE!AP$19:INDIRECT("'PEINTURE'!O" &amp; AE47-1)),ETANCHEITE!AP$19:INDIRECT("'PEINTURE'!O" &amp; AE47-1)&lt;&gt;"")))),"")</f>
        <v/>
      </c>
      <c r="AJ47" s="233" t="str" cm="1">
        <f t="array" aca="1" ref="AJ47" ca="1">IFERROR(IF(_xlfn.XLOOKUP(AB47,ETANCHEITE!AR$19:AR$89,ETANCHEITE!AQ$19:AQ$89,"")&lt;&gt;"",_xlfn.XLOOKUP(AB47,ETANCHEITE!AR$19:AR$89,ETANCHEITE!AQ$19:AQ$89,""),    INDEX(ETANCHEITE!AQ:AQ,MAX(_xlfn._xlws.FILTER(ROW(ETANCHEITE!AQ$19:INDIRECT("'PEINTURE'!P" &amp; AE47-1)),ETANCHEITE!AQ$19:INDIRECT("'PEINTURE'!P" &amp; AE47-1)&lt;&gt;"")))),"")</f>
        <v/>
      </c>
      <c r="AK47" s="158">
        <v>45</v>
      </c>
      <c r="AL47" s="167" t="str">
        <f>IF(AP47&lt;&gt;" ",ETANCHEITE!$D$5,"")</f>
        <v/>
      </c>
      <c r="AM47" s="167" t="str">
        <f>IF(AP47&lt;&gt;" ",ETANCHEITE!$D$8,"")</f>
        <v/>
      </c>
      <c r="AN47" s="159" t="str">
        <f>IFERROR(MATCH(AK47,ETANCHEITE!BA$19:BA$164,0)+18,"")</f>
        <v/>
      </c>
      <c r="AO47" s="160" t="str" cm="1">
        <f t="array" aca="1" ref="AO47" ca="1">IFERROR(IF(_xlfn.XLOOKUP(AK47,ETANCHEITE!BA$19:BA$164,ETANCHEITE!$A$19:$A$164,"")&lt;&gt;"",_xlfn.XLOOKUP(AK47,ETANCHEITE!BA$19:BA$164,ETANCHEITE!$A$19:$A$164,""),    INDEX(ETANCHEITE!$A:$A,MAX(_xlfn._xlws.FILTER(ROW(ETANCHEITE!$A$19:INDIRECT("'MENUISERIES EXTERIEURES'!$A" &amp; AN47-1)),ETANCHEITE!$A$19:INDIRECT("'MENUISERIES EXTERIEURES'!$A" &amp; AN47-1)&lt;&gt;"")))),"")&amp;"   "&amp;IFERROR(_xlfn.XLOOKUP(AK47,ETANCHEITE!BA$19:BA$164,ETANCHEITE!$B$19:$B$164),"")&amp;IFERROR(_xlfn.XLOOKUP(AK47,ETANCHEITE!BA$19:BA$164,ETANCHEITE!$C$19:$C$164),"")&amp;IFERROR(_xlfn.XLOOKUP(AK47,ETANCHEITE!BA$19:BA$164,ETANCHEITE!$D$19:$D$164),"")&amp;IFERROR(_xlfn.XLOOKUP(AK47,ETANCHEITE!BA$19:BA$164,ETANCHEITE!$E$19:$E$164),"")&amp;IFERROR(_xlfn.XLOOKUP(AK47,ETANCHEITE!BA$19:BA$164,ETANCHEITE!$F$19:$F$164),"")</f>
        <v xml:space="preserve">   </v>
      </c>
      <c r="AP47" s="168" t="str">
        <f>IFERROR(VLOOKUP(AK47,ETANCHEITE!BA$19:BC$164,2,FALSE),"")&amp;" "&amp;IFERROR(VLOOKUP(AK47,ETANCHEITE!BA$19:BC$164,3,FALSE),"")</f>
        <v xml:space="preserve"> </v>
      </c>
      <c r="AQ47" s="161" t="str">
        <f>IF(AP47&lt;&gt;" ",'Feuille de Donnée'!$C$3,"")</f>
        <v/>
      </c>
      <c r="AR47" s="232" t="str" cm="1">
        <f t="array" aca="1" ref="AR47" ca="1">IFERROR(IF(_xlfn.XLOOKUP(AK47,ETANCHEITE!BA$19:BA$89,ETANCHEITE!AY$19:AY$89,"")&lt;&gt;"",_xlfn.XLOOKUP(AK47,ETANCHEITE!BA$19:BA$89,ETANCHEITE!AY$19:AY$89,""),    INDEX(ETANCHEITE!AY:AY,MAX(_xlfn._xlws.FILTER(ROW(ETANCHEITE!AY$19:INDIRECT("'PEINTURE'!O" &amp; AN47-1)),ETANCHEITE!AY$19:INDIRECT("'PEINTURE'!O" &amp; AN47-1)&lt;&gt;"")))),"")</f>
        <v/>
      </c>
      <c r="AS47" s="233" t="str" cm="1">
        <f t="array" aca="1" ref="AS47" ca="1">IFERROR(IF(_xlfn.XLOOKUP(AK47,ETANCHEITE!BA$19:BA$89,ETANCHEITE!AZ$19:AZ$89,"")&lt;&gt;"",_xlfn.XLOOKUP(AK47,ETANCHEITE!BA$19:BA$89,ETANCHEITE!AZ$19:AZ$89,""),    INDEX(ETANCHEITE!AZ:AZ,MAX(_xlfn._xlws.FILTER(ROW(ETANCHEITE!AZ$19:INDIRECT("'PEINTURE'!P" &amp; AN47-1)),ETANCHEITE!AZ$19:INDIRECT("'PEINTURE'!P" &amp; AN47-1)&lt;&gt;"")))),"")</f>
        <v/>
      </c>
      <c r="AT47" s="158">
        <v>45</v>
      </c>
      <c r="AU47" s="167" t="str">
        <f>IF(AY47&lt;&gt;" ",ETANCHEITE!$D$5,"")</f>
        <v/>
      </c>
      <c r="AV47" s="167" t="str">
        <f>IF(AY47&lt;&gt;" ",ETANCHEITE!$D$8,"")</f>
        <v/>
      </c>
      <c r="AW47" s="159" t="str">
        <f>IFERROR(MATCH(AT47,ETANCHEITE!BJ$19:BJ$164,0)+18,"")</f>
        <v/>
      </c>
      <c r="AX47" s="160" t="str" cm="1">
        <f t="array" aca="1" ref="AX47" ca="1">IFERROR(IF(_xlfn.XLOOKUP(AT47,ETANCHEITE!BJ$19:BJ$164,ETANCHEITE!$A$19:$A$164,"")&lt;&gt;"",_xlfn.XLOOKUP(AT47,ETANCHEITE!BJ$19:BJ$164,ETANCHEITE!$A$19:$A$164,""),    INDEX(ETANCHEITE!$A:$A,MAX(_xlfn._xlws.FILTER(ROW(ETANCHEITE!$A$19:INDIRECT("'MENUISERIES EXTERIEURES'!$A" &amp; AW47-1)),ETANCHEITE!$A$19:INDIRECT("'MENUISERIES EXTERIEURES'!$A" &amp; AW47-1)&lt;&gt;"")))),"")&amp;"   "&amp;IFERROR(_xlfn.XLOOKUP(AT47,ETANCHEITE!BJ$19:BJ$164,ETANCHEITE!$B$19:$B$164),"")&amp;IFERROR(_xlfn.XLOOKUP(AT47,ETANCHEITE!BJ$19:BJ$164,ETANCHEITE!$C$19:$C$164),"")&amp;IFERROR(_xlfn.XLOOKUP(AT47,ETANCHEITE!BJ$19:BJ$164,ETANCHEITE!$D$19:$D$164),"")&amp;IFERROR(_xlfn.XLOOKUP(AT47,ETANCHEITE!BJ$19:BJ$164,ETANCHEITE!$E$19:$E$164),"")&amp;IFERROR(_xlfn.XLOOKUP(AT47,ETANCHEITE!BJ$19:BJ$164,ETANCHEITE!$F$19:$F$164),"")</f>
        <v xml:space="preserve">   </v>
      </c>
      <c r="AY47" s="168" t="str">
        <f>IFERROR(VLOOKUP(AT47,ETANCHEITE!BJ$19:BL$164,2,FALSE),"")&amp;" "&amp;IFERROR(VLOOKUP(AT47,ETANCHEITE!BJ$19:BL$164,3,FALSE),"")</f>
        <v xml:space="preserve"> </v>
      </c>
      <c r="AZ47" s="161" t="str">
        <f>IF(AY47&lt;&gt;" ",'Feuille de Donnée'!$C$3,"")</f>
        <v/>
      </c>
      <c r="BA47" s="232" t="str" cm="1">
        <f t="array" aca="1" ref="BA47" ca="1">IFERROR(IF(_xlfn.XLOOKUP(AT47,ETANCHEITE!BJ$19:BJ$89,ETANCHEITE!BH$19:BH$89,"")&lt;&gt;"",_xlfn.XLOOKUP(AT47,ETANCHEITE!BJ$19:BJ$89,ETANCHEITE!BH$19:BH$89,""),    INDEX(ETANCHEITE!BH:BH,MAX(_xlfn._xlws.FILTER(ROW(ETANCHEITE!BH$19:INDIRECT("'PEINTURE'!O" &amp; AW47-1)),ETANCHEITE!BH$19:INDIRECT("'PEINTURE'!O" &amp; AW47-1)&lt;&gt;"")))),"")</f>
        <v/>
      </c>
      <c r="BB47" s="233" t="str" cm="1">
        <f t="array" aca="1" ref="BB47" ca="1">IFERROR(IF(_xlfn.XLOOKUP(AT47,ETANCHEITE!BJ$19:BJ$89,ETANCHEITE!BI$19:BI$89,"")&lt;&gt;"",_xlfn.XLOOKUP(AT47,ETANCHEITE!BJ$19:BJ$89,ETANCHEITE!BI$19:BI$89,""),    INDEX(ETANCHEITE!BI:BI,MAX(_xlfn._xlws.FILTER(ROW(ETANCHEITE!BI$19:INDIRECT("'PEINTURE'!P" &amp; AW47-1)),ETANCHEITE!BI$19:INDIRECT("'PEINTURE'!P" &amp; AW47-1)&lt;&gt;"")))),"")</f>
        <v/>
      </c>
    </row>
    <row r="48" spans="1:54" ht="16.5" customHeight="1" x14ac:dyDescent="0.3">
      <c r="A48" s="158">
        <v>46</v>
      </c>
      <c r="B48" s="167" t="str">
        <f>IF(F48&lt;&gt;" ",ETANCHEITE!$D$5,"")</f>
        <v/>
      </c>
      <c r="C48" s="167" t="str">
        <f>IF(F48&lt;&gt;" ",ETANCHEITE!$D$8,"")</f>
        <v/>
      </c>
      <c r="D48" s="159" t="str">
        <f>IFERROR(MATCH(A48,ETANCHEITE!Q$19:Q$164,0)+18,"")</f>
        <v/>
      </c>
      <c r="E48" s="160" t="str" cm="1">
        <f t="array" aca="1" ref="E48" ca="1">IFERROR(IF(_xlfn.XLOOKUP(A48,ETANCHEITE!Q$19:Q$164,ETANCHEITE!$A$19:$A$164,"")&lt;&gt;"",_xlfn.XLOOKUP(A48,ETANCHEITE!Q$19:Q$164,ETANCHEITE!$A$19:$A$164,""),    INDEX(ETANCHEITE!$A:$A,MAX(_xlfn._xlws.FILTER(ROW(ETANCHEITE!$A$19:INDIRECT("'MENUISERIES EXTERIEURES'!$A" &amp; D48-1)),ETANCHEITE!$A$19:INDIRECT("'MENUISERIES EXTERIEURES'!$A" &amp; D48-1)&lt;&gt;"")))),"")&amp;"   "&amp;IFERROR(_xlfn.XLOOKUP(A48,ETANCHEITE!Q$19:Q$164,ETANCHEITE!$B$19:$B$164),"")&amp;IFERROR(_xlfn.XLOOKUP(A48,ETANCHEITE!Q$19:Q$164,ETANCHEITE!$C$19:$C$164),"")&amp;IFERROR(_xlfn.XLOOKUP(A48,ETANCHEITE!Q$19:Q$164,ETANCHEITE!$D$19:$D$164),"")&amp;IFERROR(_xlfn.XLOOKUP(A48,ETANCHEITE!Q$19:Q$164,ETANCHEITE!$E$19:$E$164),"")&amp;IFERROR(_xlfn.XLOOKUP(A48,ETANCHEITE!Q$19:Q$164,ETANCHEITE!$F$19:$F$164),"")</f>
        <v xml:space="preserve">   </v>
      </c>
      <c r="F48" s="168" t="str">
        <f>IFERROR(VLOOKUP(A48,ETANCHEITE!Q$19:S$164,2,FALSE),"")&amp;" "&amp;IFERROR(VLOOKUP(A48,ETANCHEITE!Q$19:S$164,3,FALSE),"")</f>
        <v xml:space="preserve"> </v>
      </c>
      <c r="G48" s="161" t="str">
        <f>IF(F48&lt;&gt;" ",'Feuille de Donnée'!$C$3,"")</f>
        <v/>
      </c>
      <c r="H48" s="232" t="str" cm="1">
        <f t="array" aca="1" ref="H48" ca="1">IFERROR(IF(_xlfn.XLOOKUP(A48,ETANCHEITE!Q$19:Q$89,ETANCHEITE!O$19:O$89,"")&lt;&gt;"",_xlfn.XLOOKUP(A48,ETANCHEITE!Q$19:Q$89,ETANCHEITE!O$19:O$89,""),    INDEX(ETANCHEITE!O:O,MAX(_xlfn._xlws.FILTER(ROW(ETANCHEITE!O$19:INDIRECT("'PEINTURE'!O" &amp; D48-1)),ETANCHEITE!O$19:INDIRECT("'PEINTURE'!O" &amp; D48-1)&lt;&gt;"")))),"")</f>
        <v/>
      </c>
      <c r="I48" s="233" t="str" cm="1">
        <f t="array" aca="1" ref="I48" ca="1">IFERROR(IF(_xlfn.XLOOKUP(A48,ETANCHEITE!Q$19:Q$89,ETANCHEITE!P$19:P$89,"")&lt;&gt;"",_xlfn.XLOOKUP(A48,ETANCHEITE!Q$19:Q$89,ETANCHEITE!P$19:P$89,""),    INDEX(ETANCHEITE!P:P,MAX(_xlfn._xlws.FILTER(ROW(ETANCHEITE!P$19:INDIRECT("'PEINTURE'!P" &amp; D48-1)),ETANCHEITE!P$19:INDIRECT("'PEINTURE'!P" &amp; D48-1)&lt;&gt;"")))),"")</f>
        <v/>
      </c>
      <c r="J48" s="158">
        <v>46</v>
      </c>
      <c r="K48" s="167" t="str">
        <f>IF(O48&lt;&gt;" ",ETANCHEITE!$D$5,"")</f>
        <v/>
      </c>
      <c r="L48" s="167" t="str">
        <f>IF(O48&lt;&gt;" ",ETANCHEITE!$D$8,"")</f>
        <v/>
      </c>
      <c r="M48" s="159" t="str">
        <f>IFERROR(MATCH(J48,ETANCHEITE!Z$19:Z$164,0)+18,"")</f>
        <v/>
      </c>
      <c r="N48" s="160" t="str" cm="1">
        <f t="array" aca="1" ref="N48" ca="1">IFERROR(IF(_xlfn.XLOOKUP(J48,ETANCHEITE!Z$19:Z$164,ETANCHEITE!$A$19:$A$164,"")&lt;&gt;"",_xlfn.XLOOKUP(J48,ETANCHEITE!Z$19:Z$164,ETANCHEITE!$A$19:$A$164,""),    INDEX(ETANCHEITE!$A:$A,MAX(_xlfn._xlws.FILTER(ROW(ETANCHEITE!$A$19:INDIRECT("'MENUISERIES EXTERIEURES'!$A" &amp; M48-1)),ETANCHEITE!$A$19:INDIRECT("'MENUISERIES EXTERIEURES'!$A" &amp; M48-1)&lt;&gt;"")))),"")&amp;"   "&amp;IFERROR(_xlfn.XLOOKUP(J48,ETANCHEITE!Z$19:Z$164,ETANCHEITE!$B$19:$B$164),"")&amp;IFERROR(_xlfn.XLOOKUP(J48,ETANCHEITE!Z$19:Z$164,ETANCHEITE!$C$19:$C$164),"")&amp;IFERROR(_xlfn.XLOOKUP(J48,ETANCHEITE!Z$19:Z$164,ETANCHEITE!$D$19:$D$164),"")&amp;IFERROR(_xlfn.XLOOKUP(J48,ETANCHEITE!Z$19:Z$164,ETANCHEITE!$E$19:$E$164),"")&amp;IFERROR(_xlfn.XLOOKUP(J48,ETANCHEITE!Z$19:Z$164,ETANCHEITE!$F$19:$F$164),"")</f>
        <v xml:space="preserve">   </v>
      </c>
      <c r="O48" s="168" t="str">
        <f>IFERROR(VLOOKUP(J48,ETANCHEITE!Z$19:AB$164,2,FALSE),"")&amp;" "&amp;IFERROR(VLOOKUP(J48,ETANCHEITE!Z$19:AB$164,3,FALSE),"")</f>
        <v xml:space="preserve"> </v>
      </c>
      <c r="P48" s="161" t="str">
        <f>IF(O48&lt;&gt;" ",'Feuille de Donnée'!$C$3,"")</f>
        <v/>
      </c>
      <c r="Q48" s="232" t="str" cm="1">
        <f t="array" aca="1" ref="Q48" ca="1">IFERROR(IF(_xlfn.XLOOKUP(J48,ETANCHEITE!Z$19:Z$89,ETANCHEITE!X$19:X$89,"")&lt;&gt;"",_xlfn.XLOOKUP(J48,ETANCHEITE!Z$19:Z$89,ETANCHEITE!X$19:X$89,""),    INDEX(ETANCHEITE!X:X,MAX(_xlfn._xlws.FILTER(ROW(ETANCHEITE!X$19:INDIRECT("'PEINTURE'!O" &amp; M48-1)),ETANCHEITE!X$19:INDIRECT("'PEINTURE'!O" &amp; M48-1)&lt;&gt;"")))),"")</f>
        <v/>
      </c>
      <c r="R48" s="233" t="str" cm="1">
        <f t="array" aca="1" ref="R48" ca="1">IFERROR(IF(_xlfn.XLOOKUP(J48,ETANCHEITE!Z$19:Z$89,ETANCHEITE!Y$19:Y$89,"")&lt;&gt;"",_xlfn.XLOOKUP(J48,ETANCHEITE!Z$19:Z$89,ETANCHEITE!Y$19:Y$89,""),    INDEX(ETANCHEITE!Y:Y,MAX(_xlfn._xlws.FILTER(ROW(ETANCHEITE!Y$19:INDIRECT("'PEINTURE'!P" &amp; M48-1)),ETANCHEITE!Y$19:INDIRECT("'PEINTURE'!P" &amp; M48-1)&lt;&gt;"")))),"")</f>
        <v/>
      </c>
      <c r="S48" s="158">
        <v>46</v>
      </c>
      <c r="T48" s="167" t="str">
        <f>IF(X48&lt;&gt;" ",ETANCHEITE!$D$5,"")</f>
        <v/>
      </c>
      <c r="U48" s="167" t="str">
        <f>IF(X48&lt;&gt;" ",ETANCHEITE!$D$8,"")</f>
        <v/>
      </c>
      <c r="V48" s="159" t="str">
        <f>IFERROR(MATCH(S48,ETANCHEITE!AI$19:AI$164,0)+18,"")</f>
        <v/>
      </c>
      <c r="W48" s="160" t="str" cm="1">
        <f t="array" aca="1" ref="W48" ca="1">IFERROR(IF(_xlfn.XLOOKUP(S48,ETANCHEITE!AI$19:AI$164,ETANCHEITE!$A$19:$A$164,"")&lt;&gt;"",_xlfn.XLOOKUP(S48,ETANCHEITE!AI$19:AI$164,ETANCHEITE!$A$19:$A$164,""),    INDEX(ETANCHEITE!$A:$A,MAX(_xlfn._xlws.FILTER(ROW(ETANCHEITE!$A$19:INDIRECT("'MENUISERIES EXTERIEURES'!$A" &amp; V48-1)),ETANCHEITE!$A$19:INDIRECT("'MENUISERIES EXTERIEURES'!$A" &amp; V48-1)&lt;&gt;"")))),"")&amp;"   "&amp;IFERROR(_xlfn.XLOOKUP(S48,ETANCHEITE!AI$19:AI$164,ETANCHEITE!$B$19:$B$164),"")&amp;IFERROR(_xlfn.XLOOKUP(S48,ETANCHEITE!AI$19:AI$164,ETANCHEITE!$C$19:$C$164),"")&amp;IFERROR(_xlfn.XLOOKUP(S48,ETANCHEITE!AI$19:AI$164,ETANCHEITE!$D$19:$D$164),"")&amp;IFERROR(_xlfn.XLOOKUP(S48,ETANCHEITE!AI$19:AI$164,ETANCHEITE!$E$19:$E$164),"")&amp;IFERROR(_xlfn.XLOOKUP(S48,ETANCHEITE!AI$19:AI$164,ETANCHEITE!$F$19:$F$164),"")</f>
        <v xml:space="preserve">   </v>
      </c>
      <c r="X48" s="168" t="str">
        <f>IFERROR(VLOOKUP(S48,ETANCHEITE!AI$19:AK$164,2,FALSE),"")&amp;" "&amp;IFERROR(VLOOKUP(S48,ETANCHEITE!AI$19:AK$164,3,FALSE),"")</f>
        <v xml:space="preserve"> </v>
      </c>
      <c r="Y48" s="161" t="str">
        <f>IF(X48&lt;&gt;" ",'Feuille de Donnée'!$C$3,"")</f>
        <v/>
      </c>
      <c r="Z48" s="232" t="str" cm="1">
        <f t="array" aca="1" ref="Z48" ca="1">IFERROR(IF(_xlfn.XLOOKUP(S48,ETANCHEITE!AI$19:AI$89,ETANCHEITE!AG$19:AG$89,"")&lt;&gt;"",_xlfn.XLOOKUP(S48,ETANCHEITE!AI$19:AI$89,ETANCHEITE!AG$19:AG$89,""),    INDEX(ETANCHEITE!AG:AG,MAX(_xlfn._xlws.FILTER(ROW(ETANCHEITE!AG$19:INDIRECT("'PEINTURE'!O" &amp; V48-1)),ETANCHEITE!AG$19:INDIRECT("'PEINTURE'!O" &amp; V48-1)&lt;&gt;"")))),"")</f>
        <v/>
      </c>
      <c r="AA48" s="233" t="str" cm="1">
        <f t="array" aca="1" ref="AA48" ca="1">IFERROR(IF(_xlfn.XLOOKUP(S48,ETANCHEITE!AI$19:AI$89,ETANCHEITE!AH$19:AH$89,"")&lt;&gt;"",_xlfn.XLOOKUP(S48,ETANCHEITE!AI$19:AI$89,ETANCHEITE!AH$19:AH$89,""),    INDEX(ETANCHEITE!AH:AH,MAX(_xlfn._xlws.FILTER(ROW(ETANCHEITE!AH$19:INDIRECT("'PEINTURE'!P" &amp; V48-1)),ETANCHEITE!AH$19:INDIRECT("'PEINTURE'!P" &amp; V48-1)&lt;&gt;"")))),"")</f>
        <v/>
      </c>
      <c r="AB48" s="158">
        <v>46</v>
      </c>
      <c r="AC48" s="167" t="str">
        <f>IF(AG48&lt;&gt;" ",ETANCHEITE!$D$5,"")</f>
        <v/>
      </c>
      <c r="AD48" s="167" t="str">
        <f>IF(AG48&lt;&gt;" ",ETANCHEITE!$D$8,"")</f>
        <v/>
      </c>
      <c r="AE48" s="159" t="str">
        <f>IFERROR(MATCH(AB48,ETANCHEITE!AR$19:AR$164,0)+18,"")</f>
        <v/>
      </c>
      <c r="AF48" s="160" t="str" cm="1">
        <f t="array" aca="1" ref="AF48" ca="1">IFERROR(IF(_xlfn.XLOOKUP(AB48,ETANCHEITE!AR$19:AR$164,ETANCHEITE!$A$19:$A$164,"")&lt;&gt;"",_xlfn.XLOOKUP(AB48,ETANCHEITE!AR$19:AR$164,ETANCHEITE!$A$19:$A$164,""),    INDEX(ETANCHEITE!$A:$A,MAX(_xlfn._xlws.FILTER(ROW(ETANCHEITE!$A$19:INDIRECT("'MENUISERIES EXTERIEURES'!$A" &amp; AE48-1)),ETANCHEITE!$A$19:INDIRECT("'MENUISERIES EXTERIEURES'!$A" &amp; AE48-1)&lt;&gt;"")))),"")&amp;"   "&amp;IFERROR(_xlfn.XLOOKUP(AB48,ETANCHEITE!AR$19:AR$164,ETANCHEITE!$B$19:$B$164),"")&amp;IFERROR(_xlfn.XLOOKUP(AB48,ETANCHEITE!AR$19:AR$164,ETANCHEITE!$C$19:$C$164),"")&amp;IFERROR(_xlfn.XLOOKUP(AB48,ETANCHEITE!AR$19:AR$164,ETANCHEITE!$D$19:$D$164),"")&amp;IFERROR(_xlfn.XLOOKUP(AB48,ETANCHEITE!AR$19:AR$164,ETANCHEITE!$E$19:$E$164),"")&amp;IFERROR(_xlfn.XLOOKUP(AB48,ETANCHEITE!AR$19:AR$164,ETANCHEITE!$F$19:$F$164),"")</f>
        <v xml:space="preserve">   </v>
      </c>
      <c r="AG48" s="168" t="str">
        <f>IFERROR(VLOOKUP(AB48,ETANCHEITE!AR$19:AT$164,2,FALSE),"")&amp;" "&amp;IFERROR(VLOOKUP(AB48,ETANCHEITE!AR$19:AT$164,3,FALSE),"")</f>
        <v xml:space="preserve"> </v>
      </c>
      <c r="AH48" s="161" t="str">
        <f>IF(AG48&lt;&gt;" ",'Feuille de Donnée'!$C$3,"")</f>
        <v/>
      </c>
      <c r="AI48" s="232" t="str" cm="1">
        <f t="array" aca="1" ref="AI48" ca="1">IFERROR(IF(_xlfn.XLOOKUP(AB48,ETANCHEITE!AR$19:AR$89,ETANCHEITE!AP$19:AP$89,"")&lt;&gt;"",_xlfn.XLOOKUP(AB48,ETANCHEITE!AR$19:AR$89,ETANCHEITE!AP$19:AP$89,""),    INDEX(ETANCHEITE!AP:AP,MAX(_xlfn._xlws.FILTER(ROW(ETANCHEITE!AP$19:INDIRECT("'PEINTURE'!O" &amp; AE48-1)),ETANCHEITE!AP$19:INDIRECT("'PEINTURE'!O" &amp; AE48-1)&lt;&gt;"")))),"")</f>
        <v/>
      </c>
      <c r="AJ48" s="233" t="str" cm="1">
        <f t="array" aca="1" ref="AJ48" ca="1">IFERROR(IF(_xlfn.XLOOKUP(AB48,ETANCHEITE!AR$19:AR$89,ETANCHEITE!AQ$19:AQ$89,"")&lt;&gt;"",_xlfn.XLOOKUP(AB48,ETANCHEITE!AR$19:AR$89,ETANCHEITE!AQ$19:AQ$89,""),    INDEX(ETANCHEITE!AQ:AQ,MAX(_xlfn._xlws.FILTER(ROW(ETANCHEITE!AQ$19:INDIRECT("'PEINTURE'!P" &amp; AE48-1)),ETANCHEITE!AQ$19:INDIRECT("'PEINTURE'!P" &amp; AE48-1)&lt;&gt;"")))),"")</f>
        <v/>
      </c>
      <c r="AK48" s="158">
        <v>46</v>
      </c>
      <c r="AL48" s="167" t="str">
        <f>IF(AP48&lt;&gt;" ",ETANCHEITE!$D$5,"")</f>
        <v/>
      </c>
      <c r="AM48" s="167" t="str">
        <f>IF(AP48&lt;&gt;" ",ETANCHEITE!$D$8,"")</f>
        <v/>
      </c>
      <c r="AN48" s="159" t="str">
        <f>IFERROR(MATCH(AK48,ETANCHEITE!BA$19:BA$164,0)+18,"")</f>
        <v/>
      </c>
      <c r="AO48" s="160" t="str" cm="1">
        <f t="array" aca="1" ref="AO48" ca="1">IFERROR(IF(_xlfn.XLOOKUP(AK48,ETANCHEITE!BA$19:BA$164,ETANCHEITE!$A$19:$A$164,"")&lt;&gt;"",_xlfn.XLOOKUP(AK48,ETANCHEITE!BA$19:BA$164,ETANCHEITE!$A$19:$A$164,""),    INDEX(ETANCHEITE!$A:$A,MAX(_xlfn._xlws.FILTER(ROW(ETANCHEITE!$A$19:INDIRECT("'MENUISERIES EXTERIEURES'!$A" &amp; AN48-1)),ETANCHEITE!$A$19:INDIRECT("'MENUISERIES EXTERIEURES'!$A" &amp; AN48-1)&lt;&gt;"")))),"")&amp;"   "&amp;IFERROR(_xlfn.XLOOKUP(AK48,ETANCHEITE!BA$19:BA$164,ETANCHEITE!$B$19:$B$164),"")&amp;IFERROR(_xlfn.XLOOKUP(AK48,ETANCHEITE!BA$19:BA$164,ETANCHEITE!$C$19:$C$164),"")&amp;IFERROR(_xlfn.XLOOKUP(AK48,ETANCHEITE!BA$19:BA$164,ETANCHEITE!$D$19:$D$164),"")&amp;IFERROR(_xlfn.XLOOKUP(AK48,ETANCHEITE!BA$19:BA$164,ETANCHEITE!$E$19:$E$164),"")&amp;IFERROR(_xlfn.XLOOKUP(AK48,ETANCHEITE!BA$19:BA$164,ETANCHEITE!$F$19:$F$164),"")</f>
        <v xml:space="preserve">   </v>
      </c>
      <c r="AP48" s="168" t="str">
        <f>IFERROR(VLOOKUP(AK48,ETANCHEITE!BA$19:BC$164,2,FALSE),"")&amp;" "&amp;IFERROR(VLOOKUP(AK48,ETANCHEITE!BA$19:BC$164,3,FALSE),"")</f>
        <v xml:space="preserve"> </v>
      </c>
      <c r="AQ48" s="161" t="str">
        <f>IF(AP48&lt;&gt;" ",'Feuille de Donnée'!$C$3,"")</f>
        <v/>
      </c>
      <c r="AR48" s="232" t="str" cm="1">
        <f t="array" aca="1" ref="AR48" ca="1">IFERROR(IF(_xlfn.XLOOKUP(AK48,ETANCHEITE!BA$19:BA$89,ETANCHEITE!AY$19:AY$89,"")&lt;&gt;"",_xlfn.XLOOKUP(AK48,ETANCHEITE!BA$19:BA$89,ETANCHEITE!AY$19:AY$89,""),    INDEX(ETANCHEITE!AY:AY,MAX(_xlfn._xlws.FILTER(ROW(ETANCHEITE!AY$19:INDIRECT("'PEINTURE'!O" &amp; AN48-1)),ETANCHEITE!AY$19:INDIRECT("'PEINTURE'!O" &amp; AN48-1)&lt;&gt;"")))),"")</f>
        <v/>
      </c>
      <c r="AS48" s="233" t="str" cm="1">
        <f t="array" aca="1" ref="AS48" ca="1">IFERROR(IF(_xlfn.XLOOKUP(AK48,ETANCHEITE!BA$19:BA$89,ETANCHEITE!AZ$19:AZ$89,"")&lt;&gt;"",_xlfn.XLOOKUP(AK48,ETANCHEITE!BA$19:BA$89,ETANCHEITE!AZ$19:AZ$89,""),    INDEX(ETANCHEITE!AZ:AZ,MAX(_xlfn._xlws.FILTER(ROW(ETANCHEITE!AZ$19:INDIRECT("'PEINTURE'!P" &amp; AN48-1)),ETANCHEITE!AZ$19:INDIRECT("'PEINTURE'!P" &amp; AN48-1)&lt;&gt;"")))),"")</f>
        <v/>
      </c>
      <c r="AT48" s="158">
        <v>46</v>
      </c>
      <c r="AU48" s="167" t="str">
        <f>IF(AY48&lt;&gt;" ",ETANCHEITE!$D$5,"")</f>
        <v/>
      </c>
      <c r="AV48" s="167" t="str">
        <f>IF(AY48&lt;&gt;" ",ETANCHEITE!$D$8,"")</f>
        <v/>
      </c>
      <c r="AW48" s="159" t="str">
        <f>IFERROR(MATCH(AT48,ETANCHEITE!BJ$19:BJ$164,0)+18,"")</f>
        <v/>
      </c>
      <c r="AX48" s="160" t="str" cm="1">
        <f t="array" aca="1" ref="AX48" ca="1">IFERROR(IF(_xlfn.XLOOKUP(AT48,ETANCHEITE!BJ$19:BJ$164,ETANCHEITE!$A$19:$A$164,"")&lt;&gt;"",_xlfn.XLOOKUP(AT48,ETANCHEITE!BJ$19:BJ$164,ETANCHEITE!$A$19:$A$164,""),    INDEX(ETANCHEITE!$A:$A,MAX(_xlfn._xlws.FILTER(ROW(ETANCHEITE!$A$19:INDIRECT("'MENUISERIES EXTERIEURES'!$A" &amp; AW48-1)),ETANCHEITE!$A$19:INDIRECT("'MENUISERIES EXTERIEURES'!$A" &amp; AW48-1)&lt;&gt;"")))),"")&amp;"   "&amp;IFERROR(_xlfn.XLOOKUP(AT48,ETANCHEITE!BJ$19:BJ$164,ETANCHEITE!$B$19:$B$164),"")&amp;IFERROR(_xlfn.XLOOKUP(AT48,ETANCHEITE!BJ$19:BJ$164,ETANCHEITE!$C$19:$C$164),"")&amp;IFERROR(_xlfn.XLOOKUP(AT48,ETANCHEITE!BJ$19:BJ$164,ETANCHEITE!$D$19:$D$164),"")&amp;IFERROR(_xlfn.XLOOKUP(AT48,ETANCHEITE!BJ$19:BJ$164,ETANCHEITE!$E$19:$E$164),"")&amp;IFERROR(_xlfn.XLOOKUP(AT48,ETANCHEITE!BJ$19:BJ$164,ETANCHEITE!$F$19:$F$164),"")</f>
        <v xml:space="preserve">   </v>
      </c>
      <c r="AY48" s="168" t="str">
        <f>IFERROR(VLOOKUP(AT48,ETANCHEITE!BJ$19:BL$164,2,FALSE),"")&amp;" "&amp;IFERROR(VLOOKUP(AT48,ETANCHEITE!BJ$19:BL$164,3,FALSE),"")</f>
        <v xml:space="preserve"> </v>
      </c>
      <c r="AZ48" s="161" t="str">
        <f>IF(AY48&lt;&gt;" ",'Feuille de Donnée'!$C$3,"")</f>
        <v/>
      </c>
      <c r="BA48" s="232" t="str" cm="1">
        <f t="array" aca="1" ref="BA48" ca="1">IFERROR(IF(_xlfn.XLOOKUP(AT48,ETANCHEITE!BJ$19:BJ$89,ETANCHEITE!BH$19:BH$89,"")&lt;&gt;"",_xlfn.XLOOKUP(AT48,ETANCHEITE!BJ$19:BJ$89,ETANCHEITE!BH$19:BH$89,""),    INDEX(ETANCHEITE!BH:BH,MAX(_xlfn._xlws.FILTER(ROW(ETANCHEITE!BH$19:INDIRECT("'PEINTURE'!O" &amp; AW48-1)),ETANCHEITE!BH$19:INDIRECT("'PEINTURE'!O" &amp; AW48-1)&lt;&gt;"")))),"")</f>
        <v/>
      </c>
      <c r="BB48" s="233" t="str" cm="1">
        <f t="array" aca="1" ref="BB48" ca="1">IFERROR(IF(_xlfn.XLOOKUP(AT48,ETANCHEITE!BJ$19:BJ$89,ETANCHEITE!BI$19:BI$89,"")&lt;&gt;"",_xlfn.XLOOKUP(AT48,ETANCHEITE!BJ$19:BJ$89,ETANCHEITE!BI$19:BI$89,""),    INDEX(ETANCHEITE!BI:BI,MAX(_xlfn._xlws.FILTER(ROW(ETANCHEITE!BI$19:INDIRECT("'PEINTURE'!P" &amp; AW48-1)),ETANCHEITE!BI$19:INDIRECT("'PEINTURE'!P" &amp; AW48-1)&lt;&gt;"")))),"")</f>
        <v/>
      </c>
    </row>
    <row r="49" spans="1:54" ht="16.5" customHeight="1" x14ac:dyDescent="0.3">
      <c r="A49" s="158">
        <v>47</v>
      </c>
      <c r="B49" s="167" t="str">
        <f>IF(F49&lt;&gt;" ",ETANCHEITE!$D$5,"")</f>
        <v/>
      </c>
      <c r="C49" s="167" t="str">
        <f>IF(F49&lt;&gt;" ",ETANCHEITE!$D$8,"")</f>
        <v/>
      </c>
      <c r="D49" s="159" t="str">
        <f>IFERROR(MATCH(A49,ETANCHEITE!Q$19:Q$164,0)+18,"")</f>
        <v/>
      </c>
      <c r="E49" s="160" t="str" cm="1">
        <f t="array" aca="1" ref="E49" ca="1">IFERROR(IF(_xlfn.XLOOKUP(A49,ETANCHEITE!Q$19:Q$164,ETANCHEITE!$A$19:$A$164,"")&lt;&gt;"",_xlfn.XLOOKUP(A49,ETANCHEITE!Q$19:Q$164,ETANCHEITE!$A$19:$A$164,""),    INDEX(ETANCHEITE!$A:$A,MAX(_xlfn._xlws.FILTER(ROW(ETANCHEITE!$A$19:INDIRECT("'MENUISERIES EXTERIEURES'!$A" &amp; D49-1)),ETANCHEITE!$A$19:INDIRECT("'MENUISERIES EXTERIEURES'!$A" &amp; D49-1)&lt;&gt;"")))),"")&amp;"   "&amp;IFERROR(_xlfn.XLOOKUP(A49,ETANCHEITE!Q$19:Q$164,ETANCHEITE!$B$19:$B$164),"")&amp;IFERROR(_xlfn.XLOOKUP(A49,ETANCHEITE!Q$19:Q$164,ETANCHEITE!$C$19:$C$164),"")&amp;IFERROR(_xlfn.XLOOKUP(A49,ETANCHEITE!Q$19:Q$164,ETANCHEITE!$D$19:$D$164),"")&amp;IFERROR(_xlfn.XLOOKUP(A49,ETANCHEITE!Q$19:Q$164,ETANCHEITE!$E$19:$E$164),"")&amp;IFERROR(_xlfn.XLOOKUP(A49,ETANCHEITE!Q$19:Q$164,ETANCHEITE!$F$19:$F$164),"")</f>
        <v xml:space="preserve">   </v>
      </c>
      <c r="F49" s="168" t="str">
        <f>IFERROR(VLOOKUP(A49,ETANCHEITE!Q$19:S$164,2,FALSE),"")&amp;" "&amp;IFERROR(VLOOKUP(A49,ETANCHEITE!Q$19:S$164,3,FALSE),"")</f>
        <v xml:space="preserve"> </v>
      </c>
      <c r="G49" s="161" t="str">
        <f>IF(F49&lt;&gt;" ",'Feuille de Donnée'!$C$3,"")</f>
        <v/>
      </c>
      <c r="H49" s="232" t="str" cm="1">
        <f t="array" aca="1" ref="H49" ca="1">IFERROR(IF(_xlfn.XLOOKUP(A49,ETANCHEITE!Q$19:Q$89,ETANCHEITE!O$19:O$89,"")&lt;&gt;"",_xlfn.XLOOKUP(A49,ETANCHEITE!Q$19:Q$89,ETANCHEITE!O$19:O$89,""),    INDEX(ETANCHEITE!O:O,MAX(_xlfn._xlws.FILTER(ROW(ETANCHEITE!O$19:INDIRECT("'PEINTURE'!O" &amp; D49-1)),ETANCHEITE!O$19:INDIRECT("'PEINTURE'!O" &amp; D49-1)&lt;&gt;"")))),"")</f>
        <v/>
      </c>
      <c r="I49" s="233" t="str" cm="1">
        <f t="array" aca="1" ref="I49" ca="1">IFERROR(IF(_xlfn.XLOOKUP(A49,ETANCHEITE!Q$19:Q$89,ETANCHEITE!P$19:P$89,"")&lt;&gt;"",_xlfn.XLOOKUP(A49,ETANCHEITE!Q$19:Q$89,ETANCHEITE!P$19:P$89,""),    INDEX(ETANCHEITE!P:P,MAX(_xlfn._xlws.FILTER(ROW(ETANCHEITE!P$19:INDIRECT("'PEINTURE'!P" &amp; D49-1)),ETANCHEITE!P$19:INDIRECT("'PEINTURE'!P" &amp; D49-1)&lt;&gt;"")))),"")</f>
        <v/>
      </c>
      <c r="J49" s="158">
        <v>47</v>
      </c>
      <c r="K49" s="167" t="str">
        <f>IF(O49&lt;&gt;" ",ETANCHEITE!$D$5,"")</f>
        <v/>
      </c>
      <c r="L49" s="167" t="str">
        <f>IF(O49&lt;&gt;" ",ETANCHEITE!$D$8,"")</f>
        <v/>
      </c>
      <c r="M49" s="159" t="str">
        <f>IFERROR(MATCH(J49,ETANCHEITE!Z$19:Z$164,0)+18,"")</f>
        <v/>
      </c>
      <c r="N49" s="160" t="str" cm="1">
        <f t="array" aca="1" ref="N49" ca="1">IFERROR(IF(_xlfn.XLOOKUP(J49,ETANCHEITE!Z$19:Z$164,ETANCHEITE!$A$19:$A$164,"")&lt;&gt;"",_xlfn.XLOOKUP(J49,ETANCHEITE!Z$19:Z$164,ETANCHEITE!$A$19:$A$164,""),    INDEX(ETANCHEITE!$A:$A,MAX(_xlfn._xlws.FILTER(ROW(ETANCHEITE!$A$19:INDIRECT("'MENUISERIES EXTERIEURES'!$A" &amp; M49-1)),ETANCHEITE!$A$19:INDIRECT("'MENUISERIES EXTERIEURES'!$A" &amp; M49-1)&lt;&gt;"")))),"")&amp;"   "&amp;IFERROR(_xlfn.XLOOKUP(J49,ETANCHEITE!Z$19:Z$164,ETANCHEITE!$B$19:$B$164),"")&amp;IFERROR(_xlfn.XLOOKUP(J49,ETANCHEITE!Z$19:Z$164,ETANCHEITE!$C$19:$C$164),"")&amp;IFERROR(_xlfn.XLOOKUP(J49,ETANCHEITE!Z$19:Z$164,ETANCHEITE!$D$19:$D$164),"")&amp;IFERROR(_xlfn.XLOOKUP(J49,ETANCHEITE!Z$19:Z$164,ETANCHEITE!$E$19:$E$164),"")&amp;IFERROR(_xlfn.XLOOKUP(J49,ETANCHEITE!Z$19:Z$164,ETANCHEITE!$F$19:$F$164),"")</f>
        <v xml:space="preserve">   </v>
      </c>
      <c r="O49" s="168" t="str">
        <f>IFERROR(VLOOKUP(J49,ETANCHEITE!Z$19:AB$164,2,FALSE),"")&amp;" "&amp;IFERROR(VLOOKUP(J49,ETANCHEITE!Z$19:AB$164,3,FALSE),"")</f>
        <v xml:space="preserve"> </v>
      </c>
      <c r="P49" s="161" t="str">
        <f>IF(O49&lt;&gt;" ",'Feuille de Donnée'!$C$3,"")</f>
        <v/>
      </c>
      <c r="Q49" s="232" t="str" cm="1">
        <f t="array" aca="1" ref="Q49" ca="1">IFERROR(IF(_xlfn.XLOOKUP(J49,ETANCHEITE!Z$19:Z$89,ETANCHEITE!X$19:X$89,"")&lt;&gt;"",_xlfn.XLOOKUP(J49,ETANCHEITE!Z$19:Z$89,ETANCHEITE!X$19:X$89,""),    INDEX(ETANCHEITE!X:X,MAX(_xlfn._xlws.FILTER(ROW(ETANCHEITE!X$19:INDIRECT("'PEINTURE'!O" &amp; M49-1)),ETANCHEITE!X$19:INDIRECT("'PEINTURE'!O" &amp; M49-1)&lt;&gt;"")))),"")</f>
        <v/>
      </c>
      <c r="R49" s="233" t="str" cm="1">
        <f t="array" aca="1" ref="R49" ca="1">IFERROR(IF(_xlfn.XLOOKUP(J49,ETANCHEITE!Z$19:Z$89,ETANCHEITE!Y$19:Y$89,"")&lt;&gt;"",_xlfn.XLOOKUP(J49,ETANCHEITE!Z$19:Z$89,ETANCHEITE!Y$19:Y$89,""),    INDEX(ETANCHEITE!Y:Y,MAX(_xlfn._xlws.FILTER(ROW(ETANCHEITE!Y$19:INDIRECT("'PEINTURE'!P" &amp; M49-1)),ETANCHEITE!Y$19:INDIRECT("'PEINTURE'!P" &amp; M49-1)&lt;&gt;"")))),"")</f>
        <v/>
      </c>
      <c r="S49" s="158">
        <v>47</v>
      </c>
      <c r="T49" s="167" t="str">
        <f>IF(X49&lt;&gt;" ",ETANCHEITE!$D$5,"")</f>
        <v/>
      </c>
      <c r="U49" s="167" t="str">
        <f>IF(X49&lt;&gt;" ",ETANCHEITE!$D$8,"")</f>
        <v/>
      </c>
      <c r="V49" s="159" t="str">
        <f>IFERROR(MATCH(S49,ETANCHEITE!AI$19:AI$164,0)+18,"")</f>
        <v/>
      </c>
      <c r="W49" s="160" t="str" cm="1">
        <f t="array" aca="1" ref="W49" ca="1">IFERROR(IF(_xlfn.XLOOKUP(S49,ETANCHEITE!AI$19:AI$164,ETANCHEITE!$A$19:$A$164,"")&lt;&gt;"",_xlfn.XLOOKUP(S49,ETANCHEITE!AI$19:AI$164,ETANCHEITE!$A$19:$A$164,""),    INDEX(ETANCHEITE!$A:$A,MAX(_xlfn._xlws.FILTER(ROW(ETANCHEITE!$A$19:INDIRECT("'MENUISERIES EXTERIEURES'!$A" &amp; V49-1)),ETANCHEITE!$A$19:INDIRECT("'MENUISERIES EXTERIEURES'!$A" &amp; V49-1)&lt;&gt;"")))),"")&amp;"   "&amp;IFERROR(_xlfn.XLOOKUP(S49,ETANCHEITE!AI$19:AI$164,ETANCHEITE!$B$19:$B$164),"")&amp;IFERROR(_xlfn.XLOOKUP(S49,ETANCHEITE!AI$19:AI$164,ETANCHEITE!$C$19:$C$164),"")&amp;IFERROR(_xlfn.XLOOKUP(S49,ETANCHEITE!AI$19:AI$164,ETANCHEITE!$D$19:$D$164),"")&amp;IFERROR(_xlfn.XLOOKUP(S49,ETANCHEITE!AI$19:AI$164,ETANCHEITE!$E$19:$E$164),"")&amp;IFERROR(_xlfn.XLOOKUP(S49,ETANCHEITE!AI$19:AI$164,ETANCHEITE!$F$19:$F$164),"")</f>
        <v xml:space="preserve">   </v>
      </c>
      <c r="X49" s="168" t="str">
        <f>IFERROR(VLOOKUP(S49,ETANCHEITE!AI$19:AK$164,2,FALSE),"")&amp;" "&amp;IFERROR(VLOOKUP(S49,ETANCHEITE!AI$19:AK$164,3,FALSE),"")</f>
        <v xml:space="preserve"> </v>
      </c>
      <c r="Y49" s="161" t="str">
        <f>IF(X49&lt;&gt;" ",'Feuille de Donnée'!$C$3,"")</f>
        <v/>
      </c>
      <c r="Z49" s="232" t="str" cm="1">
        <f t="array" aca="1" ref="Z49" ca="1">IFERROR(IF(_xlfn.XLOOKUP(S49,ETANCHEITE!AI$19:AI$89,ETANCHEITE!AG$19:AG$89,"")&lt;&gt;"",_xlfn.XLOOKUP(S49,ETANCHEITE!AI$19:AI$89,ETANCHEITE!AG$19:AG$89,""),    INDEX(ETANCHEITE!AG:AG,MAX(_xlfn._xlws.FILTER(ROW(ETANCHEITE!AG$19:INDIRECT("'PEINTURE'!O" &amp; V49-1)),ETANCHEITE!AG$19:INDIRECT("'PEINTURE'!O" &amp; V49-1)&lt;&gt;"")))),"")</f>
        <v/>
      </c>
      <c r="AA49" s="233" t="str" cm="1">
        <f t="array" aca="1" ref="AA49" ca="1">IFERROR(IF(_xlfn.XLOOKUP(S49,ETANCHEITE!AI$19:AI$89,ETANCHEITE!AH$19:AH$89,"")&lt;&gt;"",_xlfn.XLOOKUP(S49,ETANCHEITE!AI$19:AI$89,ETANCHEITE!AH$19:AH$89,""),    INDEX(ETANCHEITE!AH:AH,MAX(_xlfn._xlws.FILTER(ROW(ETANCHEITE!AH$19:INDIRECT("'PEINTURE'!P" &amp; V49-1)),ETANCHEITE!AH$19:INDIRECT("'PEINTURE'!P" &amp; V49-1)&lt;&gt;"")))),"")</f>
        <v/>
      </c>
      <c r="AB49" s="158">
        <v>47</v>
      </c>
      <c r="AC49" s="167" t="str">
        <f>IF(AG49&lt;&gt;" ",ETANCHEITE!$D$5,"")</f>
        <v/>
      </c>
      <c r="AD49" s="167" t="str">
        <f>IF(AG49&lt;&gt;" ",ETANCHEITE!$D$8,"")</f>
        <v/>
      </c>
      <c r="AE49" s="159" t="str">
        <f>IFERROR(MATCH(AB49,ETANCHEITE!AR$19:AR$164,0)+18,"")</f>
        <v/>
      </c>
      <c r="AF49" s="160" t="str" cm="1">
        <f t="array" aca="1" ref="AF49" ca="1">IFERROR(IF(_xlfn.XLOOKUP(AB49,ETANCHEITE!AR$19:AR$164,ETANCHEITE!$A$19:$A$164,"")&lt;&gt;"",_xlfn.XLOOKUP(AB49,ETANCHEITE!AR$19:AR$164,ETANCHEITE!$A$19:$A$164,""),    INDEX(ETANCHEITE!$A:$A,MAX(_xlfn._xlws.FILTER(ROW(ETANCHEITE!$A$19:INDIRECT("'MENUISERIES EXTERIEURES'!$A" &amp; AE49-1)),ETANCHEITE!$A$19:INDIRECT("'MENUISERIES EXTERIEURES'!$A" &amp; AE49-1)&lt;&gt;"")))),"")&amp;"   "&amp;IFERROR(_xlfn.XLOOKUP(AB49,ETANCHEITE!AR$19:AR$164,ETANCHEITE!$B$19:$B$164),"")&amp;IFERROR(_xlfn.XLOOKUP(AB49,ETANCHEITE!AR$19:AR$164,ETANCHEITE!$C$19:$C$164),"")&amp;IFERROR(_xlfn.XLOOKUP(AB49,ETANCHEITE!AR$19:AR$164,ETANCHEITE!$D$19:$D$164),"")&amp;IFERROR(_xlfn.XLOOKUP(AB49,ETANCHEITE!AR$19:AR$164,ETANCHEITE!$E$19:$E$164),"")&amp;IFERROR(_xlfn.XLOOKUP(AB49,ETANCHEITE!AR$19:AR$164,ETANCHEITE!$F$19:$F$164),"")</f>
        <v xml:space="preserve">   </v>
      </c>
      <c r="AG49" s="168" t="str">
        <f>IFERROR(VLOOKUP(AB49,ETANCHEITE!AR$19:AT$164,2,FALSE),"")&amp;" "&amp;IFERROR(VLOOKUP(AB49,ETANCHEITE!AR$19:AT$164,3,FALSE),"")</f>
        <v xml:space="preserve"> </v>
      </c>
      <c r="AH49" s="161" t="str">
        <f>IF(AG49&lt;&gt;" ",'Feuille de Donnée'!$C$3,"")</f>
        <v/>
      </c>
      <c r="AI49" s="232" t="str" cm="1">
        <f t="array" aca="1" ref="AI49" ca="1">IFERROR(IF(_xlfn.XLOOKUP(AB49,ETANCHEITE!AR$19:AR$89,ETANCHEITE!AP$19:AP$89,"")&lt;&gt;"",_xlfn.XLOOKUP(AB49,ETANCHEITE!AR$19:AR$89,ETANCHEITE!AP$19:AP$89,""),    INDEX(ETANCHEITE!AP:AP,MAX(_xlfn._xlws.FILTER(ROW(ETANCHEITE!AP$19:INDIRECT("'PEINTURE'!O" &amp; AE49-1)),ETANCHEITE!AP$19:INDIRECT("'PEINTURE'!O" &amp; AE49-1)&lt;&gt;"")))),"")</f>
        <v/>
      </c>
      <c r="AJ49" s="233" t="str" cm="1">
        <f t="array" aca="1" ref="AJ49" ca="1">IFERROR(IF(_xlfn.XLOOKUP(AB49,ETANCHEITE!AR$19:AR$89,ETANCHEITE!AQ$19:AQ$89,"")&lt;&gt;"",_xlfn.XLOOKUP(AB49,ETANCHEITE!AR$19:AR$89,ETANCHEITE!AQ$19:AQ$89,""),    INDEX(ETANCHEITE!AQ:AQ,MAX(_xlfn._xlws.FILTER(ROW(ETANCHEITE!AQ$19:INDIRECT("'PEINTURE'!P" &amp; AE49-1)),ETANCHEITE!AQ$19:INDIRECT("'PEINTURE'!P" &amp; AE49-1)&lt;&gt;"")))),"")</f>
        <v/>
      </c>
      <c r="AK49" s="158">
        <v>47</v>
      </c>
      <c r="AL49" s="167" t="str">
        <f>IF(AP49&lt;&gt;" ",ETANCHEITE!$D$5,"")</f>
        <v/>
      </c>
      <c r="AM49" s="167" t="str">
        <f>IF(AP49&lt;&gt;" ",ETANCHEITE!$D$8,"")</f>
        <v/>
      </c>
      <c r="AN49" s="159" t="str">
        <f>IFERROR(MATCH(AK49,ETANCHEITE!BA$19:BA$164,0)+18,"")</f>
        <v/>
      </c>
      <c r="AO49" s="160" t="str" cm="1">
        <f t="array" aca="1" ref="AO49" ca="1">IFERROR(IF(_xlfn.XLOOKUP(AK49,ETANCHEITE!BA$19:BA$164,ETANCHEITE!$A$19:$A$164,"")&lt;&gt;"",_xlfn.XLOOKUP(AK49,ETANCHEITE!BA$19:BA$164,ETANCHEITE!$A$19:$A$164,""),    INDEX(ETANCHEITE!$A:$A,MAX(_xlfn._xlws.FILTER(ROW(ETANCHEITE!$A$19:INDIRECT("'MENUISERIES EXTERIEURES'!$A" &amp; AN49-1)),ETANCHEITE!$A$19:INDIRECT("'MENUISERIES EXTERIEURES'!$A" &amp; AN49-1)&lt;&gt;"")))),"")&amp;"   "&amp;IFERROR(_xlfn.XLOOKUP(AK49,ETANCHEITE!BA$19:BA$164,ETANCHEITE!$B$19:$B$164),"")&amp;IFERROR(_xlfn.XLOOKUP(AK49,ETANCHEITE!BA$19:BA$164,ETANCHEITE!$C$19:$C$164),"")&amp;IFERROR(_xlfn.XLOOKUP(AK49,ETANCHEITE!BA$19:BA$164,ETANCHEITE!$D$19:$D$164),"")&amp;IFERROR(_xlfn.XLOOKUP(AK49,ETANCHEITE!BA$19:BA$164,ETANCHEITE!$E$19:$E$164),"")&amp;IFERROR(_xlfn.XLOOKUP(AK49,ETANCHEITE!BA$19:BA$164,ETANCHEITE!$F$19:$F$164),"")</f>
        <v xml:space="preserve">   </v>
      </c>
      <c r="AP49" s="168" t="str">
        <f>IFERROR(VLOOKUP(AK49,ETANCHEITE!BA$19:BC$164,2,FALSE),"")&amp;" "&amp;IFERROR(VLOOKUP(AK49,ETANCHEITE!BA$19:BC$164,3,FALSE),"")</f>
        <v xml:space="preserve"> </v>
      </c>
      <c r="AQ49" s="161" t="str">
        <f>IF(AP49&lt;&gt;" ",'Feuille de Donnée'!$C$3,"")</f>
        <v/>
      </c>
      <c r="AR49" s="232" t="str" cm="1">
        <f t="array" aca="1" ref="AR49" ca="1">IFERROR(IF(_xlfn.XLOOKUP(AK49,ETANCHEITE!BA$19:BA$89,ETANCHEITE!AY$19:AY$89,"")&lt;&gt;"",_xlfn.XLOOKUP(AK49,ETANCHEITE!BA$19:BA$89,ETANCHEITE!AY$19:AY$89,""),    INDEX(ETANCHEITE!AY:AY,MAX(_xlfn._xlws.FILTER(ROW(ETANCHEITE!AY$19:INDIRECT("'PEINTURE'!O" &amp; AN49-1)),ETANCHEITE!AY$19:INDIRECT("'PEINTURE'!O" &amp; AN49-1)&lt;&gt;"")))),"")</f>
        <v/>
      </c>
      <c r="AS49" s="233" t="str" cm="1">
        <f t="array" aca="1" ref="AS49" ca="1">IFERROR(IF(_xlfn.XLOOKUP(AK49,ETANCHEITE!BA$19:BA$89,ETANCHEITE!AZ$19:AZ$89,"")&lt;&gt;"",_xlfn.XLOOKUP(AK49,ETANCHEITE!BA$19:BA$89,ETANCHEITE!AZ$19:AZ$89,""),    INDEX(ETANCHEITE!AZ:AZ,MAX(_xlfn._xlws.FILTER(ROW(ETANCHEITE!AZ$19:INDIRECT("'PEINTURE'!P" &amp; AN49-1)),ETANCHEITE!AZ$19:INDIRECT("'PEINTURE'!P" &amp; AN49-1)&lt;&gt;"")))),"")</f>
        <v/>
      </c>
      <c r="AT49" s="158">
        <v>47</v>
      </c>
      <c r="AU49" s="167" t="str">
        <f>IF(AY49&lt;&gt;" ",ETANCHEITE!$D$5,"")</f>
        <v/>
      </c>
      <c r="AV49" s="167" t="str">
        <f>IF(AY49&lt;&gt;" ",ETANCHEITE!$D$8,"")</f>
        <v/>
      </c>
      <c r="AW49" s="159" t="str">
        <f>IFERROR(MATCH(AT49,ETANCHEITE!BJ$19:BJ$164,0)+18,"")</f>
        <v/>
      </c>
      <c r="AX49" s="160" t="str" cm="1">
        <f t="array" aca="1" ref="AX49" ca="1">IFERROR(IF(_xlfn.XLOOKUP(AT49,ETANCHEITE!BJ$19:BJ$164,ETANCHEITE!$A$19:$A$164,"")&lt;&gt;"",_xlfn.XLOOKUP(AT49,ETANCHEITE!BJ$19:BJ$164,ETANCHEITE!$A$19:$A$164,""),    INDEX(ETANCHEITE!$A:$A,MAX(_xlfn._xlws.FILTER(ROW(ETANCHEITE!$A$19:INDIRECT("'MENUISERIES EXTERIEURES'!$A" &amp; AW49-1)),ETANCHEITE!$A$19:INDIRECT("'MENUISERIES EXTERIEURES'!$A" &amp; AW49-1)&lt;&gt;"")))),"")&amp;"   "&amp;IFERROR(_xlfn.XLOOKUP(AT49,ETANCHEITE!BJ$19:BJ$164,ETANCHEITE!$B$19:$B$164),"")&amp;IFERROR(_xlfn.XLOOKUP(AT49,ETANCHEITE!BJ$19:BJ$164,ETANCHEITE!$C$19:$C$164),"")&amp;IFERROR(_xlfn.XLOOKUP(AT49,ETANCHEITE!BJ$19:BJ$164,ETANCHEITE!$D$19:$D$164),"")&amp;IFERROR(_xlfn.XLOOKUP(AT49,ETANCHEITE!BJ$19:BJ$164,ETANCHEITE!$E$19:$E$164),"")&amp;IFERROR(_xlfn.XLOOKUP(AT49,ETANCHEITE!BJ$19:BJ$164,ETANCHEITE!$F$19:$F$164),"")</f>
        <v xml:space="preserve">   </v>
      </c>
      <c r="AY49" s="168" t="str">
        <f>IFERROR(VLOOKUP(AT49,ETANCHEITE!BJ$19:BL$164,2,FALSE),"")&amp;" "&amp;IFERROR(VLOOKUP(AT49,ETANCHEITE!BJ$19:BL$164,3,FALSE),"")</f>
        <v xml:space="preserve"> </v>
      </c>
      <c r="AZ49" s="161" t="str">
        <f>IF(AY49&lt;&gt;" ",'Feuille de Donnée'!$C$3,"")</f>
        <v/>
      </c>
      <c r="BA49" s="232" t="str" cm="1">
        <f t="array" aca="1" ref="BA49" ca="1">IFERROR(IF(_xlfn.XLOOKUP(AT49,ETANCHEITE!BJ$19:BJ$89,ETANCHEITE!BH$19:BH$89,"")&lt;&gt;"",_xlfn.XLOOKUP(AT49,ETANCHEITE!BJ$19:BJ$89,ETANCHEITE!BH$19:BH$89,""),    INDEX(ETANCHEITE!BH:BH,MAX(_xlfn._xlws.FILTER(ROW(ETANCHEITE!BH$19:INDIRECT("'PEINTURE'!O" &amp; AW49-1)),ETANCHEITE!BH$19:INDIRECT("'PEINTURE'!O" &amp; AW49-1)&lt;&gt;"")))),"")</f>
        <v/>
      </c>
      <c r="BB49" s="233" t="str" cm="1">
        <f t="array" aca="1" ref="BB49" ca="1">IFERROR(IF(_xlfn.XLOOKUP(AT49,ETANCHEITE!BJ$19:BJ$89,ETANCHEITE!BI$19:BI$89,"")&lt;&gt;"",_xlfn.XLOOKUP(AT49,ETANCHEITE!BJ$19:BJ$89,ETANCHEITE!BI$19:BI$89,""),    INDEX(ETANCHEITE!BI:BI,MAX(_xlfn._xlws.FILTER(ROW(ETANCHEITE!BI$19:INDIRECT("'PEINTURE'!P" &amp; AW49-1)),ETANCHEITE!BI$19:INDIRECT("'PEINTURE'!P" &amp; AW49-1)&lt;&gt;"")))),"")</f>
        <v/>
      </c>
    </row>
    <row r="50" spans="1:54" ht="16.5" customHeight="1" x14ac:dyDescent="0.3">
      <c r="A50" s="158">
        <v>48</v>
      </c>
      <c r="B50" s="167" t="str">
        <f>IF(F50&lt;&gt;" ",ETANCHEITE!$D$5,"")</f>
        <v/>
      </c>
      <c r="C50" s="167" t="str">
        <f>IF(F50&lt;&gt;" ",ETANCHEITE!$D$8,"")</f>
        <v/>
      </c>
      <c r="D50" s="159" t="str">
        <f>IFERROR(MATCH(A50,ETANCHEITE!Q$19:Q$164,0)+18,"")</f>
        <v/>
      </c>
      <c r="E50" s="160" t="str" cm="1">
        <f t="array" aca="1" ref="E50" ca="1">IFERROR(IF(_xlfn.XLOOKUP(A50,ETANCHEITE!Q$19:Q$164,ETANCHEITE!$A$19:$A$164,"")&lt;&gt;"",_xlfn.XLOOKUP(A50,ETANCHEITE!Q$19:Q$164,ETANCHEITE!$A$19:$A$164,""),    INDEX(ETANCHEITE!$A:$A,MAX(_xlfn._xlws.FILTER(ROW(ETANCHEITE!$A$19:INDIRECT("'MENUISERIES EXTERIEURES'!$A" &amp; D50-1)),ETANCHEITE!$A$19:INDIRECT("'MENUISERIES EXTERIEURES'!$A" &amp; D50-1)&lt;&gt;"")))),"")&amp;"   "&amp;IFERROR(_xlfn.XLOOKUP(A50,ETANCHEITE!Q$19:Q$164,ETANCHEITE!$B$19:$B$164),"")&amp;IFERROR(_xlfn.XLOOKUP(A50,ETANCHEITE!Q$19:Q$164,ETANCHEITE!$C$19:$C$164),"")&amp;IFERROR(_xlfn.XLOOKUP(A50,ETANCHEITE!Q$19:Q$164,ETANCHEITE!$D$19:$D$164),"")&amp;IFERROR(_xlfn.XLOOKUP(A50,ETANCHEITE!Q$19:Q$164,ETANCHEITE!$E$19:$E$164),"")&amp;IFERROR(_xlfn.XLOOKUP(A50,ETANCHEITE!Q$19:Q$164,ETANCHEITE!$F$19:$F$164),"")</f>
        <v xml:space="preserve">   </v>
      </c>
      <c r="F50" s="168" t="str">
        <f>IFERROR(VLOOKUP(A50,ETANCHEITE!Q$19:S$164,2,FALSE),"")&amp;" "&amp;IFERROR(VLOOKUP(A50,ETANCHEITE!Q$19:S$164,3,FALSE),"")</f>
        <v xml:space="preserve"> </v>
      </c>
      <c r="G50" s="161" t="str">
        <f>IF(F50&lt;&gt;" ",'Feuille de Donnée'!$C$3,"")</f>
        <v/>
      </c>
      <c r="H50" s="232" t="str" cm="1">
        <f t="array" aca="1" ref="H50" ca="1">IFERROR(IF(_xlfn.XLOOKUP(A50,ETANCHEITE!Q$19:Q$89,ETANCHEITE!O$19:O$89,"")&lt;&gt;"",_xlfn.XLOOKUP(A50,ETANCHEITE!Q$19:Q$89,ETANCHEITE!O$19:O$89,""),    INDEX(ETANCHEITE!O:O,MAX(_xlfn._xlws.FILTER(ROW(ETANCHEITE!O$19:INDIRECT("'PEINTURE'!O" &amp; D50-1)),ETANCHEITE!O$19:INDIRECT("'PEINTURE'!O" &amp; D50-1)&lt;&gt;"")))),"")</f>
        <v/>
      </c>
      <c r="I50" s="233" t="str" cm="1">
        <f t="array" aca="1" ref="I50" ca="1">IFERROR(IF(_xlfn.XLOOKUP(A50,ETANCHEITE!Q$19:Q$89,ETANCHEITE!P$19:P$89,"")&lt;&gt;"",_xlfn.XLOOKUP(A50,ETANCHEITE!Q$19:Q$89,ETANCHEITE!P$19:P$89,""),    INDEX(ETANCHEITE!P:P,MAX(_xlfn._xlws.FILTER(ROW(ETANCHEITE!P$19:INDIRECT("'PEINTURE'!P" &amp; D50-1)),ETANCHEITE!P$19:INDIRECT("'PEINTURE'!P" &amp; D50-1)&lt;&gt;"")))),"")</f>
        <v/>
      </c>
      <c r="J50" s="158">
        <v>48</v>
      </c>
      <c r="K50" s="167" t="str">
        <f>IF(O50&lt;&gt;" ",ETANCHEITE!$D$5,"")</f>
        <v/>
      </c>
      <c r="L50" s="167" t="str">
        <f>IF(O50&lt;&gt;" ",ETANCHEITE!$D$8,"")</f>
        <v/>
      </c>
      <c r="M50" s="159" t="str">
        <f>IFERROR(MATCH(J50,ETANCHEITE!Z$19:Z$164,0)+18,"")</f>
        <v/>
      </c>
      <c r="N50" s="160" t="str" cm="1">
        <f t="array" aca="1" ref="N50" ca="1">IFERROR(IF(_xlfn.XLOOKUP(J50,ETANCHEITE!Z$19:Z$164,ETANCHEITE!$A$19:$A$164,"")&lt;&gt;"",_xlfn.XLOOKUP(J50,ETANCHEITE!Z$19:Z$164,ETANCHEITE!$A$19:$A$164,""),    INDEX(ETANCHEITE!$A:$A,MAX(_xlfn._xlws.FILTER(ROW(ETANCHEITE!$A$19:INDIRECT("'MENUISERIES EXTERIEURES'!$A" &amp; M50-1)),ETANCHEITE!$A$19:INDIRECT("'MENUISERIES EXTERIEURES'!$A" &amp; M50-1)&lt;&gt;"")))),"")&amp;"   "&amp;IFERROR(_xlfn.XLOOKUP(J50,ETANCHEITE!Z$19:Z$164,ETANCHEITE!$B$19:$B$164),"")&amp;IFERROR(_xlfn.XLOOKUP(J50,ETANCHEITE!Z$19:Z$164,ETANCHEITE!$C$19:$C$164),"")&amp;IFERROR(_xlfn.XLOOKUP(J50,ETANCHEITE!Z$19:Z$164,ETANCHEITE!$D$19:$D$164),"")&amp;IFERROR(_xlfn.XLOOKUP(J50,ETANCHEITE!Z$19:Z$164,ETANCHEITE!$E$19:$E$164),"")&amp;IFERROR(_xlfn.XLOOKUP(J50,ETANCHEITE!Z$19:Z$164,ETANCHEITE!$F$19:$F$164),"")</f>
        <v xml:space="preserve">   </v>
      </c>
      <c r="O50" s="168" t="str">
        <f>IFERROR(VLOOKUP(J50,ETANCHEITE!Z$19:AB$164,2,FALSE),"")&amp;" "&amp;IFERROR(VLOOKUP(J50,ETANCHEITE!Z$19:AB$164,3,FALSE),"")</f>
        <v xml:space="preserve"> </v>
      </c>
      <c r="P50" s="161" t="str">
        <f>IF(O50&lt;&gt;" ",'Feuille de Donnée'!$C$3,"")</f>
        <v/>
      </c>
      <c r="Q50" s="232" t="str" cm="1">
        <f t="array" aca="1" ref="Q50" ca="1">IFERROR(IF(_xlfn.XLOOKUP(J50,ETANCHEITE!Z$19:Z$89,ETANCHEITE!X$19:X$89,"")&lt;&gt;"",_xlfn.XLOOKUP(J50,ETANCHEITE!Z$19:Z$89,ETANCHEITE!X$19:X$89,""),    INDEX(ETANCHEITE!X:X,MAX(_xlfn._xlws.FILTER(ROW(ETANCHEITE!X$19:INDIRECT("'PEINTURE'!O" &amp; M50-1)),ETANCHEITE!X$19:INDIRECT("'PEINTURE'!O" &amp; M50-1)&lt;&gt;"")))),"")</f>
        <v/>
      </c>
      <c r="R50" s="233" t="str" cm="1">
        <f t="array" aca="1" ref="R50" ca="1">IFERROR(IF(_xlfn.XLOOKUP(J50,ETANCHEITE!Z$19:Z$89,ETANCHEITE!Y$19:Y$89,"")&lt;&gt;"",_xlfn.XLOOKUP(J50,ETANCHEITE!Z$19:Z$89,ETANCHEITE!Y$19:Y$89,""),    INDEX(ETANCHEITE!Y:Y,MAX(_xlfn._xlws.FILTER(ROW(ETANCHEITE!Y$19:INDIRECT("'PEINTURE'!P" &amp; M50-1)),ETANCHEITE!Y$19:INDIRECT("'PEINTURE'!P" &amp; M50-1)&lt;&gt;"")))),"")</f>
        <v/>
      </c>
      <c r="S50" s="158">
        <v>48</v>
      </c>
      <c r="T50" s="167" t="str">
        <f>IF(X50&lt;&gt;" ",ETANCHEITE!$D$5,"")</f>
        <v/>
      </c>
      <c r="U50" s="167" t="str">
        <f>IF(X50&lt;&gt;" ",ETANCHEITE!$D$8,"")</f>
        <v/>
      </c>
      <c r="V50" s="159" t="str">
        <f>IFERROR(MATCH(S50,ETANCHEITE!AI$19:AI$164,0)+18,"")</f>
        <v/>
      </c>
      <c r="W50" s="160" t="str" cm="1">
        <f t="array" aca="1" ref="W50" ca="1">IFERROR(IF(_xlfn.XLOOKUP(S50,ETANCHEITE!AI$19:AI$164,ETANCHEITE!$A$19:$A$164,"")&lt;&gt;"",_xlfn.XLOOKUP(S50,ETANCHEITE!AI$19:AI$164,ETANCHEITE!$A$19:$A$164,""),    INDEX(ETANCHEITE!$A:$A,MAX(_xlfn._xlws.FILTER(ROW(ETANCHEITE!$A$19:INDIRECT("'MENUISERIES EXTERIEURES'!$A" &amp; V50-1)),ETANCHEITE!$A$19:INDIRECT("'MENUISERIES EXTERIEURES'!$A" &amp; V50-1)&lt;&gt;"")))),"")&amp;"   "&amp;IFERROR(_xlfn.XLOOKUP(S50,ETANCHEITE!AI$19:AI$164,ETANCHEITE!$B$19:$B$164),"")&amp;IFERROR(_xlfn.XLOOKUP(S50,ETANCHEITE!AI$19:AI$164,ETANCHEITE!$C$19:$C$164),"")&amp;IFERROR(_xlfn.XLOOKUP(S50,ETANCHEITE!AI$19:AI$164,ETANCHEITE!$D$19:$D$164),"")&amp;IFERROR(_xlfn.XLOOKUP(S50,ETANCHEITE!AI$19:AI$164,ETANCHEITE!$E$19:$E$164),"")&amp;IFERROR(_xlfn.XLOOKUP(S50,ETANCHEITE!AI$19:AI$164,ETANCHEITE!$F$19:$F$164),"")</f>
        <v xml:space="preserve">   </v>
      </c>
      <c r="X50" s="168" t="str">
        <f>IFERROR(VLOOKUP(S50,ETANCHEITE!AI$19:AK$164,2,FALSE),"")&amp;" "&amp;IFERROR(VLOOKUP(S50,ETANCHEITE!AI$19:AK$164,3,FALSE),"")</f>
        <v xml:space="preserve"> </v>
      </c>
      <c r="Y50" s="161" t="str">
        <f>IF(X50&lt;&gt;" ",'Feuille de Donnée'!$C$3,"")</f>
        <v/>
      </c>
      <c r="Z50" s="232" t="str" cm="1">
        <f t="array" aca="1" ref="Z50" ca="1">IFERROR(IF(_xlfn.XLOOKUP(S50,ETANCHEITE!AI$19:AI$89,ETANCHEITE!AG$19:AG$89,"")&lt;&gt;"",_xlfn.XLOOKUP(S50,ETANCHEITE!AI$19:AI$89,ETANCHEITE!AG$19:AG$89,""),    INDEX(ETANCHEITE!AG:AG,MAX(_xlfn._xlws.FILTER(ROW(ETANCHEITE!AG$19:INDIRECT("'PEINTURE'!O" &amp; V50-1)),ETANCHEITE!AG$19:INDIRECT("'PEINTURE'!O" &amp; V50-1)&lt;&gt;"")))),"")</f>
        <v/>
      </c>
      <c r="AA50" s="233" t="str" cm="1">
        <f t="array" aca="1" ref="AA50" ca="1">IFERROR(IF(_xlfn.XLOOKUP(S50,ETANCHEITE!AI$19:AI$89,ETANCHEITE!AH$19:AH$89,"")&lt;&gt;"",_xlfn.XLOOKUP(S50,ETANCHEITE!AI$19:AI$89,ETANCHEITE!AH$19:AH$89,""),    INDEX(ETANCHEITE!AH:AH,MAX(_xlfn._xlws.FILTER(ROW(ETANCHEITE!AH$19:INDIRECT("'PEINTURE'!P" &amp; V50-1)),ETANCHEITE!AH$19:INDIRECT("'PEINTURE'!P" &amp; V50-1)&lt;&gt;"")))),"")</f>
        <v/>
      </c>
      <c r="AB50" s="158">
        <v>48</v>
      </c>
      <c r="AC50" s="167" t="str">
        <f>IF(AG50&lt;&gt;" ",ETANCHEITE!$D$5,"")</f>
        <v/>
      </c>
      <c r="AD50" s="167" t="str">
        <f>IF(AG50&lt;&gt;" ",ETANCHEITE!$D$8,"")</f>
        <v/>
      </c>
      <c r="AE50" s="159" t="str">
        <f>IFERROR(MATCH(AB50,ETANCHEITE!AR$19:AR$164,0)+18,"")</f>
        <v/>
      </c>
      <c r="AF50" s="160" t="str" cm="1">
        <f t="array" aca="1" ref="AF50" ca="1">IFERROR(IF(_xlfn.XLOOKUP(AB50,ETANCHEITE!AR$19:AR$164,ETANCHEITE!$A$19:$A$164,"")&lt;&gt;"",_xlfn.XLOOKUP(AB50,ETANCHEITE!AR$19:AR$164,ETANCHEITE!$A$19:$A$164,""),    INDEX(ETANCHEITE!$A:$A,MAX(_xlfn._xlws.FILTER(ROW(ETANCHEITE!$A$19:INDIRECT("'MENUISERIES EXTERIEURES'!$A" &amp; AE50-1)),ETANCHEITE!$A$19:INDIRECT("'MENUISERIES EXTERIEURES'!$A" &amp; AE50-1)&lt;&gt;"")))),"")&amp;"   "&amp;IFERROR(_xlfn.XLOOKUP(AB50,ETANCHEITE!AR$19:AR$164,ETANCHEITE!$B$19:$B$164),"")&amp;IFERROR(_xlfn.XLOOKUP(AB50,ETANCHEITE!AR$19:AR$164,ETANCHEITE!$C$19:$C$164),"")&amp;IFERROR(_xlfn.XLOOKUP(AB50,ETANCHEITE!AR$19:AR$164,ETANCHEITE!$D$19:$D$164),"")&amp;IFERROR(_xlfn.XLOOKUP(AB50,ETANCHEITE!AR$19:AR$164,ETANCHEITE!$E$19:$E$164),"")&amp;IFERROR(_xlfn.XLOOKUP(AB50,ETANCHEITE!AR$19:AR$164,ETANCHEITE!$F$19:$F$164),"")</f>
        <v xml:space="preserve">   </v>
      </c>
      <c r="AG50" s="168" t="str">
        <f>IFERROR(VLOOKUP(AB50,ETANCHEITE!AR$19:AT$164,2,FALSE),"")&amp;" "&amp;IFERROR(VLOOKUP(AB50,ETANCHEITE!AR$19:AT$164,3,FALSE),"")</f>
        <v xml:space="preserve"> </v>
      </c>
      <c r="AH50" s="161" t="str">
        <f>IF(AG50&lt;&gt;" ",'Feuille de Donnée'!$C$3,"")</f>
        <v/>
      </c>
      <c r="AI50" s="232" t="str" cm="1">
        <f t="array" aca="1" ref="AI50" ca="1">IFERROR(IF(_xlfn.XLOOKUP(AB50,ETANCHEITE!AR$19:AR$89,ETANCHEITE!AP$19:AP$89,"")&lt;&gt;"",_xlfn.XLOOKUP(AB50,ETANCHEITE!AR$19:AR$89,ETANCHEITE!AP$19:AP$89,""),    INDEX(ETANCHEITE!AP:AP,MAX(_xlfn._xlws.FILTER(ROW(ETANCHEITE!AP$19:INDIRECT("'PEINTURE'!O" &amp; AE50-1)),ETANCHEITE!AP$19:INDIRECT("'PEINTURE'!O" &amp; AE50-1)&lt;&gt;"")))),"")</f>
        <v/>
      </c>
      <c r="AJ50" s="233" t="str" cm="1">
        <f t="array" aca="1" ref="AJ50" ca="1">IFERROR(IF(_xlfn.XLOOKUP(AB50,ETANCHEITE!AR$19:AR$89,ETANCHEITE!AQ$19:AQ$89,"")&lt;&gt;"",_xlfn.XLOOKUP(AB50,ETANCHEITE!AR$19:AR$89,ETANCHEITE!AQ$19:AQ$89,""),    INDEX(ETANCHEITE!AQ:AQ,MAX(_xlfn._xlws.FILTER(ROW(ETANCHEITE!AQ$19:INDIRECT("'PEINTURE'!P" &amp; AE50-1)),ETANCHEITE!AQ$19:INDIRECT("'PEINTURE'!P" &amp; AE50-1)&lt;&gt;"")))),"")</f>
        <v/>
      </c>
      <c r="AK50" s="158">
        <v>48</v>
      </c>
      <c r="AL50" s="167" t="str">
        <f>IF(AP50&lt;&gt;" ",ETANCHEITE!$D$5,"")</f>
        <v/>
      </c>
      <c r="AM50" s="167" t="str">
        <f>IF(AP50&lt;&gt;" ",ETANCHEITE!$D$8,"")</f>
        <v/>
      </c>
      <c r="AN50" s="159" t="str">
        <f>IFERROR(MATCH(AK50,ETANCHEITE!BA$19:BA$164,0)+18,"")</f>
        <v/>
      </c>
      <c r="AO50" s="160" t="str" cm="1">
        <f t="array" aca="1" ref="AO50" ca="1">IFERROR(IF(_xlfn.XLOOKUP(AK50,ETANCHEITE!BA$19:BA$164,ETANCHEITE!$A$19:$A$164,"")&lt;&gt;"",_xlfn.XLOOKUP(AK50,ETANCHEITE!BA$19:BA$164,ETANCHEITE!$A$19:$A$164,""),    INDEX(ETANCHEITE!$A:$A,MAX(_xlfn._xlws.FILTER(ROW(ETANCHEITE!$A$19:INDIRECT("'MENUISERIES EXTERIEURES'!$A" &amp; AN50-1)),ETANCHEITE!$A$19:INDIRECT("'MENUISERIES EXTERIEURES'!$A" &amp; AN50-1)&lt;&gt;"")))),"")&amp;"   "&amp;IFERROR(_xlfn.XLOOKUP(AK50,ETANCHEITE!BA$19:BA$164,ETANCHEITE!$B$19:$B$164),"")&amp;IFERROR(_xlfn.XLOOKUP(AK50,ETANCHEITE!BA$19:BA$164,ETANCHEITE!$C$19:$C$164),"")&amp;IFERROR(_xlfn.XLOOKUP(AK50,ETANCHEITE!BA$19:BA$164,ETANCHEITE!$D$19:$D$164),"")&amp;IFERROR(_xlfn.XLOOKUP(AK50,ETANCHEITE!BA$19:BA$164,ETANCHEITE!$E$19:$E$164),"")&amp;IFERROR(_xlfn.XLOOKUP(AK50,ETANCHEITE!BA$19:BA$164,ETANCHEITE!$F$19:$F$164),"")</f>
        <v xml:space="preserve">   </v>
      </c>
      <c r="AP50" s="168" t="str">
        <f>IFERROR(VLOOKUP(AK50,ETANCHEITE!BA$19:BC$164,2,FALSE),"")&amp;" "&amp;IFERROR(VLOOKUP(AK50,ETANCHEITE!BA$19:BC$164,3,FALSE),"")</f>
        <v xml:space="preserve"> </v>
      </c>
      <c r="AQ50" s="161" t="str">
        <f>IF(AP50&lt;&gt;" ",'Feuille de Donnée'!$C$3,"")</f>
        <v/>
      </c>
      <c r="AR50" s="232" t="str" cm="1">
        <f t="array" aca="1" ref="AR50" ca="1">IFERROR(IF(_xlfn.XLOOKUP(AK50,ETANCHEITE!BA$19:BA$89,ETANCHEITE!AY$19:AY$89,"")&lt;&gt;"",_xlfn.XLOOKUP(AK50,ETANCHEITE!BA$19:BA$89,ETANCHEITE!AY$19:AY$89,""),    INDEX(ETANCHEITE!AY:AY,MAX(_xlfn._xlws.FILTER(ROW(ETANCHEITE!AY$19:INDIRECT("'PEINTURE'!O" &amp; AN50-1)),ETANCHEITE!AY$19:INDIRECT("'PEINTURE'!O" &amp; AN50-1)&lt;&gt;"")))),"")</f>
        <v/>
      </c>
      <c r="AS50" s="233" t="str" cm="1">
        <f t="array" aca="1" ref="AS50" ca="1">IFERROR(IF(_xlfn.XLOOKUP(AK50,ETANCHEITE!BA$19:BA$89,ETANCHEITE!AZ$19:AZ$89,"")&lt;&gt;"",_xlfn.XLOOKUP(AK50,ETANCHEITE!BA$19:BA$89,ETANCHEITE!AZ$19:AZ$89,""),    INDEX(ETANCHEITE!AZ:AZ,MAX(_xlfn._xlws.FILTER(ROW(ETANCHEITE!AZ$19:INDIRECT("'PEINTURE'!P" &amp; AN50-1)),ETANCHEITE!AZ$19:INDIRECT("'PEINTURE'!P" &amp; AN50-1)&lt;&gt;"")))),"")</f>
        <v/>
      </c>
      <c r="AT50" s="158">
        <v>48</v>
      </c>
      <c r="AU50" s="167" t="str">
        <f>IF(AY50&lt;&gt;" ",ETANCHEITE!$D$5,"")</f>
        <v/>
      </c>
      <c r="AV50" s="167" t="str">
        <f>IF(AY50&lt;&gt;" ",ETANCHEITE!$D$8,"")</f>
        <v/>
      </c>
      <c r="AW50" s="159" t="str">
        <f>IFERROR(MATCH(AT50,ETANCHEITE!BJ$19:BJ$164,0)+18,"")</f>
        <v/>
      </c>
      <c r="AX50" s="160" t="str" cm="1">
        <f t="array" aca="1" ref="AX50" ca="1">IFERROR(IF(_xlfn.XLOOKUP(AT50,ETANCHEITE!BJ$19:BJ$164,ETANCHEITE!$A$19:$A$164,"")&lt;&gt;"",_xlfn.XLOOKUP(AT50,ETANCHEITE!BJ$19:BJ$164,ETANCHEITE!$A$19:$A$164,""),    INDEX(ETANCHEITE!$A:$A,MAX(_xlfn._xlws.FILTER(ROW(ETANCHEITE!$A$19:INDIRECT("'MENUISERIES EXTERIEURES'!$A" &amp; AW50-1)),ETANCHEITE!$A$19:INDIRECT("'MENUISERIES EXTERIEURES'!$A" &amp; AW50-1)&lt;&gt;"")))),"")&amp;"   "&amp;IFERROR(_xlfn.XLOOKUP(AT50,ETANCHEITE!BJ$19:BJ$164,ETANCHEITE!$B$19:$B$164),"")&amp;IFERROR(_xlfn.XLOOKUP(AT50,ETANCHEITE!BJ$19:BJ$164,ETANCHEITE!$C$19:$C$164),"")&amp;IFERROR(_xlfn.XLOOKUP(AT50,ETANCHEITE!BJ$19:BJ$164,ETANCHEITE!$D$19:$D$164),"")&amp;IFERROR(_xlfn.XLOOKUP(AT50,ETANCHEITE!BJ$19:BJ$164,ETANCHEITE!$E$19:$E$164),"")&amp;IFERROR(_xlfn.XLOOKUP(AT50,ETANCHEITE!BJ$19:BJ$164,ETANCHEITE!$F$19:$F$164),"")</f>
        <v xml:space="preserve">   </v>
      </c>
      <c r="AY50" s="168" t="str">
        <f>IFERROR(VLOOKUP(AT50,ETANCHEITE!BJ$19:BL$164,2,FALSE),"")&amp;" "&amp;IFERROR(VLOOKUP(AT50,ETANCHEITE!BJ$19:BL$164,3,FALSE),"")</f>
        <v xml:space="preserve"> </v>
      </c>
      <c r="AZ50" s="161" t="str">
        <f>IF(AY50&lt;&gt;" ",'Feuille de Donnée'!$C$3,"")</f>
        <v/>
      </c>
      <c r="BA50" s="232" t="str" cm="1">
        <f t="array" aca="1" ref="BA50" ca="1">IFERROR(IF(_xlfn.XLOOKUP(AT50,ETANCHEITE!BJ$19:BJ$89,ETANCHEITE!BH$19:BH$89,"")&lt;&gt;"",_xlfn.XLOOKUP(AT50,ETANCHEITE!BJ$19:BJ$89,ETANCHEITE!BH$19:BH$89,""),    INDEX(ETANCHEITE!BH:BH,MAX(_xlfn._xlws.FILTER(ROW(ETANCHEITE!BH$19:INDIRECT("'PEINTURE'!O" &amp; AW50-1)),ETANCHEITE!BH$19:INDIRECT("'PEINTURE'!O" &amp; AW50-1)&lt;&gt;"")))),"")</f>
        <v/>
      </c>
      <c r="BB50" s="233" t="str" cm="1">
        <f t="array" aca="1" ref="BB50" ca="1">IFERROR(IF(_xlfn.XLOOKUP(AT50,ETANCHEITE!BJ$19:BJ$89,ETANCHEITE!BI$19:BI$89,"")&lt;&gt;"",_xlfn.XLOOKUP(AT50,ETANCHEITE!BJ$19:BJ$89,ETANCHEITE!BI$19:BI$89,""),    INDEX(ETANCHEITE!BI:BI,MAX(_xlfn._xlws.FILTER(ROW(ETANCHEITE!BI$19:INDIRECT("'PEINTURE'!P" &amp; AW50-1)),ETANCHEITE!BI$19:INDIRECT("'PEINTURE'!P" &amp; AW50-1)&lt;&gt;"")))),"")</f>
        <v/>
      </c>
    </row>
    <row r="51" spans="1:54" ht="16.5" customHeight="1" x14ac:dyDescent="0.3">
      <c r="A51" s="158">
        <v>49</v>
      </c>
      <c r="B51" s="167" t="str">
        <f>IF(F51&lt;&gt;" ",ETANCHEITE!$D$5,"")</f>
        <v/>
      </c>
      <c r="C51" s="167" t="str">
        <f>IF(F51&lt;&gt;" ",ETANCHEITE!$D$8,"")</f>
        <v/>
      </c>
      <c r="D51" s="159" t="str">
        <f>IFERROR(MATCH(A51,ETANCHEITE!Q$19:Q$164,0)+18,"")</f>
        <v/>
      </c>
      <c r="E51" s="160" t="str" cm="1">
        <f t="array" aca="1" ref="E51" ca="1">IFERROR(IF(_xlfn.XLOOKUP(A51,ETANCHEITE!Q$19:Q$164,ETANCHEITE!$A$19:$A$164,"")&lt;&gt;"",_xlfn.XLOOKUP(A51,ETANCHEITE!Q$19:Q$164,ETANCHEITE!$A$19:$A$164,""),    INDEX(ETANCHEITE!$A:$A,MAX(_xlfn._xlws.FILTER(ROW(ETANCHEITE!$A$19:INDIRECT("'MENUISERIES EXTERIEURES'!$A" &amp; D51-1)),ETANCHEITE!$A$19:INDIRECT("'MENUISERIES EXTERIEURES'!$A" &amp; D51-1)&lt;&gt;"")))),"")&amp;"   "&amp;IFERROR(_xlfn.XLOOKUP(A51,ETANCHEITE!Q$19:Q$164,ETANCHEITE!$B$19:$B$164),"")&amp;IFERROR(_xlfn.XLOOKUP(A51,ETANCHEITE!Q$19:Q$164,ETANCHEITE!$C$19:$C$164),"")&amp;IFERROR(_xlfn.XLOOKUP(A51,ETANCHEITE!Q$19:Q$164,ETANCHEITE!$D$19:$D$164),"")&amp;IFERROR(_xlfn.XLOOKUP(A51,ETANCHEITE!Q$19:Q$164,ETANCHEITE!$E$19:$E$164),"")&amp;IFERROR(_xlfn.XLOOKUP(A51,ETANCHEITE!Q$19:Q$164,ETANCHEITE!$F$19:$F$164),"")</f>
        <v xml:space="preserve">   </v>
      </c>
      <c r="F51" s="168" t="str">
        <f>IFERROR(VLOOKUP(A51,ETANCHEITE!Q$19:S$164,2,FALSE),"")&amp;" "&amp;IFERROR(VLOOKUP(A51,ETANCHEITE!Q$19:S$164,3,FALSE),"")</f>
        <v xml:space="preserve"> </v>
      </c>
      <c r="G51" s="161" t="str">
        <f>IF(F51&lt;&gt;" ",'Feuille de Donnée'!$C$3,"")</f>
        <v/>
      </c>
      <c r="H51" s="232" t="str" cm="1">
        <f t="array" aca="1" ref="H51" ca="1">IFERROR(IF(_xlfn.XLOOKUP(A51,ETANCHEITE!Q$19:Q$89,ETANCHEITE!O$19:O$89,"")&lt;&gt;"",_xlfn.XLOOKUP(A51,ETANCHEITE!Q$19:Q$89,ETANCHEITE!O$19:O$89,""),    INDEX(ETANCHEITE!O:O,MAX(_xlfn._xlws.FILTER(ROW(ETANCHEITE!O$19:INDIRECT("'PEINTURE'!O" &amp; D51-1)),ETANCHEITE!O$19:INDIRECT("'PEINTURE'!O" &amp; D51-1)&lt;&gt;"")))),"")</f>
        <v/>
      </c>
      <c r="I51" s="233" t="str" cm="1">
        <f t="array" aca="1" ref="I51" ca="1">IFERROR(IF(_xlfn.XLOOKUP(A51,ETANCHEITE!Q$19:Q$89,ETANCHEITE!P$19:P$89,"")&lt;&gt;"",_xlfn.XLOOKUP(A51,ETANCHEITE!Q$19:Q$89,ETANCHEITE!P$19:P$89,""),    INDEX(ETANCHEITE!P:P,MAX(_xlfn._xlws.FILTER(ROW(ETANCHEITE!P$19:INDIRECT("'PEINTURE'!P" &amp; D51-1)),ETANCHEITE!P$19:INDIRECT("'PEINTURE'!P" &amp; D51-1)&lt;&gt;"")))),"")</f>
        <v/>
      </c>
      <c r="J51" s="158">
        <v>49</v>
      </c>
      <c r="K51" s="167" t="str">
        <f>IF(O51&lt;&gt;" ",ETANCHEITE!$D$5,"")</f>
        <v/>
      </c>
      <c r="L51" s="167" t="str">
        <f>IF(O51&lt;&gt;" ",ETANCHEITE!$D$8,"")</f>
        <v/>
      </c>
      <c r="M51" s="159" t="str">
        <f>IFERROR(MATCH(J51,ETANCHEITE!Z$19:Z$164,0)+18,"")</f>
        <v/>
      </c>
      <c r="N51" s="160" t="str" cm="1">
        <f t="array" aca="1" ref="N51" ca="1">IFERROR(IF(_xlfn.XLOOKUP(J51,ETANCHEITE!Z$19:Z$164,ETANCHEITE!$A$19:$A$164,"")&lt;&gt;"",_xlfn.XLOOKUP(J51,ETANCHEITE!Z$19:Z$164,ETANCHEITE!$A$19:$A$164,""),    INDEX(ETANCHEITE!$A:$A,MAX(_xlfn._xlws.FILTER(ROW(ETANCHEITE!$A$19:INDIRECT("'MENUISERIES EXTERIEURES'!$A" &amp; M51-1)),ETANCHEITE!$A$19:INDIRECT("'MENUISERIES EXTERIEURES'!$A" &amp; M51-1)&lt;&gt;"")))),"")&amp;"   "&amp;IFERROR(_xlfn.XLOOKUP(J51,ETANCHEITE!Z$19:Z$164,ETANCHEITE!$B$19:$B$164),"")&amp;IFERROR(_xlfn.XLOOKUP(J51,ETANCHEITE!Z$19:Z$164,ETANCHEITE!$C$19:$C$164),"")&amp;IFERROR(_xlfn.XLOOKUP(J51,ETANCHEITE!Z$19:Z$164,ETANCHEITE!$D$19:$D$164),"")&amp;IFERROR(_xlfn.XLOOKUP(J51,ETANCHEITE!Z$19:Z$164,ETANCHEITE!$E$19:$E$164),"")&amp;IFERROR(_xlfn.XLOOKUP(J51,ETANCHEITE!Z$19:Z$164,ETANCHEITE!$F$19:$F$164),"")</f>
        <v xml:space="preserve">   </v>
      </c>
      <c r="O51" s="168" t="str">
        <f>IFERROR(VLOOKUP(J51,ETANCHEITE!Z$19:AB$164,2,FALSE),"")&amp;" "&amp;IFERROR(VLOOKUP(J51,ETANCHEITE!Z$19:AB$164,3,FALSE),"")</f>
        <v xml:space="preserve"> </v>
      </c>
      <c r="P51" s="161" t="str">
        <f>IF(O51&lt;&gt;" ",'Feuille de Donnée'!$C$3,"")</f>
        <v/>
      </c>
      <c r="Q51" s="232" t="str" cm="1">
        <f t="array" aca="1" ref="Q51" ca="1">IFERROR(IF(_xlfn.XLOOKUP(J51,ETANCHEITE!Z$19:Z$89,ETANCHEITE!X$19:X$89,"")&lt;&gt;"",_xlfn.XLOOKUP(J51,ETANCHEITE!Z$19:Z$89,ETANCHEITE!X$19:X$89,""),    INDEX(ETANCHEITE!X:X,MAX(_xlfn._xlws.FILTER(ROW(ETANCHEITE!X$19:INDIRECT("'PEINTURE'!O" &amp; M51-1)),ETANCHEITE!X$19:INDIRECT("'PEINTURE'!O" &amp; M51-1)&lt;&gt;"")))),"")</f>
        <v/>
      </c>
      <c r="R51" s="233" t="str" cm="1">
        <f t="array" aca="1" ref="R51" ca="1">IFERROR(IF(_xlfn.XLOOKUP(J51,ETANCHEITE!Z$19:Z$89,ETANCHEITE!Y$19:Y$89,"")&lt;&gt;"",_xlfn.XLOOKUP(J51,ETANCHEITE!Z$19:Z$89,ETANCHEITE!Y$19:Y$89,""),    INDEX(ETANCHEITE!Y:Y,MAX(_xlfn._xlws.FILTER(ROW(ETANCHEITE!Y$19:INDIRECT("'PEINTURE'!P" &amp; M51-1)),ETANCHEITE!Y$19:INDIRECT("'PEINTURE'!P" &amp; M51-1)&lt;&gt;"")))),"")</f>
        <v/>
      </c>
      <c r="S51" s="158">
        <v>49</v>
      </c>
      <c r="T51" s="167" t="str">
        <f>IF(X51&lt;&gt;" ",ETANCHEITE!$D$5,"")</f>
        <v/>
      </c>
      <c r="U51" s="167" t="str">
        <f>IF(X51&lt;&gt;" ",ETANCHEITE!$D$8,"")</f>
        <v/>
      </c>
      <c r="V51" s="159" t="str">
        <f>IFERROR(MATCH(S51,ETANCHEITE!AI$19:AI$164,0)+18,"")</f>
        <v/>
      </c>
      <c r="W51" s="160" t="str" cm="1">
        <f t="array" aca="1" ref="W51" ca="1">IFERROR(IF(_xlfn.XLOOKUP(S51,ETANCHEITE!AI$19:AI$164,ETANCHEITE!$A$19:$A$164,"")&lt;&gt;"",_xlfn.XLOOKUP(S51,ETANCHEITE!AI$19:AI$164,ETANCHEITE!$A$19:$A$164,""),    INDEX(ETANCHEITE!$A:$A,MAX(_xlfn._xlws.FILTER(ROW(ETANCHEITE!$A$19:INDIRECT("'MENUISERIES EXTERIEURES'!$A" &amp; V51-1)),ETANCHEITE!$A$19:INDIRECT("'MENUISERIES EXTERIEURES'!$A" &amp; V51-1)&lt;&gt;"")))),"")&amp;"   "&amp;IFERROR(_xlfn.XLOOKUP(S51,ETANCHEITE!AI$19:AI$164,ETANCHEITE!$B$19:$B$164),"")&amp;IFERROR(_xlfn.XLOOKUP(S51,ETANCHEITE!AI$19:AI$164,ETANCHEITE!$C$19:$C$164),"")&amp;IFERROR(_xlfn.XLOOKUP(S51,ETANCHEITE!AI$19:AI$164,ETANCHEITE!$D$19:$D$164),"")&amp;IFERROR(_xlfn.XLOOKUP(S51,ETANCHEITE!AI$19:AI$164,ETANCHEITE!$E$19:$E$164),"")&amp;IFERROR(_xlfn.XLOOKUP(S51,ETANCHEITE!AI$19:AI$164,ETANCHEITE!$F$19:$F$164),"")</f>
        <v xml:space="preserve">   </v>
      </c>
      <c r="X51" s="168" t="str">
        <f>IFERROR(VLOOKUP(S51,ETANCHEITE!AI$19:AK$164,2,FALSE),"")&amp;" "&amp;IFERROR(VLOOKUP(S51,ETANCHEITE!AI$19:AK$164,3,FALSE),"")</f>
        <v xml:space="preserve"> </v>
      </c>
      <c r="Y51" s="161" t="str">
        <f>IF(X51&lt;&gt;" ",'Feuille de Donnée'!$C$3,"")</f>
        <v/>
      </c>
      <c r="Z51" s="232" t="str" cm="1">
        <f t="array" aca="1" ref="Z51" ca="1">IFERROR(IF(_xlfn.XLOOKUP(S51,ETANCHEITE!AI$19:AI$89,ETANCHEITE!AG$19:AG$89,"")&lt;&gt;"",_xlfn.XLOOKUP(S51,ETANCHEITE!AI$19:AI$89,ETANCHEITE!AG$19:AG$89,""),    INDEX(ETANCHEITE!AG:AG,MAX(_xlfn._xlws.FILTER(ROW(ETANCHEITE!AG$19:INDIRECT("'PEINTURE'!O" &amp; V51-1)),ETANCHEITE!AG$19:INDIRECT("'PEINTURE'!O" &amp; V51-1)&lt;&gt;"")))),"")</f>
        <v/>
      </c>
      <c r="AA51" s="233" t="str" cm="1">
        <f t="array" aca="1" ref="AA51" ca="1">IFERROR(IF(_xlfn.XLOOKUP(S51,ETANCHEITE!AI$19:AI$89,ETANCHEITE!AH$19:AH$89,"")&lt;&gt;"",_xlfn.XLOOKUP(S51,ETANCHEITE!AI$19:AI$89,ETANCHEITE!AH$19:AH$89,""),    INDEX(ETANCHEITE!AH:AH,MAX(_xlfn._xlws.FILTER(ROW(ETANCHEITE!AH$19:INDIRECT("'PEINTURE'!P" &amp; V51-1)),ETANCHEITE!AH$19:INDIRECT("'PEINTURE'!P" &amp; V51-1)&lt;&gt;"")))),"")</f>
        <v/>
      </c>
      <c r="AB51" s="158">
        <v>49</v>
      </c>
      <c r="AC51" s="167" t="str">
        <f>IF(AG51&lt;&gt;" ",ETANCHEITE!$D$5,"")</f>
        <v/>
      </c>
      <c r="AD51" s="167" t="str">
        <f>IF(AG51&lt;&gt;" ",ETANCHEITE!$D$8,"")</f>
        <v/>
      </c>
      <c r="AE51" s="159" t="str">
        <f>IFERROR(MATCH(AB51,ETANCHEITE!AR$19:AR$164,0)+18,"")</f>
        <v/>
      </c>
      <c r="AF51" s="160" t="str" cm="1">
        <f t="array" aca="1" ref="AF51" ca="1">IFERROR(IF(_xlfn.XLOOKUP(AB51,ETANCHEITE!AR$19:AR$164,ETANCHEITE!$A$19:$A$164,"")&lt;&gt;"",_xlfn.XLOOKUP(AB51,ETANCHEITE!AR$19:AR$164,ETANCHEITE!$A$19:$A$164,""),    INDEX(ETANCHEITE!$A:$A,MAX(_xlfn._xlws.FILTER(ROW(ETANCHEITE!$A$19:INDIRECT("'MENUISERIES EXTERIEURES'!$A" &amp; AE51-1)),ETANCHEITE!$A$19:INDIRECT("'MENUISERIES EXTERIEURES'!$A" &amp; AE51-1)&lt;&gt;"")))),"")&amp;"   "&amp;IFERROR(_xlfn.XLOOKUP(AB51,ETANCHEITE!AR$19:AR$164,ETANCHEITE!$B$19:$B$164),"")&amp;IFERROR(_xlfn.XLOOKUP(AB51,ETANCHEITE!AR$19:AR$164,ETANCHEITE!$C$19:$C$164),"")&amp;IFERROR(_xlfn.XLOOKUP(AB51,ETANCHEITE!AR$19:AR$164,ETANCHEITE!$D$19:$D$164),"")&amp;IFERROR(_xlfn.XLOOKUP(AB51,ETANCHEITE!AR$19:AR$164,ETANCHEITE!$E$19:$E$164),"")&amp;IFERROR(_xlfn.XLOOKUP(AB51,ETANCHEITE!AR$19:AR$164,ETANCHEITE!$F$19:$F$164),"")</f>
        <v xml:space="preserve">   </v>
      </c>
      <c r="AG51" s="168" t="str">
        <f>IFERROR(VLOOKUP(AB51,ETANCHEITE!AR$19:AT$164,2,FALSE),"")&amp;" "&amp;IFERROR(VLOOKUP(AB51,ETANCHEITE!AR$19:AT$164,3,FALSE),"")</f>
        <v xml:space="preserve"> </v>
      </c>
      <c r="AH51" s="161" t="str">
        <f>IF(AG51&lt;&gt;" ",'Feuille de Donnée'!$C$3,"")</f>
        <v/>
      </c>
      <c r="AI51" s="232" t="str" cm="1">
        <f t="array" aca="1" ref="AI51" ca="1">IFERROR(IF(_xlfn.XLOOKUP(AB51,ETANCHEITE!AR$19:AR$89,ETANCHEITE!AP$19:AP$89,"")&lt;&gt;"",_xlfn.XLOOKUP(AB51,ETANCHEITE!AR$19:AR$89,ETANCHEITE!AP$19:AP$89,""),    INDEX(ETANCHEITE!AP:AP,MAX(_xlfn._xlws.FILTER(ROW(ETANCHEITE!AP$19:INDIRECT("'PEINTURE'!O" &amp; AE51-1)),ETANCHEITE!AP$19:INDIRECT("'PEINTURE'!O" &amp; AE51-1)&lt;&gt;"")))),"")</f>
        <v/>
      </c>
      <c r="AJ51" s="233" t="str" cm="1">
        <f t="array" aca="1" ref="AJ51" ca="1">IFERROR(IF(_xlfn.XLOOKUP(AB51,ETANCHEITE!AR$19:AR$89,ETANCHEITE!AQ$19:AQ$89,"")&lt;&gt;"",_xlfn.XLOOKUP(AB51,ETANCHEITE!AR$19:AR$89,ETANCHEITE!AQ$19:AQ$89,""),    INDEX(ETANCHEITE!AQ:AQ,MAX(_xlfn._xlws.FILTER(ROW(ETANCHEITE!AQ$19:INDIRECT("'PEINTURE'!P" &amp; AE51-1)),ETANCHEITE!AQ$19:INDIRECT("'PEINTURE'!P" &amp; AE51-1)&lt;&gt;"")))),"")</f>
        <v/>
      </c>
      <c r="AK51" s="158">
        <v>49</v>
      </c>
      <c r="AL51" s="167" t="str">
        <f>IF(AP51&lt;&gt;" ",ETANCHEITE!$D$5,"")</f>
        <v/>
      </c>
      <c r="AM51" s="167" t="str">
        <f>IF(AP51&lt;&gt;" ",ETANCHEITE!$D$8,"")</f>
        <v/>
      </c>
      <c r="AN51" s="159" t="str">
        <f>IFERROR(MATCH(AK51,ETANCHEITE!BA$19:BA$164,0)+18,"")</f>
        <v/>
      </c>
      <c r="AO51" s="160" t="str" cm="1">
        <f t="array" aca="1" ref="AO51" ca="1">IFERROR(IF(_xlfn.XLOOKUP(AK51,ETANCHEITE!BA$19:BA$164,ETANCHEITE!$A$19:$A$164,"")&lt;&gt;"",_xlfn.XLOOKUP(AK51,ETANCHEITE!BA$19:BA$164,ETANCHEITE!$A$19:$A$164,""),    INDEX(ETANCHEITE!$A:$A,MAX(_xlfn._xlws.FILTER(ROW(ETANCHEITE!$A$19:INDIRECT("'MENUISERIES EXTERIEURES'!$A" &amp; AN51-1)),ETANCHEITE!$A$19:INDIRECT("'MENUISERIES EXTERIEURES'!$A" &amp; AN51-1)&lt;&gt;"")))),"")&amp;"   "&amp;IFERROR(_xlfn.XLOOKUP(AK51,ETANCHEITE!BA$19:BA$164,ETANCHEITE!$B$19:$B$164),"")&amp;IFERROR(_xlfn.XLOOKUP(AK51,ETANCHEITE!BA$19:BA$164,ETANCHEITE!$C$19:$C$164),"")&amp;IFERROR(_xlfn.XLOOKUP(AK51,ETANCHEITE!BA$19:BA$164,ETANCHEITE!$D$19:$D$164),"")&amp;IFERROR(_xlfn.XLOOKUP(AK51,ETANCHEITE!BA$19:BA$164,ETANCHEITE!$E$19:$E$164),"")&amp;IFERROR(_xlfn.XLOOKUP(AK51,ETANCHEITE!BA$19:BA$164,ETANCHEITE!$F$19:$F$164),"")</f>
        <v xml:space="preserve">   </v>
      </c>
      <c r="AP51" s="168" t="str">
        <f>IFERROR(VLOOKUP(AK51,ETANCHEITE!BA$19:BC$164,2,FALSE),"")&amp;" "&amp;IFERROR(VLOOKUP(AK51,ETANCHEITE!BA$19:BC$164,3,FALSE),"")</f>
        <v xml:space="preserve"> </v>
      </c>
      <c r="AQ51" s="161" t="str">
        <f>IF(AP51&lt;&gt;" ",'Feuille de Donnée'!$C$3,"")</f>
        <v/>
      </c>
      <c r="AR51" s="232" t="str" cm="1">
        <f t="array" aca="1" ref="AR51" ca="1">IFERROR(IF(_xlfn.XLOOKUP(AK51,ETANCHEITE!BA$19:BA$89,ETANCHEITE!AY$19:AY$89,"")&lt;&gt;"",_xlfn.XLOOKUP(AK51,ETANCHEITE!BA$19:BA$89,ETANCHEITE!AY$19:AY$89,""),    INDEX(ETANCHEITE!AY:AY,MAX(_xlfn._xlws.FILTER(ROW(ETANCHEITE!AY$19:INDIRECT("'PEINTURE'!O" &amp; AN51-1)),ETANCHEITE!AY$19:INDIRECT("'PEINTURE'!O" &amp; AN51-1)&lt;&gt;"")))),"")</f>
        <v/>
      </c>
      <c r="AS51" s="233" t="str" cm="1">
        <f t="array" aca="1" ref="AS51" ca="1">IFERROR(IF(_xlfn.XLOOKUP(AK51,ETANCHEITE!BA$19:BA$89,ETANCHEITE!AZ$19:AZ$89,"")&lt;&gt;"",_xlfn.XLOOKUP(AK51,ETANCHEITE!BA$19:BA$89,ETANCHEITE!AZ$19:AZ$89,""),    INDEX(ETANCHEITE!AZ:AZ,MAX(_xlfn._xlws.FILTER(ROW(ETANCHEITE!AZ$19:INDIRECT("'PEINTURE'!P" &amp; AN51-1)),ETANCHEITE!AZ$19:INDIRECT("'PEINTURE'!P" &amp; AN51-1)&lt;&gt;"")))),"")</f>
        <v/>
      </c>
      <c r="AT51" s="158">
        <v>49</v>
      </c>
      <c r="AU51" s="167" t="str">
        <f>IF(AY51&lt;&gt;" ",ETANCHEITE!$D$5,"")</f>
        <v/>
      </c>
      <c r="AV51" s="167" t="str">
        <f>IF(AY51&lt;&gt;" ",ETANCHEITE!$D$8,"")</f>
        <v/>
      </c>
      <c r="AW51" s="159" t="str">
        <f>IFERROR(MATCH(AT51,ETANCHEITE!BJ$19:BJ$164,0)+18,"")</f>
        <v/>
      </c>
      <c r="AX51" s="160" t="str" cm="1">
        <f t="array" aca="1" ref="AX51" ca="1">IFERROR(IF(_xlfn.XLOOKUP(AT51,ETANCHEITE!BJ$19:BJ$164,ETANCHEITE!$A$19:$A$164,"")&lt;&gt;"",_xlfn.XLOOKUP(AT51,ETANCHEITE!BJ$19:BJ$164,ETANCHEITE!$A$19:$A$164,""),    INDEX(ETANCHEITE!$A:$A,MAX(_xlfn._xlws.FILTER(ROW(ETANCHEITE!$A$19:INDIRECT("'MENUISERIES EXTERIEURES'!$A" &amp; AW51-1)),ETANCHEITE!$A$19:INDIRECT("'MENUISERIES EXTERIEURES'!$A" &amp; AW51-1)&lt;&gt;"")))),"")&amp;"   "&amp;IFERROR(_xlfn.XLOOKUP(AT51,ETANCHEITE!BJ$19:BJ$164,ETANCHEITE!$B$19:$B$164),"")&amp;IFERROR(_xlfn.XLOOKUP(AT51,ETANCHEITE!BJ$19:BJ$164,ETANCHEITE!$C$19:$C$164),"")&amp;IFERROR(_xlfn.XLOOKUP(AT51,ETANCHEITE!BJ$19:BJ$164,ETANCHEITE!$D$19:$D$164),"")&amp;IFERROR(_xlfn.XLOOKUP(AT51,ETANCHEITE!BJ$19:BJ$164,ETANCHEITE!$E$19:$E$164),"")&amp;IFERROR(_xlfn.XLOOKUP(AT51,ETANCHEITE!BJ$19:BJ$164,ETANCHEITE!$F$19:$F$164),"")</f>
        <v xml:space="preserve">   </v>
      </c>
      <c r="AY51" s="168" t="str">
        <f>IFERROR(VLOOKUP(AT51,ETANCHEITE!BJ$19:BL$164,2,FALSE),"")&amp;" "&amp;IFERROR(VLOOKUP(AT51,ETANCHEITE!BJ$19:BL$164,3,FALSE),"")</f>
        <v xml:space="preserve"> </v>
      </c>
      <c r="AZ51" s="161" t="str">
        <f>IF(AY51&lt;&gt;" ",'Feuille de Donnée'!$C$3,"")</f>
        <v/>
      </c>
      <c r="BA51" s="232" t="str" cm="1">
        <f t="array" aca="1" ref="BA51" ca="1">IFERROR(IF(_xlfn.XLOOKUP(AT51,ETANCHEITE!BJ$19:BJ$89,ETANCHEITE!BH$19:BH$89,"")&lt;&gt;"",_xlfn.XLOOKUP(AT51,ETANCHEITE!BJ$19:BJ$89,ETANCHEITE!BH$19:BH$89,""),    INDEX(ETANCHEITE!BH:BH,MAX(_xlfn._xlws.FILTER(ROW(ETANCHEITE!BH$19:INDIRECT("'PEINTURE'!O" &amp; AW51-1)),ETANCHEITE!BH$19:INDIRECT("'PEINTURE'!O" &amp; AW51-1)&lt;&gt;"")))),"")</f>
        <v/>
      </c>
      <c r="BB51" s="233" t="str" cm="1">
        <f t="array" aca="1" ref="BB51" ca="1">IFERROR(IF(_xlfn.XLOOKUP(AT51,ETANCHEITE!BJ$19:BJ$89,ETANCHEITE!BI$19:BI$89,"")&lt;&gt;"",_xlfn.XLOOKUP(AT51,ETANCHEITE!BJ$19:BJ$89,ETANCHEITE!BI$19:BI$89,""),    INDEX(ETANCHEITE!BI:BI,MAX(_xlfn._xlws.FILTER(ROW(ETANCHEITE!BI$19:INDIRECT("'PEINTURE'!P" &amp; AW51-1)),ETANCHEITE!BI$19:INDIRECT("'PEINTURE'!P" &amp; AW51-1)&lt;&gt;"")))),"")</f>
        <v/>
      </c>
    </row>
    <row r="52" spans="1:54" ht="16.5" customHeight="1" x14ac:dyDescent="0.3">
      <c r="A52" s="158">
        <v>50</v>
      </c>
      <c r="B52" s="167" t="str">
        <f>IF(F52&lt;&gt;" ",ETANCHEITE!$D$5,"")</f>
        <v/>
      </c>
      <c r="C52" s="167" t="str">
        <f>IF(F52&lt;&gt;" ",ETANCHEITE!$D$8,"")</f>
        <v/>
      </c>
      <c r="D52" s="159" t="str">
        <f>IFERROR(MATCH(A52,ETANCHEITE!Q$19:Q$164,0)+18,"")</f>
        <v/>
      </c>
      <c r="E52" s="160" t="str" cm="1">
        <f t="array" aca="1" ref="E52" ca="1">IFERROR(IF(_xlfn.XLOOKUP(A52,ETANCHEITE!Q$19:Q$164,ETANCHEITE!$A$19:$A$164,"")&lt;&gt;"",_xlfn.XLOOKUP(A52,ETANCHEITE!Q$19:Q$164,ETANCHEITE!$A$19:$A$164,""),    INDEX(ETANCHEITE!$A:$A,MAX(_xlfn._xlws.FILTER(ROW(ETANCHEITE!$A$19:INDIRECT("'MENUISERIES EXTERIEURES'!$A" &amp; D52-1)),ETANCHEITE!$A$19:INDIRECT("'MENUISERIES EXTERIEURES'!$A" &amp; D52-1)&lt;&gt;"")))),"")&amp;"   "&amp;IFERROR(_xlfn.XLOOKUP(A52,ETANCHEITE!Q$19:Q$164,ETANCHEITE!$B$19:$B$164),"")&amp;IFERROR(_xlfn.XLOOKUP(A52,ETANCHEITE!Q$19:Q$164,ETANCHEITE!$C$19:$C$164),"")&amp;IFERROR(_xlfn.XLOOKUP(A52,ETANCHEITE!Q$19:Q$164,ETANCHEITE!$D$19:$D$164),"")&amp;IFERROR(_xlfn.XLOOKUP(A52,ETANCHEITE!Q$19:Q$164,ETANCHEITE!$E$19:$E$164),"")&amp;IFERROR(_xlfn.XLOOKUP(A52,ETANCHEITE!Q$19:Q$164,ETANCHEITE!$F$19:$F$164),"")</f>
        <v xml:space="preserve">   </v>
      </c>
      <c r="F52" s="168" t="str">
        <f>IFERROR(VLOOKUP(A52,ETANCHEITE!Q$19:S$164,2,FALSE),"")&amp;" "&amp;IFERROR(VLOOKUP(A52,ETANCHEITE!Q$19:S$164,3,FALSE),"")</f>
        <v xml:space="preserve"> </v>
      </c>
      <c r="G52" s="161" t="str">
        <f>IF(F52&lt;&gt;" ",'Feuille de Donnée'!$C$3,"")</f>
        <v/>
      </c>
      <c r="H52" s="232" t="str" cm="1">
        <f t="array" aca="1" ref="H52" ca="1">IFERROR(IF(_xlfn.XLOOKUP(A52,ETANCHEITE!Q$19:Q$89,ETANCHEITE!O$19:O$89,"")&lt;&gt;"",_xlfn.XLOOKUP(A52,ETANCHEITE!Q$19:Q$89,ETANCHEITE!O$19:O$89,""),    INDEX(ETANCHEITE!O:O,MAX(_xlfn._xlws.FILTER(ROW(ETANCHEITE!O$19:INDIRECT("'PEINTURE'!O" &amp; D52-1)),ETANCHEITE!O$19:INDIRECT("'PEINTURE'!O" &amp; D52-1)&lt;&gt;"")))),"")</f>
        <v/>
      </c>
      <c r="I52" s="233" t="str" cm="1">
        <f t="array" aca="1" ref="I52" ca="1">IFERROR(IF(_xlfn.XLOOKUP(A52,ETANCHEITE!Q$19:Q$89,ETANCHEITE!P$19:P$89,"")&lt;&gt;"",_xlfn.XLOOKUP(A52,ETANCHEITE!Q$19:Q$89,ETANCHEITE!P$19:P$89,""),    INDEX(ETANCHEITE!P:P,MAX(_xlfn._xlws.FILTER(ROW(ETANCHEITE!P$19:INDIRECT("'PEINTURE'!P" &amp; D52-1)),ETANCHEITE!P$19:INDIRECT("'PEINTURE'!P" &amp; D52-1)&lt;&gt;"")))),"")</f>
        <v/>
      </c>
      <c r="J52" s="158">
        <v>50</v>
      </c>
      <c r="K52" s="167" t="str">
        <f>IF(O52&lt;&gt;" ",ETANCHEITE!$D$5,"")</f>
        <v/>
      </c>
      <c r="L52" s="167" t="str">
        <f>IF(O52&lt;&gt;" ",ETANCHEITE!$D$8,"")</f>
        <v/>
      </c>
      <c r="M52" s="159" t="str">
        <f>IFERROR(MATCH(J52,ETANCHEITE!Z$19:Z$164,0)+18,"")</f>
        <v/>
      </c>
      <c r="N52" s="160" t="str" cm="1">
        <f t="array" aca="1" ref="N52" ca="1">IFERROR(IF(_xlfn.XLOOKUP(J52,ETANCHEITE!Z$19:Z$164,ETANCHEITE!$A$19:$A$164,"")&lt;&gt;"",_xlfn.XLOOKUP(J52,ETANCHEITE!Z$19:Z$164,ETANCHEITE!$A$19:$A$164,""),    INDEX(ETANCHEITE!$A:$A,MAX(_xlfn._xlws.FILTER(ROW(ETANCHEITE!$A$19:INDIRECT("'MENUISERIES EXTERIEURES'!$A" &amp; M52-1)),ETANCHEITE!$A$19:INDIRECT("'MENUISERIES EXTERIEURES'!$A" &amp; M52-1)&lt;&gt;"")))),"")&amp;"   "&amp;IFERROR(_xlfn.XLOOKUP(J52,ETANCHEITE!Z$19:Z$164,ETANCHEITE!$B$19:$B$164),"")&amp;IFERROR(_xlfn.XLOOKUP(J52,ETANCHEITE!Z$19:Z$164,ETANCHEITE!$C$19:$C$164),"")&amp;IFERROR(_xlfn.XLOOKUP(J52,ETANCHEITE!Z$19:Z$164,ETANCHEITE!$D$19:$D$164),"")&amp;IFERROR(_xlfn.XLOOKUP(J52,ETANCHEITE!Z$19:Z$164,ETANCHEITE!$E$19:$E$164),"")&amp;IFERROR(_xlfn.XLOOKUP(J52,ETANCHEITE!Z$19:Z$164,ETANCHEITE!$F$19:$F$164),"")</f>
        <v xml:space="preserve">   </v>
      </c>
      <c r="O52" s="168" t="str">
        <f>IFERROR(VLOOKUP(J52,ETANCHEITE!Z$19:AB$164,2,FALSE),"")&amp;" "&amp;IFERROR(VLOOKUP(J52,ETANCHEITE!Z$19:AB$164,3,FALSE),"")</f>
        <v xml:space="preserve"> </v>
      </c>
      <c r="P52" s="161" t="str">
        <f>IF(O52&lt;&gt;" ",'Feuille de Donnée'!$C$3,"")</f>
        <v/>
      </c>
      <c r="Q52" s="232" t="str" cm="1">
        <f t="array" aca="1" ref="Q52" ca="1">IFERROR(IF(_xlfn.XLOOKUP(J52,ETANCHEITE!Z$19:Z$89,ETANCHEITE!X$19:X$89,"")&lt;&gt;"",_xlfn.XLOOKUP(J52,ETANCHEITE!Z$19:Z$89,ETANCHEITE!X$19:X$89,""),    INDEX(ETANCHEITE!X:X,MAX(_xlfn._xlws.FILTER(ROW(ETANCHEITE!X$19:INDIRECT("'PEINTURE'!O" &amp; M52-1)),ETANCHEITE!X$19:INDIRECT("'PEINTURE'!O" &amp; M52-1)&lt;&gt;"")))),"")</f>
        <v/>
      </c>
      <c r="R52" s="233" t="str" cm="1">
        <f t="array" aca="1" ref="R52" ca="1">IFERROR(IF(_xlfn.XLOOKUP(J52,ETANCHEITE!Z$19:Z$89,ETANCHEITE!Y$19:Y$89,"")&lt;&gt;"",_xlfn.XLOOKUP(J52,ETANCHEITE!Z$19:Z$89,ETANCHEITE!Y$19:Y$89,""),    INDEX(ETANCHEITE!Y:Y,MAX(_xlfn._xlws.FILTER(ROW(ETANCHEITE!Y$19:INDIRECT("'PEINTURE'!P" &amp; M52-1)),ETANCHEITE!Y$19:INDIRECT("'PEINTURE'!P" &amp; M52-1)&lt;&gt;"")))),"")</f>
        <v/>
      </c>
      <c r="S52" s="158">
        <v>50</v>
      </c>
      <c r="T52" s="167" t="str">
        <f>IF(X52&lt;&gt;" ",ETANCHEITE!$D$5,"")</f>
        <v/>
      </c>
      <c r="U52" s="167" t="str">
        <f>IF(X52&lt;&gt;" ",ETANCHEITE!$D$8,"")</f>
        <v/>
      </c>
      <c r="V52" s="159" t="str">
        <f>IFERROR(MATCH(S52,ETANCHEITE!AI$19:AI$164,0)+18,"")</f>
        <v/>
      </c>
      <c r="W52" s="160" t="str" cm="1">
        <f t="array" aca="1" ref="W52" ca="1">IFERROR(IF(_xlfn.XLOOKUP(S52,ETANCHEITE!AI$19:AI$164,ETANCHEITE!$A$19:$A$164,"")&lt;&gt;"",_xlfn.XLOOKUP(S52,ETANCHEITE!AI$19:AI$164,ETANCHEITE!$A$19:$A$164,""),    INDEX(ETANCHEITE!$A:$A,MAX(_xlfn._xlws.FILTER(ROW(ETANCHEITE!$A$19:INDIRECT("'MENUISERIES EXTERIEURES'!$A" &amp; V52-1)),ETANCHEITE!$A$19:INDIRECT("'MENUISERIES EXTERIEURES'!$A" &amp; V52-1)&lt;&gt;"")))),"")&amp;"   "&amp;IFERROR(_xlfn.XLOOKUP(S52,ETANCHEITE!AI$19:AI$164,ETANCHEITE!$B$19:$B$164),"")&amp;IFERROR(_xlfn.XLOOKUP(S52,ETANCHEITE!AI$19:AI$164,ETANCHEITE!$C$19:$C$164),"")&amp;IFERROR(_xlfn.XLOOKUP(S52,ETANCHEITE!AI$19:AI$164,ETANCHEITE!$D$19:$D$164),"")&amp;IFERROR(_xlfn.XLOOKUP(S52,ETANCHEITE!AI$19:AI$164,ETANCHEITE!$E$19:$E$164),"")&amp;IFERROR(_xlfn.XLOOKUP(S52,ETANCHEITE!AI$19:AI$164,ETANCHEITE!$F$19:$F$164),"")</f>
        <v xml:space="preserve">   </v>
      </c>
      <c r="X52" s="168" t="str">
        <f>IFERROR(VLOOKUP(S52,ETANCHEITE!AI$19:AK$164,2,FALSE),"")&amp;" "&amp;IFERROR(VLOOKUP(S52,ETANCHEITE!AI$19:AK$164,3,FALSE),"")</f>
        <v xml:space="preserve"> </v>
      </c>
      <c r="Y52" s="161" t="str">
        <f>IF(X52&lt;&gt;" ",'Feuille de Donnée'!$C$3,"")</f>
        <v/>
      </c>
      <c r="Z52" s="232" t="str" cm="1">
        <f t="array" aca="1" ref="Z52" ca="1">IFERROR(IF(_xlfn.XLOOKUP(S52,ETANCHEITE!AI$19:AI$89,ETANCHEITE!AG$19:AG$89,"")&lt;&gt;"",_xlfn.XLOOKUP(S52,ETANCHEITE!AI$19:AI$89,ETANCHEITE!AG$19:AG$89,""),    INDEX(ETANCHEITE!AG:AG,MAX(_xlfn._xlws.FILTER(ROW(ETANCHEITE!AG$19:INDIRECT("'PEINTURE'!O" &amp; V52-1)),ETANCHEITE!AG$19:INDIRECT("'PEINTURE'!O" &amp; V52-1)&lt;&gt;"")))),"")</f>
        <v/>
      </c>
      <c r="AA52" s="233" t="str" cm="1">
        <f t="array" aca="1" ref="AA52" ca="1">IFERROR(IF(_xlfn.XLOOKUP(S52,ETANCHEITE!AI$19:AI$89,ETANCHEITE!AH$19:AH$89,"")&lt;&gt;"",_xlfn.XLOOKUP(S52,ETANCHEITE!AI$19:AI$89,ETANCHEITE!AH$19:AH$89,""),    INDEX(ETANCHEITE!AH:AH,MAX(_xlfn._xlws.FILTER(ROW(ETANCHEITE!AH$19:INDIRECT("'PEINTURE'!P" &amp; V52-1)),ETANCHEITE!AH$19:INDIRECT("'PEINTURE'!P" &amp; V52-1)&lt;&gt;"")))),"")</f>
        <v/>
      </c>
      <c r="AB52" s="158">
        <v>50</v>
      </c>
      <c r="AC52" s="167" t="str">
        <f>IF(AG52&lt;&gt;" ",ETANCHEITE!$D$5,"")</f>
        <v/>
      </c>
      <c r="AD52" s="167" t="str">
        <f>IF(AG52&lt;&gt;" ",ETANCHEITE!$D$8,"")</f>
        <v/>
      </c>
      <c r="AE52" s="159" t="str">
        <f>IFERROR(MATCH(AB52,ETANCHEITE!AR$19:AR$164,0)+18,"")</f>
        <v/>
      </c>
      <c r="AF52" s="160" t="str" cm="1">
        <f t="array" aca="1" ref="AF52" ca="1">IFERROR(IF(_xlfn.XLOOKUP(AB52,ETANCHEITE!AR$19:AR$164,ETANCHEITE!$A$19:$A$164,"")&lt;&gt;"",_xlfn.XLOOKUP(AB52,ETANCHEITE!AR$19:AR$164,ETANCHEITE!$A$19:$A$164,""),    INDEX(ETANCHEITE!$A:$A,MAX(_xlfn._xlws.FILTER(ROW(ETANCHEITE!$A$19:INDIRECT("'MENUISERIES EXTERIEURES'!$A" &amp; AE52-1)),ETANCHEITE!$A$19:INDIRECT("'MENUISERIES EXTERIEURES'!$A" &amp; AE52-1)&lt;&gt;"")))),"")&amp;"   "&amp;IFERROR(_xlfn.XLOOKUP(AB52,ETANCHEITE!AR$19:AR$164,ETANCHEITE!$B$19:$B$164),"")&amp;IFERROR(_xlfn.XLOOKUP(AB52,ETANCHEITE!AR$19:AR$164,ETANCHEITE!$C$19:$C$164),"")&amp;IFERROR(_xlfn.XLOOKUP(AB52,ETANCHEITE!AR$19:AR$164,ETANCHEITE!$D$19:$D$164),"")&amp;IFERROR(_xlfn.XLOOKUP(AB52,ETANCHEITE!AR$19:AR$164,ETANCHEITE!$E$19:$E$164),"")&amp;IFERROR(_xlfn.XLOOKUP(AB52,ETANCHEITE!AR$19:AR$164,ETANCHEITE!$F$19:$F$164),"")</f>
        <v xml:space="preserve">   </v>
      </c>
      <c r="AG52" s="168" t="str">
        <f>IFERROR(VLOOKUP(AB52,ETANCHEITE!AR$19:AT$164,2,FALSE),"")&amp;" "&amp;IFERROR(VLOOKUP(AB52,ETANCHEITE!AR$19:AT$164,3,FALSE),"")</f>
        <v xml:space="preserve"> </v>
      </c>
      <c r="AH52" s="161" t="str">
        <f>IF(AG52&lt;&gt;" ",'Feuille de Donnée'!$C$3,"")</f>
        <v/>
      </c>
      <c r="AI52" s="232" t="str" cm="1">
        <f t="array" aca="1" ref="AI52" ca="1">IFERROR(IF(_xlfn.XLOOKUP(AB52,ETANCHEITE!AR$19:AR$89,ETANCHEITE!AP$19:AP$89,"")&lt;&gt;"",_xlfn.XLOOKUP(AB52,ETANCHEITE!AR$19:AR$89,ETANCHEITE!AP$19:AP$89,""),    INDEX(ETANCHEITE!AP:AP,MAX(_xlfn._xlws.FILTER(ROW(ETANCHEITE!AP$19:INDIRECT("'PEINTURE'!O" &amp; AE52-1)),ETANCHEITE!AP$19:INDIRECT("'PEINTURE'!O" &amp; AE52-1)&lt;&gt;"")))),"")</f>
        <v/>
      </c>
      <c r="AJ52" s="233" t="str" cm="1">
        <f t="array" aca="1" ref="AJ52" ca="1">IFERROR(IF(_xlfn.XLOOKUP(AB52,ETANCHEITE!AR$19:AR$89,ETANCHEITE!AQ$19:AQ$89,"")&lt;&gt;"",_xlfn.XLOOKUP(AB52,ETANCHEITE!AR$19:AR$89,ETANCHEITE!AQ$19:AQ$89,""),    INDEX(ETANCHEITE!AQ:AQ,MAX(_xlfn._xlws.FILTER(ROW(ETANCHEITE!AQ$19:INDIRECT("'PEINTURE'!P" &amp; AE52-1)),ETANCHEITE!AQ$19:INDIRECT("'PEINTURE'!P" &amp; AE52-1)&lt;&gt;"")))),"")</f>
        <v/>
      </c>
      <c r="AK52" s="158">
        <v>50</v>
      </c>
      <c r="AL52" s="167" t="str">
        <f>IF(AP52&lt;&gt;" ",ETANCHEITE!$D$5,"")</f>
        <v/>
      </c>
      <c r="AM52" s="167" t="str">
        <f>IF(AP52&lt;&gt;" ",ETANCHEITE!$D$8,"")</f>
        <v/>
      </c>
      <c r="AN52" s="159" t="str">
        <f>IFERROR(MATCH(AK52,ETANCHEITE!BA$19:BA$164,0)+18,"")</f>
        <v/>
      </c>
      <c r="AO52" s="160" t="str" cm="1">
        <f t="array" aca="1" ref="AO52" ca="1">IFERROR(IF(_xlfn.XLOOKUP(AK52,ETANCHEITE!BA$19:BA$164,ETANCHEITE!$A$19:$A$164,"")&lt;&gt;"",_xlfn.XLOOKUP(AK52,ETANCHEITE!BA$19:BA$164,ETANCHEITE!$A$19:$A$164,""),    INDEX(ETANCHEITE!$A:$A,MAX(_xlfn._xlws.FILTER(ROW(ETANCHEITE!$A$19:INDIRECT("'MENUISERIES EXTERIEURES'!$A" &amp; AN52-1)),ETANCHEITE!$A$19:INDIRECT("'MENUISERIES EXTERIEURES'!$A" &amp; AN52-1)&lt;&gt;"")))),"")&amp;"   "&amp;IFERROR(_xlfn.XLOOKUP(AK52,ETANCHEITE!BA$19:BA$164,ETANCHEITE!$B$19:$B$164),"")&amp;IFERROR(_xlfn.XLOOKUP(AK52,ETANCHEITE!BA$19:BA$164,ETANCHEITE!$C$19:$C$164),"")&amp;IFERROR(_xlfn.XLOOKUP(AK52,ETANCHEITE!BA$19:BA$164,ETANCHEITE!$D$19:$D$164),"")&amp;IFERROR(_xlfn.XLOOKUP(AK52,ETANCHEITE!BA$19:BA$164,ETANCHEITE!$E$19:$E$164),"")&amp;IFERROR(_xlfn.XLOOKUP(AK52,ETANCHEITE!BA$19:BA$164,ETANCHEITE!$F$19:$F$164),"")</f>
        <v xml:space="preserve">   </v>
      </c>
      <c r="AP52" s="168" t="str">
        <f>IFERROR(VLOOKUP(AK52,ETANCHEITE!BA$19:BC$164,2,FALSE),"")&amp;" "&amp;IFERROR(VLOOKUP(AK52,ETANCHEITE!BA$19:BC$164,3,FALSE),"")</f>
        <v xml:space="preserve"> </v>
      </c>
      <c r="AQ52" s="161" t="str">
        <f>IF(AP52&lt;&gt;" ",'Feuille de Donnée'!$C$3,"")</f>
        <v/>
      </c>
      <c r="AR52" s="232" t="str" cm="1">
        <f t="array" aca="1" ref="AR52" ca="1">IFERROR(IF(_xlfn.XLOOKUP(AK52,ETANCHEITE!BA$19:BA$89,ETANCHEITE!AY$19:AY$89,"")&lt;&gt;"",_xlfn.XLOOKUP(AK52,ETANCHEITE!BA$19:BA$89,ETANCHEITE!AY$19:AY$89,""),    INDEX(ETANCHEITE!AY:AY,MAX(_xlfn._xlws.FILTER(ROW(ETANCHEITE!AY$19:INDIRECT("'PEINTURE'!O" &amp; AN52-1)),ETANCHEITE!AY$19:INDIRECT("'PEINTURE'!O" &amp; AN52-1)&lt;&gt;"")))),"")</f>
        <v/>
      </c>
      <c r="AS52" s="233" t="str" cm="1">
        <f t="array" aca="1" ref="AS52" ca="1">IFERROR(IF(_xlfn.XLOOKUP(AK52,ETANCHEITE!BA$19:BA$89,ETANCHEITE!AZ$19:AZ$89,"")&lt;&gt;"",_xlfn.XLOOKUP(AK52,ETANCHEITE!BA$19:BA$89,ETANCHEITE!AZ$19:AZ$89,""),    INDEX(ETANCHEITE!AZ:AZ,MAX(_xlfn._xlws.FILTER(ROW(ETANCHEITE!AZ$19:INDIRECT("'PEINTURE'!P" &amp; AN52-1)),ETANCHEITE!AZ$19:INDIRECT("'PEINTURE'!P" &amp; AN52-1)&lt;&gt;"")))),"")</f>
        <v/>
      </c>
      <c r="AT52" s="158">
        <v>50</v>
      </c>
      <c r="AU52" s="167" t="str">
        <f>IF(AY52&lt;&gt;" ",ETANCHEITE!$D$5,"")</f>
        <v/>
      </c>
      <c r="AV52" s="167" t="str">
        <f>IF(AY52&lt;&gt;" ",ETANCHEITE!$D$8,"")</f>
        <v/>
      </c>
      <c r="AW52" s="159" t="str">
        <f>IFERROR(MATCH(AT52,ETANCHEITE!BJ$19:BJ$164,0)+18,"")</f>
        <v/>
      </c>
      <c r="AX52" s="160" t="str" cm="1">
        <f t="array" aca="1" ref="AX52" ca="1">IFERROR(IF(_xlfn.XLOOKUP(AT52,ETANCHEITE!BJ$19:BJ$164,ETANCHEITE!$A$19:$A$164,"")&lt;&gt;"",_xlfn.XLOOKUP(AT52,ETANCHEITE!BJ$19:BJ$164,ETANCHEITE!$A$19:$A$164,""),    INDEX(ETANCHEITE!$A:$A,MAX(_xlfn._xlws.FILTER(ROW(ETANCHEITE!$A$19:INDIRECT("'MENUISERIES EXTERIEURES'!$A" &amp; AW52-1)),ETANCHEITE!$A$19:INDIRECT("'MENUISERIES EXTERIEURES'!$A" &amp; AW52-1)&lt;&gt;"")))),"")&amp;"   "&amp;IFERROR(_xlfn.XLOOKUP(AT52,ETANCHEITE!BJ$19:BJ$164,ETANCHEITE!$B$19:$B$164),"")&amp;IFERROR(_xlfn.XLOOKUP(AT52,ETANCHEITE!BJ$19:BJ$164,ETANCHEITE!$C$19:$C$164),"")&amp;IFERROR(_xlfn.XLOOKUP(AT52,ETANCHEITE!BJ$19:BJ$164,ETANCHEITE!$D$19:$D$164),"")&amp;IFERROR(_xlfn.XLOOKUP(AT52,ETANCHEITE!BJ$19:BJ$164,ETANCHEITE!$E$19:$E$164),"")&amp;IFERROR(_xlfn.XLOOKUP(AT52,ETANCHEITE!BJ$19:BJ$164,ETANCHEITE!$F$19:$F$164),"")</f>
        <v xml:space="preserve">   </v>
      </c>
      <c r="AY52" s="168" t="str">
        <f>IFERROR(VLOOKUP(AT52,ETANCHEITE!BJ$19:BL$164,2,FALSE),"")&amp;" "&amp;IFERROR(VLOOKUP(AT52,ETANCHEITE!BJ$19:BL$164,3,FALSE),"")</f>
        <v xml:space="preserve"> </v>
      </c>
      <c r="AZ52" s="161" t="str">
        <f>IF(AY52&lt;&gt;" ",'Feuille de Donnée'!$C$3,"")</f>
        <v/>
      </c>
      <c r="BA52" s="232" t="str" cm="1">
        <f t="array" aca="1" ref="BA52" ca="1">IFERROR(IF(_xlfn.XLOOKUP(AT52,ETANCHEITE!BJ$19:BJ$89,ETANCHEITE!BH$19:BH$89,"")&lt;&gt;"",_xlfn.XLOOKUP(AT52,ETANCHEITE!BJ$19:BJ$89,ETANCHEITE!BH$19:BH$89,""),    INDEX(ETANCHEITE!BH:BH,MAX(_xlfn._xlws.FILTER(ROW(ETANCHEITE!BH$19:INDIRECT("'PEINTURE'!O" &amp; AW52-1)),ETANCHEITE!BH$19:INDIRECT("'PEINTURE'!O" &amp; AW52-1)&lt;&gt;"")))),"")</f>
        <v/>
      </c>
      <c r="BB52" s="233" t="str" cm="1">
        <f t="array" aca="1" ref="BB52" ca="1">IFERROR(IF(_xlfn.XLOOKUP(AT52,ETANCHEITE!BJ$19:BJ$89,ETANCHEITE!BI$19:BI$89,"")&lt;&gt;"",_xlfn.XLOOKUP(AT52,ETANCHEITE!BJ$19:BJ$89,ETANCHEITE!BI$19:BI$89,""),    INDEX(ETANCHEITE!BI:BI,MAX(_xlfn._xlws.FILTER(ROW(ETANCHEITE!BI$19:INDIRECT("'PEINTURE'!P" &amp; AW52-1)),ETANCHEITE!BI$19:INDIRECT("'PEINTURE'!P" &amp; AW52-1)&lt;&gt;"")))),"")</f>
        <v/>
      </c>
    </row>
    <row r="53" spans="1:54" ht="16.5" customHeight="1" x14ac:dyDescent="0.3">
      <c r="A53" s="158">
        <v>51</v>
      </c>
      <c r="B53" s="167" t="str">
        <f>IF(F53&lt;&gt;" ",ETANCHEITE!$D$5,"")</f>
        <v/>
      </c>
      <c r="C53" s="167" t="str">
        <f>IF(F53&lt;&gt;" ",ETANCHEITE!$D$8,"")</f>
        <v/>
      </c>
      <c r="D53" s="159" t="str">
        <f>IFERROR(MATCH(A53,ETANCHEITE!Q$19:Q$164,0)+18,"")</f>
        <v/>
      </c>
      <c r="E53" s="160" t="str" cm="1">
        <f t="array" aca="1" ref="E53" ca="1">IFERROR(IF(_xlfn.XLOOKUP(A53,ETANCHEITE!Q$19:Q$164,ETANCHEITE!$A$19:$A$164,"")&lt;&gt;"",_xlfn.XLOOKUP(A53,ETANCHEITE!Q$19:Q$164,ETANCHEITE!$A$19:$A$164,""),    INDEX(ETANCHEITE!$A:$A,MAX(_xlfn._xlws.FILTER(ROW(ETANCHEITE!$A$19:INDIRECT("'MENUISERIES EXTERIEURES'!$A" &amp; D53-1)),ETANCHEITE!$A$19:INDIRECT("'MENUISERIES EXTERIEURES'!$A" &amp; D53-1)&lt;&gt;"")))),"")&amp;"   "&amp;IFERROR(_xlfn.XLOOKUP(A53,ETANCHEITE!Q$19:Q$164,ETANCHEITE!$B$19:$B$164),"")&amp;IFERROR(_xlfn.XLOOKUP(A53,ETANCHEITE!Q$19:Q$164,ETANCHEITE!$C$19:$C$164),"")&amp;IFERROR(_xlfn.XLOOKUP(A53,ETANCHEITE!Q$19:Q$164,ETANCHEITE!$D$19:$D$164),"")&amp;IFERROR(_xlfn.XLOOKUP(A53,ETANCHEITE!Q$19:Q$164,ETANCHEITE!$E$19:$E$164),"")&amp;IFERROR(_xlfn.XLOOKUP(A53,ETANCHEITE!Q$19:Q$164,ETANCHEITE!$F$19:$F$164),"")</f>
        <v xml:space="preserve">   </v>
      </c>
      <c r="F53" s="168" t="str">
        <f>IFERROR(VLOOKUP(A53,ETANCHEITE!Q$19:S$164,2,FALSE),"")&amp;" "&amp;IFERROR(VLOOKUP(A53,ETANCHEITE!Q$19:S$164,3,FALSE),"")</f>
        <v xml:space="preserve"> </v>
      </c>
      <c r="G53" s="161" t="str">
        <f>IF(F53&lt;&gt;" ",'Feuille de Donnée'!$C$3,"")</f>
        <v/>
      </c>
      <c r="H53" s="232" t="str" cm="1">
        <f t="array" aca="1" ref="H53" ca="1">IFERROR(IF(_xlfn.XLOOKUP(A53,ETANCHEITE!Q$19:Q$89,ETANCHEITE!O$19:O$89,"")&lt;&gt;"",_xlfn.XLOOKUP(A53,ETANCHEITE!Q$19:Q$89,ETANCHEITE!O$19:O$89,""),    INDEX(ETANCHEITE!O:O,MAX(_xlfn._xlws.FILTER(ROW(ETANCHEITE!O$19:INDIRECT("'PEINTURE'!O" &amp; D53-1)),ETANCHEITE!O$19:INDIRECT("'PEINTURE'!O" &amp; D53-1)&lt;&gt;"")))),"")</f>
        <v/>
      </c>
      <c r="I53" s="233" t="str" cm="1">
        <f t="array" aca="1" ref="I53" ca="1">IFERROR(IF(_xlfn.XLOOKUP(A53,ETANCHEITE!Q$19:Q$89,ETANCHEITE!P$19:P$89,"")&lt;&gt;"",_xlfn.XLOOKUP(A53,ETANCHEITE!Q$19:Q$89,ETANCHEITE!P$19:P$89,""),    INDEX(ETANCHEITE!P:P,MAX(_xlfn._xlws.FILTER(ROW(ETANCHEITE!P$19:INDIRECT("'PEINTURE'!P" &amp; D53-1)),ETANCHEITE!P$19:INDIRECT("'PEINTURE'!P" &amp; D53-1)&lt;&gt;"")))),"")</f>
        <v/>
      </c>
      <c r="J53" s="158">
        <v>51</v>
      </c>
      <c r="K53" s="167" t="str">
        <f>IF(O53&lt;&gt;" ",ETANCHEITE!$D$5,"")</f>
        <v/>
      </c>
      <c r="L53" s="167" t="str">
        <f>IF(O53&lt;&gt;" ",ETANCHEITE!$D$8,"")</f>
        <v/>
      </c>
      <c r="M53" s="159" t="str">
        <f>IFERROR(MATCH(J53,ETANCHEITE!Z$19:Z$164,0)+18,"")</f>
        <v/>
      </c>
      <c r="N53" s="160" t="str" cm="1">
        <f t="array" aca="1" ref="N53" ca="1">IFERROR(IF(_xlfn.XLOOKUP(J53,ETANCHEITE!Z$19:Z$164,ETANCHEITE!$A$19:$A$164,"")&lt;&gt;"",_xlfn.XLOOKUP(J53,ETANCHEITE!Z$19:Z$164,ETANCHEITE!$A$19:$A$164,""),    INDEX(ETANCHEITE!$A:$A,MAX(_xlfn._xlws.FILTER(ROW(ETANCHEITE!$A$19:INDIRECT("'MENUISERIES EXTERIEURES'!$A" &amp; M53-1)),ETANCHEITE!$A$19:INDIRECT("'MENUISERIES EXTERIEURES'!$A" &amp; M53-1)&lt;&gt;"")))),"")&amp;"   "&amp;IFERROR(_xlfn.XLOOKUP(J53,ETANCHEITE!Z$19:Z$164,ETANCHEITE!$B$19:$B$164),"")&amp;IFERROR(_xlfn.XLOOKUP(J53,ETANCHEITE!Z$19:Z$164,ETANCHEITE!$C$19:$C$164),"")&amp;IFERROR(_xlfn.XLOOKUP(J53,ETANCHEITE!Z$19:Z$164,ETANCHEITE!$D$19:$D$164),"")&amp;IFERROR(_xlfn.XLOOKUP(J53,ETANCHEITE!Z$19:Z$164,ETANCHEITE!$E$19:$E$164),"")&amp;IFERROR(_xlfn.XLOOKUP(J53,ETANCHEITE!Z$19:Z$164,ETANCHEITE!$F$19:$F$164),"")</f>
        <v xml:space="preserve">   </v>
      </c>
      <c r="O53" s="168" t="str">
        <f>IFERROR(VLOOKUP(J53,ETANCHEITE!Z$19:AB$164,2,FALSE),"")&amp;" "&amp;IFERROR(VLOOKUP(J53,ETANCHEITE!Z$19:AB$164,3,FALSE),"")</f>
        <v xml:space="preserve"> </v>
      </c>
      <c r="P53" s="161" t="str">
        <f>IF(O53&lt;&gt;" ",'Feuille de Donnée'!$C$3,"")</f>
        <v/>
      </c>
      <c r="Q53" s="232" t="str" cm="1">
        <f t="array" aca="1" ref="Q53" ca="1">IFERROR(IF(_xlfn.XLOOKUP(J53,ETANCHEITE!Z$19:Z$89,ETANCHEITE!X$19:X$89,"")&lt;&gt;"",_xlfn.XLOOKUP(J53,ETANCHEITE!Z$19:Z$89,ETANCHEITE!X$19:X$89,""),    INDEX(ETANCHEITE!X:X,MAX(_xlfn._xlws.FILTER(ROW(ETANCHEITE!X$19:INDIRECT("'PEINTURE'!O" &amp; M53-1)),ETANCHEITE!X$19:INDIRECT("'PEINTURE'!O" &amp; M53-1)&lt;&gt;"")))),"")</f>
        <v/>
      </c>
      <c r="R53" s="233" t="str" cm="1">
        <f t="array" aca="1" ref="R53" ca="1">IFERROR(IF(_xlfn.XLOOKUP(J53,ETANCHEITE!Z$19:Z$89,ETANCHEITE!Y$19:Y$89,"")&lt;&gt;"",_xlfn.XLOOKUP(J53,ETANCHEITE!Z$19:Z$89,ETANCHEITE!Y$19:Y$89,""),    INDEX(ETANCHEITE!Y:Y,MAX(_xlfn._xlws.FILTER(ROW(ETANCHEITE!Y$19:INDIRECT("'PEINTURE'!P" &amp; M53-1)),ETANCHEITE!Y$19:INDIRECT("'PEINTURE'!P" &amp; M53-1)&lt;&gt;"")))),"")</f>
        <v/>
      </c>
      <c r="S53" s="158">
        <v>51</v>
      </c>
      <c r="T53" s="167" t="str">
        <f>IF(X53&lt;&gt;" ",ETANCHEITE!$D$5,"")</f>
        <v/>
      </c>
      <c r="U53" s="167" t="str">
        <f>IF(X53&lt;&gt;" ",ETANCHEITE!$D$8,"")</f>
        <v/>
      </c>
      <c r="V53" s="159" t="str">
        <f>IFERROR(MATCH(S53,ETANCHEITE!AI$19:AI$164,0)+18,"")</f>
        <v/>
      </c>
      <c r="W53" s="160" t="str" cm="1">
        <f t="array" aca="1" ref="W53" ca="1">IFERROR(IF(_xlfn.XLOOKUP(S53,ETANCHEITE!AI$19:AI$164,ETANCHEITE!$A$19:$A$164,"")&lt;&gt;"",_xlfn.XLOOKUP(S53,ETANCHEITE!AI$19:AI$164,ETANCHEITE!$A$19:$A$164,""),    INDEX(ETANCHEITE!$A:$A,MAX(_xlfn._xlws.FILTER(ROW(ETANCHEITE!$A$19:INDIRECT("'MENUISERIES EXTERIEURES'!$A" &amp; V53-1)),ETANCHEITE!$A$19:INDIRECT("'MENUISERIES EXTERIEURES'!$A" &amp; V53-1)&lt;&gt;"")))),"")&amp;"   "&amp;IFERROR(_xlfn.XLOOKUP(S53,ETANCHEITE!AI$19:AI$164,ETANCHEITE!$B$19:$B$164),"")&amp;IFERROR(_xlfn.XLOOKUP(S53,ETANCHEITE!AI$19:AI$164,ETANCHEITE!$C$19:$C$164),"")&amp;IFERROR(_xlfn.XLOOKUP(S53,ETANCHEITE!AI$19:AI$164,ETANCHEITE!$D$19:$D$164),"")&amp;IFERROR(_xlfn.XLOOKUP(S53,ETANCHEITE!AI$19:AI$164,ETANCHEITE!$E$19:$E$164),"")&amp;IFERROR(_xlfn.XLOOKUP(S53,ETANCHEITE!AI$19:AI$164,ETANCHEITE!$F$19:$F$164),"")</f>
        <v xml:space="preserve">   </v>
      </c>
      <c r="X53" s="168" t="str">
        <f>IFERROR(VLOOKUP(S53,ETANCHEITE!AI$19:AK$164,2,FALSE),"")&amp;" "&amp;IFERROR(VLOOKUP(S53,ETANCHEITE!AI$19:AK$164,3,FALSE),"")</f>
        <v xml:space="preserve"> </v>
      </c>
      <c r="Y53" s="161" t="str">
        <f>IF(X53&lt;&gt;" ",'Feuille de Donnée'!$C$3,"")</f>
        <v/>
      </c>
      <c r="Z53" s="232" t="str" cm="1">
        <f t="array" aca="1" ref="Z53" ca="1">IFERROR(IF(_xlfn.XLOOKUP(S53,ETANCHEITE!AI$19:AI$89,ETANCHEITE!AG$19:AG$89,"")&lt;&gt;"",_xlfn.XLOOKUP(S53,ETANCHEITE!AI$19:AI$89,ETANCHEITE!AG$19:AG$89,""),    INDEX(ETANCHEITE!AG:AG,MAX(_xlfn._xlws.FILTER(ROW(ETANCHEITE!AG$19:INDIRECT("'PEINTURE'!O" &amp; V53-1)),ETANCHEITE!AG$19:INDIRECT("'PEINTURE'!O" &amp; V53-1)&lt;&gt;"")))),"")</f>
        <v/>
      </c>
      <c r="AA53" s="233" t="str" cm="1">
        <f t="array" aca="1" ref="AA53" ca="1">IFERROR(IF(_xlfn.XLOOKUP(S53,ETANCHEITE!AI$19:AI$89,ETANCHEITE!AH$19:AH$89,"")&lt;&gt;"",_xlfn.XLOOKUP(S53,ETANCHEITE!AI$19:AI$89,ETANCHEITE!AH$19:AH$89,""),    INDEX(ETANCHEITE!AH:AH,MAX(_xlfn._xlws.FILTER(ROW(ETANCHEITE!AH$19:INDIRECT("'PEINTURE'!P" &amp; V53-1)),ETANCHEITE!AH$19:INDIRECT("'PEINTURE'!P" &amp; V53-1)&lt;&gt;"")))),"")</f>
        <v/>
      </c>
      <c r="AB53" s="158">
        <v>51</v>
      </c>
      <c r="AC53" s="167" t="str">
        <f>IF(AG53&lt;&gt;" ",ETANCHEITE!$D$5,"")</f>
        <v/>
      </c>
      <c r="AD53" s="167" t="str">
        <f>IF(AG53&lt;&gt;" ",ETANCHEITE!$D$8,"")</f>
        <v/>
      </c>
      <c r="AE53" s="159" t="str">
        <f>IFERROR(MATCH(AB53,ETANCHEITE!AR$19:AR$164,0)+18,"")</f>
        <v/>
      </c>
      <c r="AF53" s="160" t="str" cm="1">
        <f t="array" aca="1" ref="AF53" ca="1">IFERROR(IF(_xlfn.XLOOKUP(AB53,ETANCHEITE!AR$19:AR$164,ETANCHEITE!$A$19:$A$164,"")&lt;&gt;"",_xlfn.XLOOKUP(AB53,ETANCHEITE!AR$19:AR$164,ETANCHEITE!$A$19:$A$164,""),    INDEX(ETANCHEITE!$A:$A,MAX(_xlfn._xlws.FILTER(ROW(ETANCHEITE!$A$19:INDIRECT("'MENUISERIES EXTERIEURES'!$A" &amp; AE53-1)),ETANCHEITE!$A$19:INDIRECT("'MENUISERIES EXTERIEURES'!$A" &amp; AE53-1)&lt;&gt;"")))),"")&amp;"   "&amp;IFERROR(_xlfn.XLOOKUP(AB53,ETANCHEITE!AR$19:AR$164,ETANCHEITE!$B$19:$B$164),"")&amp;IFERROR(_xlfn.XLOOKUP(AB53,ETANCHEITE!AR$19:AR$164,ETANCHEITE!$C$19:$C$164),"")&amp;IFERROR(_xlfn.XLOOKUP(AB53,ETANCHEITE!AR$19:AR$164,ETANCHEITE!$D$19:$D$164),"")&amp;IFERROR(_xlfn.XLOOKUP(AB53,ETANCHEITE!AR$19:AR$164,ETANCHEITE!$E$19:$E$164),"")&amp;IFERROR(_xlfn.XLOOKUP(AB53,ETANCHEITE!AR$19:AR$164,ETANCHEITE!$F$19:$F$164),"")</f>
        <v xml:space="preserve">   </v>
      </c>
      <c r="AG53" s="168" t="str">
        <f>IFERROR(VLOOKUP(AB53,ETANCHEITE!AR$19:AT$164,2,FALSE),"")&amp;" "&amp;IFERROR(VLOOKUP(AB53,ETANCHEITE!AR$19:AT$164,3,FALSE),"")</f>
        <v xml:space="preserve"> </v>
      </c>
      <c r="AH53" s="161" t="str">
        <f>IF(AG53&lt;&gt;" ",'Feuille de Donnée'!$C$3,"")</f>
        <v/>
      </c>
      <c r="AI53" s="232" t="str" cm="1">
        <f t="array" aca="1" ref="AI53" ca="1">IFERROR(IF(_xlfn.XLOOKUP(AB53,ETANCHEITE!AR$19:AR$89,ETANCHEITE!AP$19:AP$89,"")&lt;&gt;"",_xlfn.XLOOKUP(AB53,ETANCHEITE!AR$19:AR$89,ETANCHEITE!AP$19:AP$89,""),    INDEX(ETANCHEITE!AP:AP,MAX(_xlfn._xlws.FILTER(ROW(ETANCHEITE!AP$19:INDIRECT("'PEINTURE'!O" &amp; AE53-1)),ETANCHEITE!AP$19:INDIRECT("'PEINTURE'!O" &amp; AE53-1)&lt;&gt;"")))),"")</f>
        <v/>
      </c>
      <c r="AJ53" s="233" t="str" cm="1">
        <f t="array" aca="1" ref="AJ53" ca="1">IFERROR(IF(_xlfn.XLOOKUP(AB53,ETANCHEITE!AR$19:AR$89,ETANCHEITE!AQ$19:AQ$89,"")&lt;&gt;"",_xlfn.XLOOKUP(AB53,ETANCHEITE!AR$19:AR$89,ETANCHEITE!AQ$19:AQ$89,""),    INDEX(ETANCHEITE!AQ:AQ,MAX(_xlfn._xlws.FILTER(ROW(ETANCHEITE!AQ$19:INDIRECT("'PEINTURE'!P" &amp; AE53-1)),ETANCHEITE!AQ$19:INDIRECT("'PEINTURE'!P" &amp; AE53-1)&lt;&gt;"")))),"")</f>
        <v/>
      </c>
      <c r="AK53" s="158">
        <v>51</v>
      </c>
      <c r="AL53" s="167" t="str">
        <f>IF(AP53&lt;&gt;" ",ETANCHEITE!$D$5,"")</f>
        <v/>
      </c>
      <c r="AM53" s="167" t="str">
        <f>IF(AP53&lt;&gt;" ",ETANCHEITE!$D$8,"")</f>
        <v/>
      </c>
      <c r="AN53" s="159" t="str">
        <f>IFERROR(MATCH(AK53,ETANCHEITE!BA$19:BA$164,0)+18,"")</f>
        <v/>
      </c>
      <c r="AO53" s="160" t="str" cm="1">
        <f t="array" aca="1" ref="AO53" ca="1">IFERROR(IF(_xlfn.XLOOKUP(AK53,ETANCHEITE!BA$19:BA$164,ETANCHEITE!$A$19:$A$164,"")&lt;&gt;"",_xlfn.XLOOKUP(AK53,ETANCHEITE!BA$19:BA$164,ETANCHEITE!$A$19:$A$164,""),    INDEX(ETANCHEITE!$A:$A,MAX(_xlfn._xlws.FILTER(ROW(ETANCHEITE!$A$19:INDIRECT("'MENUISERIES EXTERIEURES'!$A" &amp; AN53-1)),ETANCHEITE!$A$19:INDIRECT("'MENUISERIES EXTERIEURES'!$A" &amp; AN53-1)&lt;&gt;"")))),"")&amp;"   "&amp;IFERROR(_xlfn.XLOOKUP(AK53,ETANCHEITE!BA$19:BA$164,ETANCHEITE!$B$19:$B$164),"")&amp;IFERROR(_xlfn.XLOOKUP(AK53,ETANCHEITE!BA$19:BA$164,ETANCHEITE!$C$19:$C$164),"")&amp;IFERROR(_xlfn.XLOOKUP(AK53,ETANCHEITE!BA$19:BA$164,ETANCHEITE!$D$19:$D$164),"")&amp;IFERROR(_xlfn.XLOOKUP(AK53,ETANCHEITE!BA$19:BA$164,ETANCHEITE!$E$19:$E$164),"")&amp;IFERROR(_xlfn.XLOOKUP(AK53,ETANCHEITE!BA$19:BA$164,ETANCHEITE!$F$19:$F$164),"")</f>
        <v xml:space="preserve">   </v>
      </c>
      <c r="AP53" s="168" t="str">
        <f>IFERROR(VLOOKUP(AK53,ETANCHEITE!BA$19:BC$164,2,FALSE),"")&amp;" "&amp;IFERROR(VLOOKUP(AK53,ETANCHEITE!BA$19:BC$164,3,FALSE),"")</f>
        <v xml:space="preserve"> </v>
      </c>
      <c r="AQ53" s="161" t="str">
        <f>IF(AP53&lt;&gt;" ",'Feuille de Donnée'!$C$3,"")</f>
        <v/>
      </c>
      <c r="AR53" s="232" t="str" cm="1">
        <f t="array" aca="1" ref="AR53" ca="1">IFERROR(IF(_xlfn.XLOOKUP(AK53,ETANCHEITE!BA$19:BA$89,ETANCHEITE!AY$19:AY$89,"")&lt;&gt;"",_xlfn.XLOOKUP(AK53,ETANCHEITE!BA$19:BA$89,ETANCHEITE!AY$19:AY$89,""),    INDEX(ETANCHEITE!AY:AY,MAX(_xlfn._xlws.FILTER(ROW(ETANCHEITE!AY$19:INDIRECT("'PEINTURE'!O" &amp; AN53-1)),ETANCHEITE!AY$19:INDIRECT("'PEINTURE'!O" &amp; AN53-1)&lt;&gt;"")))),"")</f>
        <v/>
      </c>
      <c r="AS53" s="233" t="str" cm="1">
        <f t="array" aca="1" ref="AS53" ca="1">IFERROR(IF(_xlfn.XLOOKUP(AK53,ETANCHEITE!BA$19:BA$89,ETANCHEITE!AZ$19:AZ$89,"")&lt;&gt;"",_xlfn.XLOOKUP(AK53,ETANCHEITE!BA$19:BA$89,ETANCHEITE!AZ$19:AZ$89,""),    INDEX(ETANCHEITE!AZ:AZ,MAX(_xlfn._xlws.FILTER(ROW(ETANCHEITE!AZ$19:INDIRECT("'PEINTURE'!P" &amp; AN53-1)),ETANCHEITE!AZ$19:INDIRECT("'PEINTURE'!P" &amp; AN53-1)&lt;&gt;"")))),"")</f>
        <v/>
      </c>
      <c r="AT53" s="158">
        <v>51</v>
      </c>
      <c r="AU53" s="167" t="str">
        <f>IF(AY53&lt;&gt;" ",ETANCHEITE!$D$5,"")</f>
        <v/>
      </c>
      <c r="AV53" s="167" t="str">
        <f>IF(AY53&lt;&gt;" ",ETANCHEITE!$D$8,"")</f>
        <v/>
      </c>
      <c r="AW53" s="159" t="str">
        <f>IFERROR(MATCH(AT53,ETANCHEITE!BJ$19:BJ$164,0)+18,"")</f>
        <v/>
      </c>
      <c r="AX53" s="160" t="str" cm="1">
        <f t="array" aca="1" ref="AX53" ca="1">IFERROR(IF(_xlfn.XLOOKUP(AT53,ETANCHEITE!BJ$19:BJ$164,ETANCHEITE!$A$19:$A$164,"")&lt;&gt;"",_xlfn.XLOOKUP(AT53,ETANCHEITE!BJ$19:BJ$164,ETANCHEITE!$A$19:$A$164,""),    INDEX(ETANCHEITE!$A:$A,MAX(_xlfn._xlws.FILTER(ROW(ETANCHEITE!$A$19:INDIRECT("'MENUISERIES EXTERIEURES'!$A" &amp; AW53-1)),ETANCHEITE!$A$19:INDIRECT("'MENUISERIES EXTERIEURES'!$A" &amp; AW53-1)&lt;&gt;"")))),"")&amp;"   "&amp;IFERROR(_xlfn.XLOOKUP(AT53,ETANCHEITE!BJ$19:BJ$164,ETANCHEITE!$B$19:$B$164),"")&amp;IFERROR(_xlfn.XLOOKUP(AT53,ETANCHEITE!BJ$19:BJ$164,ETANCHEITE!$C$19:$C$164),"")&amp;IFERROR(_xlfn.XLOOKUP(AT53,ETANCHEITE!BJ$19:BJ$164,ETANCHEITE!$D$19:$D$164),"")&amp;IFERROR(_xlfn.XLOOKUP(AT53,ETANCHEITE!BJ$19:BJ$164,ETANCHEITE!$E$19:$E$164),"")&amp;IFERROR(_xlfn.XLOOKUP(AT53,ETANCHEITE!BJ$19:BJ$164,ETANCHEITE!$F$19:$F$164),"")</f>
        <v xml:space="preserve">   </v>
      </c>
      <c r="AY53" s="168" t="str">
        <f>IFERROR(VLOOKUP(AT53,ETANCHEITE!BJ$19:BL$164,2,FALSE),"")&amp;" "&amp;IFERROR(VLOOKUP(AT53,ETANCHEITE!BJ$19:BL$164,3,FALSE),"")</f>
        <v xml:space="preserve"> </v>
      </c>
      <c r="AZ53" s="161" t="str">
        <f>IF(AY53&lt;&gt;" ",'Feuille de Donnée'!$C$3,"")</f>
        <v/>
      </c>
      <c r="BA53" s="232" t="str" cm="1">
        <f t="array" aca="1" ref="BA53" ca="1">IFERROR(IF(_xlfn.XLOOKUP(AT53,ETANCHEITE!BJ$19:BJ$89,ETANCHEITE!BH$19:BH$89,"")&lt;&gt;"",_xlfn.XLOOKUP(AT53,ETANCHEITE!BJ$19:BJ$89,ETANCHEITE!BH$19:BH$89,""),    INDEX(ETANCHEITE!BH:BH,MAX(_xlfn._xlws.FILTER(ROW(ETANCHEITE!BH$19:INDIRECT("'PEINTURE'!O" &amp; AW53-1)),ETANCHEITE!BH$19:INDIRECT("'PEINTURE'!O" &amp; AW53-1)&lt;&gt;"")))),"")</f>
        <v/>
      </c>
      <c r="BB53" s="233" t="str" cm="1">
        <f t="array" aca="1" ref="BB53" ca="1">IFERROR(IF(_xlfn.XLOOKUP(AT53,ETANCHEITE!BJ$19:BJ$89,ETANCHEITE!BI$19:BI$89,"")&lt;&gt;"",_xlfn.XLOOKUP(AT53,ETANCHEITE!BJ$19:BJ$89,ETANCHEITE!BI$19:BI$89,""),    INDEX(ETANCHEITE!BI:BI,MAX(_xlfn._xlws.FILTER(ROW(ETANCHEITE!BI$19:INDIRECT("'PEINTURE'!P" &amp; AW53-1)),ETANCHEITE!BI$19:INDIRECT("'PEINTURE'!P" &amp; AW53-1)&lt;&gt;"")))),"")</f>
        <v/>
      </c>
    </row>
    <row r="54" spans="1:54" x14ac:dyDescent="0.3">
      <c r="A54" s="158">
        <v>52</v>
      </c>
      <c r="B54" s="167" t="str">
        <f>IF(F54&lt;&gt;" ",ETANCHEITE!$D$5,"")</f>
        <v/>
      </c>
      <c r="C54" s="167" t="str">
        <f>IF(F54&lt;&gt;" ",ETANCHEITE!$D$8,"")</f>
        <v/>
      </c>
      <c r="D54" s="159" t="str">
        <f>IFERROR(MATCH(A54,ETANCHEITE!Q$19:Q$164,0)+18,"")</f>
        <v/>
      </c>
      <c r="E54" s="160" t="str" cm="1">
        <f t="array" aca="1" ref="E54" ca="1">IFERROR(IF(_xlfn.XLOOKUP(A54,ETANCHEITE!Q$19:Q$164,ETANCHEITE!$A$19:$A$164,"")&lt;&gt;"",_xlfn.XLOOKUP(A54,ETANCHEITE!Q$19:Q$164,ETANCHEITE!$A$19:$A$164,""),    INDEX(ETANCHEITE!$A:$A,MAX(_xlfn._xlws.FILTER(ROW(ETANCHEITE!$A$19:INDIRECT("'MENUISERIES EXTERIEURES'!$A" &amp; D54-1)),ETANCHEITE!$A$19:INDIRECT("'MENUISERIES EXTERIEURES'!$A" &amp; D54-1)&lt;&gt;"")))),"")&amp;"   "&amp;IFERROR(_xlfn.XLOOKUP(A54,ETANCHEITE!Q$19:Q$164,ETANCHEITE!$B$19:$B$164),"")&amp;IFERROR(_xlfn.XLOOKUP(A54,ETANCHEITE!Q$19:Q$164,ETANCHEITE!$C$19:$C$164),"")&amp;IFERROR(_xlfn.XLOOKUP(A54,ETANCHEITE!Q$19:Q$164,ETANCHEITE!$D$19:$D$164),"")&amp;IFERROR(_xlfn.XLOOKUP(A54,ETANCHEITE!Q$19:Q$164,ETANCHEITE!$E$19:$E$164),"")&amp;IFERROR(_xlfn.XLOOKUP(A54,ETANCHEITE!Q$19:Q$164,ETANCHEITE!$F$19:$F$164),"")</f>
        <v xml:space="preserve">   </v>
      </c>
      <c r="F54" s="168" t="str">
        <f>IFERROR(VLOOKUP(A54,ETANCHEITE!Q$19:S$164,2,FALSE),"")&amp;" "&amp;IFERROR(VLOOKUP(A54,ETANCHEITE!Q$19:S$164,3,FALSE),"")</f>
        <v xml:space="preserve"> </v>
      </c>
      <c r="G54" s="161" t="str">
        <f>IF(F54&lt;&gt;" ",'Feuille de Donnée'!$C$3,"")</f>
        <v/>
      </c>
      <c r="H54" s="232" t="str" cm="1">
        <f t="array" aca="1" ref="H54" ca="1">IFERROR(IF(_xlfn.XLOOKUP(A54,ETANCHEITE!Q$19:Q$89,ETANCHEITE!O$19:O$89,"")&lt;&gt;"",_xlfn.XLOOKUP(A54,ETANCHEITE!Q$19:Q$89,ETANCHEITE!O$19:O$89,""),    INDEX(ETANCHEITE!O:O,MAX(_xlfn._xlws.FILTER(ROW(ETANCHEITE!O$19:INDIRECT("'PEINTURE'!O" &amp; D54-1)),ETANCHEITE!O$19:INDIRECT("'PEINTURE'!O" &amp; D54-1)&lt;&gt;"")))),"")</f>
        <v/>
      </c>
      <c r="I54" s="233" t="str" cm="1">
        <f t="array" aca="1" ref="I54" ca="1">IFERROR(IF(_xlfn.XLOOKUP(A54,ETANCHEITE!Q$19:Q$89,ETANCHEITE!P$19:P$89,"")&lt;&gt;"",_xlfn.XLOOKUP(A54,ETANCHEITE!Q$19:Q$89,ETANCHEITE!P$19:P$89,""),    INDEX(ETANCHEITE!P:P,MAX(_xlfn._xlws.FILTER(ROW(ETANCHEITE!P$19:INDIRECT("'PEINTURE'!P" &amp; D54-1)),ETANCHEITE!P$19:INDIRECT("'PEINTURE'!P" &amp; D54-1)&lt;&gt;"")))),"")</f>
        <v/>
      </c>
      <c r="J54" s="158">
        <v>52</v>
      </c>
      <c r="K54" s="167" t="str">
        <f>IF(O54&lt;&gt;" ",ETANCHEITE!$D$5,"")</f>
        <v/>
      </c>
      <c r="L54" s="167" t="str">
        <f>IF(O54&lt;&gt;" ",ETANCHEITE!$D$8,"")</f>
        <v/>
      </c>
      <c r="M54" s="159" t="str">
        <f>IFERROR(MATCH(J54,ETANCHEITE!Z$19:Z$164,0)+18,"")</f>
        <v/>
      </c>
      <c r="N54" s="160" t="str" cm="1">
        <f t="array" aca="1" ref="N54" ca="1">IFERROR(IF(_xlfn.XLOOKUP(J54,ETANCHEITE!Z$19:Z$164,ETANCHEITE!$A$19:$A$164,"")&lt;&gt;"",_xlfn.XLOOKUP(J54,ETANCHEITE!Z$19:Z$164,ETANCHEITE!$A$19:$A$164,""),    INDEX(ETANCHEITE!$A:$A,MAX(_xlfn._xlws.FILTER(ROW(ETANCHEITE!$A$19:INDIRECT("'MENUISERIES EXTERIEURES'!$A" &amp; M54-1)),ETANCHEITE!$A$19:INDIRECT("'MENUISERIES EXTERIEURES'!$A" &amp; M54-1)&lt;&gt;"")))),"")&amp;"   "&amp;IFERROR(_xlfn.XLOOKUP(J54,ETANCHEITE!Z$19:Z$164,ETANCHEITE!$B$19:$B$164),"")&amp;IFERROR(_xlfn.XLOOKUP(J54,ETANCHEITE!Z$19:Z$164,ETANCHEITE!$C$19:$C$164),"")&amp;IFERROR(_xlfn.XLOOKUP(J54,ETANCHEITE!Z$19:Z$164,ETANCHEITE!$D$19:$D$164),"")&amp;IFERROR(_xlfn.XLOOKUP(J54,ETANCHEITE!Z$19:Z$164,ETANCHEITE!$E$19:$E$164),"")&amp;IFERROR(_xlfn.XLOOKUP(J54,ETANCHEITE!Z$19:Z$164,ETANCHEITE!$F$19:$F$164),"")</f>
        <v xml:space="preserve">   </v>
      </c>
      <c r="O54" s="168" t="str">
        <f>IFERROR(VLOOKUP(J54,ETANCHEITE!Z$19:AB$164,2,FALSE),"")&amp;" "&amp;IFERROR(VLOOKUP(J54,ETANCHEITE!Z$19:AB$164,3,FALSE),"")</f>
        <v xml:space="preserve"> </v>
      </c>
      <c r="P54" s="161" t="str">
        <f>IF(O54&lt;&gt;" ",'Feuille de Donnée'!$C$3,"")</f>
        <v/>
      </c>
      <c r="Q54" s="232" t="str" cm="1">
        <f t="array" aca="1" ref="Q54" ca="1">IFERROR(IF(_xlfn.XLOOKUP(J54,ETANCHEITE!Z$19:Z$89,ETANCHEITE!X$19:X$89,"")&lt;&gt;"",_xlfn.XLOOKUP(J54,ETANCHEITE!Z$19:Z$89,ETANCHEITE!X$19:X$89,""),    INDEX(ETANCHEITE!X:X,MAX(_xlfn._xlws.FILTER(ROW(ETANCHEITE!X$19:INDIRECT("'PEINTURE'!O" &amp; M54-1)),ETANCHEITE!X$19:INDIRECT("'PEINTURE'!O" &amp; M54-1)&lt;&gt;"")))),"")</f>
        <v/>
      </c>
      <c r="R54" s="233" t="str" cm="1">
        <f t="array" aca="1" ref="R54" ca="1">IFERROR(IF(_xlfn.XLOOKUP(J54,ETANCHEITE!Z$19:Z$89,ETANCHEITE!Y$19:Y$89,"")&lt;&gt;"",_xlfn.XLOOKUP(J54,ETANCHEITE!Z$19:Z$89,ETANCHEITE!Y$19:Y$89,""),    INDEX(ETANCHEITE!Y:Y,MAX(_xlfn._xlws.FILTER(ROW(ETANCHEITE!Y$19:INDIRECT("'PEINTURE'!P" &amp; M54-1)),ETANCHEITE!Y$19:INDIRECT("'PEINTURE'!P" &amp; M54-1)&lt;&gt;"")))),"")</f>
        <v/>
      </c>
      <c r="S54" s="158">
        <v>52</v>
      </c>
      <c r="T54" s="167" t="str">
        <f>IF(X54&lt;&gt;" ",ETANCHEITE!$D$5,"")</f>
        <v/>
      </c>
      <c r="U54" s="167" t="str">
        <f>IF(X54&lt;&gt;" ",ETANCHEITE!$D$8,"")</f>
        <v/>
      </c>
      <c r="V54" s="159" t="str">
        <f>IFERROR(MATCH(S54,ETANCHEITE!AI$19:AI$164,0)+18,"")</f>
        <v/>
      </c>
      <c r="W54" s="160" t="str" cm="1">
        <f t="array" aca="1" ref="W54" ca="1">IFERROR(IF(_xlfn.XLOOKUP(S54,ETANCHEITE!AI$19:AI$164,ETANCHEITE!$A$19:$A$164,"")&lt;&gt;"",_xlfn.XLOOKUP(S54,ETANCHEITE!AI$19:AI$164,ETANCHEITE!$A$19:$A$164,""),    INDEX(ETANCHEITE!$A:$A,MAX(_xlfn._xlws.FILTER(ROW(ETANCHEITE!$A$19:INDIRECT("'MENUISERIES EXTERIEURES'!$A" &amp; V54-1)),ETANCHEITE!$A$19:INDIRECT("'MENUISERIES EXTERIEURES'!$A" &amp; V54-1)&lt;&gt;"")))),"")&amp;"   "&amp;IFERROR(_xlfn.XLOOKUP(S54,ETANCHEITE!AI$19:AI$164,ETANCHEITE!$B$19:$B$164),"")&amp;IFERROR(_xlfn.XLOOKUP(S54,ETANCHEITE!AI$19:AI$164,ETANCHEITE!$C$19:$C$164),"")&amp;IFERROR(_xlfn.XLOOKUP(S54,ETANCHEITE!AI$19:AI$164,ETANCHEITE!$D$19:$D$164),"")&amp;IFERROR(_xlfn.XLOOKUP(S54,ETANCHEITE!AI$19:AI$164,ETANCHEITE!$E$19:$E$164),"")&amp;IFERROR(_xlfn.XLOOKUP(S54,ETANCHEITE!AI$19:AI$164,ETANCHEITE!$F$19:$F$164),"")</f>
        <v xml:space="preserve">   </v>
      </c>
      <c r="X54" s="168" t="str">
        <f>IFERROR(VLOOKUP(S54,ETANCHEITE!AI$19:AK$164,2,FALSE),"")&amp;" "&amp;IFERROR(VLOOKUP(S54,ETANCHEITE!AI$19:AK$164,3,FALSE),"")</f>
        <v xml:space="preserve"> </v>
      </c>
      <c r="Y54" s="161" t="str">
        <f>IF(X54&lt;&gt;" ",'Feuille de Donnée'!$C$3,"")</f>
        <v/>
      </c>
      <c r="Z54" s="232" t="str" cm="1">
        <f t="array" aca="1" ref="Z54" ca="1">IFERROR(IF(_xlfn.XLOOKUP(S54,ETANCHEITE!AI$19:AI$89,ETANCHEITE!AG$19:AG$89,"")&lt;&gt;"",_xlfn.XLOOKUP(S54,ETANCHEITE!AI$19:AI$89,ETANCHEITE!AG$19:AG$89,""),    INDEX(ETANCHEITE!AG:AG,MAX(_xlfn._xlws.FILTER(ROW(ETANCHEITE!AG$19:INDIRECT("'PEINTURE'!O" &amp; V54-1)),ETANCHEITE!AG$19:INDIRECT("'PEINTURE'!O" &amp; V54-1)&lt;&gt;"")))),"")</f>
        <v/>
      </c>
      <c r="AA54" s="233" t="str" cm="1">
        <f t="array" aca="1" ref="AA54" ca="1">IFERROR(IF(_xlfn.XLOOKUP(S54,ETANCHEITE!AI$19:AI$89,ETANCHEITE!AH$19:AH$89,"")&lt;&gt;"",_xlfn.XLOOKUP(S54,ETANCHEITE!AI$19:AI$89,ETANCHEITE!AH$19:AH$89,""),    INDEX(ETANCHEITE!AH:AH,MAX(_xlfn._xlws.FILTER(ROW(ETANCHEITE!AH$19:INDIRECT("'PEINTURE'!P" &amp; V54-1)),ETANCHEITE!AH$19:INDIRECT("'PEINTURE'!P" &amp; V54-1)&lt;&gt;"")))),"")</f>
        <v/>
      </c>
      <c r="AB54" s="158">
        <v>52</v>
      </c>
      <c r="AC54" s="167" t="str">
        <f>IF(AG54&lt;&gt;" ",ETANCHEITE!$D$5,"")</f>
        <v/>
      </c>
      <c r="AD54" s="167" t="str">
        <f>IF(AG54&lt;&gt;" ",ETANCHEITE!$D$8,"")</f>
        <v/>
      </c>
      <c r="AE54" s="159" t="str">
        <f>IFERROR(MATCH(AB54,ETANCHEITE!AR$19:AR$164,0)+18,"")</f>
        <v/>
      </c>
      <c r="AF54" s="160" t="str" cm="1">
        <f t="array" aca="1" ref="AF54" ca="1">IFERROR(IF(_xlfn.XLOOKUP(AB54,ETANCHEITE!AR$19:AR$164,ETANCHEITE!$A$19:$A$164,"")&lt;&gt;"",_xlfn.XLOOKUP(AB54,ETANCHEITE!AR$19:AR$164,ETANCHEITE!$A$19:$A$164,""),    INDEX(ETANCHEITE!$A:$A,MAX(_xlfn._xlws.FILTER(ROW(ETANCHEITE!$A$19:INDIRECT("'MENUISERIES EXTERIEURES'!$A" &amp; AE54-1)),ETANCHEITE!$A$19:INDIRECT("'MENUISERIES EXTERIEURES'!$A" &amp; AE54-1)&lt;&gt;"")))),"")&amp;"   "&amp;IFERROR(_xlfn.XLOOKUP(AB54,ETANCHEITE!AR$19:AR$164,ETANCHEITE!$B$19:$B$164),"")&amp;IFERROR(_xlfn.XLOOKUP(AB54,ETANCHEITE!AR$19:AR$164,ETANCHEITE!$C$19:$C$164),"")&amp;IFERROR(_xlfn.XLOOKUP(AB54,ETANCHEITE!AR$19:AR$164,ETANCHEITE!$D$19:$D$164),"")&amp;IFERROR(_xlfn.XLOOKUP(AB54,ETANCHEITE!AR$19:AR$164,ETANCHEITE!$E$19:$E$164),"")&amp;IFERROR(_xlfn.XLOOKUP(AB54,ETANCHEITE!AR$19:AR$164,ETANCHEITE!$F$19:$F$164),"")</f>
        <v xml:space="preserve">   </v>
      </c>
      <c r="AG54" s="168" t="str">
        <f>IFERROR(VLOOKUP(AB54,ETANCHEITE!AR$19:AT$164,2,FALSE),"")&amp;" "&amp;IFERROR(VLOOKUP(AB54,ETANCHEITE!AR$19:AT$164,3,FALSE),"")</f>
        <v xml:space="preserve"> </v>
      </c>
      <c r="AH54" s="161" t="str">
        <f>IF(AG54&lt;&gt;" ",'Feuille de Donnée'!$C$3,"")</f>
        <v/>
      </c>
      <c r="AI54" s="232" t="str" cm="1">
        <f t="array" aca="1" ref="AI54" ca="1">IFERROR(IF(_xlfn.XLOOKUP(AB54,ETANCHEITE!AR$19:AR$89,ETANCHEITE!AP$19:AP$89,"")&lt;&gt;"",_xlfn.XLOOKUP(AB54,ETANCHEITE!AR$19:AR$89,ETANCHEITE!AP$19:AP$89,""),    INDEX(ETANCHEITE!AP:AP,MAX(_xlfn._xlws.FILTER(ROW(ETANCHEITE!AP$19:INDIRECT("'PEINTURE'!O" &amp; AE54-1)),ETANCHEITE!AP$19:INDIRECT("'PEINTURE'!O" &amp; AE54-1)&lt;&gt;"")))),"")</f>
        <v/>
      </c>
      <c r="AJ54" s="233" t="str" cm="1">
        <f t="array" aca="1" ref="AJ54" ca="1">IFERROR(IF(_xlfn.XLOOKUP(AB54,ETANCHEITE!AR$19:AR$89,ETANCHEITE!AQ$19:AQ$89,"")&lt;&gt;"",_xlfn.XLOOKUP(AB54,ETANCHEITE!AR$19:AR$89,ETANCHEITE!AQ$19:AQ$89,""),    INDEX(ETANCHEITE!AQ:AQ,MAX(_xlfn._xlws.FILTER(ROW(ETANCHEITE!AQ$19:INDIRECT("'PEINTURE'!P" &amp; AE54-1)),ETANCHEITE!AQ$19:INDIRECT("'PEINTURE'!P" &amp; AE54-1)&lt;&gt;"")))),"")</f>
        <v/>
      </c>
      <c r="AK54" s="158">
        <v>52</v>
      </c>
      <c r="AL54" s="167" t="str">
        <f>IF(AP54&lt;&gt;" ",ETANCHEITE!$D$5,"")</f>
        <v/>
      </c>
      <c r="AM54" s="167" t="str">
        <f>IF(AP54&lt;&gt;" ",ETANCHEITE!$D$8,"")</f>
        <v/>
      </c>
      <c r="AN54" s="159" t="str">
        <f>IFERROR(MATCH(AK54,ETANCHEITE!BA$19:BA$164,0)+18,"")</f>
        <v/>
      </c>
      <c r="AO54" s="160" t="str" cm="1">
        <f t="array" aca="1" ref="AO54" ca="1">IFERROR(IF(_xlfn.XLOOKUP(AK54,ETANCHEITE!BA$19:BA$164,ETANCHEITE!$A$19:$A$164,"")&lt;&gt;"",_xlfn.XLOOKUP(AK54,ETANCHEITE!BA$19:BA$164,ETANCHEITE!$A$19:$A$164,""),    INDEX(ETANCHEITE!$A:$A,MAX(_xlfn._xlws.FILTER(ROW(ETANCHEITE!$A$19:INDIRECT("'MENUISERIES EXTERIEURES'!$A" &amp; AN54-1)),ETANCHEITE!$A$19:INDIRECT("'MENUISERIES EXTERIEURES'!$A" &amp; AN54-1)&lt;&gt;"")))),"")&amp;"   "&amp;IFERROR(_xlfn.XLOOKUP(AK54,ETANCHEITE!BA$19:BA$164,ETANCHEITE!$B$19:$B$164),"")&amp;IFERROR(_xlfn.XLOOKUP(AK54,ETANCHEITE!BA$19:BA$164,ETANCHEITE!$C$19:$C$164),"")&amp;IFERROR(_xlfn.XLOOKUP(AK54,ETANCHEITE!BA$19:BA$164,ETANCHEITE!$D$19:$D$164),"")&amp;IFERROR(_xlfn.XLOOKUP(AK54,ETANCHEITE!BA$19:BA$164,ETANCHEITE!$E$19:$E$164),"")&amp;IFERROR(_xlfn.XLOOKUP(AK54,ETANCHEITE!BA$19:BA$164,ETANCHEITE!$F$19:$F$164),"")</f>
        <v xml:space="preserve">   </v>
      </c>
      <c r="AP54" s="168" t="str">
        <f>IFERROR(VLOOKUP(AK54,ETANCHEITE!BA$19:BC$164,2,FALSE),"")&amp;" "&amp;IFERROR(VLOOKUP(AK54,ETANCHEITE!BA$19:BC$164,3,FALSE),"")</f>
        <v xml:space="preserve"> </v>
      </c>
      <c r="AQ54" s="161" t="str">
        <f>IF(AP54&lt;&gt;" ",'Feuille de Donnée'!$C$3,"")</f>
        <v/>
      </c>
      <c r="AR54" s="232" t="str" cm="1">
        <f t="array" aca="1" ref="AR54" ca="1">IFERROR(IF(_xlfn.XLOOKUP(AK54,ETANCHEITE!BA$19:BA$89,ETANCHEITE!AY$19:AY$89,"")&lt;&gt;"",_xlfn.XLOOKUP(AK54,ETANCHEITE!BA$19:BA$89,ETANCHEITE!AY$19:AY$89,""),    INDEX(ETANCHEITE!AY:AY,MAX(_xlfn._xlws.FILTER(ROW(ETANCHEITE!AY$19:INDIRECT("'PEINTURE'!O" &amp; AN54-1)),ETANCHEITE!AY$19:INDIRECT("'PEINTURE'!O" &amp; AN54-1)&lt;&gt;"")))),"")</f>
        <v/>
      </c>
      <c r="AS54" s="233" t="str" cm="1">
        <f t="array" aca="1" ref="AS54" ca="1">IFERROR(IF(_xlfn.XLOOKUP(AK54,ETANCHEITE!BA$19:BA$89,ETANCHEITE!AZ$19:AZ$89,"")&lt;&gt;"",_xlfn.XLOOKUP(AK54,ETANCHEITE!BA$19:BA$89,ETANCHEITE!AZ$19:AZ$89,""),    INDEX(ETANCHEITE!AZ:AZ,MAX(_xlfn._xlws.FILTER(ROW(ETANCHEITE!AZ$19:INDIRECT("'PEINTURE'!P" &amp; AN54-1)),ETANCHEITE!AZ$19:INDIRECT("'PEINTURE'!P" &amp; AN54-1)&lt;&gt;"")))),"")</f>
        <v/>
      </c>
      <c r="AT54" s="158">
        <v>52</v>
      </c>
      <c r="AU54" s="167" t="str">
        <f>IF(AY54&lt;&gt;" ",ETANCHEITE!$D$5,"")</f>
        <v/>
      </c>
      <c r="AV54" s="167" t="str">
        <f>IF(AY54&lt;&gt;" ",ETANCHEITE!$D$8,"")</f>
        <v/>
      </c>
      <c r="AW54" s="159" t="str">
        <f>IFERROR(MATCH(AT54,ETANCHEITE!BJ$19:BJ$164,0)+18,"")</f>
        <v/>
      </c>
      <c r="AX54" s="160" t="str" cm="1">
        <f t="array" aca="1" ref="AX54" ca="1">IFERROR(IF(_xlfn.XLOOKUP(AT54,ETANCHEITE!BJ$19:BJ$164,ETANCHEITE!$A$19:$A$164,"")&lt;&gt;"",_xlfn.XLOOKUP(AT54,ETANCHEITE!BJ$19:BJ$164,ETANCHEITE!$A$19:$A$164,""),    INDEX(ETANCHEITE!$A:$A,MAX(_xlfn._xlws.FILTER(ROW(ETANCHEITE!$A$19:INDIRECT("'MENUISERIES EXTERIEURES'!$A" &amp; AW54-1)),ETANCHEITE!$A$19:INDIRECT("'MENUISERIES EXTERIEURES'!$A" &amp; AW54-1)&lt;&gt;"")))),"")&amp;"   "&amp;IFERROR(_xlfn.XLOOKUP(AT54,ETANCHEITE!BJ$19:BJ$164,ETANCHEITE!$B$19:$B$164),"")&amp;IFERROR(_xlfn.XLOOKUP(AT54,ETANCHEITE!BJ$19:BJ$164,ETANCHEITE!$C$19:$C$164),"")&amp;IFERROR(_xlfn.XLOOKUP(AT54,ETANCHEITE!BJ$19:BJ$164,ETANCHEITE!$D$19:$D$164),"")&amp;IFERROR(_xlfn.XLOOKUP(AT54,ETANCHEITE!BJ$19:BJ$164,ETANCHEITE!$E$19:$E$164),"")&amp;IFERROR(_xlfn.XLOOKUP(AT54,ETANCHEITE!BJ$19:BJ$164,ETANCHEITE!$F$19:$F$164),"")</f>
        <v xml:space="preserve">   </v>
      </c>
      <c r="AY54" s="168" t="str">
        <f>IFERROR(VLOOKUP(AT54,ETANCHEITE!BJ$19:BL$164,2,FALSE),"")&amp;" "&amp;IFERROR(VLOOKUP(AT54,ETANCHEITE!BJ$19:BL$164,3,FALSE),"")</f>
        <v xml:space="preserve"> </v>
      </c>
      <c r="AZ54" s="161" t="str">
        <f>IF(AY54&lt;&gt;" ",'Feuille de Donnée'!$C$3,"")</f>
        <v/>
      </c>
      <c r="BA54" s="232" t="str" cm="1">
        <f t="array" aca="1" ref="BA54" ca="1">IFERROR(IF(_xlfn.XLOOKUP(AT54,ETANCHEITE!BJ$19:BJ$89,ETANCHEITE!BH$19:BH$89,"")&lt;&gt;"",_xlfn.XLOOKUP(AT54,ETANCHEITE!BJ$19:BJ$89,ETANCHEITE!BH$19:BH$89,""),    INDEX(ETANCHEITE!BH:BH,MAX(_xlfn._xlws.FILTER(ROW(ETANCHEITE!BH$19:INDIRECT("'PEINTURE'!O" &amp; AW54-1)),ETANCHEITE!BH$19:INDIRECT("'PEINTURE'!O" &amp; AW54-1)&lt;&gt;"")))),"")</f>
        <v/>
      </c>
      <c r="BB54" s="233" t="str" cm="1">
        <f t="array" aca="1" ref="BB54" ca="1">IFERROR(IF(_xlfn.XLOOKUP(AT54,ETANCHEITE!BJ$19:BJ$89,ETANCHEITE!BI$19:BI$89,"")&lt;&gt;"",_xlfn.XLOOKUP(AT54,ETANCHEITE!BJ$19:BJ$89,ETANCHEITE!BI$19:BI$89,""),    INDEX(ETANCHEITE!BI:BI,MAX(_xlfn._xlws.FILTER(ROW(ETANCHEITE!BI$19:INDIRECT("'PEINTURE'!P" &amp; AW54-1)),ETANCHEITE!BI$19:INDIRECT("'PEINTURE'!P" &amp; AW54-1)&lt;&gt;"")))),"")</f>
        <v/>
      </c>
    </row>
    <row r="55" spans="1:54" x14ac:dyDescent="0.3">
      <c r="A55" s="158">
        <v>53</v>
      </c>
      <c r="B55" s="167" t="str">
        <f>IF(F55&lt;&gt;" ",ETANCHEITE!$D$5,"")</f>
        <v/>
      </c>
      <c r="C55" s="167" t="str">
        <f>IF(F55&lt;&gt;" ",ETANCHEITE!$D$8,"")</f>
        <v/>
      </c>
      <c r="D55" s="159" t="str">
        <f>IFERROR(MATCH(A55,ETANCHEITE!Q$19:Q$164,0)+18,"")</f>
        <v/>
      </c>
      <c r="E55" s="160" t="str" cm="1">
        <f t="array" aca="1" ref="E55" ca="1">IFERROR(IF(_xlfn.XLOOKUP(A55,ETANCHEITE!Q$19:Q$164,ETANCHEITE!$A$19:$A$164,"")&lt;&gt;"",_xlfn.XLOOKUP(A55,ETANCHEITE!Q$19:Q$164,ETANCHEITE!$A$19:$A$164,""),    INDEX(ETANCHEITE!$A:$A,MAX(_xlfn._xlws.FILTER(ROW(ETANCHEITE!$A$19:INDIRECT("'MENUISERIES EXTERIEURES'!$A" &amp; D55-1)),ETANCHEITE!$A$19:INDIRECT("'MENUISERIES EXTERIEURES'!$A" &amp; D55-1)&lt;&gt;"")))),"")&amp;"   "&amp;IFERROR(_xlfn.XLOOKUP(A55,ETANCHEITE!Q$19:Q$164,ETANCHEITE!$B$19:$B$164),"")&amp;IFERROR(_xlfn.XLOOKUP(A55,ETANCHEITE!Q$19:Q$164,ETANCHEITE!$C$19:$C$164),"")&amp;IFERROR(_xlfn.XLOOKUP(A55,ETANCHEITE!Q$19:Q$164,ETANCHEITE!$D$19:$D$164),"")&amp;IFERROR(_xlfn.XLOOKUP(A55,ETANCHEITE!Q$19:Q$164,ETANCHEITE!$E$19:$E$164),"")&amp;IFERROR(_xlfn.XLOOKUP(A55,ETANCHEITE!Q$19:Q$164,ETANCHEITE!$F$19:$F$164),"")</f>
        <v xml:space="preserve">   </v>
      </c>
      <c r="F55" s="168" t="str">
        <f>IFERROR(VLOOKUP(A55,ETANCHEITE!Q$19:S$164,2,FALSE),"")&amp;" "&amp;IFERROR(VLOOKUP(A55,ETANCHEITE!Q$19:S$164,3,FALSE),"")</f>
        <v xml:space="preserve"> </v>
      </c>
      <c r="G55" s="161" t="str">
        <f>IF(F55&lt;&gt;" ",'Feuille de Donnée'!$C$3,"")</f>
        <v/>
      </c>
      <c r="H55" s="232" t="str" cm="1">
        <f t="array" aca="1" ref="H55" ca="1">IFERROR(IF(_xlfn.XLOOKUP(A55,ETANCHEITE!Q$19:Q$89,ETANCHEITE!O$19:O$89,"")&lt;&gt;"",_xlfn.XLOOKUP(A55,ETANCHEITE!Q$19:Q$89,ETANCHEITE!O$19:O$89,""),    INDEX(ETANCHEITE!O:O,MAX(_xlfn._xlws.FILTER(ROW(ETANCHEITE!O$19:INDIRECT("'PEINTURE'!O" &amp; D55-1)),ETANCHEITE!O$19:INDIRECT("'PEINTURE'!O" &amp; D55-1)&lt;&gt;"")))),"")</f>
        <v/>
      </c>
      <c r="I55" s="233" t="str" cm="1">
        <f t="array" aca="1" ref="I55" ca="1">IFERROR(IF(_xlfn.XLOOKUP(A55,ETANCHEITE!Q$19:Q$89,ETANCHEITE!P$19:P$89,"")&lt;&gt;"",_xlfn.XLOOKUP(A55,ETANCHEITE!Q$19:Q$89,ETANCHEITE!P$19:P$89,""),    INDEX(ETANCHEITE!P:P,MAX(_xlfn._xlws.FILTER(ROW(ETANCHEITE!P$19:INDIRECT("'PEINTURE'!P" &amp; D55-1)),ETANCHEITE!P$19:INDIRECT("'PEINTURE'!P" &amp; D55-1)&lt;&gt;"")))),"")</f>
        <v/>
      </c>
      <c r="J55" s="158">
        <v>53</v>
      </c>
      <c r="K55" s="167" t="str">
        <f>IF(O55&lt;&gt;" ",ETANCHEITE!$D$5,"")</f>
        <v/>
      </c>
      <c r="L55" s="167" t="str">
        <f>IF(O55&lt;&gt;" ",ETANCHEITE!$D$8,"")</f>
        <v/>
      </c>
      <c r="M55" s="159" t="str">
        <f>IFERROR(MATCH(J55,ETANCHEITE!Z$19:Z$164,0)+18,"")</f>
        <v/>
      </c>
      <c r="N55" s="160" t="str" cm="1">
        <f t="array" aca="1" ref="N55" ca="1">IFERROR(IF(_xlfn.XLOOKUP(J55,ETANCHEITE!Z$19:Z$164,ETANCHEITE!$A$19:$A$164,"")&lt;&gt;"",_xlfn.XLOOKUP(J55,ETANCHEITE!Z$19:Z$164,ETANCHEITE!$A$19:$A$164,""),    INDEX(ETANCHEITE!$A:$A,MAX(_xlfn._xlws.FILTER(ROW(ETANCHEITE!$A$19:INDIRECT("'MENUISERIES EXTERIEURES'!$A" &amp; M55-1)),ETANCHEITE!$A$19:INDIRECT("'MENUISERIES EXTERIEURES'!$A" &amp; M55-1)&lt;&gt;"")))),"")&amp;"   "&amp;IFERROR(_xlfn.XLOOKUP(J55,ETANCHEITE!Z$19:Z$164,ETANCHEITE!$B$19:$B$164),"")&amp;IFERROR(_xlfn.XLOOKUP(J55,ETANCHEITE!Z$19:Z$164,ETANCHEITE!$C$19:$C$164),"")&amp;IFERROR(_xlfn.XLOOKUP(J55,ETANCHEITE!Z$19:Z$164,ETANCHEITE!$D$19:$D$164),"")&amp;IFERROR(_xlfn.XLOOKUP(J55,ETANCHEITE!Z$19:Z$164,ETANCHEITE!$E$19:$E$164),"")&amp;IFERROR(_xlfn.XLOOKUP(J55,ETANCHEITE!Z$19:Z$164,ETANCHEITE!$F$19:$F$164),"")</f>
        <v xml:space="preserve">   </v>
      </c>
      <c r="O55" s="168" t="str">
        <f>IFERROR(VLOOKUP(J55,ETANCHEITE!Z$19:AB$164,2,FALSE),"")&amp;" "&amp;IFERROR(VLOOKUP(J55,ETANCHEITE!Z$19:AB$164,3,FALSE),"")</f>
        <v xml:space="preserve"> </v>
      </c>
      <c r="P55" s="161" t="str">
        <f>IF(O55&lt;&gt;" ",'Feuille de Donnée'!$C$3,"")</f>
        <v/>
      </c>
      <c r="Q55" s="232" t="str" cm="1">
        <f t="array" aca="1" ref="Q55" ca="1">IFERROR(IF(_xlfn.XLOOKUP(J55,ETANCHEITE!Z$19:Z$89,ETANCHEITE!X$19:X$89,"")&lt;&gt;"",_xlfn.XLOOKUP(J55,ETANCHEITE!Z$19:Z$89,ETANCHEITE!X$19:X$89,""),    INDEX(ETANCHEITE!X:X,MAX(_xlfn._xlws.FILTER(ROW(ETANCHEITE!X$19:INDIRECT("'PEINTURE'!O" &amp; M55-1)),ETANCHEITE!X$19:INDIRECT("'PEINTURE'!O" &amp; M55-1)&lt;&gt;"")))),"")</f>
        <v/>
      </c>
      <c r="R55" s="233" t="str" cm="1">
        <f t="array" aca="1" ref="R55" ca="1">IFERROR(IF(_xlfn.XLOOKUP(J55,ETANCHEITE!Z$19:Z$89,ETANCHEITE!Y$19:Y$89,"")&lt;&gt;"",_xlfn.XLOOKUP(J55,ETANCHEITE!Z$19:Z$89,ETANCHEITE!Y$19:Y$89,""),    INDEX(ETANCHEITE!Y:Y,MAX(_xlfn._xlws.FILTER(ROW(ETANCHEITE!Y$19:INDIRECT("'PEINTURE'!P" &amp; M55-1)),ETANCHEITE!Y$19:INDIRECT("'PEINTURE'!P" &amp; M55-1)&lt;&gt;"")))),"")</f>
        <v/>
      </c>
      <c r="S55" s="158">
        <v>53</v>
      </c>
      <c r="T55" s="167" t="str">
        <f>IF(X55&lt;&gt;" ",ETANCHEITE!$D$5,"")</f>
        <v/>
      </c>
      <c r="U55" s="167" t="str">
        <f>IF(X55&lt;&gt;" ",ETANCHEITE!$D$8,"")</f>
        <v/>
      </c>
      <c r="V55" s="159" t="str">
        <f>IFERROR(MATCH(S55,ETANCHEITE!AI$19:AI$164,0)+18,"")</f>
        <v/>
      </c>
      <c r="W55" s="160" t="str" cm="1">
        <f t="array" aca="1" ref="W55" ca="1">IFERROR(IF(_xlfn.XLOOKUP(S55,ETANCHEITE!AI$19:AI$164,ETANCHEITE!$A$19:$A$164,"")&lt;&gt;"",_xlfn.XLOOKUP(S55,ETANCHEITE!AI$19:AI$164,ETANCHEITE!$A$19:$A$164,""),    INDEX(ETANCHEITE!$A:$A,MAX(_xlfn._xlws.FILTER(ROW(ETANCHEITE!$A$19:INDIRECT("'MENUISERIES EXTERIEURES'!$A" &amp; V55-1)),ETANCHEITE!$A$19:INDIRECT("'MENUISERIES EXTERIEURES'!$A" &amp; V55-1)&lt;&gt;"")))),"")&amp;"   "&amp;IFERROR(_xlfn.XLOOKUP(S55,ETANCHEITE!AI$19:AI$164,ETANCHEITE!$B$19:$B$164),"")&amp;IFERROR(_xlfn.XLOOKUP(S55,ETANCHEITE!AI$19:AI$164,ETANCHEITE!$C$19:$C$164),"")&amp;IFERROR(_xlfn.XLOOKUP(S55,ETANCHEITE!AI$19:AI$164,ETANCHEITE!$D$19:$D$164),"")&amp;IFERROR(_xlfn.XLOOKUP(S55,ETANCHEITE!AI$19:AI$164,ETANCHEITE!$E$19:$E$164),"")&amp;IFERROR(_xlfn.XLOOKUP(S55,ETANCHEITE!AI$19:AI$164,ETANCHEITE!$F$19:$F$164),"")</f>
        <v xml:space="preserve">   </v>
      </c>
      <c r="X55" s="168" t="str">
        <f>IFERROR(VLOOKUP(S55,ETANCHEITE!AI$19:AK$164,2,FALSE),"")&amp;" "&amp;IFERROR(VLOOKUP(S55,ETANCHEITE!AI$19:AK$164,3,FALSE),"")</f>
        <v xml:space="preserve"> </v>
      </c>
      <c r="Y55" s="161" t="str">
        <f>IF(X55&lt;&gt;" ",'Feuille de Donnée'!$C$3,"")</f>
        <v/>
      </c>
      <c r="Z55" s="232" t="str" cm="1">
        <f t="array" aca="1" ref="Z55" ca="1">IFERROR(IF(_xlfn.XLOOKUP(S55,ETANCHEITE!AI$19:AI$89,ETANCHEITE!AG$19:AG$89,"")&lt;&gt;"",_xlfn.XLOOKUP(S55,ETANCHEITE!AI$19:AI$89,ETANCHEITE!AG$19:AG$89,""),    INDEX(ETANCHEITE!AG:AG,MAX(_xlfn._xlws.FILTER(ROW(ETANCHEITE!AG$19:INDIRECT("'PEINTURE'!O" &amp; V55-1)),ETANCHEITE!AG$19:INDIRECT("'PEINTURE'!O" &amp; V55-1)&lt;&gt;"")))),"")</f>
        <v/>
      </c>
      <c r="AA55" s="233" t="str" cm="1">
        <f t="array" aca="1" ref="AA55" ca="1">IFERROR(IF(_xlfn.XLOOKUP(S55,ETANCHEITE!AI$19:AI$89,ETANCHEITE!AH$19:AH$89,"")&lt;&gt;"",_xlfn.XLOOKUP(S55,ETANCHEITE!AI$19:AI$89,ETANCHEITE!AH$19:AH$89,""),    INDEX(ETANCHEITE!AH:AH,MAX(_xlfn._xlws.FILTER(ROW(ETANCHEITE!AH$19:INDIRECT("'PEINTURE'!P" &amp; V55-1)),ETANCHEITE!AH$19:INDIRECT("'PEINTURE'!P" &amp; V55-1)&lt;&gt;"")))),"")</f>
        <v/>
      </c>
      <c r="AB55" s="158">
        <v>53</v>
      </c>
      <c r="AC55" s="167" t="str">
        <f>IF(AG55&lt;&gt;" ",ETANCHEITE!$D$5,"")</f>
        <v/>
      </c>
      <c r="AD55" s="167" t="str">
        <f>IF(AG55&lt;&gt;" ",ETANCHEITE!$D$8,"")</f>
        <v/>
      </c>
      <c r="AE55" s="159" t="str">
        <f>IFERROR(MATCH(AB55,ETANCHEITE!AR$19:AR$164,0)+18,"")</f>
        <v/>
      </c>
      <c r="AF55" s="160" t="str" cm="1">
        <f t="array" aca="1" ref="AF55" ca="1">IFERROR(IF(_xlfn.XLOOKUP(AB55,ETANCHEITE!AR$19:AR$164,ETANCHEITE!$A$19:$A$164,"")&lt;&gt;"",_xlfn.XLOOKUP(AB55,ETANCHEITE!AR$19:AR$164,ETANCHEITE!$A$19:$A$164,""),    INDEX(ETANCHEITE!$A:$A,MAX(_xlfn._xlws.FILTER(ROW(ETANCHEITE!$A$19:INDIRECT("'MENUISERIES EXTERIEURES'!$A" &amp; AE55-1)),ETANCHEITE!$A$19:INDIRECT("'MENUISERIES EXTERIEURES'!$A" &amp; AE55-1)&lt;&gt;"")))),"")&amp;"   "&amp;IFERROR(_xlfn.XLOOKUP(AB55,ETANCHEITE!AR$19:AR$164,ETANCHEITE!$B$19:$B$164),"")&amp;IFERROR(_xlfn.XLOOKUP(AB55,ETANCHEITE!AR$19:AR$164,ETANCHEITE!$C$19:$C$164),"")&amp;IFERROR(_xlfn.XLOOKUP(AB55,ETANCHEITE!AR$19:AR$164,ETANCHEITE!$D$19:$D$164),"")&amp;IFERROR(_xlfn.XLOOKUP(AB55,ETANCHEITE!AR$19:AR$164,ETANCHEITE!$E$19:$E$164),"")&amp;IFERROR(_xlfn.XLOOKUP(AB55,ETANCHEITE!AR$19:AR$164,ETANCHEITE!$F$19:$F$164),"")</f>
        <v xml:space="preserve">   </v>
      </c>
      <c r="AG55" s="168" t="str">
        <f>IFERROR(VLOOKUP(AB55,ETANCHEITE!AR$19:AT$164,2,FALSE),"")&amp;" "&amp;IFERROR(VLOOKUP(AB55,ETANCHEITE!AR$19:AT$164,3,FALSE),"")</f>
        <v xml:space="preserve"> </v>
      </c>
      <c r="AH55" s="161" t="str">
        <f>IF(AG55&lt;&gt;" ",'Feuille de Donnée'!$C$3,"")</f>
        <v/>
      </c>
      <c r="AI55" s="232" t="str" cm="1">
        <f t="array" aca="1" ref="AI55" ca="1">IFERROR(IF(_xlfn.XLOOKUP(AB55,ETANCHEITE!AR$19:AR$89,ETANCHEITE!AP$19:AP$89,"")&lt;&gt;"",_xlfn.XLOOKUP(AB55,ETANCHEITE!AR$19:AR$89,ETANCHEITE!AP$19:AP$89,""),    INDEX(ETANCHEITE!AP:AP,MAX(_xlfn._xlws.FILTER(ROW(ETANCHEITE!AP$19:INDIRECT("'PEINTURE'!O" &amp; AE55-1)),ETANCHEITE!AP$19:INDIRECT("'PEINTURE'!O" &amp; AE55-1)&lt;&gt;"")))),"")</f>
        <v/>
      </c>
      <c r="AJ55" s="233" t="str" cm="1">
        <f t="array" aca="1" ref="AJ55" ca="1">IFERROR(IF(_xlfn.XLOOKUP(AB55,ETANCHEITE!AR$19:AR$89,ETANCHEITE!AQ$19:AQ$89,"")&lt;&gt;"",_xlfn.XLOOKUP(AB55,ETANCHEITE!AR$19:AR$89,ETANCHEITE!AQ$19:AQ$89,""),    INDEX(ETANCHEITE!AQ:AQ,MAX(_xlfn._xlws.FILTER(ROW(ETANCHEITE!AQ$19:INDIRECT("'PEINTURE'!P" &amp; AE55-1)),ETANCHEITE!AQ$19:INDIRECT("'PEINTURE'!P" &amp; AE55-1)&lt;&gt;"")))),"")</f>
        <v/>
      </c>
      <c r="AK55" s="158">
        <v>53</v>
      </c>
      <c r="AL55" s="167" t="str">
        <f>IF(AP55&lt;&gt;" ",ETANCHEITE!$D$5,"")</f>
        <v/>
      </c>
      <c r="AM55" s="167" t="str">
        <f>IF(AP55&lt;&gt;" ",ETANCHEITE!$D$8,"")</f>
        <v/>
      </c>
      <c r="AN55" s="159" t="str">
        <f>IFERROR(MATCH(AK55,ETANCHEITE!BA$19:BA$164,0)+18,"")</f>
        <v/>
      </c>
      <c r="AO55" s="160" t="str" cm="1">
        <f t="array" aca="1" ref="AO55" ca="1">IFERROR(IF(_xlfn.XLOOKUP(AK55,ETANCHEITE!BA$19:BA$164,ETANCHEITE!$A$19:$A$164,"")&lt;&gt;"",_xlfn.XLOOKUP(AK55,ETANCHEITE!BA$19:BA$164,ETANCHEITE!$A$19:$A$164,""),    INDEX(ETANCHEITE!$A:$A,MAX(_xlfn._xlws.FILTER(ROW(ETANCHEITE!$A$19:INDIRECT("'MENUISERIES EXTERIEURES'!$A" &amp; AN55-1)),ETANCHEITE!$A$19:INDIRECT("'MENUISERIES EXTERIEURES'!$A" &amp; AN55-1)&lt;&gt;"")))),"")&amp;"   "&amp;IFERROR(_xlfn.XLOOKUP(AK55,ETANCHEITE!BA$19:BA$164,ETANCHEITE!$B$19:$B$164),"")&amp;IFERROR(_xlfn.XLOOKUP(AK55,ETANCHEITE!BA$19:BA$164,ETANCHEITE!$C$19:$C$164),"")&amp;IFERROR(_xlfn.XLOOKUP(AK55,ETANCHEITE!BA$19:BA$164,ETANCHEITE!$D$19:$D$164),"")&amp;IFERROR(_xlfn.XLOOKUP(AK55,ETANCHEITE!BA$19:BA$164,ETANCHEITE!$E$19:$E$164),"")&amp;IFERROR(_xlfn.XLOOKUP(AK55,ETANCHEITE!BA$19:BA$164,ETANCHEITE!$F$19:$F$164),"")</f>
        <v xml:space="preserve">   </v>
      </c>
      <c r="AP55" s="168" t="str">
        <f>IFERROR(VLOOKUP(AK55,ETANCHEITE!BA$19:BC$164,2,FALSE),"")&amp;" "&amp;IFERROR(VLOOKUP(AK55,ETANCHEITE!BA$19:BC$164,3,FALSE),"")</f>
        <v xml:space="preserve"> </v>
      </c>
      <c r="AQ55" s="161" t="str">
        <f>IF(AP55&lt;&gt;" ",'Feuille de Donnée'!$C$3,"")</f>
        <v/>
      </c>
      <c r="AR55" s="232" t="str" cm="1">
        <f t="array" aca="1" ref="AR55" ca="1">IFERROR(IF(_xlfn.XLOOKUP(AK55,ETANCHEITE!BA$19:BA$89,ETANCHEITE!AY$19:AY$89,"")&lt;&gt;"",_xlfn.XLOOKUP(AK55,ETANCHEITE!BA$19:BA$89,ETANCHEITE!AY$19:AY$89,""),    INDEX(ETANCHEITE!AY:AY,MAX(_xlfn._xlws.FILTER(ROW(ETANCHEITE!AY$19:INDIRECT("'PEINTURE'!O" &amp; AN55-1)),ETANCHEITE!AY$19:INDIRECT("'PEINTURE'!O" &amp; AN55-1)&lt;&gt;"")))),"")</f>
        <v/>
      </c>
      <c r="AS55" s="233" t="str" cm="1">
        <f t="array" aca="1" ref="AS55" ca="1">IFERROR(IF(_xlfn.XLOOKUP(AK55,ETANCHEITE!BA$19:BA$89,ETANCHEITE!AZ$19:AZ$89,"")&lt;&gt;"",_xlfn.XLOOKUP(AK55,ETANCHEITE!BA$19:BA$89,ETANCHEITE!AZ$19:AZ$89,""),    INDEX(ETANCHEITE!AZ:AZ,MAX(_xlfn._xlws.FILTER(ROW(ETANCHEITE!AZ$19:INDIRECT("'PEINTURE'!P" &amp; AN55-1)),ETANCHEITE!AZ$19:INDIRECT("'PEINTURE'!P" &amp; AN55-1)&lt;&gt;"")))),"")</f>
        <v/>
      </c>
      <c r="AT55" s="158">
        <v>53</v>
      </c>
      <c r="AU55" s="167" t="str">
        <f>IF(AY55&lt;&gt;" ",ETANCHEITE!$D$5,"")</f>
        <v/>
      </c>
      <c r="AV55" s="167" t="str">
        <f>IF(AY55&lt;&gt;" ",ETANCHEITE!$D$8,"")</f>
        <v/>
      </c>
      <c r="AW55" s="159" t="str">
        <f>IFERROR(MATCH(AT55,ETANCHEITE!BJ$19:BJ$164,0)+18,"")</f>
        <v/>
      </c>
      <c r="AX55" s="160" t="str" cm="1">
        <f t="array" aca="1" ref="AX55" ca="1">IFERROR(IF(_xlfn.XLOOKUP(AT55,ETANCHEITE!BJ$19:BJ$164,ETANCHEITE!$A$19:$A$164,"")&lt;&gt;"",_xlfn.XLOOKUP(AT55,ETANCHEITE!BJ$19:BJ$164,ETANCHEITE!$A$19:$A$164,""),    INDEX(ETANCHEITE!$A:$A,MAX(_xlfn._xlws.FILTER(ROW(ETANCHEITE!$A$19:INDIRECT("'MENUISERIES EXTERIEURES'!$A" &amp; AW55-1)),ETANCHEITE!$A$19:INDIRECT("'MENUISERIES EXTERIEURES'!$A" &amp; AW55-1)&lt;&gt;"")))),"")&amp;"   "&amp;IFERROR(_xlfn.XLOOKUP(AT55,ETANCHEITE!BJ$19:BJ$164,ETANCHEITE!$B$19:$B$164),"")&amp;IFERROR(_xlfn.XLOOKUP(AT55,ETANCHEITE!BJ$19:BJ$164,ETANCHEITE!$C$19:$C$164),"")&amp;IFERROR(_xlfn.XLOOKUP(AT55,ETANCHEITE!BJ$19:BJ$164,ETANCHEITE!$D$19:$D$164),"")&amp;IFERROR(_xlfn.XLOOKUP(AT55,ETANCHEITE!BJ$19:BJ$164,ETANCHEITE!$E$19:$E$164),"")&amp;IFERROR(_xlfn.XLOOKUP(AT55,ETANCHEITE!BJ$19:BJ$164,ETANCHEITE!$F$19:$F$164),"")</f>
        <v xml:space="preserve">   </v>
      </c>
      <c r="AY55" s="168" t="str">
        <f>IFERROR(VLOOKUP(AT55,ETANCHEITE!BJ$19:BL$164,2,FALSE),"")&amp;" "&amp;IFERROR(VLOOKUP(AT55,ETANCHEITE!BJ$19:BL$164,3,FALSE),"")</f>
        <v xml:space="preserve"> </v>
      </c>
      <c r="AZ55" s="161" t="str">
        <f>IF(AY55&lt;&gt;" ",'Feuille de Donnée'!$C$3,"")</f>
        <v/>
      </c>
      <c r="BA55" s="232" t="str" cm="1">
        <f t="array" aca="1" ref="BA55" ca="1">IFERROR(IF(_xlfn.XLOOKUP(AT55,ETANCHEITE!BJ$19:BJ$89,ETANCHEITE!BH$19:BH$89,"")&lt;&gt;"",_xlfn.XLOOKUP(AT55,ETANCHEITE!BJ$19:BJ$89,ETANCHEITE!BH$19:BH$89,""),    INDEX(ETANCHEITE!BH:BH,MAX(_xlfn._xlws.FILTER(ROW(ETANCHEITE!BH$19:INDIRECT("'PEINTURE'!O" &amp; AW55-1)),ETANCHEITE!BH$19:INDIRECT("'PEINTURE'!O" &amp; AW55-1)&lt;&gt;"")))),"")</f>
        <v/>
      </c>
      <c r="BB55" s="233" t="str" cm="1">
        <f t="array" aca="1" ref="BB55" ca="1">IFERROR(IF(_xlfn.XLOOKUP(AT55,ETANCHEITE!BJ$19:BJ$89,ETANCHEITE!BI$19:BI$89,"")&lt;&gt;"",_xlfn.XLOOKUP(AT55,ETANCHEITE!BJ$19:BJ$89,ETANCHEITE!BI$19:BI$89,""),    INDEX(ETANCHEITE!BI:BI,MAX(_xlfn._xlws.FILTER(ROW(ETANCHEITE!BI$19:INDIRECT("'PEINTURE'!P" &amp; AW55-1)),ETANCHEITE!BI$19:INDIRECT("'PEINTURE'!P" &amp; AW55-1)&lt;&gt;"")))),"")</f>
        <v/>
      </c>
    </row>
    <row r="56" spans="1:54" x14ac:dyDescent="0.3">
      <c r="A56" s="158">
        <v>54</v>
      </c>
      <c r="B56" s="167" t="str">
        <f>IF(F56&lt;&gt;" ",ETANCHEITE!$D$5,"")</f>
        <v/>
      </c>
      <c r="C56" s="167" t="str">
        <f>IF(F56&lt;&gt;" ",ETANCHEITE!$D$8,"")</f>
        <v/>
      </c>
      <c r="D56" s="159" t="str">
        <f>IFERROR(MATCH(A56,ETANCHEITE!Q$19:Q$164,0)+18,"")</f>
        <v/>
      </c>
      <c r="E56" s="160" t="str" cm="1">
        <f t="array" aca="1" ref="E56" ca="1">IFERROR(IF(_xlfn.XLOOKUP(A56,ETANCHEITE!Q$19:Q$164,ETANCHEITE!$A$19:$A$164,"")&lt;&gt;"",_xlfn.XLOOKUP(A56,ETANCHEITE!Q$19:Q$164,ETANCHEITE!$A$19:$A$164,""),    INDEX(ETANCHEITE!$A:$A,MAX(_xlfn._xlws.FILTER(ROW(ETANCHEITE!$A$19:INDIRECT("'MENUISERIES EXTERIEURES'!$A" &amp; D56-1)),ETANCHEITE!$A$19:INDIRECT("'MENUISERIES EXTERIEURES'!$A" &amp; D56-1)&lt;&gt;"")))),"")&amp;"   "&amp;IFERROR(_xlfn.XLOOKUP(A56,ETANCHEITE!Q$19:Q$164,ETANCHEITE!$B$19:$B$164),"")&amp;IFERROR(_xlfn.XLOOKUP(A56,ETANCHEITE!Q$19:Q$164,ETANCHEITE!$C$19:$C$164),"")&amp;IFERROR(_xlfn.XLOOKUP(A56,ETANCHEITE!Q$19:Q$164,ETANCHEITE!$D$19:$D$164),"")&amp;IFERROR(_xlfn.XLOOKUP(A56,ETANCHEITE!Q$19:Q$164,ETANCHEITE!$E$19:$E$164),"")&amp;IFERROR(_xlfn.XLOOKUP(A56,ETANCHEITE!Q$19:Q$164,ETANCHEITE!$F$19:$F$164),"")</f>
        <v xml:space="preserve">   </v>
      </c>
      <c r="F56" s="168" t="str">
        <f>IFERROR(VLOOKUP(A56,ETANCHEITE!Q$19:S$164,2,FALSE),"")&amp;" "&amp;IFERROR(VLOOKUP(A56,ETANCHEITE!Q$19:S$164,3,FALSE),"")</f>
        <v xml:space="preserve"> </v>
      </c>
      <c r="G56" s="161" t="str">
        <f>IF(F56&lt;&gt;" ",'Feuille de Donnée'!$C$3,"")</f>
        <v/>
      </c>
      <c r="H56" s="232" t="str" cm="1">
        <f t="array" aca="1" ref="H56" ca="1">IFERROR(IF(_xlfn.XLOOKUP(A56,ETANCHEITE!Q$19:Q$89,ETANCHEITE!O$19:O$89,"")&lt;&gt;"",_xlfn.XLOOKUP(A56,ETANCHEITE!Q$19:Q$89,ETANCHEITE!O$19:O$89,""),    INDEX(ETANCHEITE!O:O,MAX(_xlfn._xlws.FILTER(ROW(ETANCHEITE!O$19:INDIRECT("'PEINTURE'!O" &amp; D56-1)),ETANCHEITE!O$19:INDIRECT("'PEINTURE'!O" &amp; D56-1)&lt;&gt;"")))),"")</f>
        <v/>
      </c>
      <c r="I56" s="233" t="str" cm="1">
        <f t="array" aca="1" ref="I56" ca="1">IFERROR(IF(_xlfn.XLOOKUP(A56,ETANCHEITE!Q$19:Q$89,ETANCHEITE!P$19:P$89,"")&lt;&gt;"",_xlfn.XLOOKUP(A56,ETANCHEITE!Q$19:Q$89,ETANCHEITE!P$19:P$89,""),    INDEX(ETANCHEITE!P:P,MAX(_xlfn._xlws.FILTER(ROW(ETANCHEITE!P$19:INDIRECT("'PEINTURE'!P" &amp; D56-1)),ETANCHEITE!P$19:INDIRECT("'PEINTURE'!P" &amp; D56-1)&lt;&gt;"")))),"")</f>
        <v/>
      </c>
      <c r="J56" s="158">
        <v>54</v>
      </c>
      <c r="K56" s="167" t="str">
        <f>IF(O56&lt;&gt;" ",ETANCHEITE!$D$5,"")</f>
        <v/>
      </c>
      <c r="L56" s="167" t="str">
        <f>IF(O56&lt;&gt;" ",ETANCHEITE!$D$8,"")</f>
        <v/>
      </c>
      <c r="M56" s="159" t="str">
        <f>IFERROR(MATCH(J56,ETANCHEITE!Z$19:Z$164,0)+18,"")</f>
        <v/>
      </c>
      <c r="N56" s="160" t="str" cm="1">
        <f t="array" aca="1" ref="N56" ca="1">IFERROR(IF(_xlfn.XLOOKUP(J56,ETANCHEITE!Z$19:Z$164,ETANCHEITE!$A$19:$A$164,"")&lt;&gt;"",_xlfn.XLOOKUP(J56,ETANCHEITE!Z$19:Z$164,ETANCHEITE!$A$19:$A$164,""),    INDEX(ETANCHEITE!$A:$A,MAX(_xlfn._xlws.FILTER(ROW(ETANCHEITE!$A$19:INDIRECT("'MENUISERIES EXTERIEURES'!$A" &amp; M56-1)),ETANCHEITE!$A$19:INDIRECT("'MENUISERIES EXTERIEURES'!$A" &amp; M56-1)&lt;&gt;"")))),"")&amp;"   "&amp;IFERROR(_xlfn.XLOOKUP(J56,ETANCHEITE!Z$19:Z$164,ETANCHEITE!$B$19:$B$164),"")&amp;IFERROR(_xlfn.XLOOKUP(J56,ETANCHEITE!Z$19:Z$164,ETANCHEITE!$C$19:$C$164),"")&amp;IFERROR(_xlfn.XLOOKUP(J56,ETANCHEITE!Z$19:Z$164,ETANCHEITE!$D$19:$D$164),"")&amp;IFERROR(_xlfn.XLOOKUP(J56,ETANCHEITE!Z$19:Z$164,ETANCHEITE!$E$19:$E$164),"")&amp;IFERROR(_xlfn.XLOOKUP(J56,ETANCHEITE!Z$19:Z$164,ETANCHEITE!$F$19:$F$164),"")</f>
        <v xml:space="preserve">   </v>
      </c>
      <c r="O56" s="168" t="str">
        <f>IFERROR(VLOOKUP(J56,ETANCHEITE!Z$19:AB$164,2,FALSE),"")&amp;" "&amp;IFERROR(VLOOKUP(J56,ETANCHEITE!Z$19:AB$164,3,FALSE),"")</f>
        <v xml:space="preserve"> </v>
      </c>
      <c r="P56" s="161" t="str">
        <f>IF(O56&lt;&gt;" ",'Feuille de Donnée'!$C$3,"")</f>
        <v/>
      </c>
      <c r="Q56" s="232" t="str" cm="1">
        <f t="array" aca="1" ref="Q56" ca="1">IFERROR(IF(_xlfn.XLOOKUP(J56,ETANCHEITE!Z$19:Z$89,ETANCHEITE!X$19:X$89,"")&lt;&gt;"",_xlfn.XLOOKUP(J56,ETANCHEITE!Z$19:Z$89,ETANCHEITE!X$19:X$89,""),    INDEX(ETANCHEITE!X:X,MAX(_xlfn._xlws.FILTER(ROW(ETANCHEITE!X$19:INDIRECT("'PEINTURE'!O" &amp; M56-1)),ETANCHEITE!X$19:INDIRECT("'PEINTURE'!O" &amp; M56-1)&lt;&gt;"")))),"")</f>
        <v/>
      </c>
      <c r="R56" s="233" t="str" cm="1">
        <f t="array" aca="1" ref="R56" ca="1">IFERROR(IF(_xlfn.XLOOKUP(J56,ETANCHEITE!Z$19:Z$89,ETANCHEITE!Y$19:Y$89,"")&lt;&gt;"",_xlfn.XLOOKUP(J56,ETANCHEITE!Z$19:Z$89,ETANCHEITE!Y$19:Y$89,""),    INDEX(ETANCHEITE!Y:Y,MAX(_xlfn._xlws.FILTER(ROW(ETANCHEITE!Y$19:INDIRECT("'PEINTURE'!P" &amp; M56-1)),ETANCHEITE!Y$19:INDIRECT("'PEINTURE'!P" &amp; M56-1)&lt;&gt;"")))),"")</f>
        <v/>
      </c>
      <c r="S56" s="158">
        <v>54</v>
      </c>
      <c r="T56" s="167" t="str">
        <f>IF(X56&lt;&gt;" ",ETANCHEITE!$D$5,"")</f>
        <v/>
      </c>
      <c r="U56" s="167" t="str">
        <f>IF(X56&lt;&gt;" ",ETANCHEITE!$D$8,"")</f>
        <v/>
      </c>
      <c r="V56" s="159" t="str">
        <f>IFERROR(MATCH(S56,ETANCHEITE!AI$19:AI$164,0)+18,"")</f>
        <v/>
      </c>
      <c r="W56" s="160" t="str" cm="1">
        <f t="array" aca="1" ref="W56" ca="1">IFERROR(IF(_xlfn.XLOOKUP(S56,ETANCHEITE!AI$19:AI$164,ETANCHEITE!$A$19:$A$164,"")&lt;&gt;"",_xlfn.XLOOKUP(S56,ETANCHEITE!AI$19:AI$164,ETANCHEITE!$A$19:$A$164,""),    INDEX(ETANCHEITE!$A:$A,MAX(_xlfn._xlws.FILTER(ROW(ETANCHEITE!$A$19:INDIRECT("'MENUISERIES EXTERIEURES'!$A" &amp; V56-1)),ETANCHEITE!$A$19:INDIRECT("'MENUISERIES EXTERIEURES'!$A" &amp; V56-1)&lt;&gt;"")))),"")&amp;"   "&amp;IFERROR(_xlfn.XLOOKUP(S56,ETANCHEITE!AI$19:AI$164,ETANCHEITE!$B$19:$B$164),"")&amp;IFERROR(_xlfn.XLOOKUP(S56,ETANCHEITE!AI$19:AI$164,ETANCHEITE!$C$19:$C$164),"")&amp;IFERROR(_xlfn.XLOOKUP(S56,ETANCHEITE!AI$19:AI$164,ETANCHEITE!$D$19:$D$164),"")&amp;IFERROR(_xlfn.XLOOKUP(S56,ETANCHEITE!AI$19:AI$164,ETANCHEITE!$E$19:$E$164),"")&amp;IFERROR(_xlfn.XLOOKUP(S56,ETANCHEITE!AI$19:AI$164,ETANCHEITE!$F$19:$F$164),"")</f>
        <v xml:space="preserve">   </v>
      </c>
      <c r="X56" s="168" t="str">
        <f>IFERROR(VLOOKUP(S56,ETANCHEITE!AI$19:AK$164,2,FALSE),"")&amp;" "&amp;IFERROR(VLOOKUP(S56,ETANCHEITE!AI$19:AK$164,3,FALSE),"")</f>
        <v xml:space="preserve"> </v>
      </c>
      <c r="Y56" s="161" t="str">
        <f>IF(X56&lt;&gt;" ",'Feuille de Donnée'!$C$3,"")</f>
        <v/>
      </c>
      <c r="Z56" s="232" t="str" cm="1">
        <f t="array" aca="1" ref="Z56" ca="1">IFERROR(IF(_xlfn.XLOOKUP(S56,ETANCHEITE!AI$19:AI$89,ETANCHEITE!AG$19:AG$89,"")&lt;&gt;"",_xlfn.XLOOKUP(S56,ETANCHEITE!AI$19:AI$89,ETANCHEITE!AG$19:AG$89,""),    INDEX(ETANCHEITE!AG:AG,MAX(_xlfn._xlws.FILTER(ROW(ETANCHEITE!AG$19:INDIRECT("'PEINTURE'!O" &amp; V56-1)),ETANCHEITE!AG$19:INDIRECT("'PEINTURE'!O" &amp; V56-1)&lt;&gt;"")))),"")</f>
        <v/>
      </c>
      <c r="AA56" s="233" t="str" cm="1">
        <f t="array" aca="1" ref="AA56" ca="1">IFERROR(IF(_xlfn.XLOOKUP(S56,ETANCHEITE!AI$19:AI$89,ETANCHEITE!AH$19:AH$89,"")&lt;&gt;"",_xlfn.XLOOKUP(S56,ETANCHEITE!AI$19:AI$89,ETANCHEITE!AH$19:AH$89,""),    INDEX(ETANCHEITE!AH:AH,MAX(_xlfn._xlws.FILTER(ROW(ETANCHEITE!AH$19:INDIRECT("'PEINTURE'!P" &amp; V56-1)),ETANCHEITE!AH$19:INDIRECT("'PEINTURE'!P" &amp; V56-1)&lt;&gt;"")))),"")</f>
        <v/>
      </c>
      <c r="AB56" s="158">
        <v>54</v>
      </c>
      <c r="AC56" s="167" t="str">
        <f>IF(AG56&lt;&gt;" ",ETANCHEITE!$D$5,"")</f>
        <v/>
      </c>
      <c r="AD56" s="167" t="str">
        <f>IF(AG56&lt;&gt;" ",ETANCHEITE!$D$8,"")</f>
        <v/>
      </c>
      <c r="AE56" s="159" t="str">
        <f>IFERROR(MATCH(AB56,ETANCHEITE!AR$19:AR$164,0)+18,"")</f>
        <v/>
      </c>
      <c r="AF56" s="160" t="str" cm="1">
        <f t="array" aca="1" ref="AF56" ca="1">IFERROR(IF(_xlfn.XLOOKUP(AB56,ETANCHEITE!AR$19:AR$164,ETANCHEITE!$A$19:$A$164,"")&lt;&gt;"",_xlfn.XLOOKUP(AB56,ETANCHEITE!AR$19:AR$164,ETANCHEITE!$A$19:$A$164,""),    INDEX(ETANCHEITE!$A:$A,MAX(_xlfn._xlws.FILTER(ROW(ETANCHEITE!$A$19:INDIRECT("'MENUISERIES EXTERIEURES'!$A" &amp; AE56-1)),ETANCHEITE!$A$19:INDIRECT("'MENUISERIES EXTERIEURES'!$A" &amp; AE56-1)&lt;&gt;"")))),"")&amp;"   "&amp;IFERROR(_xlfn.XLOOKUP(AB56,ETANCHEITE!AR$19:AR$164,ETANCHEITE!$B$19:$B$164),"")&amp;IFERROR(_xlfn.XLOOKUP(AB56,ETANCHEITE!AR$19:AR$164,ETANCHEITE!$C$19:$C$164),"")&amp;IFERROR(_xlfn.XLOOKUP(AB56,ETANCHEITE!AR$19:AR$164,ETANCHEITE!$D$19:$D$164),"")&amp;IFERROR(_xlfn.XLOOKUP(AB56,ETANCHEITE!AR$19:AR$164,ETANCHEITE!$E$19:$E$164),"")&amp;IFERROR(_xlfn.XLOOKUP(AB56,ETANCHEITE!AR$19:AR$164,ETANCHEITE!$F$19:$F$164),"")</f>
        <v xml:space="preserve">   </v>
      </c>
      <c r="AG56" s="168" t="str">
        <f>IFERROR(VLOOKUP(AB56,ETANCHEITE!AR$19:AT$164,2,FALSE),"")&amp;" "&amp;IFERROR(VLOOKUP(AB56,ETANCHEITE!AR$19:AT$164,3,FALSE),"")</f>
        <v xml:space="preserve"> </v>
      </c>
      <c r="AH56" s="161" t="str">
        <f>IF(AG56&lt;&gt;" ",'Feuille de Donnée'!$C$3,"")</f>
        <v/>
      </c>
      <c r="AI56" s="232" t="str" cm="1">
        <f t="array" aca="1" ref="AI56" ca="1">IFERROR(IF(_xlfn.XLOOKUP(AB56,ETANCHEITE!AR$19:AR$89,ETANCHEITE!AP$19:AP$89,"")&lt;&gt;"",_xlfn.XLOOKUP(AB56,ETANCHEITE!AR$19:AR$89,ETANCHEITE!AP$19:AP$89,""),    INDEX(ETANCHEITE!AP:AP,MAX(_xlfn._xlws.FILTER(ROW(ETANCHEITE!AP$19:INDIRECT("'PEINTURE'!O" &amp; AE56-1)),ETANCHEITE!AP$19:INDIRECT("'PEINTURE'!O" &amp; AE56-1)&lt;&gt;"")))),"")</f>
        <v/>
      </c>
      <c r="AJ56" s="233" t="str" cm="1">
        <f t="array" aca="1" ref="AJ56" ca="1">IFERROR(IF(_xlfn.XLOOKUP(AB56,ETANCHEITE!AR$19:AR$89,ETANCHEITE!AQ$19:AQ$89,"")&lt;&gt;"",_xlfn.XLOOKUP(AB56,ETANCHEITE!AR$19:AR$89,ETANCHEITE!AQ$19:AQ$89,""),    INDEX(ETANCHEITE!AQ:AQ,MAX(_xlfn._xlws.FILTER(ROW(ETANCHEITE!AQ$19:INDIRECT("'PEINTURE'!P" &amp; AE56-1)),ETANCHEITE!AQ$19:INDIRECT("'PEINTURE'!P" &amp; AE56-1)&lt;&gt;"")))),"")</f>
        <v/>
      </c>
      <c r="AK56" s="158">
        <v>54</v>
      </c>
      <c r="AL56" s="167" t="str">
        <f>IF(AP56&lt;&gt;" ",ETANCHEITE!$D$5,"")</f>
        <v/>
      </c>
      <c r="AM56" s="167" t="str">
        <f>IF(AP56&lt;&gt;" ",ETANCHEITE!$D$8,"")</f>
        <v/>
      </c>
      <c r="AN56" s="159" t="str">
        <f>IFERROR(MATCH(AK56,ETANCHEITE!BA$19:BA$164,0)+18,"")</f>
        <v/>
      </c>
      <c r="AO56" s="160" t="str" cm="1">
        <f t="array" aca="1" ref="AO56" ca="1">IFERROR(IF(_xlfn.XLOOKUP(AK56,ETANCHEITE!BA$19:BA$164,ETANCHEITE!$A$19:$A$164,"")&lt;&gt;"",_xlfn.XLOOKUP(AK56,ETANCHEITE!BA$19:BA$164,ETANCHEITE!$A$19:$A$164,""),    INDEX(ETANCHEITE!$A:$A,MAX(_xlfn._xlws.FILTER(ROW(ETANCHEITE!$A$19:INDIRECT("'MENUISERIES EXTERIEURES'!$A" &amp; AN56-1)),ETANCHEITE!$A$19:INDIRECT("'MENUISERIES EXTERIEURES'!$A" &amp; AN56-1)&lt;&gt;"")))),"")&amp;"   "&amp;IFERROR(_xlfn.XLOOKUP(AK56,ETANCHEITE!BA$19:BA$164,ETANCHEITE!$B$19:$B$164),"")&amp;IFERROR(_xlfn.XLOOKUP(AK56,ETANCHEITE!BA$19:BA$164,ETANCHEITE!$C$19:$C$164),"")&amp;IFERROR(_xlfn.XLOOKUP(AK56,ETANCHEITE!BA$19:BA$164,ETANCHEITE!$D$19:$D$164),"")&amp;IFERROR(_xlfn.XLOOKUP(AK56,ETANCHEITE!BA$19:BA$164,ETANCHEITE!$E$19:$E$164),"")&amp;IFERROR(_xlfn.XLOOKUP(AK56,ETANCHEITE!BA$19:BA$164,ETANCHEITE!$F$19:$F$164),"")</f>
        <v xml:space="preserve">   </v>
      </c>
      <c r="AP56" s="168" t="str">
        <f>IFERROR(VLOOKUP(AK56,ETANCHEITE!BA$19:BC$164,2,FALSE),"")&amp;" "&amp;IFERROR(VLOOKUP(AK56,ETANCHEITE!BA$19:BC$164,3,FALSE),"")</f>
        <v xml:space="preserve"> </v>
      </c>
      <c r="AQ56" s="161" t="str">
        <f>IF(AP56&lt;&gt;" ",'Feuille de Donnée'!$C$3,"")</f>
        <v/>
      </c>
      <c r="AR56" s="232" t="str" cm="1">
        <f t="array" aca="1" ref="AR56" ca="1">IFERROR(IF(_xlfn.XLOOKUP(AK56,ETANCHEITE!BA$19:BA$89,ETANCHEITE!AY$19:AY$89,"")&lt;&gt;"",_xlfn.XLOOKUP(AK56,ETANCHEITE!BA$19:BA$89,ETANCHEITE!AY$19:AY$89,""),    INDEX(ETANCHEITE!AY:AY,MAX(_xlfn._xlws.FILTER(ROW(ETANCHEITE!AY$19:INDIRECT("'PEINTURE'!O" &amp; AN56-1)),ETANCHEITE!AY$19:INDIRECT("'PEINTURE'!O" &amp; AN56-1)&lt;&gt;"")))),"")</f>
        <v/>
      </c>
      <c r="AS56" s="233" t="str" cm="1">
        <f t="array" aca="1" ref="AS56" ca="1">IFERROR(IF(_xlfn.XLOOKUP(AK56,ETANCHEITE!BA$19:BA$89,ETANCHEITE!AZ$19:AZ$89,"")&lt;&gt;"",_xlfn.XLOOKUP(AK56,ETANCHEITE!BA$19:BA$89,ETANCHEITE!AZ$19:AZ$89,""),    INDEX(ETANCHEITE!AZ:AZ,MAX(_xlfn._xlws.FILTER(ROW(ETANCHEITE!AZ$19:INDIRECT("'PEINTURE'!P" &amp; AN56-1)),ETANCHEITE!AZ$19:INDIRECT("'PEINTURE'!P" &amp; AN56-1)&lt;&gt;"")))),"")</f>
        <v/>
      </c>
      <c r="AT56" s="158">
        <v>54</v>
      </c>
      <c r="AU56" s="167" t="str">
        <f>IF(AY56&lt;&gt;" ",ETANCHEITE!$D$5,"")</f>
        <v/>
      </c>
      <c r="AV56" s="167" t="str">
        <f>IF(AY56&lt;&gt;" ",ETANCHEITE!$D$8,"")</f>
        <v/>
      </c>
      <c r="AW56" s="159" t="str">
        <f>IFERROR(MATCH(AT56,ETANCHEITE!BJ$19:BJ$164,0)+18,"")</f>
        <v/>
      </c>
      <c r="AX56" s="160" t="str" cm="1">
        <f t="array" aca="1" ref="AX56" ca="1">IFERROR(IF(_xlfn.XLOOKUP(AT56,ETANCHEITE!BJ$19:BJ$164,ETANCHEITE!$A$19:$A$164,"")&lt;&gt;"",_xlfn.XLOOKUP(AT56,ETANCHEITE!BJ$19:BJ$164,ETANCHEITE!$A$19:$A$164,""),    INDEX(ETANCHEITE!$A:$A,MAX(_xlfn._xlws.FILTER(ROW(ETANCHEITE!$A$19:INDIRECT("'MENUISERIES EXTERIEURES'!$A" &amp; AW56-1)),ETANCHEITE!$A$19:INDIRECT("'MENUISERIES EXTERIEURES'!$A" &amp; AW56-1)&lt;&gt;"")))),"")&amp;"   "&amp;IFERROR(_xlfn.XLOOKUP(AT56,ETANCHEITE!BJ$19:BJ$164,ETANCHEITE!$B$19:$B$164),"")&amp;IFERROR(_xlfn.XLOOKUP(AT56,ETANCHEITE!BJ$19:BJ$164,ETANCHEITE!$C$19:$C$164),"")&amp;IFERROR(_xlfn.XLOOKUP(AT56,ETANCHEITE!BJ$19:BJ$164,ETANCHEITE!$D$19:$D$164),"")&amp;IFERROR(_xlfn.XLOOKUP(AT56,ETANCHEITE!BJ$19:BJ$164,ETANCHEITE!$E$19:$E$164),"")&amp;IFERROR(_xlfn.XLOOKUP(AT56,ETANCHEITE!BJ$19:BJ$164,ETANCHEITE!$F$19:$F$164),"")</f>
        <v xml:space="preserve">   </v>
      </c>
      <c r="AY56" s="168" t="str">
        <f>IFERROR(VLOOKUP(AT56,ETANCHEITE!BJ$19:BL$164,2,FALSE),"")&amp;" "&amp;IFERROR(VLOOKUP(AT56,ETANCHEITE!BJ$19:BL$164,3,FALSE),"")</f>
        <v xml:space="preserve"> </v>
      </c>
      <c r="AZ56" s="161" t="str">
        <f>IF(AY56&lt;&gt;" ",'Feuille de Donnée'!$C$3,"")</f>
        <v/>
      </c>
      <c r="BA56" s="232" t="str" cm="1">
        <f t="array" aca="1" ref="BA56" ca="1">IFERROR(IF(_xlfn.XLOOKUP(AT56,ETANCHEITE!BJ$19:BJ$89,ETANCHEITE!BH$19:BH$89,"")&lt;&gt;"",_xlfn.XLOOKUP(AT56,ETANCHEITE!BJ$19:BJ$89,ETANCHEITE!BH$19:BH$89,""),    INDEX(ETANCHEITE!BH:BH,MAX(_xlfn._xlws.FILTER(ROW(ETANCHEITE!BH$19:INDIRECT("'PEINTURE'!O" &amp; AW56-1)),ETANCHEITE!BH$19:INDIRECT("'PEINTURE'!O" &amp; AW56-1)&lt;&gt;"")))),"")</f>
        <v/>
      </c>
      <c r="BB56" s="233" t="str" cm="1">
        <f t="array" aca="1" ref="BB56" ca="1">IFERROR(IF(_xlfn.XLOOKUP(AT56,ETANCHEITE!BJ$19:BJ$89,ETANCHEITE!BI$19:BI$89,"")&lt;&gt;"",_xlfn.XLOOKUP(AT56,ETANCHEITE!BJ$19:BJ$89,ETANCHEITE!BI$19:BI$89,""),    INDEX(ETANCHEITE!BI:BI,MAX(_xlfn._xlws.FILTER(ROW(ETANCHEITE!BI$19:INDIRECT("'PEINTURE'!P" &amp; AW56-1)),ETANCHEITE!BI$19:INDIRECT("'PEINTURE'!P" &amp; AW56-1)&lt;&gt;"")))),"")</f>
        <v/>
      </c>
    </row>
    <row r="57" spans="1:54" x14ac:dyDescent="0.3">
      <c r="A57" s="158">
        <v>55</v>
      </c>
      <c r="B57" s="167" t="str">
        <f>IF(F57&lt;&gt;" ",ETANCHEITE!$D$5,"")</f>
        <v/>
      </c>
      <c r="C57" s="167" t="str">
        <f>IF(F57&lt;&gt;" ",ETANCHEITE!$D$8,"")</f>
        <v/>
      </c>
      <c r="D57" s="159" t="str">
        <f>IFERROR(MATCH(A57,ETANCHEITE!Q$19:Q$164,0)+18,"")</f>
        <v/>
      </c>
      <c r="E57" s="160" t="str" cm="1">
        <f t="array" aca="1" ref="E57" ca="1">IFERROR(IF(_xlfn.XLOOKUP(A57,ETANCHEITE!Q$19:Q$164,ETANCHEITE!$A$19:$A$164,"")&lt;&gt;"",_xlfn.XLOOKUP(A57,ETANCHEITE!Q$19:Q$164,ETANCHEITE!$A$19:$A$164,""),    INDEX(ETANCHEITE!$A:$A,MAX(_xlfn._xlws.FILTER(ROW(ETANCHEITE!$A$19:INDIRECT("'MENUISERIES EXTERIEURES'!$A" &amp; D57-1)),ETANCHEITE!$A$19:INDIRECT("'MENUISERIES EXTERIEURES'!$A" &amp; D57-1)&lt;&gt;"")))),"")&amp;"   "&amp;IFERROR(_xlfn.XLOOKUP(A57,ETANCHEITE!Q$19:Q$164,ETANCHEITE!$B$19:$B$164),"")&amp;IFERROR(_xlfn.XLOOKUP(A57,ETANCHEITE!Q$19:Q$164,ETANCHEITE!$C$19:$C$164),"")&amp;IFERROR(_xlfn.XLOOKUP(A57,ETANCHEITE!Q$19:Q$164,ETANCHEITE!$D$19:$D$164),"")&amp;IFERROR(_xlfn.XLOOKUP(A57,ETANCHEITE!Q$19:Q$164,ETANCHEITE!$E$19:$E$164),"")&amp;IFERROR(_xlfn.XLOOKUP(A57,ETANCHEITE!Q$19:Q$164,ETANCHEITE!$F$19:$F$164),"")</f>
        <v xml:space="preserve">   </v>
      </c>
      <c r="F57" s="168" t="str">
        <f>IFERROR(VLOOKUP(A57,ETANCHEITE!Q$19:S$164,2,FALSE),"")&amp;" "&amp;IFERROR(VLOOKUP(A57,ETANCHEITE!Q$19:S$164,3,FALSE),"")</f>
        <v xml:space="preserve"> </v>
      </c>
      <c r="G57" s="161" t="str">
        <f>IF(F57&lt;&gt;" ",'Feuille de Donnée'!$C$3,"")</f>
        <v/>
      </c>
      <c r="H57" s="232" t="str" cm="1">
        <f t="array" aca="1" ref="H57" ca="1">IFERROR(IF(_xlfn.XLOOKUP(A57,ETANCHEITE!Q$19:Q$89,ETANCHEITE!O$19:O$89,"")&lt;&gt;"",_xlfn.XLOOKUP(A57,ETANCHEITE!Q$19:Q$89,ETANCHEITE!O$19:O$89,""),    INDEX(ETANCHEITE!O:O,MAX(_xlfn._xlws.FILTER(ROW(ETANCHEITE!O$19:INDIRECT("'PEINTURE'!O" &amp; D57-1)),ETANCHEITE!O$19:INDIRECT("'PEINTURE'!O" &amp; D57-1)&lt;&gt;"")))),"")</f>
        <v/>
      </c>
      <c r="I57" s="233" t="str" cm="1">
        <f t="array" aca="1" ref="I57" ca="1">IFERROR(IF(_xlfn.XLOOKUP(A57,ETANCHEITE!Q$19:Q$89,ETANCHEITE!P$19:P$89,"")&lt;&gt;"",_xlfn.XLOOKUP(A57,ETANCHEITE!Q$19:Q$89,ETANCHEITE!P$19:P$89,""),    INDEX(ETANCHEITE!P:P,MAX(_xlfn._xlws.FILTER(ROW(ETANCHEITE!P$19:INDIRECT("'PEINTURE'!P" &amp; D57-1)),ETANCHEITE!P$19:INDIRECT("'PEINTURE'!P" &amp; D57-1)&lt;&gt;"")))),"")</f>
        <v/>
      </c>
      <c r="J57" s="158">
        <v>55</v>
      </c>
      <c r="K57" s="167" t="str">
        <f>IF(O57&lt;&gt;" ",ETANCHEITE!$D$5,"")</f>
        <v/>
      </c>
      <c r="L57" s="167" t="str">
        <f>IF(O57&lt;&gt;" ",ETANCHEITE!$D$8,"")</f>
        <v/>
      </c>
      <c r="M57" s="159" t="str">
        <f>IFERROR(MATCH(J57,ETANCHEITE!Z$19:Z$164,0)+18,"")</f>
        <v/>
      </c>
      <c r="N57" s="160" t="str" cm="1">
        <f t="array" aca="1" ref="N57" ca="1">IFERROR(IF(_xlfn.XLOOKUP(J57,ETANCHEITE!Z$19:Z$164,ETANCHEITE!$A$19:$A$164,"")&lt;&gt;"",_xlfn.XLOOKUP(J57,ETANCHEITE!Z$19:Z$164,ETANCHEITE!$A$19:$A$164,""),    INDEX(ETANCHEITE!$A:$A,MAX(_xlfn._xlws.FILTER(ROW(ETANCHEITE!$A$19:INDIRECT("'MENUISERIES EXTERIEURES'!$A" &amp; M57-1)),ETANCHEITE!$A$19:INDIRECT("'MENUISERIES EXTERIEURES'!$A" &amp; M57-1)&lt;&gt;"")))),"")&amp;"   "&amp;IFERROR(_xlfn.XLOOKUP(J57,ETANCHEITE!Z$19:Z$164,ETANCHEITE!$B$19:$B$164),"")&amp;IFERROR(_xlfn.XLOOKUP(J57,ETANCHEITE!Z$19:Z$164,ETANCHEITE!$C$19:$C$164),"")&amp;IFERROR(_xlfn.XLOOKUP(J57,ETANCHEITE!Z$19:Z$164,ETANCHEITE!$D$19:$D$164),"")&amp;IFERROR(_xlfn.XLOOKUP(J57,ETANCHEITE!Z$19:Z$164,ETANCHEITE!$E$19:$E$164),"")&amp;IFERROR(_xlfn.XLOOKUP(J57,ETANCHEITE!Z$19:Z$164,ETANCHEITE!$F$19:$F$164),"")</f>
        <v xml:space="preserve">   </v>
      </c>
      <c r="O57" s="168" t="str">
        <f>IFERROR(VLOOKUP(J57,ETANCHEITE!Z$19:AB$164,2,FALSE),"")&amp;" "&amp;IFERROR(VLOOKUP(J57,ETANCHEITE!Z$19:AB$164,3,FALSE),"")</f>
        <v xml:space="preserve"> </v>
      </c>
      <c r="P57" s="161" t="str">
        <f>IF(O57&lt;&gt;" ",'Feuille de Donnée'!$C$3,"")</f>
        <v/>
      </c>
      <c r="Q57" s="232" t="str" cm="1">
        <f t="array" aca="1" ref="Q57" ca="1">IFERROR(IF(_xlfn.XLOOKUP(J57,ETANCHEITE!Z$19:Z$89,ETANCHEITE!X$19:X$89,"")&lt;&gt;"",_xlfn.XLOOKUP(J57,ETANCHEITE!Z$19:Z$89,ETANCHEITE!X$19:X$89,""),    INDEX(ETANCHEITE!X:X,MAX(_xlfn._xlws.FILTER(ROW(ETANCHEITE!X$19:INDIRECT("'PEINTURE'!O" &amp; M57-1)),ETANCHEITE!X$19:INDIRECT("'PEINTURE'!O" &amp; M57-1)&lt;&gt;"")))),"")</f>
        <v/>
      </c>
      <c r="R57" s="233" t="str" cm="1">
        <f t="array" aca="1" ref="R57" ca="1">IFERROR(IF(_xlfn.XLOOKUP(J57,ETANCHEITE!Z$19:Z$89,ETANCHEITE!Y$19:Y$89,"")&lt;&gt;"",_xlfn.XLOOKUP(J57,ETANCHEITE!Z$19:Z$89,ETANCHEITE!Y$19:Y$89,""),    INDEX(ETANCHEITE!Y:Y,MAX(_xlfn._xlws.FILTER(ROW(ETANCHEITE!Y$19:INDIRECT("'PEINTURE'!P" &amp; M57-1)),ETANCHEITE!Y$19:INDIRECT("'PEINTURE'!P" &amp; M57-1)&lt;&gt;"")))),"")</f>
        <v/>
      </c>
      <c r="S57" s="158">
        <v>55</v>
      </c>
      <c r="T57" s="167" t="str">
        <f>IF(X57&lt;&gt;" ",ETANCHEITE!$D$5,"")</f>
        <v/>
      </c>
      <c r="U57" s="167" t="str">
        <f>IF(X57&lt;&gt;" ",ETANCHEITE!$D$8,"")</f>
        <v/>
      </c>
      <c r="V57" s="159" t="str">
        <f>IFERROR(MATCH(S57,ETANCHEITE!AI$19:AI$164,0)+18,"")</f>
        <v/>
      </c>
      <c r="W57" s="160" t="str" cm="1">
        <f t="array" aca="1" ref="W57" ca="1">IFERROR(IF(_xlfn.XLOOKUP(S57,ETANCHEITE!AI$19:AI$164,ETANCHEITE!$A$19:$A$164,"")&lt;&gt;"",_xlfn.XLOOKUP(S57,ETANCHEITE!AI$19:AI$164,ETANCHEITE!$A$19:$A$164,""),    INDEX(ETANCHEITE!$A:$A,MAX(_xlfn._xlws.FILTER(ROW(ETANCHEITE!$A$19:INDIRECT("'MENUISERIES EXTERIEURES'!$A" &amp; V57-1)),ETANCHEITE!$A$19:INDIRECT("'MENUISERIES EXTERIEURES'!$A" &amp; V57-1)&lt;&gt;"")))),"")&amp;"   "&amp;IFERROR(_xlfn.XLOOKUP(S57,ETANCHEITE!AI$19:AI$164,ETANCHEITE!$B$19:$B$164),"")&amp;IFERROR(_xlfn.XLOOKUP(S57,ETANCHEITE!AI$19:AI$164,ETANCHEITE!$C$19:$C$164),"")&amp;IFERROR(_xlfn.XLOOKUP(S57,ETANCHEITE!AI$19:AI$164,ETANCHEITE!$D$19:$D$164),"")&amp;IFERROR(_xlfn.XLOOKUP(S57,ETANCHEITE!AI$19:AI$164,ETANCHEITE!$E$19:$E$164),"")&amp;IFERROR(_xlfn.XLOOKUP(S57,ETANCHEITE!AI$19:AI$164,ETANCHEITE!$F$19:$F$164),"")</f>
        <v xml:space="preserve">   </v>
      </c>
      <c r="X57" s="168" t="str">
        <f>IFERROR(VLOOKUP(S57,ETANCHEITE!AI$19:AK$164,2,FALSE),"")&amp;" "&amp;IFERROR(VLOOKUP(S57,ETANCHEITE!AI$19:AK$164,3,FALSE),"")</f>
        <v xml:space="preserve"> </v>
      </c>
      <c r="Y57" s="161" t="str">
        <f>IF(X57&lt;&gt;" ",'Feuille de Donnée'!$C$3,"")</f>
        <v/>
      </c>
      <c r="Z57" s="232" t="str" cm="1">
        <f t="array" aca="1" ref="Z57" ca="1">IFERROR(IF(_xlfn.XLOOKUP(S57,ETANCHEITE!AI$19:AI$89,ETANCHEITE!AG$19:AG$89,"")&lt;&gt;"",_xlfn.XLOOKUP(S57,ETANCHEITE!AI$19:AI$89,ETANCHEITE!AG$19:AG$89,""),    INDEX(ETANCHEITE!AG:AG,MAX(_xlfn._xlws.FILTER(ROW(ETANCHEITE!AG$19:INDIRECT("'PEINTURE'!O" &amp; V57-1)),ETANCHEITE!AG$19:INDIRECT("'PEINTURE'!O" &amp; V57-1)&lt;&gt;"")))),"")</f>
        <v/>
      </c>
      <c r="AA57" s="233" t="str" cm="1">
        <f t="array" aca="1" ref="AA57" ca="1">IFERROR(IF(_xlfn.XLOOKUP(S57,ETANCHEITE!AI$19:AI$89,ETANCHEITE!AH$19:AH$89,"")&lt;&gt;"",_xlfn.XLOOKUP(S57,ETANCHEITE!AI$19:AI$89,ETANCHEITE!AH$19:AH$89,""),    INDEX(ETANCHEITE!AH:AH,MAX(_xlfn._xlws.FILTER(ROW(ETANCHEITE!AH$19:INDIRECT("'PEINTURE'!P" &amp; V57-1)),ETANCHEITE!AH$19:INDIRECT("'PEINTURE'!P" &amp; V57-1)&lt;&gt;"")))),"")</f>
        <v/>
      </c>
      <c r="AB57" s="158">
        <v>55</v>
      </c>
      <c r="AC57" s="167" t="str">
        <f>IF(AG57&lt;&gt;" ",ETANCHEITE!$D$5,"")</f>
        <v/>
      </c>
      <c r="AD57" s="167" t="str">
        <f>IF(AG57&lt;&gt;" ",ETANCHEITE!$D$8,"")</f>
        <v/>
      </c>
      <c r="AE57" s="159" t="str">
        <f>IFERROR(MATCH(AB57,ETANCHEITE!AR$19:AR$164,0)+18,"")</f>
        <v/>
      </c>
      <c r="AF57" s="160" t="str" cm="1">
        <f t="array" aca="1" ref="AF57" ca="1">IFERROR(IF(_xlfn.XLOOKUP(AB57,ETANCHEITE!AR$19:AR$164,ETANCHEITE!$A$19:$A$164,"")&lt;&gt;"",_xlfn.XLOOKUP(AB57,ETANCHEITE!AR$19:AR$164,ETANCHEITE!$A$19:$A$164,""),    INDEX(ETANCHEITE!$A:$A,MAX(_xlfn._xlws.FILTER(ROW(ETANCHEITE!$A$19:INDIRECT("'MENUISERIES EXTERIEURES'!$A" &amp; AE57-1)),ETANCHEITE!$A$19:INDIRECT("'MENUISERIES EXTERIEURES'!$A" &amp; AE57-1)&lt;&gt;"")))),"")&amp;"   "&amp;IFERROR(_xlfn.XLOOKUP(AB57,ETANCHEITE!AR$19:AR$164,ETANCHEITE!$B$19:$B$164),"")&amp;IFERROR(_xlfn.XLOOKUP(AB57,ETANCHEITE!AR$19:AR$164,ETANCHEITE!$C$19:$C$164),"")&amp;IFERROR(_xlfn.XLOOKUP(AB57,ETANCHEITE!AR$19:AR$164,ETANCHEITE!$D$19:$D$164),"")&amp;IFERROR(_xlfn.XLOOKUP(AB57,ETANCHEITE!AR$19:AR$164,ETANCHEITE!$E$19:$E$164),"")&amp;IFERROR(_xlfn.XLOOKUP(AB57,ETANCHEITE!AR$19:AR$164,ETANCHEITE!$F$19:$F$164),"")</f>
        <v xml:space="preserve">   </v>
      </c>
      <c r="AG57" s="168" t="str">
        <f>IFERROR(VLOOKUP(AB57,ETANCHEITE!AR$19:AT$164,2,FALSE),"")&amp;" "&amp;IFERROR(VLOOKUP(AB57,ETANCHEITE!AR$19:AT$164,3,FALSE),"")</f>
        <v xml:space="preserve"> </v>
      </c>
      <c r="AH57" s="161" t="str">
        <f>IF(AG57&lt;&gt;" ",'Feuille de Donnée'!$C$3,"")</f>
        <v/>
      </c>
      <c r="AI57" s="232" t="str" cm="1">
        <f t="array" aca="1" ref="AI57" ca="1">IFERROR(IF(_xlfn.XLOOKUP(AB57,ETANCHEITE!AR$19:AR$89,ETANCHEITE!AP$19:AP$89,"")&lt;&gt;"",_xlfn.XLOOKUP(AB57,ETANCHEITE!AR$19:AR$89,ETANCHEITE!AP$19:AP$89,""),    INDEX(ETANCHEITE!AP:AP,MAX(_xlfn._xlws.FILTER(ROW(ETANCHEITE!AP$19:INDIRECT("'PEINTURE'!O" &amp; AE57-1)),ETANCHEITE!AP$19:INDIRECT("'PEINTURE'!O" &amp; AE57-1)&lt;&gt;"")))),"")</f>
        <v/>
      </c>
      <c r="AJ57" s="233" t="str" cm="1">
        <f t="array" aca="1" ref="AJ57" ca="1">IFERROR(IF(_xlfn.XLOOKUP(AB57,ETANCHEITE!AR$19:AR$89,ETANCHEITE!AQ$19:AQ$89,"")&lt;&gt;"",_xlfn.XLOOKUP(AB57,ETANCHEITE!AR$19:AR$89,ETANCHEITE!AQ$19:AQ$89,""),    INDEX(ETANCHEITE!AQ:AQ,MAX(_xlfn._xlws.FILTER(ROW(ETANCHEITE!AQ$19:INDIRECT("'PEINTURE'!P" &amp; AE57-1)),ETANCHEITE!AQ$19:INDIRECT("'PEINTURE'!P" &amp; AE57-1)&lt;&gt;"")))),"")</f>
        <v/>
      </c>
      <c r="AK57" s="158">
        <v>55</v>
      </c>
      <c r="AL57" s="167" t="str">
        <f>IF(AP57&lt;&gt;" ",ETANCHEITE!$D$5,"")</f>
        <v/>
      </c>
      <c r="AM57" s="167" t="str">
        <f>IF(AP57&lt;&gt;" ",ETANCHEITE!$D$8,"")</f>
        <v/>
      </c>
      <c r="AN57" s="159" t="str">
        <f>IFERROR(MATCH(AK57,ETANCHEITE!BA$19:BA$164,0)+18,"")</f>
        <v/>
      </c>
      <c r="AO57" s="160" t="str" cm="1">
        <f t="array" aca="1" ref="AO57" ca="1">IFERROR(IF(_xlfn.XLOOKUP(AK57,ETANCHEITE!BA$19:BA$164,ETANCHEITE!$A$19:$A$164,"")&lt;&gt;"",_xlfn.XLOOKUP(AK57,ETANCHEITE!BA$19:BA$164,ETANCHEITE!$A$19:$A$164,""),    INDEX(ETANCHEITE!$A:$A,MAX(_xlfn._xlws.FILTER(ROW(ETANCHEITE!$A$19:INDIRECT("'MENUISERIES EXTERIEURES'!$A" &amp; AN57-1)),ETANCHEITE!$A$19:INDIRECT("'MENUISERIES EXTERIEURES'!$A" &amp; AN57-1)&lt;&gt;"")))),"")&amp;"   "&amp;IFERROR(_xlfn.XLOOKUP(AK57,ETANCHEITE!BA$19:BA$164,ETANCHEITE!$B$19:$B$164),"")&amp;IFERROR(_xlfn.XLOOKUP(AK57,ETANCHEITE!BA$19:BA$164,ETANCHEITE!$C$19:$C$164),"")&amp;IFERROR(_xlfn.XLOOKUP(AK57,ETANCHEITE!BA$19:BA$164,ETANCHEITE!$D$19:$D$164),"")&amp;IFERROR(_xlfn.XLOOKUP(AK57,ETANCHEITE!BA$19:BA$164,ETANCHEITE!$E$19:$E$164),"")&amp;IFERROR(_xlfn.XLOOKUP(AK57,ETANCHEITE!BA$19:BA$164,ETANCHEITE!$F$19:$F$164),"")</f>
        <v xml:space="preserve">   </v>
      </c>
      <c r="AP57" s="168" t="str">
        <f>IFERROR(VLOOKUP(AK57,ETANCHEITE!BA$19:BC$164,2,FALSE),"")&amp;" "&amp;IFERROR(VLOOKUP(AK57,ETANCHEITE!BA$19:BC$164,3,FALSE),"")</f>
        <v xml:space="preserve"> </v>
      </c>
      <c r="AQ57" s="161" t="str">
        <f>IF(AP57&lt;&gt;" ",'Feuille de Donnée'!$C$3,"")</f>
        <v/>
      </c>
      <c r="AR57" s="232" t="str" cm="1">
        <f t="array" aca="1" ref="AR57" ca="1">IFERROR(IF(_xlfn.XLOOKUP(AK57,ETANCHEITE!BA$19:BA$89,ETANCHEITE!AY$19:AY$89,"")&lt;&gt;"",_xlfn.XLOOKUP(AK57,ETANCHEITE!BA$19:BA$89,ETANCHEITE!AY$19:AY$89,""),    INDEX(ETANCHEITE!AY:AY,MAX(_xlfn._xlws.FILTER(ROW(ETANCHEITE!AY$19:INDIRECT("'PEINTURE'!O" &amp; AN57-1)),ETANCHEITE!AY$19:INDIRECT("'PEINTURE'!O" &amp; AN57-1)&lt;&gt;"")))),"")</f>
        <v/>
      </c>
      <c r="AS57" s="233" t="str" cm="1">
        <f t="array" aca="1" ref="AS57" ca="1">IFERROR(IF(_xlfn.XLOOKUP(AK57,ETANCHEITE!BA$19:BA$89,ETANCHEITE!AZ$19:AZ$89,"")&lt;&gt;"",_xlfn.XLOOKUP(AK57,ETANCHEITE!BA$19:BA$89,ETANCHEITE!AZ$19:AZ$89,""),    INDEX(ETANCHEITE!AZ:AZ,MAX(_xlfn._xlws.FILTER(ROW(ETANCHEITE!AZ$19:INDIRECT("'PEINTURE'!P" &amp; AN57-1)),ETANCHEITE!AZ$19:INDIRECT("'PEINTURE'!P" &amp; AN57-1)&lt;&gt;"")))),"")</f>
        <v/>
      </c>
      <c r="AT57" s="158">
        <v>55</v>
      </c>
      <c r="AU57" s="167" t="str">
        <f>IF(AY57&lt;&gt;" ",ETANCHEITE!$D$5,"")</f>
        <v/>
      </c>
      <c r="AV57" s="167" t="str">
        <f>IF(AY57&lt;&gt;" ",ETANCHEITE!$D$8,"")</f>
        <v/>
      </c>
      <c r="AW57" s="159" t="str">
        <f>IFERROR(MATCH(AT57,ETANCHEITE!BJ$19:BJ$164,0)+18,"")</f>
        <v/>
      </c>
      <c r="AX57" s="160" t="str" cm="1">
        <f t="array" aca="1" ref="AX57" ca="1">IFERROR(IF(_xlfn.XLOOKUP(AT57,ETANCHEITE!BJ$19:BJ$164,ETANCHEITE!$A$19:$A$164,"")&lt;&gt;"",_xlfn.XLOOKUP(AT57,ETANCHEITE!BJ$19:BJ$164,ETANCHEITE!$A$19:$A$164,""),    INDEX(ETANCHEITE!$A:$A,MAX(_xlfn._xlws.FILTER(ROW(ETANCHEITE!$A$19:INDIRECT("'MENUISERIES EXTERIEURES'!$A" &amp; AW57-1)),ETANCHEITE!$A$19:INDIRECT("'MENUISERIES EXTERIEURES'!$A" &amp; AW57-1)&lt;&gt;"")))),"")&amp;"   "&amp;IFERROR(_xlfn.XLOOKUP(AT57,ETANCHEITE!BJ$19:BJ$164,ETANCHEITE!$B$19:$B$164),"")&amp;IFERROR(_xlfn.XLOOKUP(AT57,ETANCHEITE!BJ$19:BJ$164,ETANCHEITE!$C$19:$C$164),"")&amp;IFERROR(_xlfn.XLOOKUP(AT57,ETANCHEITE!BJ$19:BJ$164,ETANCHEITE!$D$19:$D$164),"")&amp;IFERROR(_xlfn.XLOOKUP(AT57,ETANCHEITE!BJ$19:BJ$164,ETANCHEITE!$E$19:$E$164),"")&amp;IFERROR(_xlfn.XLOOKUP(AT57,ETANCHEITE!BJ$19:BJ$164,ETANCHEITE!$F$19:$F$164),"")</f>
        <v xml:space="preserve">   </v>
      </c>
      <c r="AY57" s="168" t="str">
        <f>IFERROR(VLOOKUP(AT57,ETANCHEITE!BJ$19:BL$164,2,FALSE),"")&amp;" "&amp;IFERROR(VLOOKUP(AT57,ETANCHEITE!BJ$19:BL$164,3,FALSE),"")</f>
        <v xml:space="preserve"> </v>
      </c>
      <c r="AZ57" s="161" t="str">
        <f>IF(AY57&lt;&gt;" ",'Feuille de Donnée'!$C$3,"")</f>
        <v/>
      </c>
      <c r="BA57" s="232" t="str" cm="1">
        <f t="array" aca="1" ref="BA57" ca="1">IFERROR(IF(_xlfn.XLOOKUP(AT57,ETANCHEITE!BJ$19:BJ$89,ETANCHEITE!BH$19:BH$89,"")&lt;&gt;"",_xlfn.XLOOKUP(AT57,ETANCHEITE!BJ$19:BJ$89,ETANCHEITE!BH$19:BH$89,""),    INDEX(ETANCHEITE!BH:BH,MAX(_xlfn._xlws.FILTER(ROW(ETANCHEITE!BH$19:INDIRECT("'PEINTURE'!O" &amp; AW57-1)),ETANCHEITE!BH$19:INDIRECT("'PEINTURE'!O" &amp; AW57-1)&lt;&gt;"")))),"")</f>
        <v/>
      </c>
      <c r="BB57" s="233" t="str" cm="1">
        <f t="array" aca="1" ref="BB57" ca="1">IFERROR(IF(_xlfn.XLOOKUP(AT57,ETANCHEITE!BJ$19:BJ$89,ETANCHEITE!BI$19:BI$89,"")&lt;&gt;"",_xlfn.XLOOKUP(AT57,ETANCHEITE!BJ$19:BJ$89,ETANCHEITE!BI$19:BI$89,""),    INDEX(ETANCHEITE!BI:BI,MAX(_xlfn._xlws.FILTER(ROW(ETANCHEITE!BI$19:INDIRECT("'PEINTURE'!P" &amp; AW57-1)),ETANCHEITE!BI$19:INDIRECT("'PEINTURE'!P" &amp; AW57-1)&lt;&gt;"")))),"")</f>
        <v/>
      </c>
    </row>
    <row r="58" spans="1:54" x14ac:dyDescent="0.3">
      <c r="A58" s="158">
        <v>56</v>
      </c>
      <c r="B58" s="167" t="str">
        <f>IF(F58&lt;&gt;" ",ETANCHEITE!$D$5,"")</f>
        <v/>
      </c>
      <c r="C58" s="167" t="str">
        <f>IF(F58&lt;&gt;" ",ETANCHEITE!$D$8,"")</f>
        <v/>
      </c>
      <c r="D58" s="159" t="str">
        <f>IFERROR(MATCH(A58,ETANCHEITE!Q$19:Q$164,0)+18,"")</f>
        <v/>
      </c>
      <c r="E58" s="160" t="str" cm="1">
        <f t="array" aca="1" ref="E58" ca="1">IFERROR(IF(_xlfn.XLOOKUP(A58,ETANCHEITE!Q$19:Q$164,ETANCHEITE!$A$19:$A$164,"")&lt;&gt;"",_xlfn.XLOOKUP(A58,ETANCHEITE!Q$19:Q$164,ETANCHEITE!$A$19:$A$164,""),    INDEX(ETANCHEITE!$A:$A,MAX(_xlfn._xlws.FILTER(ROW(ETANCHEITE!$A$19:INDIRECT("'MENUISERIES EXTERIEURES'!$A" &amp; D58-1)),ETANCHEITE!$A$19:INDIRECT("'MENUISERIES EXTERIEURES'!$A" &amp; D58-1)&lt;&gt;"")))),"")&amp;"   "&amp;IFERROR(_xlfn.XLOOKUP(A58,ETANCHEITE!Q$19:Q$164,ETANCHEITE!$B$19:$B$164),"")&amp;IFERROR(_xlfn.XLOOKUP(A58,ETANCHEITE!Q$19:Q$164,ETANCHEITE!$C$19:$C$164),"")&amp;IFERROR(_xlfn.XLOOKUP(A58,ETANCHEITE!Q$19:Q$164,ETANCHEITE!$D$19:$D$164),"")&amp;IFERROR(_xlfn.XLOOKUP(A58,ETANCHEITE!Q$19:Q$164,ETANCHEITE!$E$19:$E$164),"")&amp;IFERROR(_xlfn.XLOOKUP(A58,ETANCHEITE!Q$19:Q$164,ETANCHEITE!$F$19:$F$164),"")</f>
        <v xml:space="preserve">   </v>
      </c>
      <c r="F58" s="168" t="str">
        <f>IFERROR(VLOOKUP(A58,ETANCHEITE!Q$19:S$164,2,FALSE),"")&amp;" "&amp;IFERROR(VLOOKUP(A58,ETANCHEITE!Q$19:S$164,3,FALSE),"")</f>
        <v xml:space="preserve"> </v>
      </c>
      <c r="G58" s="161" t="str">
        <f>IF(F58&lt;&gt;" ",'Feuille de Donnée'!$C$3,"")</f>
        <v/>
      </c>
      <c r="H58" s="232" t="str" cm="1">
        <f t="array" aca="1" ref="H58" ca="1">IFERROR(IF(_xlfn.XLOOKUP(A58,ETANCHEITE!Q$19:Q$89,ETANCHEITE!O$19:O$89,"")&lt;&gt;"",_xlfn.XLOOKUP(A58,ETANCHEITE!Q$19:Q$89,ETANCHEITE!O$19:O$89,""),    INDEX(ETANCHEITE!O:O,MAX(_xlfn._xlws.FILTER(ROW(ETANCHEITE!O$19:INDIRECT("'PEINTURE'!O" &amp; D58-1)),ETANCHEITE!O$19:INDIRECT("'PEINTURE'!O" &amp; D58-1)&lt;&gt;"")))),"")</f>
        <v/>
      </c>
      <c r="I58" s="233" t="str" cm="1">
        <f t="array" aca="1" ref="I58" ca="1">IFERROR(IF(_xlfn.XLOOKUP(A58,ETANCHEITE!Q$19:Q$89,ETANCHEITE!P$19:P$89,"")&lt;&gt;"",_xlfn.XLOOKUP(A58,ETANCHEITE!Q$19:Q$89,ETANCHEITE!P$19:P$89,""),    INDEX(ETANCHEITE!P:P,MAX(_xlfn._xlws.FILTER(ROW(ETANCHEITE!P$19:INDIRECT("'PEINTURE'!P" &amp; D58-1)),ETANCHEITE!P$19:INDIRECT("'PEINTURE'!P" &amp; D58-1)&lt;&gt;"")))),"")</f>
        <v/>
      </c>
      <c r="J58" s="158">
        <v>56</v>
      </c>
      <c r="K58" s="167" t="str">
        <f>IF(O58&lt;&gt;" ",ETANCHEITE!$D$5,"")</f>
        <v/>
      </c>
      <c r="L58" s="167" t="str">
        <f>IF(O58&lt;&gt;" ",ETANCHEITE!$D$8,"")</f>
        <v/>
      </c>
      <c r="M58" s="159" t="str">
        <f>IFERROR(MATCH(J58,ETANCHEITE!Z$19:Z$164,0)+18,"")</f>
        <v/>
      </c>
      <c r="N58" s="160" t="str" cm="1">
        <f t="array" aca="1" ref="N58" ca="1">IFERROR(IF(_xlfn.XLOOKUP(J58,ETANCHEITE!Z$19:Z$164,ETANCHEITE!$A$19:$A$164,"")&lt;&gt;"",_xlfn.XLOOKUP(J58,ETANCHEITE!Z$19:Z$164,ETANCHEITE!$A$19:$A$164,""),    INDEX(ETANCHEITE!$A:$A,MAX(_xlfn._xlws.FILTER(ROW(ETANCHEITE!$A$19:INDIRECT("'MENUISERIES EXTERIEURES'!$A" &amp; M58-1)),ETANCHEITE!$A$19:INDIRECT("'MENUISERIES EXTERIEURES'!$A" &amp; M58-1)&lt;&gt;"")))),"")&amp;"   "&amp;IFERROR(_xlfn.XLOOKUP(J58,ETANCHEITE!Z$19:Z$164,ETANCHEITE!$B$19:$B$164),"")&amp;IFERROR(_xlfn.XLOOKUP(J58,ETANCHEITE!Z$19:Z$164,ETANCHEITE!$C$19:$C$164),"")&amp;IFERROR(_xlfn.XLOOKUP(J58,ETANCHEITE!Z$19:Z$164,ETANCHEITE!$D$19:$D$164),"")&amp;IFERROR(_xlfn.XLOOKUP(J58,ETANCHEITE!Z$19:Z$164,ETANCHEITE!$E$19:$E$164),"")&amp;IFERROR(_xlfn.XLOOKUP(J58,ETANCHEITE!Z$19:Z$164,ETANCHEITE!$F$19:$F$164),"")</f>
        <v xml:space="preserve">   </v>
      </c>
      <c r="O58" s="168" t="str">
        <f>IFERROR(VLOOKUP(J58,ETANCHEITE!Z$19:AB$164,2,FALSE),"")&amp;" "&amp;IFERROR(VLOOKUP(J58,ETANCHEITE!Z$19:AB$164,3,FALSE),"")</f>
        <v xml:space="preserve"> </v>
      </c>
      <c r="P58" s="161" t="str">
        <f>IF(O58&lt;&gt;" ",'Feuille de Donnée'!$C$3,"")</f>
        <v/>
      </c>
      <c r="Q58" s="232" t="str" cm="1">
        <f t="array" aca="1" ref="Q58" ca="1">IFERROR(IF(_xlfn.XLOOKUP(J58,ETANCHEITE!Z$19:Z$89,ETANCHEITE!X$19:X$89,"")&lt;&gt;"",_xlfn.XLOOKUP(J58,ETANCHEITE!Z$19:Z$89,ETANCHEITE!X$19:X$89,""),    INDEX(ETANCHEITE!X:X,MAX(_xlfn._xlws.FILTER(ROW(ETANCHEITE!X$19:INDIRECT("'PEINTURE'!O" &amp; M58-1)),ETANCHEITE!X$19:INDIRECT("'PEINTURE'!O" &amp; M58-1)&lt;&gt;"")))),"")</f>
        <v/>
      </c>
      <c r="R58" s="233" t="str" cm="1">
        <f t="array" aca="1" ref="R58" ca="1">IFERROR(IF(_xlfn.XLOOKUP(J58,ETANCHEITE!Z$19:Z$89,ETANCHEITE!Y$19:Y$89,"")&lt;&gt;"",_xlfn.XLOOKUP(J58,ETANCHEITE!Z$19:Z$89,ETANCHEITE!Y$19:Y$89,""),    INDEX(ETANCHEITE!Y:Y,MAX(_xlfn._xlws.FILTER(ROW(ETANCHEITE!Y$19:INDIRECT("'PEINTURE'!P" &amp; M58-1)),ETANCHEITE!Y$19:INDIRECT("'PEINTURE'!P" &amp; M58-1)&lt;&gt;"")))),"")</f>
        <v/>
      </c>
      <c r="S58" s="158">
        <v>56</v>
      </c>
      <c r="T58" s="167" t="str">
        <f>IF(X58&lt;&gt;" ",ETANCHEITE!$D$5,"")</f>
        <v/>
      </c>
      <c r="U58" s="167" t="str">
        <f>IF(X58&lt;&gt;" ",ETANCHEITE!$D$8,"")</f>
        <v/>
      </c>
      <c r="V58" s="159" t="str">
        <f>IFERROR(MATCH(S58,ETANCHEITE!AI$19:AI$164,0)+18,"")</f>
        <v/>
      </c>
      <c r="W58" s="160" t="str" cm="1">
        <f t="array" aca="1" ref="W58" ca="1">IFERROR(IF(_xlfn.XLOOKUP(S58,ETANCHEITE!AI$19:AI$164,ETANCHEITE!$A$19:$A$164,"")&lt;&gt;"",_xlfn.XLOOKUP(S58,ETANCHEITE!AI$19:AI$164,ETANCHEITE!$A$19:$A$164,""),    INDEX(ETANCHEITE!$A:$A,MAX(_xlfn._xlws.FILTER(ROW(ETANCHEITE!$A$19:INDIRECT("'MENUISERIES EXTERIEURES'!$A" &amp; V58-1)),ETANCHEITE!$A$19:INDIRECT("'MENUISERIES EXTERIEURES'!$A" &amp; V58-1)&lt;&gt;"")))),"")&amp;"   "&amp;IFERROR(_xlfn.XLOOKUP(S58,ETANCHEITE!AI$19:AI$164,ETANCHEITE!$B$19:$B$164),"")&amp;IFERROR(_xlfn.XLOOKUP(S58,ETANCHEITE!AI$19:AI$164,ETANCHEITE!$C$19:$C$164),"")&amp;IFERROR(_xlfn.XLOOKUP(S58,ETANCHEITE!AI$19:AI$164,ETANCHEITE!$D$19:$D$164),"")&amp;IFERROR(_xlfn.XLOOKUP(S58,ETANCHEITE!AI$19:AI$164,ETANCHEITE!$E$19:$E$164),"")&amp;IFERROR(_xlfn.XLOOKUP(S58,ETANCHEITE!AI$19:AI$164,ETANCHEITE!$F$19:$F$164),"")</f>
        <v xml:space="preserve">   </v>
      </c>
      <c r="X58" s="168" t="str">
        <f>IFERROR(VLOOKUP(S58,ETANCHEITE!AI$19:AK$164,2,FALSE),"")&amp;" "&amp;IFERROR(VLOOKUP(S58,ETANCHEITE!AI$19:AK$164,3,FALSE),"")</f>
        <v xml:space="preserve"> </v>
      </c>
      <c r="Y58" s="161" t="str">
        <f>IF(X58&lt;&gt;" ",'Feuille de Donnée'!$C$3,"")</f>
        <v/>
      </c>
      <c r="Z58" s="232" t="str" cm="1">
        <f t="array" aca="1" ref="Z58" ca="1">IFERROR(IF(_xlfn.XLOOKUP(S58,ETANCHEITE!AI$19:AI$89,ETANCHEITE!AG$19:AG$89,"")&lt;&gt;"",_xlfn.XLOOKUP(S58,ETANCHEITE!AI$19:AI$89,ETANCHEITE!AG$19:AG$89,""),    INDEX(ETANCHEITE!AG:AG,MAX(_xlfn._xlws.FILTER(ROW(ETANCHEITE!AG$19:INDIRECT("'PEINTURE'!O" &amp; V58-1)),ETANCHEITE!AG$19:INDIRECT("'PEINTURE'!O" &amp; V58-1)&lt;&gt;"")))),"")</f>
        <v/>
      </c>
      <c r="AA58" s="233" t="str" cm="1">
        <f t="array" aca="1" ref="AA58" ca="1">IFERROR(IF(_xlfn.XLOOKUP(S58,ETANCHEITE!AI$19:AI$89,ETANCHEITE!AH$19:AH$89,"")&lt;&gt;"",_xlfn.XLOOKUP(S58,ETANCHEITE!AI$19:AI$89,ETANCHEITE!AH$19:AH$89,""),    INDEX(ETANCHEITE!AH:AH,MAX(_xlfn._xlws.FILTER(ROW(ETANCHEITE!AH$19:INDIRECT("'PEINTURE'!P" &amp; V58-1)),ETANCHEITE!AH$19:INDIRECT("'PEINTURE'!P" &amp; V58-1)&lt;&gt;"")))),"")</f>
        <v/>
      </c>
      <c r="AB58" s="158">
        <v>56</v>
      </c>
      <c r="AC58" s="167" t="str">
        <f>IF(AG58&lt;&gt;" ",ETANCHEITE!$D$5,"")</f>
        <v/>
      </c>
      <c r="AD58" s="167" t="str">
        <f>IF(AG58&lt;&gt;" ",ETANCHEITE!$D$8,"")</f>
        <v/>
      </c>
      <c r="AE58" s="159" t="str">
        <f>IFERROR(MATCH(AB58,ETANCHEITE!AR$19:AR$164,0)+18,"")</f>
        <v/>
      </c>
      <c r="AF58" s="160" t="str" cm="1">
        <f t="array" aca="1" ref="AF58" ca="1">IFERROR(IF(_xlfn.XLOOKUP(AB58,ETANCHEITE!AR$19:AR$164,ETANCHEITE!$A$19:$A$164,"")&lt;&gt;"",_xlfn.XLOOKUP(AB58,ETANCHEITE!AR$19:AR$164,ETANCHEITE!$A$19:$A$164,""),    INDEX(ETANCHEITE!$A:$A,MAX(_xlfn._xlws.FILTER(ROW(ETANCHEITE!$A$19:INDIRECT("'MENUISERIES EXTERIEURES'!$A" &amp; AE58-1)),ETANCHEITE!$A$19:INDIRECT("'MENUISERIES EXTERIEURES'!$A" &amp; AE58-1)&lt;&gt;"")))),"")&amp;"   "&amp;IFERROR(_xlfn.XLOOKUP(AB58,ETANCHEITE!AR$19:AR$164,ETANCHEITE!$B$19:$B$164),"")&amp;IFERROR(_xlfn.XLOOKUP(AB58,ETANCHEITE!AR$19:AR$164,ETANCHEITE!$C$19:$C$164),"")&amp;IFERROR(_xlfn.XLOOKUP(AB58,ETANCHEITE!AR$19:AR$164,ETANCHEITE!$D$19:$D$164),"")&amp;IFERROR(_xlfn.XLOOKUP(AB58,ETANCHEITE!AR$19:AR$164,ETANCHEITE!$E$19:$E$164),"")&amp;IFERROR(_xlfn.XLOOKUP(AB58,ETANCHEITE!AR$19:AR$164,ETANCHEITE!$F$19:$F$164),"")</f>
        <v xml:space="preserve">   </v>
      </c>
      <c r="AG58" s="168" t="str">
        <f>IFERROR(VLOOKUP(AB58,ETANCHEITE!AR$19:AT$164,2,FALSE),"")&amp;" "&amp;IFERROR(VLOOKUP(AB58,ETANCHEITE!AR$19:AT$164,3,FALSE),"")</f>
        <v xml:space="preserve"> </v>
      </c>
      <c r="AH58" s="161" t="str">
        <f>IF(AG58&lt;&gt;" ",'Feuille de Donnée'!$C$3,"")</f>
        <v/>
      </c>
      <c r="AI58" s="232" t="str" cm="1">
        <f t="array" aca="1" ref="AI58" ca="1">IFERROR(IF(_xlfn.XLOOKUP(AB58,ETANCHEITE!AR$19:AR$89,ETANCHEITE!AP$19:AP$89,"")&lt;&gt;"",_xlfn.XLOOKUP(AB58,ETANCHEITE!AR$19:AR$89,ETANCHEITE!AP$19:AP$89,""),    INDEX(ETANCHEITE!AP:AP,MAX(_xlfn._xlws.FILTER(ROW(ETANCHEITE!AP$19:INDIRECT("'PEINTURE'!O" &amp; AE58-1)),ETANCHEITE!AP$19:INDIRECT("'PEINTURE'!O" &amp; AE58-1)&lt;&gt;"")))),"")</f>
        <v/>
      </c>
      <c r="AJ58" s="233" t="str" cm="1">
        <f t="array" aca="1" ref="AJ58" ca="1">IFERROR(IF(_xlfn.XLOOKUP(AB58,ETANCHEITE!AR$19:AR$89,ETANCHEITE!AQ$19:AQ$89,"")&lt;&gt;"",_xlfn.XLOOKUP(AB58,ETANCHEITE!AR$19:AR$89,ETANCHEITE!AQ$19:AQ$89,""),    INDEX(ETANCHEITE!AQ:AQ,MAX(_xlfn._xlws.FILTER(ROW(ETANCHEITE!AQ$19:INDIRECT("'PEINTURE'!P" &amp; AE58-1)),ETANCHEITE!AQ$19:INDIRECT("'PEINTURE'!P" &amp; AE58-1)&lt;&gt;"")))),"")</f>
        <v/>
      </c>
      <c r="AK58" s="158">
        <v>56</v>
      </c>
      <c r="AL58" s="167" t="str">
        <f>IF(AP58&lt;&gt;" ",ETANCHEITE!$D$5,"")</f>
        <v/>
      </c>
      <c r="AM58" s="167" t="str">
        <f>IF(AP58&lt;&gt;" ",ETANCHEITE!$D$8,"")</f>
        <v/>
      </c>
      <c r="AN58" s="159" t="str">
        <f>IFERROR(MATCH(AK58,ETANCHEITE!BA$19:BA$164,0)+18,"")</f>
        <v/>
      </c>
      <c r="AO58" s="160" t="str" cm="1">
        <f t="array" aca="1" ref="AO58" ca="1">IFERROR(IF(_xlfn.XLOOKUP(AK58,ETANCHEITE!BA$19:BA$164,ETANCHEITE!$A$19:$A$164,"")&lt;&gt;"",_xlfn.XLOOKUP(AK58,ETANCHEITE!BA$19:BA$164,ETANCHEITE!$A$19:$A$164,""),    INDEX(ETANCHEITE!$A:$A,MAX(_xlfn._xlws.FILTER(ROW(ETANCHEITE!$A$19:INDIRECT("'MENUISERIES EXTERIEURES'!$A" &amp; AN58-1)),ETANCHEITE!$A$19:INDIRECT("'MENUISERIES EXTERIEURES'!$A" &amp; AN58-1)&lt;&gt;"")))),"")&amp;"   "&amp;IFERROR(_xlfn.XLOOKUP(AK58,ETANCHEITE!BA$19:BA$164,ETANCHEITE!$B$19:$B$164),"")&amp;IFERROR(_xlfn.XLOOKUP(AK58,ETANCHEITE!BA$19:BA$164,ETANCHEITE!$C$19:$C$164),"")&amp;IFERROR(_xlfn.XLOOKUP(AK58,ETANCHEITE!BA$19:BA$164,ETANCHEITE!$D$19:$D$164),"")&amp;IFERROR(_xlfn.XLOOKUP(AK58,ETANCHEITE!BA$19:BA$164,ETANCHEITE!$E$19:$E$164),"")&amp;IFERROR(_xlfn.XLOOKUP(AK58,ETANCHEITE!BA$19:BA$164,ETANCHEITE!$F$19:$F$164),"")</f>
        <v xml:space="preserve">   </v>
      </c>
      <c r="AP58" s="168" t="str">
        <f>IFERROR(VLOOKUP(AK58,ETANCHEITE!BA$19:BC$164,2,FALSE),"")&amp;" "&amp;IFERROR(VLOOKUP(AK58,ETANCHEITE!BA$19:BC$164,3,FALSE),"")</f>
        <v xml:space="preserve"> </v>
      </c>
      <c r="AQ58" s="161" t="str">
        <f>IF(AP58&lt;&gt;" ",'Feuille de Donnée'!$C$3,"")</f>
        <v/>
      </c>
      <c r="AR58" s="232" t="str" cm="1">
        <f t="array" aca="1" ref="AR58" ca="1">IFERROR(IF(_xlfn.XLOOKUP(AK58,ETANCHEITE!BA$19:BA$89,ETANCHEITE!AY$19:AY$89,"")&lt;&gt;"",_xlfn.XLOOKUP(AK58,ETANCHEITE!BA$19:BA$89,ETANCHEITE!AY$19:AY$89,""),    INDEX(ETANCHEITE!AY:AY,MAX(_xlfn._xlws.FILTER(ROW(ETANCHEITE!AY$19:INDIRECT("'PEINTURE'!O" &amp; AN58-1)),ETANCHEITE!AY$19:INDIRECT("'PEINTURE'!O" &amp; AN58-1)&lt;&gt;"")))),"")</f>
        <v/>
      </c>
      <c r="AS58" s="233" t="str" cm="1">
        <f t="array" aca="1" ref="AS58" ca="1">IFERROR(IF(_xlfn.XLOOKUP(AK58,ETANCHEITE!BA$19:BA$89,ETANCHEITE!AZ$19:AZ$89,"")&lt;&gt;"",_xlfn.XLOOKUP(AK58,ETANCHEITE!BA$19:BA$89,ETANCHEITE!AZ$19:AZ$89,""),    INDEX(ETANCHEITE!AZ:AZ,MAX(_xlfn._xlws.FILTER(ROW(ETANCHEITE!AZ$19:INDIRECT("'PEINTURE'!P" &amp; AN58-1)),ETANCHEITE!AZ$19:INDIRECT("'PEINTURE'!P" &amp; AN58-1)&lt;&gt;"")))),"")</f>
        <v/>
      </c>
      <c r="AT58" s="158">
        <v>56</v>
      </c>
      <c r="AU58" s="167" t="str">
        <f>IF(AY58&lt;&gt;" ",ETANCHEITE!$D$5,"")</f>
        <v/>
      </c>
      <c r="AV58" s="167" t="str">
        <f>IF(AY58&lt;&gt;" ",ETANCHEITE!$D$8,"")</f>
        <v/>
      </c>
      <c r="AW58" s="159" t="str">
        <f>IFERROR(MATCH(AT58,ETANCHEITE!BJ$19:BJ$164,0)+18,"")</f>
        <v/>
      </c>
      <c r="AX58" s="160" t="str" cm="1">
        <f t="array" aca="1" ref="AX58" ca="1">IFERROR(IF(_xlfn.XLOOKUP(AT58,ETANCHEITE!BJ$19:BJ$164,ETANCHEITE!$A$19:$A$164,"")&lt;&gt;"",_xlfn.XLOOKUP(AT58,ETANCHEITE!BJ$19:BJ$164,ETANCHEITE!$A$19:$A$164,""),    INDEX(ETANCHEITE!$A:$A,MAX(_xlfn._xlws.FILTER(ROW(ETANCHEITE!$A$19:INDIRECT("'MENUISERIES EXTERIEURES'!$A" &amp; AW58-1)),ETANCHEITE!$A$19:INDIRECT("'MENUISERIES EXTERIEURES'!$A" &amp; AW58-1)&lt;&gt;"")))),"")&amp;"   "&amp;IFERROR(_xlfn.XLOOKUP(AT58,ETANCHEITE!BJ$19:BJ$164,ETANCHEITE!$B$19:$B$164),"")&amp;IFERROR(_xlfn.XLOOKUP(AT58,ETANCHEITE!BJ$19:BJ$164,ETANCHEITE!$C$19:$C$164),"")&amp;IFERROR(_xlfn.XLOOKUP(AT58,ETANCHEITE!BJ$19:BJ$164,ETANCHEITE!$D$19:$D$164),"")&amp;IFERROR(_xlfn.XLOOKUP(AT58,ETANCHEITE!BJ$19:BJ$164,ETANCHEITE!$E$19:$E$164),"")&amp;IFERROR(_xlfn.XLOOKUP(AT58,ETANCHEITE!BJ$19:BJ$164,ETANCHEITE!$F$19:$F$164),"")</f>
        <v xml:space="preserve">   </v>
      </c>
      <c r="AY58" s="168" t="str">
        <f>IFERROR(VLOOKUP(AT58,ETANCHEITE!BJ$19:BL$164,2,FALSE),"")&amp;" "&amp;IFERROR(VLOOKUP(AT58,ETANCHEITE!BJ$19:BL$164,3,FALSE),"")</f>
        <v xml:space="preserve"> </v>
      </c>
      <c r="AZ58" s="161" t="str">
        <f>IF(AY58&lt;&gt;" ",'Feuille de Donnée'!$C$3,"")</f>
        <v/>
      </c>
      <c r="BA58" s="232" t="str" cm="1">
        <f t="array" aca="1" ref="BA58" ca="1">IFERROR(IF(_xlfn.XLOOKUP(AT58,ETANCHEITE!BJ$19:BJ$89,ETANCHEITE!BH$19:BH$89,"")&lt;&gt;"",_xlfn.XLOOKUP(AT58,ETANCHEITE!BJ$19:BJ$89,ETANCHEITE!BH$19:BH$89,""),    INDEX(ETANCHEITE!BH:BH,MAX(_xlfn._xlws.FILTER(ROW(ETANCHEITE!BH$19:INDIRECT("'PEINTURE'!O" &amp; AW58-1)),ETANCHEITE!BH$19:INDIRECT("'PEINTURE'!O" &amp; AW58-1)&lt;&gt;"")))),"")</f>
        <v/>
      </c>
      <c r="BB58" s="233" t="str" cm="1">
        <f t="array" aca="1" ref="BB58" ca="1">IFERROR(IF(_xlfn.XLOOKUP(AT58,ETANCHEITE!BJ$19:BJ$89,ETANCHEITE!BI$19:BI$89,"")&lt;&gt;"",_xlfn.XLOOKUP(AT58,ETANCHEITE!BJ$19:BJ$89,ETANCHEITE!BI$19:BI$89,""),    INDEX(ETANCHEITE!BI:BI,MAX(_xlfn._xlws.FILTER(ROW(ETANCHEITE!BI$19:INDIRECT("'PEINTURE'!P" &amp; AW58-1)),ETANCHEITE!BI$19:INDIRECT("'PEINTURE'!P" &amp; AW58-1)&lt;&gt;"")))),"")</f>
        <v/>
      </c>
    </row>
    <row r="59" spans="1:54" x14ac:dyDescent="0.3">
      <c r="A59" s="158">
        <v>57</v>
      </c>
      <c r="B59" s="167" t="str">
        <f>IF(F59&lt;&gt;" ",ETANCHEITE!$D$5,"")</f>
        <v/>
      </c>
      <c r="C59" s="167" t="str">
        <f>IF(F59&lt;&gt;" ",ETANCHEITE!$D$8,"")</f>
        <v/>
      </c>
      <c r="D59" s="159" t="str">
        <f>IFERROR(MATCH(A59,ETANCHEITE!Q$19:Q$164,0)+18,"")</f>
        <v/>
      </c>
      <c r="E59" s="160" t="str" cm="1">
        <f t="array" aca="1" ref="E59" ca="1">IFERROR(IF(_xlfn.XLOOKUP(A59,ETANCHEITE!Q$19:Q$164,ETANCHEITE!$A$19:$A$164,"")&lt;&gt;"",_xlfn.XLOOKUP(A59,ETANCHEITE!Q$19:Q$164,ETANCHEITE!$A$19:$A$164,""),    INDEX(ETANCHEITE!$A:$A,MAX(_xlfn._xlws.FILTER(ROW(ETANCHEITE!$A$19:INDIRECT("'MENUISERIES EXTERIEURES'!$A" &amp; D59-1)),ETANCHEITE!$A$19:INDIRECT("'MENUISERIES EXTERIEURES'!$A" &amp; D59-1)&lt;&gt;"")))),"")&amp;"   "&amp;IFERROR(_xlfn.XLOOKUP(A59,ETANCHEITE!Q$19:Q$164,ETANCHEITE!$B$19:$B$164),"")&amp;IFERROR(_xlfn.XLOOKUP(A59,ETANCHEITE!Q$19:Q$164,ETANCHEITE!$C$19:$C$164),"")&amp;IFERROR(_xlfn.XLOOKUP(A59,ETANCHEITE!Q$19:Q$164,ETANCHEITE!$D$19:$D$164),"")&amp;IFERROR(_xlfn.XLOOKUP(A59,ETANCHEITE!Q$19:Q$164,ETANCHEITE!$E$19:$E$164),"")&amp;IFERROR(_xlfn.XLOOKUP(A59,ETANCHEITE!Q$19:Q$164,ETANCHEITE!$F$19:$F$164),"")</f>
        <v xml:space="preserve">   </v>
      </c>
      <c r="F59" s="168" t="str">
        <f>IFERROR(VLOOKUP(A59,ETANCHEITE!Q$19:S$164,2,FALSE),"")&amp;" "&amp;IFERROR(VLOOKUP(A59,ETANCHEITE!Q$19:S$164,3,FALSE),"")</f>
        <v xml:space="preserve"> </v>
      </c>
      <c r="G59" s="161" t="str">
        <f>IF(F59&lt;&gt;" ",'Feuille de Donnée'!$C$3,"")</f>
        <v/>
      </c>
      <c r="H59" s="232" t="str" cm="1">
        <f t="array" aca="1" ref="H59" ca="1">IFERROR(IF(_xlfn.XLOOKUP(A59,ETANCHEITE!Q$19:Q$89,ETANCHEITE!O$19:O$89,"")&lt;&gt;"",_xlfn.XLOOKUP(A59,ETANCHEITE!Q$19:Q$89,ETANCHEITE!O$19:O$89,""),    INDEX(ETANCHEITE!O:O,MAX(_xlfn._xlws.FILTER(ROW(ETANCHEITE!O$19:INDIRECT("'PEINTURE'!O" &amp; D59-1)),ETANCHEITE!O$19:INDIRECT("'PEINTURE'!O" &amp; D59-1)&lt;&gt;"")))),"")</f>
        <v/>
      </c>
      <c r="I59" s="233" t="str" cm="1">
        <f t="array" aca="1" ref="I59" ca="1">IFERROR(IF(_xlfn.XLOOKUP(A59,ETANCHEITE!Q$19:Q$89,ETANCHEITE!P$19:P$89,"")&lt;&gt;"",_xlfn.XLOOKUP(A59,ETANCHEITE!Q$19:Q$89,ETANCHEITE!P$19:P$89,""),    INDEX(ETANCHEITE!P:P,MAX(_xlfn._xlws.FILTER(ROW(ETANCHEITE!P$19:INDIRECT("'PEINTURE'!P" &amp; D59-1)),ETANCHEITE!P$19:INDIRECT("'PEINTURE'!P" &amp; D59-1)&lt;&gt;"")))),"")</f>
        <v/>
      </c>
      <c r="J59" s="158">
        <v>57</v>
      </c>
      <c r="K59" s="167" t="str">
        <f>IF(O59&lt;&gt;" ",ETANCHEITE!$D$5,"")</f>
        <v/>
      </c>
      <c r="L59" s="167" t="str">
        <f>IF(O59&lt;&gt;" ",ETANCHEITE!$D$8,"")</f>
        <v/>
      </c>
      <c r="M59" s="159" t="str">
        <f>IFERROR(MATCH(J59,ETANCHEITE!Z$19:Z$164,0)+18,"")</f>
        <v/>
      </c>
      <c r="N59" s="160" t="str" cm="1">
        <f t="array" aca="1" ref="N59" ca="1">IFERROR(IF(_xlfn.XLOOKUP(J59,ETANCHEITE!Z$19:Z$164,ETANCHEITE!$A$19:$A$164,"")&lt;&gt;"",_xlfn.XLOOKUP(J59,ETANCHEITE!Z$19:Z$164,ETANCHEITE!$A$19:$A$164,""),    INDEX(ETANCHEITE!$A:$A,MAX(_xlfn._xlws.FILTER(ROW(ETANCHEITE!$A$19:INDIRECT("'MENUISERIES EXTERIEURES'!$A" &amp; M59-1)),ETANCHEITE!$A$19:INDIRECT("'MENUISERIES EXTERIEURES'!$A" &amp; M59-1)&lt;&gt;"")))),"")&amp;"   "&amp;IFERROR(_xlfn.XLOOKUP(J59,ETANCHEITE!Z$19:Z$164,ETANCHEITE!$B$19:$B$164),"")&amp;IFERROR(_xlfn.XLOOKUP(J59,ETANCHEITE!Z$19:Z$164,ETANCHEITE!$C$19:$C$164),"")&amp;IFERROR(_xlfn.XLOOKUP(J59,ETANCHEITE!Z$19:Z$164,ETANCHEITE!$D$19:$D$164),"")&amp;IFERROR(_xlfn.XLOOKUP(J59,ETANCHEITE!Z$19:Z$164,ETANCHEITE!$E$19:$E$164),"")&amp;IFERROR(_xlfn.XLOOKUP(J59,ETANCHEITE!Z$19:Z$164,ETANCHEITE!$F$19:$F$164),"")</f>
        <v xml:space="preserve">   </v>
      </c>
      <c r="O59" s="168" t="str">
        <f>IFERROR(VLOOKUP(J59,ETANCHEITE!Z$19:AB$164,2,FALSE),"")&amp;" "&amp;IFERROR(VLOOKUP(J59,ETANCHEITE!Z$19:AB$164,3,FALSE),"")</f>
        <v xml:space="preserve"> </v>
      </c>
      <c r="P59" s="161" t="str">
        <f>IF(O59&lt;&gt;" ",'Feuille de Donnée'!$C$3,"")</f>
        <v/>
      </c>
      <c r="Q59" s="232" t="str" cm="1">
        <f t="array" aca="1" ref="Q59" ca="1">IFERROR(IF(_xlfn.XLOOKUP(J59,ETANCHEITE!Z$19:Z$89,ETANCHEITE!X$19:X$89,"")&lt;&gt;"",_xlfn.XLOOKUP(J59,ETANCHEITE!Z$19:Z$89,ETANCHEITE!X$19:X$89,""),    INDEX(ETANCHEITE!X:X,MAX(_xlfn._xlws.FILTER(ROW(ETANCHEITE!X$19:INDIRECT("'PEINTURE'!O" &amp; M59-1)),ETANCHEITE!X$19:INDIRECT("'PEINTURE'!O" &amp; M59-1)&lt;&gt;"")))),"")</f>
        <v/>
      </c>
      <c r="R59" s="233" t="str" cm="1">
        <f t="array" aca="1" ref="R59" ca="1">IFERROR(IF(_xlfn.XLOOKUP(J59,ETANCHEITE!Z$19:Z$89,ETANCHEITE!Y$19:Y$89,"")&lt;&gt;"",_xlfn.XLOOKUP(J59,ETANCHEITE!Z$19:Z$89,ETANCHEITE!Y$19:Y$89,""),    INDEX(ETANCHEITE!Y:Y,MAX(_xlfn._xlws.FILTER(ROW(ETANCHEITE!Y$19:INDIRECT("'PEINTURE'!P" &amp; M59-1)),ETANCHEITE!Y$19:INDIRECT("'PEINTURE'!P" &amp; M59-1)&lt;&gt;"")))),"")</f>
        <v/>
      </c>
      <c r="S59" s="158">
        <v>57</v>
      </c>
      <c r="T59" s="167" t="str">
        <f>IF(X59&lt;&gt;" ",ETANCHEITE!$D$5,"")</f>
        <v/>
      </c>
      <c r="U59" s="167" t="str">
        <f>IF(X59&lt;&gt;" ",ETANCHEITE!$D$8,"")</f>
        <v/>
      </c>
      <c r="V59" s="159" t="str">
        <f>IFERROR(MATCH(S59,ETANCHEITE!AI$19:AI$164,0)+18,"")</f>
        <v/>
      </c>
      <c r="W59" s="160" t="str" cm="1">
        <f t="array" aca="1" ref="W59" ca="1">IFERROR(IF(_xlfn.XLOOKUP(S59,ETANCHEITE!AI$19:AI$164,ETANCHEITE!$A$19:$A$164,"")&lt;&gt;"",_xlfn.XLOOKUP(S59,ETANCHEITE!AI$19:AI$164,ETANCHEITE!$A$19:$A$164,""),    INDEX(ETANCHEITE!$A:$A,MAX(_xlfn._xlws.FILTER(ROW(ETANCHEITE!$A$19:INDIRECT("'MENUISERIES EXTERIEURES'!$A" &amp; V59-1)),ETANCHEITE!$A$19:INDIRECT("'MENUISERIES EXTERIEURES'!$A" &amp; V59-1)&lt;&gt;"")))),"")&amp;"   "&amp;IFERROR(_xlfn.XLOOKUP(S59,ETANCHEITE!AI$19:AI$164,ETANCHEITE!$B$19:$B$164),"")&amp;IFERROR(_xlfn.XLOOKUP(S59,ETANCHEITE!AI$19:AI$164,ETANCHEITE!$C$19:$C$164),"")&amp;IFERROR(_xlfn.XLOOKUP(S59,ETANCHEITE!AI$19:AI$164,ETANCHEITE!$D$19:$D$164),"")&amp;IFERROR(_xlfn.XLOOKUP(S59,ETANCHEITE!AI$19:AI$164,ETANCHEITE!$E$19:$E$164),"")&amp;IFERROR(_xlfn.XLOOKUP(S59,ETANCHEITE!AI$19:AI$164,ETANCHEITE!$F$19:$F$164),"")</f>
        <v xml:space="preserve">   </v>
      </c>
      <c r="X59" s="168" t="str">
        <f>IFERROR(VLOOKUP(S59,ETANCHEITE!AI$19:AK$164,2,FALSE),"")&amp;" "&amp;IFERROR(VLOOKUP(S59,ETANCHEITE!AI$19:AK$164,3,FALSE),"")</f>
        <v xml:space="preserve"> </v>
      </c>
      <c r="Y59" s="161" t="str">
        <f>IF(X59&lt;&gt;" ",'Feuille de Donnée'!$C$3,"")</f>
        <v/>
      </c>
      <c r="Z59" s="232" t="str" cm="1">
        <f t="array" aca="1" ref="Z59" ca="1">IFERROR(IF(_xlfn.XLOOKUP(S59,ETANCHEITE!AI$19:AI$89,ETANCHEITE!AG$19:AG$89,"")&lt;&gt;"",_xlfn.XLOOKUP(S59,ETANCHEITE!AI$19:AI$89,ETANCHEITE!AG$19:AG$89,""),    INDEX(ETANCHEITE!AG:AG,MAX(_xlfn._xlws.FILTER(ROW(ETANCHEITE!AG$19:INDIRECT("'PEINTURE'!O" &amp; V59-1)),ETANCHEITE!AG$19:INDIRECT("'PEINTURE'!O" &amp; V59-1)&lt;&gt;"")))),"")</f>
        <v/>
      </c>
      <c r="AA59" s="233" t="str" cm="1">
        <f t="array" aca="1" ref="AA59" ca="1">IFERROR(IF(_xlfn.XLOOKUP(S59,ETANCHEITE!AI$19:AI$89,ETANCHEITE!AH$19:AH$89,"")&lt;&gt;"",_xlfn.XLOOKUP(S59,ETANCHEITE!AI$19:AI$89,ETANCHEITE!AH$19:AH$89,""),    INDEX(ETANCHEITE!AH:AH,MAX(_xlfn._xlws.FILTER(ROW(ETANCHEITE!AH$19:INDIRECT("'PEINTURE'!P" &amp; V59-1)),ETANCHEITE!AH$19:INDIRECT("'PEINTURE'!P" &amp; V59-1)&lt;&gt;"")))),"")</f>
        <v/>
      </c>
      <c r="AB59" s="158">
        <v>57</v>
      </c>
      <c r="AC59" s="167" t="str">
        <f>IF(AG59&lt;&gt;" ",ETANCHEITE!$D$5,"")</f>
        <v/>
      </c>
      <c r="AD59" s="167" t="str">
        <f>IF(AG59&lt;&gt;" ",ETANCHEITE!$D$8,"")</f>
        <v/>
      </c>
      <c r="AE59" s="159" t="str">
        <f>IFERROR(MATCH(AB59,ETANCHEITE!AR$19:AR$164,0)+18,"")</f>
        <v/>
      </c>
      <c r="AF59" s="160" t="str" cm="1">
        <f t="array" aca="1" ref="AF59" ca="1">IFERROR(IF(_xlfn.XLOOKUP(AB59,ETANCHEITE!AR$19:AR$164,ETANCHEITE!$A$19:$A$164,"")&lt;&gt;"",_xlfn.XLOOKUP(AB59,ETANCHEITE!AR$19:AR$164,ETANCHEITE!$A$19:$A$164,""),    INDEX(ETANCHEITE!$A:$A,MAX(_xlfn._xlws.FILTER(ROW(ETANCHEITE!$A$19:INDIRECT("'MENUISERIES EXTERIEURES'!$A" &amp; AE59-1)),ETANCHEITE!$A$19:INDIRECT("'MENUISERIES EXTERIEURES'!$A" &amp; AE59-1)&lt;&gt;"")))),"")&amp;"   "&amp;IFERROR(_xlfn.XLOOKUP(AB59,ETANCHEITE!AR$19:AR$164,ETANCHEITE!$B$19:$B$164),"")&amp;IFERROR(_xlfn.XLOOKUP(AB59,ETANCHEITE!AR$19:AR$164,ETANCHEITE!$C$19:$C$164),"")&amp;IFERROR(_xlfn.XLOOKUP(AB59,ETANCHEITE!AR$19:AR$164,ETANCHEITE!$D$19:$D$164),"")&amp;IFERROR(_xlfn.XLOOKUP(AB59,ETANCHEITE!AR$19:AR$164,ETANCHEITE!$E$19:$E$164),"")&amp;IFERROR(_xlfn.XLOOKUP(AB59,ETANCHEITE!AR$19:AR$164,ETANCHEITE!$F$19:$F$164),"")</f>
        <v xml:space="preserve">   </v>
      </c>
      <c r="AG59" s="168" t="str">
        <f>IFERROR(VLOOKUP(AB59,ETANCHEITE!AR$19:AT$164,2,FALSE),"")&amp;" "&amp;IFERROR(VLOOKUP(AB59,ETANCHEITE!AR$19:AT$164,3,FALSE),"")</f>
        <v xml:space="preserve"> </v>
      </c>
      <c r="AH59" s="161" t="str">
        <f>IF(AG59&lt;&gt;" ",'Feuille de Donnée'!$C$3,"")</f>
        <v/>
      </c>
      <c r="AI59" s="232" t="str" cm="1">
        <f t="array" aca="1" ref="AI59" ca="1">IFERROR(IF(_xlfn.XLOOKUP(AB59,ETANCHEITE!AR$19:AR$89,ETANCHEITE!AP$19:AP$89,"")&lt;&gt;"",_xlfn.XLOOKUP(AB59,ETANCHEITE!AR$19:AR$89,ETANCHEITE!AP$19:AP$89,""),    INDEX(ETANCHEITE!AP:AP,MAX(_xlfn._xlws.FILTER(ROW(ETANCHEITE!AP$19:INDIRECT("'PEINTURE'!O" &amp; AE59-1)),ETANCHEITE!AP$19:INDIRECT("'PEINTURE'!O" &amp; AE59-1)&lt;&gt;"")))),"")</f>
        <v/>
      </c>
      <c r="AJ59" s="233" t="str" cm="1">
        <f t="array" aca="1" ref="AJ59" ca="1">IFERROR(IF(_xlfn.XLOOKUP(AB59,ETANCHEITE!AR$19:AR$89,ETANCHEITE!AQ$19:AQ$89,"")&lt;&gt;"",_xlfn.XLOOKUP(AB59,ETANCHEITE!AR$19:AR$89,ETANCHEITE!AQ$19:AQ$89,""),    INDEX(ETANCHEITE!AQ:AQ,MAX(_xlfn._xlws.FILTER(ROW(ETANCHEITE!AQ$19:INDIRECT("'PEINTURE'!P" &amp; AE59-1)),ETANCHEITE!AQ$19:INDIRECT("'PEINTURE'!P" &amp; AE59-1)&lt;&gt;"")))),"")</f>
        <v/>
      </c>
      <c r="AK59" s="158">
        <v>57</v>
      </c>
      <c r="AL59" s="167" t="str">
        <f>IF(AP59&lt;&gt;" ",ETANCHEITE!$D$5,"")</f>
        <v/>
      </c>
      <c r="AM59" s="167" t="str">
        <f>IF(AP59&lt;&gt;" ",ETANCHEITE!$D$8,"")</f>
        <v/>
      </c>
      <c r="AN59" s="159" t="str">
        <f>IFERROR(MATCH(AK59,ETANCHEITE!BA$19:BA$164,0)+18,"")</f>
        <v/>
      </c>
      <c r="AO59" s="160" t="str" cm="1">
        <f t="array" aca="1" ref="AO59" ca="1">IFERROR(IF(_xlfn.XLOOKUP(AK59,ETANCHEITE!BA$19:BA$164,ETANCHEITE!$A$19:$A$164,"")&lt;&gt;"",_xlfn.XLOOKUP(AK59,ETANCHEITE!BA$19:BA$164,ETANCHEITE!$A$19:$A$164,""),    INDEX(ETANCHEITE!$A:$A,MAX(_xlfn._xlws.FILTER(ROW(ETANCHEITE!$A$19:INDIRECT("'MENUISERIES EXTERIEURES'!$A" &amp; AN59-1)),ETANCHEITE!$A$19:INDIRECT("'MENUISERIES EXTERIEURES'!$A" &amp; AN59-1)&lt;&gt;"")))),"")&amp;"   "&amp;IFERROR(_xlfn.XLOOKUP(AK59,ETANCHEITE!BA$19:BA$164,ETANCHEITE!$B$19:$B$164),"")&amp;IFERROR(_xlfn.XLOOKUP(AK59,ETANCHEITE!BA$19:BA$164,ETANCHEITE!$C$19:$C$164),"")&amp;IFERROR(_xlfn.XLOOKUP(AK59,ETANCHEITE!BA$19:BA$164,ETANCHEITE!$D$19:$D$164),"")&amp;IFERROR(_xlfn.XLOOKUP(AK59,ETANCHEITE!BA$19:BA$164,ETANCHEITE!$E$19:$E$164),"")&amp;IFERROR(_xlfn.XLOOKUP(AK59,ETANCHEITE!BA$19:BA$164,ETANCHEITE!$F$19:$F$164),"")</f>
        <v xml:space="preserve">   </v>
      </c>
      <c r="AP59" s="168" t="str">
        <f>IFERROR(VLOOKUP(AK59,ETANCHEITE!BA$19:BC$164,2,FALSE),"")&amp;" "&amp;IFERROR(VLOOKUP(AK59,ETANCHEITE!BA$19:BC$164,3,FALSE),"")</f>
        <v xml:space="preserve"> </v>
      </c>
      <c r="AQ59" s="161" t="str">
        <f>IF(AP59&lt;&gt;" ",'Feuille de Donnée'!$C$3,"")</f>
        <v/>
      </c>
      <c r="AR59" s="232" t="str" cm="1">
        <f t="array" aca="1" ref="AR59" ca="1">IFERROR(IF(_xlfn.XLOOKUP(AK59,ETANCHEITE!BA$19:BA$89,ETANCHEITE!AY$19:AY$89,"")&lt;&gt;"",_xlfn.XLOOKUP(AK59,ETANCHEITE!BA$19:BA$89,ETANCHEITE!AY$19:AY$89,""),    INDEX(ETANCHEITE!AY:AY,MAX(_xlfn._xlws.FILTER(ROW(ETANCHEITE!AY$19:INDIRECT("'PEINTURE'!O" &amp; AN59-1)),ETANCHEITE!AY$19:INDIRECT("'PEINTURE'!O" &amp; AN59-1)&lt;&gt;"")))),"")</f>
        <v/>
      </c>
      <c r="AS59" s="233" t="str" cm="1">
        <f t="array" aca="1" ref="AS59" ca="1">IFERROR(IF(_xlfn.XLOOKUP(AK59,ETANCHEITE!BA$19:BA$89,ETANCHEITE!AZ$19:AZ$89,"")&lt;&gt;"",_xlfn.XLOOKUP(AK59,ETANCHEITE!BA$19:BA$89,ETANCHEITE!AZ$19:AZ$89,""),    INDEX(ETANCHEITE!AZ:AZ,MAX(_xlfn._xlws.FILTER(ROW(ETANCHEITE!AZ$19:INDIRECT("'PEINTURE'!P" &amp; AN59-1)),ETANCHEITE!AZ$19:INDIRECT("'PEINTURE'!P" &amp; AN59-1)&lt;&gt;"")))),"")</f>
        <v/>
      </c>
      <c r="AT59" s="158">
        <v>57</v>
      </c>
      <c r="AU59" s="167" t="str">
        <f>IF(AY59&lt;&gt;" ",ETANCHEITE!$D$5,"")</f>
        <v/>
      </c>
      <c r="AV59" s="167" t="str">
        <f>IF(AY59&lt;&gt;" ",ETANCHEITE!$D$8,"")</f>
        <v/>
      </c>
      <c r="AW59" s="159" t="str">
        <f>IFERROR(MATCH(AT59,ETANCHEITE!BJ$19:BJ$164,0)+18,"")</f>
        <v/>
      </c>
      <c r="AX59" s="160" t="str" cm="1">
        <f t="array" aca="1" ref="AX59" ca="1">IFERROR(IF(_xlfn.XLOOKUP(AT59,ETANCHEITE!BJ$19:BJ$164,ETANCHEITE!$A$19:$A$164,"")&lt;&gt;"",_xlfn.XLOOKUP(AT59,ETANCHEITE!BJ$19:BJ$164,ETANCHEITE!$A$19:$A$164,""),    INDEX(ETANCHEITE!$A:$A,MAX(_xlfn._xlws.FILTER(ROW(ETANCHEITE!$A$19:INDIRECT("'MENUISERIES EXTERIEURES'!$A" &amp; AW59-1)),ETANCHEITE!$A$19:INDIRECT("'MENUISERIES EXTERIEURES'!$A" &amp; AW59-1)&lt;&gt;"")))),"")&amp;"   "&amp;IFERROR(_xlfn.XLOOKUP(AT59,ETANCHEITE!BJ$19:BJ$164,ETANCHEITE!$B$19:$B$164),"")&amp;IFERROR(_xlfn.XLOOKUP(AT59,ETANCHEITE!BJ$19:BJ$164,ETANCHEITE!$C$19:$C$164),"")&amp;IFERROR(_xlfn.XLOOKUP(AT59,ETANCHEITE!BJ$19:BJ$164,ETANCHEITE!$D$19:$D$164),"")&amp;IFERROR(_xlfn.XLOOKUP(AT59,ETANCHEITE!BJ$19:BJ$164,ETANCHEITE!$E$19:$E$164),"")&amp;IFERROR(_xlfn.XLOOKUP(AT59,ETANCHEITE!BJ$19:BJ$164,ETANCHEITE!$F$19:$F$164),"")</f>
        <v xml:space="preserve">   </v>
      </c>
      <c r="AY59" s="168" t="str">
        <f>IFERROR(VLOOKUP(AT59,ETANCHEITE!BJ$19:BL$164,2,FALSE),"")&amp;" "&amp;IFERROR(VLOOKUP(AT59,ETANCHEITE!BJ$19:BL$164,3,FALSE),"")</f>
        <v xml:space="preserve"> </v>
      </c>
      <c r="AZ59" s="161" t="str">
        <f>IF(AY59&lt;&gt;" ",'Feuille de Donnée'!$C$3,"")</f>
        <v/>
      </c>
      <c r="BA59" s="232" t="str" cm="1">
        <f t="array" aca="1" ref="BA59" ca="1">IFERROR(IF(_xlfn.XLOOKUP(AT59,ETANCHEITE!BJ$19:BJ$89,ETANCHEITE!BH$19:BH$89,"")&lt;&gt;"",_xlfn.XLOOKUP(AT59,ETANCHEITE!BJ$19:BJ$89,ETANCHEITE!BH$19:BH$89,""),    INDEX(ETANCHEITE!BH:BH,MAX(_xlfn._xlws.FILTER(ROW(ETANCHEITE!BH$19:INDIRECT("'PEINTURE'!O" &amp; AW59-1)),ETANCHEITE!BH$19:INDIRECT("'PEINTURE'!O" &amp; AW59-1)&lt;&gt;"")))),"")</f>
        <v/>
      </c>
      <c r="BB59" s="233" t="str" cm="1">
        <f t="array" aca="1" ref="BB59" ca="1">IFERROR(IF(_xlfn.XLOOKUP(AT59,ETANCHEITE!BJ$19:BJ$89,ETANCHEITE!BI$19:BI$89,"")&lt;&gt;"",_xlfn.XLOOKUP(AT59,ETANCHEITE!BJ$19:BJ$89,ETANCHEITE!BI$19:BI$89,""),    INDEX(ETANCHEITE!BI:BI,MAX(_xlfn._xlws.FILTER(ROW(ETANCHEITE!BI$19:INDIRECT("'PEINTURE'!P" &amp; AW59-1)),ETANCHEITE!BI$19:INDIRECT("'PEINTURE'!P" &amp; AW59-1)&lt;&gt;"")))),"")</f>
        <v/>
      </c>
    </row>
    <row r="60" spans="1:54" x14ac:dyDescent="0.3">
      <c r="A60" s="158">
        <v>58</v>
      </c>
      <c r="B60" s="167" t="str">
        <f>IF(F60&lt;&gt;" ",ETANCHEITE!$D$5,"")</f>
        <v/>
      </c>
      <c r="C60" s="167" t="str">
        <f>IF(F60&lt;&gt;" ",ETANCHEITE!$D$8,"")</f>
        <v/>
      </c>
      <c r="D60" s="159" t="str">
        <f>IFERROR(MATCH(A60,ETANCHEITE!Q$19:Q$164,0)+18,"")</f>
        <v/>
      </c>
      <c r="E60" s="160" t="str" cm="1">
        <f t="array" aca="1" ref="E60" ca="1">IFERROR(IF(_xlfn.XLOOKUP(A60,ETANCHEITE!Q$19:Q$164,ETANCHEITE!$A$19:$A$164,"")&lt;&gt;"",_xlfn.XLOOKUP(A60,ETANCHEITE!Q$19:Q$164,ETANCHEITE!$A$19:$A$164,""),    INDEX(ETANCHEITE!$A:$A,MAX(_xlfn._xlws.FILTER(ROW(ETANCHEITE!$A$19:INDIRECT("'MENUISERIES EXTERIEURES'!$A" &amp; D60-1)),ETANCHEITE!$A$19:INDIRECT("'MENUISERIES EXTERIEURES'!$A" &amp; D60-1)&lt;&gt;"")))),"")&amp;"   "&amp;IFERROR(_xlfn.XLOOKUP(A60,ETANCHEITE!Q$19:Q$164,ETANCHEITE!$B$19:$B$164),"")&amp;IFERROR(_xlfn.XLOOKUP(A60,ETANCHEITE!Q$19:Q$164,ETANCHEITE!$C$19:$C$164),"")&amp;IFERROR(_xlfn.XLOOKUP(A60,ETANCHEITE!Q$19:Q$164,ETANCHEITE!$D$19:$D$164),"")&amp;IFERROR(_xlfn.XLOOKUP(A60,ETANCHEITE!Q$19:Q$164,ETANCHEITE!$E$19:$E$164),"")&amp;IFERROR(_xlfn.XLOOKUP(A60,ETANCHEITE!Q$19:Q$164,ETANCHEITE!$F$19:$F$164),"")</f>
        <v xml:space="preserve">   </v>
      </c>
      <c r="F60" s="168" t="str">
        <f>IFERROR(VLOOKUP(A60,ETANCHEITE!Q$19:S$164,2,FALSE),"")&amp;" "&amp;IFERROR(VLOOKUP(A60,ETANCHEITE!Q$19:S$164,3,FALSE),"")</f>
        <v xml:space="preserve"> </v>
      </c>
      <c r="G60" s="161" t="str">
        <f>IF(F60&lt;&gt;" ",'Feuille de Donnée'!$C$3,"")</f>
        <v/>
      </c>
      <c r="H60" s="232" t="str" cm="1">
        <f t="array" aca="1" ref="H60" ca="1">IFERROR(IF(_xlfn.XLOOKUP(A60,ETANCHEITE!Q$19:Q$89,ETANCHEITE!O$19:O$89,"")&lt;&gt;"",_xlfn.XLOOKUP(A60,ETANCHEITE!Q$19:Q$89,ETANCHEITE!O$19:O$89,""),    INDEX(ETANCHEITE!O:O,MAX(_xlfn._xlws.FILTER(ROW(ETANCHEITE!O$19:INDIRECT("'PEINTURE'!O" &amp; D60-1)),ETANCHEITE!O$19:INDIRECT("'PEINTURE'!O" &amp; D60-1)&lt;&gt;"")))),"")</f>
        <v/>
      </c>
      <c r="I60" s="233" t="str" cm="1">
        <f t="array" aca="1" ref="I60" ca="1">IFERROR(IF(_xlfn.XLOOKUP(A60,ETANCHEITE!Q$19:Q$89,ETANCHEITE!P$19:P$89,"")&lt;&gt;"",_xlfn.XLOOKUP(A60,ETANCHEITE!Q$19:Q$89,ETANCHEITE!P$19:P$89,""),    INDEX(ETANCHEITE!P:P,MAX(_xlfn._xlws.FILTER(ROW(ETANCHEITE!P$19:INDIRECT("'PEINTURE'!P" &amp; D60-1)),ETANCHEITE!P$19:INDIRECT("'PEINTURE'!P" &amp; D60-1)&lt;&gt;"")))),"")</f>
        <v/>
      </c>
      <c r="J60" s="158">
        <v>58</v>
      </c>
      <c r="K60" s="167" t="str">
        <f>IF(O60&lt;&gt;" ",ETANCHEITE!$D$5,"")</f>
        <v/>
      </c>
      <c r="L60" s="167" t="str">
        <f>IF(O60&lt;&gt;" ",ETANCHEITE!$D$8,"")</f>
        <v/>
      </c>
      <c r="M60" s="159" t="str">
        <f>IFERROR(MATCH(J60,ETANCHEITE!Z$19:Z$164,0)+18,"")</f>
        <v/>
      </c>
      <c r="N60" s="160" t="str" cm="1">
        <f t="array" aca="1" ref="N60" ca="1">IFERROR(IF(_xlfn.XLOOKUP(J60,ETANCHEITE!Z$19:Z$164,ETANCHEITE!$A$19:$A$164,"")&lt;&gt;"",_xlfn.XLOOKUP(J60,ETANCHEITE!Z$19:Z$164,ETANCHEITE!$A$19:$A$164,""),    INDEX(ETANCHEITE!$A:$A,MAX(_xlfn._xlws.FILTER(ROW(ETANCHEITE!$A$19:INDIRECT("'MENUISERIES EXTERIEURES'!$A" &amp; M60-1)),ETANCHEITE!$A$19:INDIRECT("'MENUISERIES EXTERIEURES'!$A" &amp; M60-1)&lt;&gt;"")))),"")&amp;"   "&amp;IFERROR(_xlfn.XLOOKUP(J60,ETANCHEITE!Z$19:Z$164,ETANCHEITE!$B$19:$B$164),"")&amp;IFERROR(_xlfn.XLOOKUP(J60,ETANCHEITE!Z$19:Z$164,ETANCHEITE!$C$19:$C$164),"")&amp;IFERROR(_xlfn.XLOOKUP(J60,ETANCHEITE!Z$19:Z$164,ETANCHEITE!$D$19:$D$164),"")&amp;IFERROR(_xlfn.XLOOKUP(J60,ETANCHEITE!Z$19:Z$164,ETANCHEITE!$E$19:$E$164),"")&amp;IFERROR(_xlfn.XLOOKUP(J60,ETANCHEITE!Z$19:Z$164,ETANCHEITE!$F$19:$F$164),"")</f>
        <v xml:space="preserve">   </v>
      </c>
      <c r="O60" s="168" t="str">
        <f>IFERROR(VLOOKUP(J60,ETANCHEITE!Z$19:AB$164,2,FALSE),"")&amp;" "&amp;IFERROR(VLOOKUP(J60,ETANCHEITE!Z$19:AB$164,3,FALSE),"")</f>
        <v xml:space="preserve"> </v>
      </c>
      <c r="P60" s="161" t="str">
        <f>IF(O60&lt;&gt;" ",'Feuille de Donnée'!$C$3,"")</f>
        <v/>
      </c>
      <c r="Q60" s="232" t="str" cm="1">
        <f t="array" aca="1" ref="Q60" ca="1">IFERROR(IF(_xlfn.XLOOKUP(J60,ETANCHEITE!Z$19:Z$89,ETANCHEITE!X$19:X$89,"")&lt;&gt;"",_xlfn.XLOOKUP(J60,ETANCHEITE!Z$19:Z$89,ETANCHEITE!X$19:X$89,""),    INDEX(ETANCHEITE!X:X,MAX(_xlfn._xlws.FILTER(ROW(ETANCHEITE!X$19:INDIRECT("'PEINTURE'!O" &amp; M60-1)),ETANCHEITE!X$19:INDIRECT("'PEINTURE'!O" &amp; M60-1)&lt;&gt;"")))),"")</f>
        <v/>
      </c>
      <c r="R60" s="233" t="str" cm="1">
        <f t="array" aca="1" ref="R60" ca="1">IFERROR(IF(_xlfn.XLOOKUP(J60,ETANCHEITE!Z$19:Z$89,ETANCHEITE!Y$19:Y$89,"")&lt;&gt;"",_xlfn.XLOOKUP(J60,ETANCHEITE!Z$19:Z$89,ETANCHEITE!Y$19:Y$89,""),    INDEX(ETANCHEITE!Y:Y,MAX(_xlfn._xlws.FILTER(ROW(ETANCHEITE!Y$19:INDIRECT("'PEINTURE'!P" &amp; M60-1)),ETANCHEITE!Y$19:INDIRECT("'PEINTURE'!P" &amp; M60-1)&lt;&gt;"")))),"")</f>
        <v/>
      </c>
      <c r="S60" s="158">
        <v>58</v>
      </c>
      <c r="T60" s="167" t="str">
        <f>IF(X60&lt;&gt;" ",ETANCHEITE!$D$5,"")</f>
        <v/>
      </c>
      <c r="U60" s="167" t="str">
        <f>IF(X60&lt;&gt;" ",ETANCHEITE!$D$8,"")</f>
        <v/>
      </c>
      <c r="V60" s="159" t="str">
        <f>IFERROR(MATCH(S60,ETANCHEITE!AI$19:AI$164,0)+18,"")</f>
        <v/>
      </c>
      <c r="W60" s="160" t="str" cm="1">
        <f t="array" aca="1" ref="W60" ca="1">IFERROR(IF(_xlfn.XLOOKUP(S60,ETANCHEITE!AI$19:AI$164,ETANCHEITE!$A$19:$A$164,"")&lt;&gt;"",_xlfn.XLOOKUP(S60,ETANCHEITE!AI$19:AI$164,ETANCHEITE!$A$19:$A$164,""),    INDEX(ETANCHEITE!$A:$A,MAX(_xlfn._xlws.FILTER(ROW(ETANCHEITE!$A$19:INDIRECT("'MENUISERIES EXTERIEURES'!$A" &amp; V60-1)),ETANCHEITE!$A$19:INDIRECT("'MENUISERIES EXTERIEURES'!$A" &amp; V60-1)&lt;&gt;"")))),"")&amp;"   "&amp;IFERROR(_xlfn.XLOOKUP(S60,ETANCHEITE!AI$19:AI$164,ETANCHEITE!$B$19:$B$164),"")&amp;IFERROR(_xlfn.XLOOKUP(S60,ETANCHEITE!AI$19:AI$164,ETANCHEITE!$C$19:$C$164),"")&amp;IFERROR(_xlfn.XLOOKUP(S60,ETANCHEITE!AI$19:AI$164,ETANCHEITE!$D$19:$D$164),"")&amp;IFERROR(_xlfn.XLOOKUP(S60,ETANCHEITE!AI$19:AI$164,ETANCHEITE!$E$19:$E$164),"")&amp;IFERROR(_xlfn.XLOOKUP(S60,ETANCHEITE!AI$19:AI$164,ETANCHEITE!$F$19:$F$164),"")</f>
        <v xml:space="preserve">   </v>
      </c>
      <c r="X60" s="168" t="str">
        <f>IFERROR(VLOOKUP(S60,ETANCHEITE!AI$19:AK$164,2,FALSE),"")&amp;" "&amp;IFERROR(VLOOKUP(S60,ETANCHEITE!AI$19:AK$164,3,FALSE),"")</f>
        <v xml:space="preserve"> </v>
      </c>
      <c r="Y60" s="161" t="str">
        <f>IF(X60&lt;&gt;" ",'Feuille de Donnée'!$C$3,"")</f>
        <v/>
      </c>
      <c r="Z60" s="232" t="str" cm="1">
        <f t="array" aca="1" ref="Z60" ca="1">IFERROR(IF(_xlfn.XLOOKUP(S60,ETANCHEITE!AI$19:AI$89,ETANCHEITE!AG$19:AG$89,"")&lt;&gt;"",_xlfn.XLOOKUP(S60,ETANCHEITE!AI$19:AI$89,ETANCHEITE!AG$19:AG$89,""),    INDEX(ETANCHEITE!AG:AG,MAX(_xlfn._xlws.FILTER(ROW(ETANCHEITE!AG$19:INDIRECT("'PEINTURE'!O" &amp; V60-1)),ETANCHEITE!AG$19:INDIRECT("'PEINTURE'!O" &amp; V60-1)&lt;&gt;"")))),"")</f>
        <v/>
      </c>
      <c r="AA60" s="233" t="str" cm="1">
        <f t="array" aca="1" ref="AA60" ca="1">IFERROR(IF(_xlfn.XLOOKUP(S60,ETANCHEITE!AI$19:AI$89,ETANCHEITE!AH$19:AH$89,"")&lt;&gt;"",_xlfn.XLOOKUP(S60,ETANCHEITE!AI$19:AI$89,ETANCHEITE!AH$19:AH$89,""),    INDEX(ETANCHEITE!AH:AH,MAX(_xlfn._xlws.FILTER(ROW(ETANCHEITE!AH$19:INDIRECT("'PEINTURE'!P" &amp; V60-1)),ETANCHEITE!AH$19:INDIRECT("'PEINTURE'!P" &amp; V60-1)&lt;&gt;"")))),"")</f>
        <v/>
      </c>
      <c r="AB60" s="158">
        <v>58</v>
      </c>
      <c r="AC60" s="167" t="str">
        <f>IF(AG60&lt;&gt;" ",ETANCHEITE!$D$5,"")</f>
        <v/>
      </c>
      <c r="AD60" s="167" t="str">
        <f>IF(AG60&lt;&gt;" ",ETANCHEITE!$D$8,"")</f>
        <v/>
      </c>
      <c r="AE60" s="159" t="str">
        <f>IFERROR(MATCH(AB60,ETANCHEITE!AR$19:AR$164,0)+18,"")</f>
        <v/>
      </c>
      <c r="AF60" s="160" t="str" cm="1">
        <f t="array" aca="1" ref="AF60" ca="1">IFERROR(IF(_xlfn.XLOOKUP(AB60,ETANCHEITE!AR$19:AR$164,ETANCHEITE!$A$19:$A$164,"")&lt;&gt;"",_xlfn.XLOOKUP(AB60,ETANCHEITE!AR$19:AR$164,ETANCHEITE!$A$19:$A$164,""),    INDEX(ETANCHEITE!$A:$A,MAX(_xlfn._xlws.FILTER(ROW(ETANCHEITE!$A$19:INDIRECT("'MENUISERIES EXTERIEURES'!$A" &amp; AE60-1)),ETANCHEITE!$A$19:INDIRECT("'MENUISERIES EXTERIEURES'!$A" &amp; AE60-1)&lt;&gt;"")))),"")&amp;"   "&amp;IFERROR(_xlfn.XLOOKUP(AB60,ETANCHEITE!AR$19:AR$164,ETANCHEITE!$B$19:$B$164),"")&amp;IFERROR(_xlfn.XLOOKUP(AB60,ETANCHEITE!AR$19:AR$164,ETANCHEITE!$C$19:$C$164),"")&amp;IFERROR(_xlfn.XLOOKUP(AB60,ETANCHEITE!AR$19:AR$164,ETANCHEITE!$D$19:$D$164),"")&amp;IFERROR(_xlfn.XLOOKUP(AB60,ETANCHEITE!AR$19:AR$164,ETANCHEITE!$E$19:$E$164),"")&amp;IFERROR(_xlfn.XLOOKUP(AB60,ETANCHEITE!AR$19:AR$164,ETANCHEITE!$F$19:$F$164),"")</f>
        <v xml:space="preserve">   </v>
      </c>
      <c r="AG60" s="168" t="str">
        <f>IFERROR(VLOOKUP(AB60,ETANCHEITE!AR$19:AT$164,2,FALSE),"")&amp;" "&amp;IFERROR(VLOOKUP(AB60,ETANCHEITE!AR$19:AT$164,3,FALSE),"")</f>
        <v xml:space="preserve"> </v>
      </c>
      <c r="AH60" s="161" t="str">
        <f>IF(AG60&lt;&gt;" ",'Feuille de Donnée'!$C$3,"")</f>
        <v/>
      </c>
      <c r="AI60" s="232" t="str" cm="1">
        <f t="array" aca="1" ref="AI60" ca="1">IFERROR(IF(_xlfn.XLOOKUP(AB60,ETANCHEITE!AR$19:AR$89,ETANCHEITE!AP$19:AP$89,"")&lt;&gt;"",_xlfn.XLOOKUP(AB60,ETANCHEITE!AR$19:AR$89,ETANCHEITE!AP$19:AP$89,""),    INDEX(ETANCHEITE!AP:AP,MAX(_xlfn._xlws.FILTER(ROW(ETANCHEITE!AP$19:INDIRECT("'PEINTURE'!O" &amp; AE60-1)),ETANCHEITE!AP$19:INDIRECT("'PEINTURE'!O" &amp; AE60-1)&lt;&gt;"")))),"")</f>
        <v/>
      </c>
      <c r="AJ60" s="233" t="str" cm="1">
        <f t="array" aca="1" ref="AJ60" ca="1">IFERROR(IF(_xlfn.XLOOKUP(AB60,ETANCHEITE!AR$19:AR$89,ETANCHEITE!AQ$19:AQ$89,"")&lt;&gt;"",_xlfn.XLOOKUP(AB60,ETANCHEITE!AR$19:AR$89,ETANCHEITE!AQ$19:AQ$89,""),    INDEX(ETANCHEITE!AQ:AQ,MAX(_xlfn._xlws.FILTER(ROW(ETANCHEITE!AQ$19:INDIRECT("'PEINTURE'!P" &amp; AE60-1)),ETANCHEITE!AQ$19:INDIRECT("'PEINTURE'!P" &amp; AE60-1)&lt;&gt;"")))),"")</f>
        <v/>
      </c>
      <c r="AK60" s="158">
        <v>58</v>
      </c>
      <c r="AL60" s="167" t="str">
        <f>IF(AP60&lt;&gt;" ",ETANCHEITE!$D$5,"")</f>
        <v/>
      </c>
      <c r="AM60" s="167" t="str">
        <f>IF(AP60&lt;&gt;" ",ETANCHEITE!$D$8,"")</f>
        <v/>
      </c>
      <c r="AN60" s="159" t="str">
        <f>IFERROR(MATCH(AK60,ETANCHEITE!BA$19:BA$164,0)+18,"")</f>
        <v/>
      </c>
      <c r="AO60" s="160" t="str" cm="1">
        <f t="array" aca="1" ref="AO60" ca="1">IFERROR(IF(_xlfn.XLOOKUP(AK60,ETANCHEITE!BA$19:BA$164,ETANCHEITE!$A$19:$A$164,"")&lt;&gt;"",_xlfn.XLOOKUP(AK60,ETANCHEITE!BA$19:BA$164,ETANCHEITE!$A$19:$A$164,""),    INDEX(ETANCHEITE!$A:$A,MAX(_xlfn._xlws.FILTER(ROW(ETANCHEITE!$A$19:INDIRECT("'MENUISERIES EXTERIEURES'!$A" &amp; AN60-1)),ETANCHEITE!$A$19:INDIRECT("'MENUISERIES EXTERIEURES'!$A" &amp; AN60-1)&lt;&gt;"")))),"")&amp;"   "&amp;IFERROR(_xlfn.XLOOKUP(AK60,ETANCHEITE!BA$19:BA$164,ETANCHEITE!$B$19:$B$164),"")&amp;IFERROR(_xlfn.XLOOKUP(AK60,ETANCHEITE!BA$19:BA$164,ETANCHEITE!$C$19:$C$164),"")&amp;IFERROR(_xlfn.XLOOKUP(AK60,ETANCHEITE!BA$19:BA$164,ETANCHEITE!$D$19:$D$164),"")&amp;IFERROR(_xlfn.XLOOKUP(AK60,ETANCHEITE!BA$19:BA$164,ETANCHEITE!$E$19:$E$164),"")&amp;IFERROR(_xlfn.XLOOKUP(AK60,ETANCHEITE!BA$19:BA$164,ETANCHEITE!$F$19:$F$164),"")</f>
        <v xml:space="preserve">   </v>
      </c>
      <c r="AP60" s="168" t="str">
        <f>IFERROR(VLOOKUP(AK60,ETANCHEITE!BA$19:BC$164,2,FALSE),"")&amp;" "&amp;IFERROR(VLOOKUP(AK60,ETANCHEITE!BA$19:BC$164,3,FALSE),"")</f>
        <v xml:space="preserve"> </v>
      </c>
      <c r="AQ60" s="161" t="str">
        <f>IF(AP60&lt;&gt;" ",'Feuille de Donnée'!$C$3,"")</f>
        <v/>
      </c>
      <c r="AR60" s="232" t="str" cm="1">
        <f t="array" aca="1" ref="AR60" ca="1">IFERROR(IF(_xlfn.XLOOKUP(AK60,ETANCHEITE!BA$19:BA$89,ETANCHEITE!AY$19:AY$89,"")&lt;&gt;"",_xlfn.XLOOKUP(AK60,ETANCHEITE!BA$19:BA$89,ETANCHEITE!AY$19:AY$89,""),    INDEX(ETANCHEITE!AY:AY,MAX(_xlfn._xlws.FILTER(ROW(ETANCHEITE!AY$19:INDIRECT("'PEINTURE'!O" &amp; AN60-1)),ETANCHEITE!AY$19:INDIRECT("'PEINTURE'!O" &amp; AN60-1)&lt;&gt;"")))),"")</f>
        <v/>
      </c>
      <c r="AS60" s="233" t="str" cm="1">
        <f t="array" aca="1" ref="AS60" ca="1">IFERROR(IF(_xlfn.XLOOKUP(AK60,ETANCHEITE!BA$19:BA$89,ETANCHEITE!AZ$19:AZ$89,"")&lt;&gt;"",_xlfn.XLOOKUP(AK60,ETANCHEITE!BA$19:BA$89,ETANCHEITE!AZ$19:AZ$89,""),    INDEX(ETANCHEITE!AZ:AZ,MAX(_xlfn._xlws.FILTER(ROW(ETANCHEITE!AZ$19:INDIRECT("'PEINTURE'!P" &amp; AN60-1)),ETANCHEITE!AZ$19:INDIRECT("'PEINTURE'!P" &amp; AN60-1)&lt;&gt;"")))),"")</f>
        <v/>
      </c>
      <c r="AT60" s="158">
        <v>58</v>
      </c>
      <c r="AU60" s="167" t="str">
        <f>IF(AY60&lt;&gt;" ",ETANCHEITE!$D$5,"")</f>
        <v/>
      </c>
      <c r="AV60" s="167" t="str">
        <f>IF(AY60&lt;&gt;" ",ETANCHEITE!$D$8,"")</f>
        <v/>
      </c>
      <c r="AW60" s="159" t="str">
        <f>IFERROR(MATCH(AT60,ETANCHEITE!BJ$19:BJ$164,0)+18,"")</f>
        <v/>
      </c>
      <c r="AX60" s="160" t="str" cm="1">
        <f t="array" aca="1" ref="AX60" ca="1">IFERROR(IF(_xlfn.XLOOKUP(AT60,ETANCHEITE!BJ$19:BJ$164,ETANCHEITE!$A$19:$A$164,"")&lt;&gt;"",_xlfn.XLOOKUP(AT60,ETANCHEITE!BJ$19:BJ$164,ETANCHEITE!$A$19:$A$164,""),    INDEX(ETANCHEITE!$A:$A,MAX(_xlfn._xlws.FILTER(ROW(ETANCHEITE!$A$19:INDIRECT("'MENUISERIES EXTERIEURES'!$A" &amp; AW60-1)),ETANCHEITE!$A$19:INDIRECT("'MENUISERIES EXTERIEURES'!$A" &amp; AW60-1)&lt;&gt;"")))),"")&amp;"   "&amp;IFERROR(_xlfn.XLOOKUP(AT60,ETANCHEITE!BJ$19:BJ$164,ETANCHEITE!$B$19:$B$164),"")&amp;IFERROR(_xlfn.XLOOKUP(AT60,ETANCHEITE!BJ$19:BJ$164,ETANCHEITE!$C$19:$C$164),"")&amp;IFERROR(_xlfn.XLOOKUP(AT60,ETANCHEITE!BJ$19:BJ$164,ETANCHEITE!$D$19:$D$164),"")&amp;IFERROR(_xlfn.XLOOKUP(AT60,ETANCHEITE!BJ$19:BJ$164,ETANCHEITE!$E$19:$E$164),"")&amp;IFERROR(_xlfn.XLOOKUP(AT60,ETANCHEITE!BJ$19:BJ$164,ETANCHEITE!$F$19:$F$164),"")</f>
        <v xml:space="preserve">   </v>
      </c>
      <c r="AY60" s="168" t="str">
        <f>IFERROR(VLOOKUP(AT60,ETANCHEITE!BJ$19:BL$164,2,FALSE),"")&amp;" "&amp;IFERROR(VLOOKUP(AT60,ETANCHEITE!BJ$19:BL$164,3,FALSE),"")</f>
        <v xml:space="preserve"> </v>
      </c>
      <c r="AZ60" s="161" t="str">
        <f>IF(AY60&lt;&gt;" ",'Feuille de Donnée'!$C$3,"")</f>
        <v/>
      </c>
      <c r="BA60" s="232" t="str" cm="1">
        <f t="array" aca="1" ref="BA60" ca="1">IFERROR(IF(_xlfn.XLOOKUP(AT60,ETANCHEITE!BJ$19:BJ$89,ETANCHEITE!BH$19:BH$89,"")&lt;&gt;"",_xlfn.XLOOKUP(AT60,ETANCHEITE!BJ$19:BJ$89,ETANCHEITE!BH$19:BH$89,""),    INDEX(ETANCHEITE!BH:BH,MAX(_xlfn._xlws.FILTER(ROW(ETANCHEITE!BH$19:INDIRECT("'PEINTURE'!O" &amp; AW60-1)),ETANCHEITE!BH$19:INDIRECT("'PEINTURE'!O" &amp; AW60-1)&lt;&gt;"")))),"")</f>
        <v/>
      </c>
      <c r="BB60" s="233" t="str" cm="1">
        <f t="array" aca="1" ref="BB60" ca="1">IFERROR(IF(_xlfn.XLOOKUP(AT60,ETANCHEITE!BJ$19:BJ$89,ETANCHEITE!BI$19:BI$89,"")&lt;&gt;"",_xlfn.XLOOKUP(AT60,ETANCHEITE!BJ$19:BJ$89,ETANCHEITE!BI$19:BI$89,""),    INDEX(ETANCHEITE!BI:BI,MAX(_xlfn._xlws.FILTER(ROW(ETANCHEITE!BI$19:INDIRECT("'PEINTURE'!P" &amp; AW60-1)),ETANCHEITE!BI$19:INDIRECT("'PEINTURE'!P" &amp; AW60-1)&lt;&gt;"")))),"")</f>
        <v/>
      </c>
    </row>
    <row r="61" spans="1:54" x14ac:dyDescent="0.3">
      <c r="A61" s="158">
        <v>59</v>
      </c>
      <c r="B61" s="167" t="str">
        <f>IF(F61&lt;&gt;" ",ETANCHEITE!$D$5,"")</f>
        <v/>
      </c>
      <c r="C61" s="167" t="str">
        <f>IF(F61&lt;&gt;" ",ETANCHEITE!$D$8,"")</f>
        <v/>
      </c>
      <c r="D61" s="159" t="str">
        <f>IFERROR(MATCH(A61,ETANCHEITE!Q$19:Q$164,0)+18,"")</f>
        <v/>
      </c>
      <c r="E61" s="160" t="str" cm="1">
        <f t="array" aca="1" ref="E61" ca="1">IFERROR(IF(_xlfn.XLOOKUP(A61,ETANCHEITE!Q$19:Q$164,ETANCHEITE!$A$19:$A$164,"")&lt;&gt;"",_xlfn.XLOOKUP(A61,ETANCHEITE!Q$19:Q$164,ETANCHEITE!$A$19:$A$164,""),    INDEX(ETANCHEITE!$A:$A,MAX(_xlfn._xlws.FILTER(ROW(ETANCHEITE!$A$19:INDIRECT("'MENUISERIES EXTERIEURES'!$A" &amp; D61-1)),ETANCHEITE!$A$19:INDIRECT("'MENUISERIES EXTERIEURES'!$A" &amp; D61-1)&lt;&gt;"")))),"")&amp;"   "&amp;IFERROR(_xlfn.XLOOKUP(A61,ETANCHEITE!Q$19:Q$164,ETANCHEITE!$B$19:$B$164),"")&amp;IFERROR(_xlfn.XLOOKUP(A61,ETANCHEITE!Q$19:Q$164,ETANCHEITE!$C$19:$C$164),"")&amp;IFERROR(_xlfn.XLOOKUP(A61,ETANCHEITE!Q$19:Q$164,ETANCHEITE!$D$19:$D$164),"")&amp;IFERROR(_xlfn.XLOOKUP(A61,ETANCHEITE!Q$19:Q$164,ETANCHEITE!$E$19:$E$164),"")&amp;IFERROR(_xlfn.XLOOKUP(A61,ETANCHEITE!Q$19:Q$164,ETANCHEITE!$F$19:$F$164),"")</f>
        <v xml:space="preserve">   </v>
      </c>
      <c r="F61" s="168" t="str">
        <f>IFERROR(VLOOKUP(A61,ETANCHEITE!Q$19:S$164,2,FALSE),"")&amp;" "&amp;IFERROR(VLOOKUP(A61,ETANCHEITE!Q$19:S$164,3,FALSE),"")</f>
        <v xml:space="preserve"> </v>
      </c>
      <c r="G61" s="161" t="str">
        <f>IF(F61&lt;&gt;" ",'Feuille de Donnée'!$C$3,"")</f>
        <v/>
      </c>
      <c r="H61" s="232" t="str" cm="1">
        <f t="array" aca="1" ref="H61" ca="1">IFERROR(IF(_xlfn.XLOOKUP(A61,ETANCHEITE!Q$19:Q$89,ETANCHEITE!O$19:O$89,"")&lt;&gt;"",_xlfn.XLOOKUP(A61,ETANCHEITE!Q$19:Q$89,ETANCHEITE!O$19:O$89,""),    INDEX(ETANCHEITE!O:O,MAX(_xlfn._xlws.FILTER(ROW(ETANCHEITE!O$19:INDIRECT("'PEINTURE'!O" &amp; D61-1)),ETANCHEITE!O$19:INDIRECT("'PEINTURE'!O" &amp; D61-1)&lt;&gt;"")))),"")</f>
        <v/>
      </c>
      <c r="I61" s="233" t="str" cm="1">
        <f t="array" aca="1" ref="I61" ca="1">IFERROR(IF(_xlfn.XLOOKUP(A61,ETANCHEITE!Q$19:Q$89,ETANCHEITE!P$19:P$89,"")&lt;&gt;"",_xlfn.XLOOKUP(A61,ETANCHEITE!Q$19:Q$89,ETANCHEITE!P$19:P$89,""),    INDEX(ETANCHEITE!P:P,MAX(_xlfn._xlws.FILTER(ROW(ETANCHEITE!P$19:INDIRECT("'PEINTURE'!P" &amp; D61-1)),ETANCHEITE!P$19:INDIRECT("'PEINTURE'!P" &amp; D61-1)&lt;&gt;"")))),"")</f>
        <v/>
      </c>
      <c r="J61" s="158">
        <v>59</v>
      </c>
      <c r="K61" s="167" t="str">
        <f>IF(O61&lt;&gt;" ",ETANCHEITE!$D$5,"")</f>
        <v/>
      </c>
      <c r="L61" s="167" t="str">
        <f>IF(O61&lt;&gt;" ",ETANCHEITE!$D$8,"")</f>
        <v/>
      </c>
      <c r="M61" s="159" t="str">
        <f>IFERROR(MATCH(J61,ETANCHEITE!Z$19:Z$164,0)+18,"")</f>
        <v/>
      </c>
      <c r="N61" s="160" t="str" cm="1">
        <f t="array" aca="1" ref="N61" ca="1">IFERROR(IF(_xlfn.XLOOKUP(J61,ETANCHEITE!Z$19:Z$164,ETANCHEITE!$A$19:$A$164,"")&lt;&gt;"",_xlfn.XLOOKUP(J61,ETANCHEITE!Z$19:Z$164,ETANCHEITE!$A$19:$A$164,""),    INDEX(ETANCHEITE!$A:$A,MAX(_xlfn._xlws.FILTER(ROW(ETANCHEITE!$A$19:INDIRECT("'MENUISERIES EXTERIEURES'!$A" &amp; M61-1)),ETANCHEITE!$A$19:INDIRECT("'MENUISERIES EXTERIEURES'!$A" &amp; M61-1)&lt;&gt;"")))),"")&amp;"   "&amp;IFERROR(_xlfn.XLOOKUP(J61,ETANCHEITE!Z$19:Z$164,ETANCHEITE!$B$19:$B$164),"")&amp;IFERROR(_xlfn.XLOOKUP(J61,ETANCHEITE!Z$19:Z$164,ETANCHEITE!$C$19:$C$164),"")&amp;IFERROR(_xlfn.XLOOKUP(J61,ETANCHEITE!Z$19:Z$164,ETANCHEITE!$D$19:$D$164),"")&amp;IFERROR(_xlfn.XLOOKUP(J61,ETANCHEITE!Z$19:Z$164,ETANCHEITE!$E$19:$E$164),"")&amp;IFERROR(_xlfn.XLOOKUP(J61,ETANCHEITE!Z$19:Z$164,ETANCHEITE!$F$19:$F$164),"")</f>
        <v xml:space="preserve">   </v>
      </c>
      <c r="O61" s="168" t="str">
        <f>IFERROR(VLOOKUP(J61,ETANCHEITE!Z$19:AB$164,2,FALSE),"")&amp;" "&amp;IFERROR(VLOOKUP(J61,ETANCHEITE!Z$19:AB$164,3,FALSE),"")</f>
        <v xml:space="preserve"> </v>
      </c>
      <c r="P61" s="161" t="str">
        <f>IF(O61&lt;&gt;" ",'Feuille de Donnée'!$C$3,"")</f>
        <v/>
      </c>
      <c r="Q61" s="232" t="str" cm="1">
        <f t="array" aca="1" ref="Q61" ca="1">IFERROR(IF(_xlfn.XLOOKUP(J61,ETANCHEITE!Z$19:Z$89,ETANCHEITE!X$19:X$89,"")&lt;&gt;"",_xlfn.XLOOKUP(J61,ETANCHEITE!Z$19:Z$89,ETANCHEITE!X$19:X$89,""),    INDEX(ETANCHEITE!X:X,MAX(_xlfn._xlws.FILTER(ROW(ETANCHEITE!X$19:INDIRECT("'PEINTURE'!O" &amp; M61-1)),ETANCHEITE!X$19:INDIRECT("'PEINTURE'!O" &amp; M61-1)&lt;&gt;"")))),"")</f>
        <v/>
      </c>
      <c r="R61" s="233" t="str" cm="1">
        <f t="array" aca="1" ref="R61" ca="1">IFERROR(IF(_xlfn.XLOOKUP(J61,ETANCHEITE!Z$19:Z$89,ETANCHEITE!Y$19:Y$89,"")&lt;&gt;"",_xlfn.XLOOKUP(J61,ETANCHEITE!Z$19:Z$89,ETANCHEITE!Y$19:Y$89,""),    INDEX(ETANCHEITE!Y:Y,MAX(_xlfn._xlws.FILTER(ROW(ETANCHEITE!Y$19:INDIRECT("'PEINTURE'!P" &amp; M61-1)),ETANCHEITE!Y$19:INDIRECT("'PEINTURE'!P" &amp; M61-1)&lt;&gt;"")))),"")</f>
        <v/>
      </c>
      <c r="S61" s="158">
        <v>59</v>
      </c>
      <c r="T61" s="167" t="str">
        <f>IF(X61&lt;&gt;" ",ETANCHEITE!$D$5,"")</f>
        <v/>
      </c>
      <c r="U61" s="167" t="str">
        <f>IF(X61&lt;&gt;" ",ETANCHEITE!$D$8,"")</f>
        <v/>
      </c>
      <c r="V61" s="159" t="str">
        <f>IFERROR(MATCH(S61,ETANCHEITE!AI$19:AI$164,0)+18,"")</f>
        <v/>
      </c>
      <c r="W61" s="160" t="str" cm="1">
        <f t="array" aca="1" ref="W61" ca="1">IFERROR(IF(_xlfn.XLOOKUP(S61,ETANCHEITE!AI$19:AI$164,ETANCHEITE!$A$19:$A$164,"")&lt;&gt;"",_xlfn.XLOOKUP(S61,ETANCHEITE!AI$19:AI$164,ETANCHEITE!$A$19:$A$164,""),    INDEX(ETANCHEITE!$A:$A,MAX(_xlfn._xlws.FILTER(ROW(ETANCHEITE!$A$19:INDIRECT("'MENUISERIES EXTERIEURES'!$A" &amp; V61-1)),ETANCHEITE!$A$19:INDIRECT("'MENUISERIES EXTERIEURES'!$A" &amp; V61-1)&lt;&gt;"")))),"")&amp;"   "&amp;IFERROR(_xlfn.XLOOKUP(S61,ETANCHEITE!AI$19:AI$164,ETANCHEITE!$B$19:$B$164),"")&amp;IFERROR(_xlfn.XLOOKUP(S61,ETANCHEITE!AI$19:AI$164,ETANCHEITE!$C$19:$C$164),"")&amp;IFERROR(_xlfn.XLOOKUP(S61,ETANCHEITE!AI$19:AI$164,ETANCHEITE!$D$19:$D$164),"")&amp;IFERROR(_xlfn.XLOOKUP(S61,ETANCHEITE!AI$19:AI$164,ETANCHEITE!$E$19:$E$164),"")&amp;IFERROR(_xlfn.XLOOKUP(S61,ETANCHEITE!AI$19:AI$164,ETANCHEITE!$F$19:$F$164),"")</f>
        <v xml:space="preserve">   </v>
      </c>
      <c r="X61" s="168" t="str">
        <f>IFERROR(VLOOKUP(S61,ETANCHEITE!AI$19:AK$164,2,FALSE),"")&amp;" "&amp;IFERROR(VLOOKUP(S61,ETANCHEITE!AI$19:AK$164,3,FALSE),"")</f>
        <v xml:space="preserve"> </v>
      </c>
      <c r="Y61" s="161" t="str">
        <f>IF(X61&lt;&gt;" ",'Feuille de Donnée'!$C$3,"")</f>
        <v/>
      </c>
      <c r="Z61" s="232" t="str" cm="1">
        <f t="array" aca="1" ref="Z61" ca="1">IFERROR(IF(_xlfn.XLOOKUP(S61,ETANCHEITE!AI$19:AI$89,ETANCHEITE!AG$19:AG$89,"")&lt;&gt;"",_xlfn.XLOOKUP(S61,ETANCHEITE!AI$19:AI$89,ETANCHEITE!AG$19:AG$89,""),    INDEX(ETANCHEITE!AG:AG,MAX(_xlfn._xlws.FILTER(ROW(ETANCHEITE!AG$19:INDIRECT("'PEINTURE'!O" &amp; V61-1)),ETANCHEITE!AG$19:INDIRECT("'PEINTURE'!O" &amp; V61-1)&lt;&gt;"")))),"")</f>
        <v/>
      </c>
      <c r="AA61" s="233" t="str" cm="1">
        <f t="array" aca="1" ref="AA61" ca="1">IFERROR(IF(_xlfn.XLOOKUP(S61,ETANCHEITE!AI$19:AI$89,ETANCHEITE!AH$19:AH$89,"")&lt;&gt;"",_xlfn.XLOOKUP(S61,ETANCHEITE!AI$19:AI$89,ETANCHEITE!AH$19:AH$89,""),    INDEX(ETANCHEITE!AH:AH,MAX(_xlfn._xlws.FILTER(ROW(ETANCHEITE!AH$19:INDIRECT("'PEINTURE'!P" &amp; V61-1)),ETANCHEITE!AH$19:INDIRECT("'PEINTURE'!P" &amp; V61-1)&lt;&gt;"")))),"")</f>
        <v/>
      </c>
      <c r="AB61" s="158">
        <v>59</v>
      </c>
      <c r="AC61" s="167" t="str">
        <f>IF(AG61&lt;&gt;" ",ETANCHEITE!$D$5,"")</f>
        <v/>
      </c>
      <c r="AD61" s="167" t="str">
        <f>IF(AG61&lt;&gt;" ",ETANCHEITE!$D$8,"")</f>
        <v/>
      </c>
      <c r="AE61" s="159" t="str">
        <f>IFERROR(MATCH(AB61,ETANCHEITE!AR$19:AR$164,0)+18,"")</f>
        <v/>
      </c>
      <c r="AF61" s="160" t="str" cm="1">
        <f t="array" aca="1" ref="AF61" ca="1">IFERROR(IF(_xlfn.XLOOKUP(AB61,ETANCHEITE!AR$19:AR$164,ETANCHEITE!$A$19:$A$164,"")&lt;&gt;"",_xlfn.XLOOKUP(AB61,ETANCHEITE!AR$19:AR$164,ETANCHEITE!$A$19:$A$164,""),    INDEX(ETANCHEITE!$A:$A,MAX(_xlfn._xlws.FILTER(ROW(ETANCHEITE!$A$19:INDIRECT("'MENUISERIES EXTERIEURES'!$A" &amp; AE61-1)),ETANCHEITE!$A$19:INDIRECT("'MENUISERIES EXTERIEURES'!$A" &amp; AE61-1)&lt;&gt;"")))),"")&amp;"   "&amp;IFERROR(_xlfn.XLOOKUP(AB61,ETANCHEITE!AR$19:AR$164,ETANCHEITE!$B$19:$B$164),"")&amp;IFERROR(_xlfn.XLOOKUP(AB61,ETANCHEITE!AR$19:AR$164,ETANCHEITE!$C$19:$C$164),"")&amp;IFERROR(_xlfn.XLOOKUP(AB61,ETANCHEITE!AR$19:AR$164,ETANCHEITE!$D$19:$D$164),"")&amp;IFERROR(_xlfn.XLOOKUP(AB61,ETANCHEITE!AR$19:AR$164,ETANCHEITE!$E$19:$E$164),"")&amp;IFERROR(_xlfn.XLOOKUP(AB61,ETANCHEITE!AR$19:AR$164,ETANCHEITE!$F$19:$F$164),"")</f>
        <v xml:space="preserve">   </v>
      </c>
      <c r="AG61" s="168" t="str">
        <f>IFERROR(VLOOKUP(AB61,ETANCHEITE!AR$19:AT$164,2,FALSE),"")&amp;" "&amp;IFERROR(VLOOKUP(AB61,ETANCHEITE!AR$19:AT$164,3,FALSE),"")</f>
        <v xml:space="preserve"> </v>
      </c>
      <c r="AH61" s="161" t="str">
        <f>IF(AG61&lt;&gt;" ",'Feuille de Donnée'!$C$3,"")</f>
        <v/>
      </c>
      <c r="AI61" s="232" t="str" cm="1">
        <f t="array" aca="1" ref="AI61" ca="1">IFERROR(IF(_xlfn.XLOOKUP(AB61,ETANCHEITE!AR$19:AR$89,ETANCHEITE!AP$19:AP$89,"")&lt;&gt;"",_xlfn.XLOOKUP(AB61,ETANCHEITE!AR$19:AR$89,ETANCHEITE!AP$19:AP$89,""),    INDEX(ETANCHEITE!AP:AP,MAX(_xlfn._xlws.FILTER(ROW(ETANCHEITE!AP$19:INDIRECT("'PEINTURE'!O" &amp; AE61-1)),ETANCHEITE!AP$19:INDIRECT("'PEINTURE'!O" &amp; AE61-1)&lt;&gt;"")))),"")</f>
        <v/>
      </c>
      <c r="AJ61" s="233" t="str" cm="1">
        <f t="array" aca="1" ref="AJ61" ca="1">IFERROR(IF(_xlfn.XLOOKUP(AB61,ETANCHEITE!AR$19:AR$89,ETANCHEITE!AQ$19:AQ$89,"")&lt;&gt;"",_xlfn.XLOOKUP(AB61,ETANCHEITE!AR$19:AR$89,ETANCHEITE!AQ$19:AQ$89,""),    INDEX(ETANCHEITE!AQ:AQ,MAX(_xlfn._xlws.FILTER(ROW(ETANCHEITE!AQ$19:INDIRECT("'PEINTURE'!P" &amp; AE61-1)),ETANCHEITE!AQ$19:INDIRECT("'PEINTURE'!P" &amp; AE61-1)&lt;&gt;"")))),"")</f>
        <v/>
      </c>
      <c r="AK61" s="158">
        <v>59</v>
      </c>
      <c r="AL61" s="167" t="str">
        <f>IF(AP61&lt;&gt;" ",ETANCHEITE!$D$5,"")</f>
        <v/>
      </c>
      <c r="AM61" s="167" t="str">
        <f>IF(AP61&lt;&gt;" ",ETANCHEITE!$D$8,"")</f>
        <v/>
      </c>
      <c r="AN61" s="159" t="str">
        <f>IFERROR(MATCH(AK61,ETANCHEITE!BA$19:BA$164,0)+18,"")</f>
        <v/>
      </c>
      <c r="AO61" s="160" t="str" cm="1">
        <f t="array" aca="1" ref="AO61" ca="1">IFERROR(IF(_xlfn.XLOOKUP(AK61,ETANCHEITE!BA$19:BA$164,ETANCHEITE!$A$19:$A$164,"")&lt;&gt;"",_xlfn.XLOOKUP(AK61,ETANCHEITE!BA$19:BA$164,ETANCHEITE!$A$19:$A$164,""),    INDEX(ETANCHEITE!$A:$A,MAX(_xlfn._xlws.FILTER(ROW(ETANCHEITE!$A$19:INDIRECT("'MENUISERIES EXTERIEURES'!$A" &amp; AN61-1)),ETANCHEITE!$A$19:INDIRECT("'MENUISERIES EXTERIEURES'!$A" &amp; AN61-1)&lt;&gt;"")))),"")&amp;"   "&amp;IFERROR(_xlfn.XLOOKUP(AK61,ETANCHEITE!BA$19:BA$164,ETANCHEITE!$B$19:$B$164),"")&amp;IFERROR(_xlfn.XLOOKUP(AK61,ETANCHEITE!BA$19:BA$164,ETANCHEITE!$C$19:$C$164),"")&amp;IFERROR(_xlfn.XLOOKUP(AK61,ETANCHEITE!BA$19:BA$164,ETANCHEITE!$D$19:$D$164),"")&amp;IFERROR(_xlfn.XLOOKUP(AK61,ETANCHEITE!BA$19:BA$164,ETANCHEITE!$E$19:$E$164),"")&amp;IFERROR(_xlfn.XLOOKUP(AK61,ETANCHEITE!BA$19:BA$164,ETANCHEITE!$F$19:$F$164),"")</f>
        <v xml:space="preserve">   </v>
      </c>
      <c r="AP61" s="168" t="str">
        <f>IFERROR(VLOOKUP(AK61,ETANCHEITE!BA$19:BC$164,2,FALSE),"")&amp;" "&amp;IFERROR(VLOOKUP(AK61,ETANCHEITE!BA$19:BC$164,3,FALSE),"")</f>
        <v xml:space="preserve"> </v>
      </c>
      <c r="AQ61" s="161" t="str">
        <f>IF(AP61&lt;&gt;" ",'Feuille de Donnée'!$C$3,"")</f>
        <v/>
      </c>
      <c r="AR61" s="232" t="str" cm="1">
        <f t="array" aca="1" ref="AR61" ca="1">IFERROR(IF(_xlfn.XLOOKUP(AK61,ETANCHEITE!BA$19:BA$89,ETANCHEITE!AY$19:AY$89,"")&lt;&gt;"",_xlfn.XLOOKUP(AK61,ETANCHEITE!BA$19:BA$89,ETANCHEITE!AY$19:AY$89,""),    INDEX(ETANCHEITE!AY:AY,MAX(_xlfn._xlws.FILTER(ROW(ETANCHEITE!AY$19:INDIRECT("'PEINTURE'!O" &amp; AN61-1)),ETANCHEITE!AY$19:INDIRECT("'PEINTURE'!O" &amp; AN61-1)&lt;&gt;"")))),"")</f>
        <v/>
      </c>
      <c r="AS61" s="233" t="str" cm="1">
        <f t="array" aca="1" ref="AS61" ca="1">IFERROR(IF(_xlfn.XLOOKUP(AK61,ETANCHEITE!BA$19:BA$89,ETANCHEITE!AZ$19:AZ$89,"")&lt;&gt;"",_xlfn.XLOOKUP(AK61,ETANCHEITE!BA$19:BA$89,ETANCHEITE!AZ$19:AZ$89,""),    INDEX(ETANCHEITE!AZ:AZ,MAX(_xlfn._xlws.FILTER(ROW(ETANCHEITE!AZ$19:INDIRECT("'PEINTURE'!P" &amp; AN61-1)),ETANCHEITE!AZ$19:INDIRECT("'PEINTURE'!P" &amp; AN61-1)&lt;&gt;"")))),"")</f>
        <v/>
      </c>
      <c r="AT61" s="158">
        <v>59</v>
      </c>
      <c r="AU61" s="167" t="str">
        <f>IF(AY61&lt;&gt;" ",ETANCHEITE!$D$5,"")</f>
        <v/>
      </c>
      <c r="AV61" s="167" t="str">
        <f>IF(AY61&lt;&gt;" ",ETANCHEITE!$D$8,"")</f>
        <v/>
      </c>
      <c r="AW61" s="159" t="str">
        <f>IFERROR(MATCH(AT61,ETANCHEITE!BJ$19:BJ$164,0)+18,"")</f>
        <v/>
      </c>
      <c r="AX61" s="160" t="str" cm="1">
        <f t="array" aca="1" ref="AX61" ca="1">IFERROR(IF(_xlfn.XLOOKUP(AT61,ETANCHEITE!BJ$19:BJ$164,ETANCHEITE!$A$19:$A$164,"")&lt;&gt;"",_xlfn.XLOOKUP(AT61,ETANCHEITE!BJ$19:BJ$164,ETANCHEITE!$A$19:$A$164,""),    INDEX(ETANCHEITE!$A:$A,MAX(_xlfn._xlws.FILTER(ROW(ETANCHEITE!$A$19:INDIRECT("'MENUISERIES EXTERIEURES'!$A" &amp; AW61-1)),ETANCHEITE!$A$19:INDIRECT("'MENUISERIES EXTERIEURES'!$A" &amp; AW61-1)&lt;&gt;"")))),"")&amp;"   "&amp;IFERROR(_xlfn.XLOOKUP(AT61,ETANCHEITE!BJ$19:BJ$164,ETANCHEITE!$B$19:$B$164),"")&amp;IFERROR(_xlfn.XLOOKUP(AT61,ETANCHEITE!BJ$19:BJ$164,ETANCHEITE!$C$19:$C$164),"")&amp;IFERROR(_xlfn.XLOOKUP(AT61,ETANCHEITE!BJ$19:BJ$164,ETANCHEITE!$D$19:$D$164),"")&amp;IFERROR(_xlfn.XLOOKUP(AT61,ETANCHEITE!BJ$19:BJ$164,ETANCHEITE!$E$19:$E$164),"")&amp;IFERROR(_xlfn.XLOOKUP(AT61,ETANCHEITE!BJ$19:BJ$164,ETANCHEITE!$F$19:$F$164),"")</f>
        <v xml:space="preserve">   </v>
      </c>
      <c r="AY61" s="168" t="str">
        <f>IFERROR(VLOOKUP(AT61,ETANCHEITE!BJ$19:BL$164,2,FALSE),"")&amp;" "&amp;IFERROR(VLOOKUP(AT61,ETANCHEITE!BJ$19:BL$164,3,FALSE),"")</f>
        <v xml:space="preserve"> </v>
      </c>
      <c r="AZ61" s="161" t="str">
        <f>IF(AY61&lt;&gt;" ",'Feuille de Donnée'!$C$3,"")</f>
        <v/>
      </c>
      <c r="BA61" s="232" t="str" cm="1">
        <f t="array" aca="1" ref="BA61" ca="1">IFERROR(IF(_xlfn.XLOOKUP(AT61,ETANCHEITE!BJ$19:BJ$89,ETANCHEITE!BH$19:BH$89,"")&lt;&gt;"",_xlfn.XLOOKUP(AT61,ETANCHEITE!BJ$19:BJ$89,ETANCHEITE!BH$19:BH$89,""),    INDEX(ETANCHEITE!BH:BH,MAX(_xlfn._xlws.FILTER(ROW(ETANCHEITE!BH$19:INDIRECT("'PEINTURE'!O" &amp; AW61-1)),ETANCHEITE!BH$19:INDIRECT("'PEINTURE'!O" &amp; AW61-1)&lt;&gt;"")))),"")</f>
        <v/>
      </c>
      <c r="BB61" s="233" t="str" cm="1">
        <f t="array" aca="1" ref="BB61" ca="1">IFERROR(IF(_xlfn.XLOOKUP(AT61,ETANCHEITE!BJ$19:BJ$89,ETANCHEITE!BI$19:BI$89,"")&lt;&gt;"",_xlfn.XLOOKUP(AT61,ETANCHEITE!BJ$19:BJ$89,ETANCHEITE!BI$19:BI$89,""),    INDEX(ETANCHEITE!BI:BI,MAX(_xlfn._xlws.FILTER(ROW(ETANCHEITE!BI$19:INDIRECT("'PEINTURE'!P" &amp; AW61-1)),ETANCHEITE!BI$19:INDIRECT("'PEINTURE'!P" &amp; AW61-1)&lt;&gt;"")))),"")</f>
        <v/>
      </c>
    </row>
    <row r="62" spans="1:54" x14ac:dyDescent="0.3">
      <c r="A62" s="158">
        <v>60</v>
      </c>
      <c r="B62" s="167" t="str">
        <f>IF(F62&lt;&gt;" ",ETANCHEITE!$D$5,"")</f>
        <v/>
      </c>
      <c r="C62" s="167" t="str">
        <f>IF(F62&lt;&gt;" ",ETANCHEITE!$D$8,"")</f>
        <v/>
      </c>
      <c r="D62" s="159" t="str">
        <f>IFERROR(MATCH(A62,ETANCHEITE!Q$19:Q$164,0)+18,"")</f>
        <v/>
      </c>
      <c r="E62" s="160" t="str" cm="1">
        <f t="array" aca="1" ref="E62" ca="1">IFERROR(IF(_xlfn.XLOOKUP(A62,ETANCHEITE!Q$19:Q$164,ETANCHEITE!$A$19:$A$164,"")&lt;&gt;"",_xlfn.XLOOKUP(A62,ETANCHEITE!Q$19:Q$164,ETANCHEITE!$A$19:$A$164,""),    INDEX(ETANCHEITE!$A:$A,MAX(_xlfn._xlws.FILTER(ROW(ETANCHEITE!$A$19:INDIRECT("'MENUISERIES EXTERIEURES'!$A" &amp; D62-1)),ETANCHEITE!$A$19:INDIRECT("'MENUISERIES EXTERIEURES'!$A" &amp; D62-1)&lt;&gt;"")))),"")&amp;"   "&amp;IFERROR(_xlfn.XLOOKUP(A62,ETANCHEITE!Q$19:Q$164,ETANCHEITE!$B$19:$B$164),"")&amp;IFERROR(_xlfn.XLOOKUP(A62,ETANCHEITE!Q$19:Q$164,ETANCHEITE!$C$19:$C$164),"")&amp;IFERROR(_xlfn.XLOOKUP(A62,ETANCHEITE!Q$19:Q$164,ETANCHEITE!$D$19:$D$164),"")&amp;IFERROR(_xlfn.XLOOKUP(A62,ETANCHEITE!Q$19:Q$164,ETANCHEITE!$E$19:$E$164),"")&amp;IFERROR(_xlfn.XLOOKUP(A62,ETANCHEITE!Q$19:Q$164,ETANCHEITE!$F$19:$F$164),"")</f>
        <v xml:space="preserve">   </v>
      </c>
      <c r="F62" s="168" t="str">
        <f>IFERROR(VLOOKUP(A62,ETANCHEITE!Q$19:S$164,2,FALSE),"")&amp;" "&amp;IFERROR(VLOOKUP(A62,ETANCHEITE!Q$19:S$164,3,FALSE),"")</f>
        <v xml:space="preserve"> </v>
      </c>
      <c r="G62" s="161" t="str">
        <f>IF(F62&lt;&gt;" ",'Feuille de Donnée'!$C$3,"")</f>
        <v/>
      </c>
      <c r="H62" s="232" t="str" cm="1">
        <f t="array" aca="1" ref="H62" ca="1">IFERROR(IF(_xlfn.XLOOKUP(A62,ETANCHEITE!Q$19:Q$89,ETANCHEITE!O$19:O$89,"")&lt;&gt;"",_xlfn.XLOOKUP(A62,ETANCHEITE!Q$19:Q$89,ETANCHEITE!O$19:O$89,""),    INDEX(ETANCHEITE!O:O,MAX(_xlfn._xlws.FILTER(ROW(ETANCHEITE!O$19:INDIRECT("'PEINTURE'!O" &amp; D62-1)),ETANCHEITE!O$19:INDIRECT("'PEINTURE'!O" &amp; D62-1)&lt;&gt;"")))),"")</f>
        <v/>
      </c>
      <c r="I62" s="233" t="str" cm="1">
        <f t="array" aca="1" ref="I62" ca="1">IFERROR(IF(_xlfn.XLOOKUP(A62,ETANCHEITE!Q$19:Q$89,ETANCHEITE!P$19:P$89,"")&lt;&gt;"",_xlfn.XLOOKUP(A62,ETANCHEITE!Q$19:Q$89,ETANCHEITE!P$19:P$89,""),    INDEX(ETANCHEITE!P:P,MAX(_xlfn._xlws.FILTER(ROW(ETANCHEITE!P$19:INDIRECT("'PEINTURE'!P" &amp; D62-1)),ETANCHEITE!P$19:INDIRECT("'PEINTURE'!P" &amp; D62-1)&lt;&gt;"")))),"")</f>
        <v/>
      </c>
      <c r="J62" s="158">
        <v>60</v>
      </c>
      <c r="K62" s="167" t="str">
        <f>IF(O62&lt;&gt;" ",ETANCHEITE!$D$5,"")</f>
        <v/>
      </c>
      <c r="L62" s="167" t="str">
        <f>IF(O62&lt;&gt;" ",ETANCHEITE!$D$8,"")</f>
        <v/>
      </c>
      <c r="M62" s="159" t="str">
        <f>IFERROR(MATCH(J62,ETANCHEITE!Z$19:Z$164,0)+18,"")</f>
        <v/>
      </c>
      <c r="N62" s="160" t="str" cm="1">
        <f t="array" aca="1" ref="N62" ca="1">IFERROR(IF(_xlfn.XLOOKUP(J62,ETANCHEITE!Z$19:Z$164,ETANCHEITE!$A$19:$A$164,"")&lt;&gt;"",_xlfn.XLOOKUP(J62,ETANCHEITE!Z$19:Z$164,ETANCHEITE!$A$19:$A$164,""),    INDEX(ETANCHEITE!$A:$A,MAX(_xlfn._xlws.FILTER(ROW(ETANCHEITE!$A$19:INDIRECT("'MENUISERIES EXTERIEURES'!$A" &amp; M62-1)),ETANCHEITE!$A$19:INDIRECT("'MENUISERIES EXTERIEURES'!$A" &amp; M62-1)&lt;&gt;"")))),"")&amp;"   "&amp;IFERROR(_xlfn.XLOOKUP(J62,ETANCHEITE!Z$19:Z$164,ETANCHEITE!$B$19:$B$164),"")&amp;IFERROR(_xlfn.XLOOKUP(J62,ETANCHEITE!Z$19:Z$164,ETANCHEITE!$C$19:$C$164),"")&amp;IFERROR(_xlfn.XLOOKUP(J62,ETANCHEITE!Z$19:Z$164,ETANCHEITE!$D$19:$D$164),"")&amp;IFERROR(_xlfn.XLOOKUP(J62,ETANCHEITE!Z$19:Z$164,ETANCHEITE!$E$19:$E$164),"")&amp;IFERROR(_xlfn.XLOOKUP(J62,ETANCHEITE!Z$19:Z$164,ETANCHEITE!$F$19:$F$164),"")</f>
        <v xml:space="preserve">   </v>
      </c>
      <c r="O62" s="168" t="str">
        <f>IFERROR(VLOOKUP(J62,ETANCHEITE!Z$19:AB$164,2,FALSE),"")&amp;" "&amp;IFERROR(VLOOKUP(J62,ETANCHEITE!Z$19:AB$164,3,FALSE),"")</f>
        <v xml:space="preserve"> </v>
      </c>
      <c r="P62" s="161" t="str">
        <f>IF(O62&lt;&gt;" ",'Feuille de Donnée'!$C$3,"")</f>
        <v/>
      </c>
      <c r="Q62" s="232" t="str" cm="1">
        <f t="array" aca="1" ref="Q62" ca="1">IFERROR(IF(_xlfn.XLOOKUP(J62,ETANCHEITE!Z$19:Z$89,ETANCHEITE!X$19:X$89,"")&lt;&gt;"",_xlfn.XLOOKUP(J62,ETANCHEITE!Z$19:Z$89,ETANCHEITE!X$19:X$89,""),    INDEX(ETANCHEITE!X:X,MAX(_xlfn._xlws.FILTER(ROW(ETANCHEITE!X$19:INDIRECT("'PEINTURE'!O" &amp; M62-1)),ETANCHEITE!X$19:INDIRECT("'PEINTURE'!O" &amp; M62-1)&lt;&gt;"")))),"")</f>
        <v/>
      </c>
      <c r="R62" s="233" t="str" cm="1">
        <f t="array" aca="1" ref="R62" ca="1">IFERROR(IF(_xlfn.XLOOKUP(J62,ETANCHEITE!Z$19:Z$89,ETANCHEITE!Y$19:Y$89,"")&lt;&gt;"",_xlfn.XLOOKUP(J62,ETANCHEITE!Z$19:Z$89,ETANCHEITE!Y$19:Y$89,""),    INDEX(ETANCHEITE!Y:Y,MAX(_xlfn._xlws.FILTER(ROW(ETANCHEITE!Y$19:INDIRECT("'PEINTURE'!P" &amp; M62-1)),ETANCHEITE!Y$19:INDIRECT("'PEINTURE'!P" &amp; M62-1)&lt;&gt;"")))),"")</f>
        <v/>
      </c>
      <c r="S62" s="158">
        <v>60</v>
      </c>
      <c r="T62" s="167" t="str">
        <f>IF(X62&lt;&gt;" ",ETANCHEITE!$D$5,"")</f>
        <v/>
      </c>
      <c r="U62" s="167" t="str">
        <f>IF(X62&lt;&gt;" ",ETANCHEITE!$D$8,"")</f>
        <v/>
      </c>
      <c r="V62" s="159" t="str">
        <f>IFERROR(MATCH(S62,ETANCHEITE!AI$19:AI$164,0)+18,"")</f>
        <v/>
      </c>
      <c r="W62" s="160" t="str" cm="1">
        <f t="array" aca="1" ref="W62" ca="1">IFERROR(IF(_xlfn.XLOOKUP(S62,ETANCHEITE!AI$19:AI$164,ETANCHEITE!$A$19:$A$164,"")&lt;&gt;"",_xlfn.XLOOKUP(S62,ETANCHEITE!AI$19:AI$164,ETANCHEITE!$A$19:$A$164,""),    INDEX(ETANCHEITE!$A:$A,MAX(_xlfn._xlws.FILTER(ROW(ETANCHEITE!$A$19:INDIRECT("'MENUISERIES EXTERIEURES'!$A" &amp; V62-1)),ETANCHEITE!$A$19:INDIRECT("'MENUISERIES EXTERIEURES'!$A" &amp; V62-1)&lt;&gt;"")))),"")&amp;"   "&amp;IFERROR(_xlfn.XLOOKUP(S62,ETANCHEITE!AI$19:AI$164,ETANCHEITE!$B$19:$B$164),"")&amp;IFERROR(_xlfn.XLOOKUP(S62,ETANCHEITE!AI$19:AI$164,ETANCHEITE!$C$19:$C$164),"")&amp;IFERROR(_xlfn.XLOOKUP(S62,ETANCHEITE!AI$19:AI$164,ETANCHEITE!$D$19:$D$164),"")&amp;IFERROR(_xlfn.XLOOKUP(S62,ETANCHEITE!AI$19:AI$164,ETANCHEITE!$E$19:$E$164),"")&amp;IFERROR(_xlfn.XLOOKUP(S62,ETANCHEITE!AI$19:AI$164,ETANCHEITE!$F$19:$F$164),"")</f>
        <v xml:space="preserve">   </v>
      </c>
      <c r="X62" s="168" t="str">
        <f>IFERROR(VLOOKUP(S62,ETANCHEITE!AI$19:AK$164,2,FALSE),"")&amp;" "&amp;IFERROR(VLOOKUP(S62,ETANCHEITE!AI$19:AK$164,3,FALSE),"")</f>
        <v xml:space="preserve"> </v>
      </c>
      <c r="Y62" s="161" t="str">
        <f>IF(X62&lt;&gt;" ",'Feuille de Donnée'!$C$3,"")</f>
        <v/>
      </c>
      <c r="Z62" s="232" t="str" cm="1">
        <f t="array" aca="1" ref="Z62" ca="1">IFERROR(IF(_xlfn.XLOOKUP(S62,ETANCHEITE!AI$19:AI$89,ETANCHEITE!AG$19:AG$89,"")&lt;&gt;"",_xlfn.XLOOKUP(S62,ETANCHEITE!AI$19:AI$89,ETANCHEITE!AG$19:AG$89,""),    INDEX(ETANCHEITE!AG:AG,MAX(_xlfn._xlws.FILTER(ROW(ETANCHEITE!AG$19:INDIRECT("'PEINTURE'!O" &amp; V62-1)),ETANCHEITE!AG$19:INDIRECT("'PEINTURE'!O" &amp; V62-1)&lt;&gt;"")))),"")</f>
        <v/>
      </c>
      <c r="AA62" s="233" t="str" cm="1">
        <f t="array" aca="1" ref="AA62" ca="1">IFERROR(IF(_xlfn.XLOOKUP(S62,ETANCHEITE!AI$19:AI$89,ETANCHEITE!AH$19:AH$89,"")&lt;&gt;"",_xlfn.XLOOKUP(S62,ETANCHEITE!AI$19:AI$89,ETANCHEITE!AH$19:AH$89,""),    INDEX(ETANCHEITE!AH:AH,MAX(_xlfn._xlws.FILTER(ROW(ETANCHEITE!AH$19:INDIRECT("'PEINTURE'!P" &amp; V62-1)),ETANCHEITE!AH$19:INDIRECT("'PEINTURE'!P" &amp; V62-1)&lt;&gt;"")))),"")</f>
        <v/>
      </c>
      <c r="AB62" s="158">
        <v>60</v>
      </c>
      <c r="AC62" s="167" t="str">
        <f>IF(AG62&lt;&gt;" ",ETANCHEITE!$D$5,"")</f>
        <v/>
      </c>
      <c r="AD62" s="167" t="str">
        <f>IF(AG62&lt;&gt;" ",ETANCHEITE!$D$8,"")</f>
        <v/>
      </c>
      <c r="AE62" s="159" t="str">
        <f>IFERROR(MATCH(AB62,ETANCHEITE!AR$19:AR$164,0)+18,"")</f>
        <v/>
      </c>
      <c r="AF62" s="160" t="str" cm="1">
        <f t="array" aca="1" ref="AF62" ca="1">IFERROR(IF(_xlfn.XLOOKUP(AB62,ETANCHEITE!AR$19:AR$164,ETANCHEITE!$A$19:$A$164,"")&lt;&gt;"",_xlfn.XLOOKUP(AB62,ETANCHEITE!AR$19:AR$164,ETANCHEITE!$A$19:$A$164,""),    INDEX(ETANCHEITE!$A:$A,MAX(_xlfn._xlws.FILTER(ROW(ETANCHEITE!$A$19:INDIRECT("'MENUISERIES EXTERIEURES'!$A" &amp; AE62-1)),ETANCHEITE!$A$19:INDIRECT("'MENUISERIES EXTERIEURES'!$A" &amp; AE62-1)&lt;&gt;"")))),"")&amp;"   "&amp;IFERROR(_xlfn.XLOOKUP(AB62,ETANCHEITE!AR$19:AR$164,ETANCHEITE!$B$19:$B$164),"")&amp;IFERROR(_xlfn.XLOOKUP(AB62,ETANCHEITE!AR$19:AR$164,ETANCHEITE!$C$19:$C$164),"")&amp;IFERROR(_xlfn.XLOOKUP(AB62,ETANCHEITE!AR$19:AR$164,ETANCHEITE!$D$19:$D$164),"")&amp;IFERROR(_xlfn.XLOOKUP(AB62,ETANCHEITE!AR$19:AR$164,ETANCHEITE!$E$19:$E$164),"")&amp;IFERROR(_xlfn.XLOOKUP(AB62,ETANCHEITE!AR$19:AR$164,ETANCHEITE!$F$19:$F$164),"")</f>
        <v xml:space="preserve">   </v>
      </c>
      <c r="AG62" s="168" t="str">
        <f>IFERROR(VLOOKUP(AB62,ETANCHEITE!AR$19:AT$164,2,FALSE),"")&amp;" "&amp;IFERROR(VLOOKUP(AB62,ETANCHEITE!AR$19:AT$164,3,FALSE),"")</f>
        <v xml:space="preserve"> </v>
      </c>
      <c r="AH62" s="161" t="str">
        <f>IF(AG62&lt;&gt;" ",'Feuille de Donnée'!$C$3,"")</f>
        <v/>
      </c>
      <c r="AI62" s="232" t="str" cm="1">
        <f t="array" aca="1" ref="AI62" ca="1">IFERROR(IF(_xlfn.XLOOKUP(AB62,ETANCHEITE!AR$19:AR$89,ETANCHEITE!AP$19:AP$89,"")&lt;&gt;"",_xlfn.XLOOKUP(AB62,ETANCHEITE!AR$19:AR$89,ETANCHEITE!AP$19:AP$89,""),    INDEX(ETANCHEITE!AP:AP,MAX(_xlfn._xlws.FILTER(ROW(ETANCHEITE!AP$19:INDIRECT("'PEINTURE'!O" &amp; AE62-1)),ETANCHEITE!AP$19:INDIRECT("'PEINTURE'!O" &amp; AE62-1)&lt;&gt;"")))),"")</f>
        <v/>
      </c>
      <c r="AJ62" s="233" t="str" cm="1">
        <f t="array" aca="1" ref="AJ62" ca="1">IFERROR(IF(_xlfn.XLOOKUP(AB62,ETANCHEITE!AR$19:AR$89,ETANCHEITE!AQ$19:AQ$89,"")&lt;&gt;"",_xlfn.XLOOKUP(AB62,ETANCHEITE!AR$19:AR$89,ETANCHEITE!AQ$19:AQ$89,""),    INDEX(ETANCHEITE!AQ:AQ,MAX(_xlfn._xlws.FILTER(ROW(ETANCHEITE!AQ$19:INDIRECT("'PEINTURE'!P" &amp; AE62-1)),ETANCHEITE!AQ$19:INDIRECT("'PEINTURE'!P" &amp; AE62-1)&lt;&gt;"")))),"")</f>
        <v/>
      </c>
      <c r="AK62" s="158">
        <v>60</v>
      </c>
      <c r="AL62" s="167" t="str">
        <f>IF(AP62&lt;&gt;" ",ETANCHEITE!$D$5,"")</f>
        <v/>
      </c>
      <c r="AM62" s="167" t="str">
        <f>IF(AP62&lt;&gt;" ",ETANCHEITE!$D$8,"")</f>
        <v/>
      </c>
      <c r="AN62" s="159" t="str">
        <f>IFERROR(MATCH(AK62,ETANCHEITE!BA$19:BA$164,0)+18,"")</f>
        <v/>
      </c>
      <c r="AO62" s="160" t="str" cm="1">
        <f t="array" aca="1" ref="AO62" ca="1">IFERROR(IF(_xlfn.XLOOKUP(AK62,ETANCHEITE!BA$19:BA$164,ETANCHEITE!$A$19:$A$164,"")&lt;&gt;"",_xlfn.XLOOKUP(AK62,ETANCHEITE!BA$19:BA$164,ETANCHEITE!$A$19:$A$164,""),    INDEX(ETANCHEITE!$A:$A,MAX(_xlfn._xlws.FILTER(ROW(ETANCHEITE!$A$19:INDIRECT("'MENUISERIES EXTERIEURES'!$A" &amp; AN62-1)),ETANCHEITE!$A$19:INDIRECT("'MENUISERIES EXTERIEURES'!$A" &amp; AN62-1)&lt;&gt;"")))),"")&amp;"   "&amp;IFERROR(_xlfn.XLOOKUP(AK62,ETANCHEITE!BA$19:BA$164,ETANCHEITE!$B$19:$B$164),"")&amp;IFERROR(_xlfn.XLOOKUP(AK62,ETANCHEITE!BA$19:BA$164,ETANCHEITE!$C$19:$C$164),"")&amp;IFERROR(_xlfn.XLOOKUP(AK62,ETANCHEITE!BA$19:BA$164,ETANCHEITE!$D$19:$D$164),"")&amp;IFERROR(_xlfn.XLOOKUP(AK62,ETANCHEITE!BA$19:BA$164,ETANCHEITE!$E$19:$E$164),"")&amp;IFERROR(_xlfn.XLOOKUP(AK62,ETANCHEITE!BA$19:BA$164,ETANCHEITE!$F$19:$F$164),"")</f>
        <v xml:space="preserve">   </v>
      </c>
      <c r="AP62" s="168" t="str">
        <f>IFERROR(VLOOKUP(AK62,ETANCHEITE!BA$19:BC$164,2,FALSE),"")&amp;" "&amp;IFERROR(VLOOKUP(AK62,ETANCHEITE!BA$19:BC$164,3,FALSE),"")</f>
        <v xml:space="preserve"> </v>
      </c>
      <c r="AQ62" s="161" t="str">
        <f>IF(AP62&lt;&gt;" ",'Feuille de Donnée'!$C$3,"")</f>
        <v/>
      </c>
      <c r="AR62" s="232" t="str" cm="1">
        <f t="array" aca="1" ref="AR62" ca="1">IFERROR(IF(_xlfn.XLOOKUP(AK62,ETANCHEITE!BA$19:BA$89,ETANCHEITE!AY$19:AY$89,"")&lt;&gt;"",_xlfn.XLOOKUP(AK62,ETANCHEITE!BA$19:BA$89,ETANCHEITE!AY$19:AY$89,""),    INDEX(ETANCHEITE!AY:AY,MAX(_xlfn._xlws.FILTER(ROW(ETANCHEITE!AY$19:INDIRECT("'PEINTURE'!O" &amp; AN62-1)),ETANCHEITE!AY$19:INDIRECT("'PEINTURE'!O" &amp; AN62-1)&lt;&gt;"")))),"")</f>
        <v/>
      </c>
      <c r="AS62" s="233" t="str" cm="1">
        <f t="array" aca="1" ref="AS62" ca="1">IFERROR(IF(_xlfn.XLOOKUP(AK62,ETANCHEITE!BA$19:BA$89,ETANCHEITE!AZ$19:AZ$89,"")&lt;&gt;"",_xlfn.XLOOKUP(AK62,ETANCHEITE!BA$19:BA$89,ETANCHEITE!AZ$19:AZ$89,""),    INDEX(ETANCHEITE!AZ:AZ,MAX(_xlfn._xlws.FILTER(ROW(ETANCHEITE!AZ$19:INDIRECT("'PEINTURE'!P" &amp; AN62-1)),ETANCHEITE!AZ$19:INDIRECT("'PEINTURE'!P" &amp; AN62-1)&lt;&gt;"")))),"")</f>
        <v/>
      </c>
      <c r="AT62" s="158">
        <v>60</v>
      </c>
      <c r="AU62" s="167" t="str">
        <f>IF(AY62&lt;&gt;" ",ETANCHEITE!$D$5,"")</f>
        <v/>
      </c>
      <c r="AV62" s="167" t="str">
        <f>IF(AY62&lt;&gt;" ",ETANCHEITE!$D$8,"")</f>
        <v/>
      </c>
      <c r="AW62" s="159" t="str">
        <f>IFERROR(MATCH(AT62,ETANCHEITE!BJ$19:BJ$164,0)+18,"")</f>
        <v/>
      </c>
      <c r="AX62" s="160" t="str" cm="1">
        <f t="array" aca="1" ref="AX62" ca="1">IFERROR(IF(_xlfn.XLOOKUP(AT62,ETANCHEITE!BJ$19:BJ$164,ETANCHEITE!$A$19:$A$164,"")&lt;&gt;"",_xlfn.XLOOKUP(AT62,ETANCHEITE!BJ$19:BJ$164,ETANCHEITE!$A$19:$A$164,""),    INDEX(ETANCHEITE!$A:$A,MAX(_xlfn._xlws.FILTER(ROW(ETANCHEITE!$A$19:INDIRECT("'MENUISERIES EXTERIEURES'!$A" &amp; AW62-1)),ETANCHEITE!$A$19:INDIRECT("'MENUISERIES EXTERIEURES'!$A" &amp; AW62-1)&lt;&gt;"")))),"")&amp;"   "&amp;IFERROR(_xlfn.XLOOKUP(AT62,ETANCHEITE!BJ$19:BJ$164,ETANCHEITE!$B$19:$B$164),"")&amp;IFERROR(_xlfn.XLOOKUP(AT62,ETANCHEITE!BJ$19:BJ$164,ETANCHEITE!$C$19:$C$164),"")&amp;IFERROR(_xlfn.XLOOKUP(AT62,ETANCHEITE!BJ$19:BJ$164,ETANCHEITE!$D$19:$D$164),"")&amp;IFERROR(_xlfn.XLOOKUP(AT62,ETANCHEITE!BJ$19:BJ$164,ETANCHEITE!$E$19:$E$164),"")&amp;IFERROR(_xlfn.XLOOKUP(AT62,ETANCHEITE!BJ$19:BJ$164,ETANCHEITE!$F$19:$F$164),"")</f>
        <v xml:space="preserve">   </v>
      </c>
      <c r="AY62" s="168" t="str">
        <f>IFERROR(VLOOKUP(AT62,ETANCHEITE!BJ$19:BL$164,2,FALSE),"")&amp;" "&amp;IFERROR(VLOOKUP(AT62,ETANCHEITE!BJ$19:BL$164,3,FALSE),"")</f>
        <v xml:space="preserve"> </v>
      </c>
      <c r="AZ62" s="161" t="str">
        <f>IF(AY62&lt;&gt;" ",'Feuille de Donnée'!$C$3,"")</f>
        <v/>
      </c>
      <c r="BA62" s="232" t="str" cm="1">
        <f t="array" aca="1" ref="BA62" ca="1">IFERROR(IF(_xlfn.XLOOKUP(AT62,ETANCHEITE!BJ$19:BJ$89,ETANCHEITE!BH$19:BH$89,"")&lt;&gt;"",_xlfn.XLOOKUP(AT62,ETANCHEITE!BJ$19:BJ$89,ETANCHEITE!BH$19:BH$89,""),    INDEX(ETANCHEITE!BH:BH,MAX(_xlfn._xlws.FILTER(ROW(ETANCHEITE!BH$19:INDIRECT("'PEINTURE'!O" &amp; AW62-1)),ETANCHEITE!BH$19:INDIRECT("'PEINTURE'!O" &amp; AW62-1)&lt;&gt;"")))),"")</f>
        <v/>
      </c>
      <c r="BB62" s="233" t="str" cm="1">
        <f t="array" aca="1" ref="BB62" ca="1">IFERROR(IF(_xlfn.XLOOKUP(AT62,ETANCHEITE!BJ$19:BJ$89,ETANCHEITE!BI$19:BI$89,"")&lt;&gt;"",_xlfn.XLOOKUP(AT62,ETANCHEITE!BJ$19:BJ$89,ETANCHEITE!BI$19:BI$89,""),    INDEX(ETANCHEITE!BI:BI,MAX(_xlfn._xlws.FILTER(ROW(ETANCHEITE!BI$19:INDIRECT("'PEINTURE'!P" &amp; AW62-1)),ETANCHEITE!BI$19:INDIRECT("'PEINTURE'!P" &amp; AW62-1)&lt;&gt;"")))),"")</f>
        <v/>
      </c>
    </row>
    <row r="63" spans="1:54" x14ac:dyDescent="0.3">
      <c r="A63" s="158">
        <v>61</v>
      </c>
      <c r="B63" s="167" t="str">
        <f>IF(F63&lt;&gt;" ",ETANCHEITE!$D$5,"")</f>
        <v/>
      </c>
      <c r="C63" s="167" t="str">
        <f>IF(F63&lt;&gt;" ",ETANCHEITE!$D$8,"")</f>
        <v/>
      </c>
      <c r="D63" s="159" t="str">
        <f>IFERROR(MATCH(A63,ETANCHEITE!Q$19:Q$164,0)+18,"")</f>
        <v/>
      </c>
      <c r="E63" s="160" t="str" cm="1">
        <f t="array" aca="1" ref="E63" ca="1">IFERROR(IF(_xlfn.XLOOKUP(A63,ETANCHEITE!Q$19:Q$164,ETANCHEITE!$A$19:$A$164,"")&lt;&gt;"",_xlfn.XLOOKUP(A63,ETANCHEITE!Q$19:Q$164,ETANCHEITE!$A$19:$A$164,""),    INDEX(ETANCHEITE!$A:$A,MAX(_xlfn._xlws.FILTER(ROW(ETANCHEITE!$A$19:INDIRECT("'MENUISERIES EXTERIEURES'!$A" &amp; D63-1)),ETANCHEITE!$A$19:INDIRECT("'MENUISERIES EXTERIEURES'!$A" &amp; D63-1)&lt;&gt;"")))),"")&amp;"   "&amp;IFERROR(_xlfn.XLOOKUP(A63,ETANCHEITE!Q$19:Q$164,ETANCHEITE!$B$19:$B$164),"")&amp;IFERROR(_xlfn.XLOOKUP(A63,ETANCHEITE!Q$19:Q$164,ETANCHEITE!$C$19:$C$164),"")&amp;IFERROR(_xlfn.XLOOKUP(A63,ETANCHEITE!Q$19:Q$164,ETANCHEITE!$D$19:$D$164),"")&amp;IFERROR(_xlfn.XLOOKUP(A63,ETANCHEITE!Q$19:Q$164,ETANCHEITE!$E$19:$E$164),"")&amp;IFERROR(_xlfn.XLOOKUP(A63,ETANCHEITE!Q$19:Q$164,ETANCHEITE!$F$19:$F$164),"")</f>
        <v xml:space="preserve">   </v>
      </c>
      <c r="F63" s="168" t="str">
        <f>IFERROR(VLOOKUP(A63,ETANCHEITE!Q$19:S$164,2,FALSE),"")&amp;" "&amp;IFERROR(VLOOKUP(A63,ETANCHEITE!Q$19:S$164,3,FALSE),"")</f>
        <v xml:space="preserve"> </v>
      </c>
      <c r="G63" s="161" t="str">
        <f>IF(F63&lt;&gt;" ",'Feuille de Donnée'!$C$3,"")</f>
        <v/>
      </c>
      <c r="H63" s="232" t="str" cm="1">
        <f t="array" aca="1" ref="H63" ca="1">IFERROR(IF(_xlfn.XLOOKUP(A63,ETANCHEITE!Q$19:Q$89,ETANCHEITE!O$19:O$89,"")&lt;&gt;"",_xlfn.XLOOKUP(A63,ETANCHEITE!Q$19:Q$89,ETANCHEITE!O$19:O$89,""),    INDEX(ETANCHEITE!O:O,MAX(_xlfn._xlws.FILTER(ROW(ETANCHEITE!O$19:INDIRECT("'PEINTURE'!O" &amp; D63-1)),ETANCHEITE!O$19:INDIRECT("'PEINTURE'!O" &amp; D63-1)&lt;&gt;"")))),"")</f>
        <v/>
      </c>
      <c r="I63" s="233" t="str" cm="1">
        <f t="array" aca="1" ref="I63" ca="1">IFERROR(IF(_xlfn.XLOOKUP(A63,ETANCHEITE!Q$19:Q$89,ETANCHEITE!P$19:P$89,"")&lt;&gt;"",_xlfn.XLOOKUP(A63,ETANCHEITE!Q$19:Q$89,ETANCHEITE!P$19:P$89,""),    INDEX(ETANCHEITE!P:P,MAX(_xlfn._xlws.FILTER(ROW(ETANCHEITE!P$19:INDIRECT("'PEINTURE'!P" &amp; D63-1)),ETANCHEITE!P$19:INDIRECT("'PEINTURE'!P" &amp; D63-1)&lt;&gt;"")))),"")</f>
        <v/>
      </c>
      <c r="J63" s="158">
        <v>61</v>
      </c>
      <c r="K63" s="167" t="str">
        <f>IF(O63&lt;&gt;" ",ETANCHEITE!$D$5,"")</f>
        <v/>
      </c>
      <c r="L63" s="167" t="str">
        <f>IF(O63&lt;&gt;" ",ETANCHEITE!$D$8,"")</f>
        <v/>
      </c>
      <c r="M63" s="159" t="str">
        <f>IFERROR(MATCH(J63,ETANCHEITE!Z$19:Z$164,0)+18,"")</f>
        <v/>
      </c>
      <c r="N63" s="160" t="str" cm="1">
        <f t="array" aca="1" ref="N63" ca="1">IFERROR(IF(_xlfn.XLOOKUP(J63,ETANCHEITE!Z$19:Z$164,ETANCHEITE!$A$19:$A$164,"")&lt;&gt;"",_xlfn.XLOOKUP(J63,ETANCHEITE!Z$19:Z$164,ETANCHEITE!$A$19:$A$164,""),    INDEX(ETANCHEITE!$A:$A,MAX(_xlfn._xlws.FILTER(ROW(ETANCHEITE!$A$19:INDIRECT("'MENUISERIES EXTERIEURES'!$A" &amp; M63-1)),ETANCHEITE!$A$19:INDIRECT("'MENUISERIES EXTERIEURES'!$A" &amp; M63-1)&lt;&gt;"")))),"")&amp;"   "&amp;IFERROR(_xlfn.XLOOKUP(J63,ETANCHEITE!Z$19:Z$164,ETANCHEITE!$B$19:$B$164),"")&amp;IFERROR(_xlfn.XLOOKUP(J63,ETANCHEITE!Z$19:Z$164,ETANCHEITE!$C$19:$C$164),"")&amp;IFERROR(_xlfn.XLOOKUP(J63,ETANCHEITE!Z$19:Z$164,ETANCHEITE!$D$19:$D$164),"")&amp;IFERROR(_xlfn.XLOOKUP(J63,ETANCHEITE!Z$19:Z$164,ETANCHEITE!$E$19:$E$164),"")&amp;IFERROR(_xlfn.XLOOKUP(J63,ETANCHEITE!Z$19:Z$164,ETANCHEITE!$F$19:$F$164),"")</f>
        <v xml:space="preserve">   </v>
      </c>
      <c r="O63" s="168" t="str">
        <f>IFERROR(VLOOKUP(J63,ETANCHEITE!Z$19:AB$164,2,FALSE),"")&amp;" "&amp;IFERROR(VLOOKUP(J63,ETANCHEITE!Z$19:AB$164,3,FALSE),"")</f>
        <v xml:space="preserve"> </v>
      </c>
      <c r="P63" s="161" t="str">
        <f>IF(O63&lt;&gt;" ",'Feuille de Donnée'!$C$3,"")</f>
        <v/>
      </c>
      <c r="Q63" s="232" t="str" cm="1">
        <f t="array" aca="1" ref="Q63" ca="1">IFERROR(IF(_xlfn.XLOOKUP(J63,ETANCHEITE!Z$19:Z$89,ETANCHEITE!X$19:X$89,"")&lt;&gt;"",_xlfn.XLOOKUP(J63,ETANCHEITE!Z$19:Z$89,ETANCHEITE!X$19:X$89,""),    INDEX(ETANCHEITE!X:X,MAX(_xlfn._xlws.FILTER(ROW(ETANCHEITE!X$19:INDIRECT("'PEINTURE'!O" &amp; M63-1)),ETANCHEITE!X$19:INDIRECT("'PEINTURE'!O" &amp; M63-1)&lt;&gt;"")))),"")</f>
        <v/>
      </c>
      <c r="R63" s="233" t="str" cm="1">
        <f t="array" aca="1" ref="R63" ca="1">IFERROR(IF(_xlfn.XLOOKUP(J63,ETANCHEITE!Z$19:Z$89,ETANCHEITE!Y$19:Y$89,"")&lt;&gt;"",_xlfn.XLOOKUP(J63,ETANCHEITE!Z$19:Z$89,ETANCHEITE!Y$19:Y$89,""),    INDEX(ETANCHEITE!Y:Y,MAX(_xlfn._xlws.FILTER(ROW(ETANCHEITE!Y$19:INDIRECT("'PEINTURE'!P" &amp; M63-1)),ETANCHEITE!Y$19:INDIRECT("'PEINTURE'!P" &amp; M63-1)&lt;&gt;"")))),"")</f>
        <v/>
      </c>
      <c r="S63" s="158">
        <v>61</v>
      </c>
      <c r="T63" s="167" t="str">
        <f>IF(X63&lt;&gt;" ",ETANCHEITE!$D$5,"")</f>
        <v/>
      </c>
      <c r="U63" s="167" t="str">
        <f>IF(X63&lt;&gt;" ",ETANCHEITE!$D$8,"")</f>
        <v/>
      </c>
      <c r="V63" s="159" t="str">
        <f>IFERROR(MATCH(S63,ETANCHEITE!AI$19:AI$164,0)+18,"")</f>
        <v/>
      </c>
      <c r="W63" s="160" t="str" cm="1">
        <f t="array" aca="1" ref="W63" ca="1">IFERROR(IF(_xlfn.XLOOKUP(S63,ETANCHEITE!AI$19:AI$164,ETANCHEITE!$A$19:$A$164,"")&lt;&gt;"",_xlfn.XLOOKUP(S63,ETANCHEITE!AI$19:AI$164,ETANCHEITE!$A$19:$A$164,""),    INDEX(ETANCHEITE!$A:$A,MAX(_xlfn._xlws.FILTER(ROW(ETANCHEITE!$A$19:INDIRECT("'MENUISERIES EXTERIEURES'!$A" &amp; V63-1)),ETANCHEITE!$A$19:INDIRECT("'MENUISERIES EXTERIEURES'!$A" &amp; V63-1)&lt;&gt;"")))),"")&amp;"   "&amp;IFERROR(_xlfn.XLOOKUP(S63,ETANCHEITE!AI$19:AI$164,ETANCHEITE!$B$19:$B$164),"")&amp;IFERROR(_xlfn.XLOOKUP(S63,ETANCHEITE!AI$19:AI$164,ETANCHEITE!$C$19:$C$164),"")&amp;IFERROR(_xlfn.XLOOKUP(S63,ETANCHEITE!AI$19:AI$164,ETANCHEITE!$D$19:$D$164),"")&amp;IFERROR(_xlfn.XLOOKUP(S63,ETANCHEITE!AI$19:AI$164,ETANCHEITE!$E$19:$E$164),"")&amp;IFERROR(_xlfn.XLOOKUP(S63,ETANCHEITE!AI$19:AI$164,ETANCHEITE!$F$19:$F$164),"")</f>
        <v xml:space="preserve">   </v>
      </c>
      <c r="X63" s="168" t="str">
        <f>IFERROR(VLOOKUP(S63,ETANCHEITE!AI$19:AK$164,2,FALSE),"")&amp;" "&amp;IFERROR(VLOOKUP(S63,ETANCHEITE!AI$19:AK$164,3,FALSE),"")</f>
        <v xml:space="preserve"> </v>
      </c>
      <c r="Y63" s="161" t="str">
        <f>IF(X63&lt;&gt;" ",'Feuille de Donnée'!$C$3,"")</f>
        <v/>
      </c>
      <c r="Z63" s="232" t="str" cm="1">
        <f t="array" aca="1" ref="Z63" ca="1">IFERROR(IF(_xlfn.XLOOKUP(S63,ETANCHEITE!AI$19:AI$89,ETANCHEITE!AG$19:AG$89,"")&lt;&gt;"",_xlfn.XLOOKUP(S63,ETANCHEITE!AI$19:AI$89,ETANCHEITE!AG$19:AG$89,""),    INDEX(ETANCHEITE!AG:AG,MAX(_xlfn._xlws.FILTER(ROW(ETANCHEITE!AG$19:INDIRECT("'PEINTURE'!O" &amp; V63-1)),ETANCHEITE!AG$19:INDIRECT("'PEINTURE'!O" &amp; V63-1)&lt;&gt;"")))),"")</f>
        <v/>
      </c>
      <c r="AA63" s="233" t="str" cm="1">
        <f t="array" aca="1" ref="AA63" ca="1">IFERROR(IF(_xlfn.XLOOKUP(S63,ETANCHEITE!AI$19:AI$89,ETANCHEITE!AH$19:AH$89,"")&lt;&gt;"",_xlfn.XLOOKUP(S63,ETANCHEITE!AI$19:AI$89,ETANCHEITE!AH$19:AH$89,""),    INDEX(ETANCHEITE!AH:AH,MAX(_xlfn._xlws.FILTER(ROW(ETANCHEITE!AH$19:INDIRECT("'PEINTURE'!P" &amp; V63-1)),ETANCHEITE!AH$19:INDIRECT("'PEINTURE'!P" &amp; V63-1)&lt;&gt;"")))),"")</f>
        <v/>
      </c>
      <c r="AB63" s="158">
        <v>61</v>
      </c>
      <c r="AC63" s="167" t="str">
        <f>IF(AG63&lt;&gt;" ",ETANCHEITE!$D$5,"")</f>
        <v/>
      </c>
      <c r="AD63" s="167" t="str">
        <f>IF(AG63&lt;&gt;" ",ETANCHEITE!$D$8,"")</f>
        <v/>
      </c>
      <c r="AE63" s="159" t="str">
        <f>IFERROR(MATCH(AB63,ETANCHEITE!AR$19:AR$164,0)+18,"")</f>
        <v/>
      </c>
      <c r="AF63" s="160" t="str" cm="1">
        <f t="array" aca="1" ref="AF63" ca="1">IFERROR(IF(_xlfn.XLOOKUP(AB63,ETANCHEITE!AR$19:AR$164,ETANCHEITE!$A$19:$A$164,"")&lt;&gt;"",_xlfn.XLOOKUP(AB63,ETANCHEITE!AR$19:AR$164,ETANCHEITE!$A$19:$A$164,""),    INDEX(ETANCHEITE!$A:$A,MAX(_xlfn._xlws.FILTER(ROW(ETANCHEITE!$A$19:INDIRECT("'MENUISERIES EXTERIEURES'!$A" &amp; AE63-1)),ETANCHEITE!$A$19:INDIRECT("'MENUISERIES EXTERIEURES'!$A" &amp; AE63-1)&lt;&gt;"")))),"")&amp;"   "&amp;IFERROR(_xlfn.XLOOKUP(AB63,ETANCHEITE!AR$19:AR$164,ETANCHEITE!$B$19:$B$164),"")&amp;IFERROR(_xlfn.XLOOKUP(AB63,ETANCHEITE!AR$19:AR$164,ETANCHEITE!$C$19:$C$164),"")&amp;IFERROR(_xlfn.XLOOKUP(AB63,ETANCHEITE!AR$19:AR$164,ETANCHEITE!$D$19:$D$164),"")&amp;IFERROR(_xlfn.XLOOKUP(AB63,ETANCHEITE!AR$19:AR$164,ETANCHEITE!$E$19:$E$164),"")&amp;IFERROR(_xlfn.XLOOKUP(AB63,ETANCHEITE!AR$19:AR$164,ETANCHEITE!$F$19:$F$164),"")</f>
        <v xml:space="preserve">   </v>
      </c>
      <c r="AG63" s="168" t="str">
        <f>IFERROR(VLOOKUP(AB63,ETANCHEITE!AR$19:AT$164,2,FALSE),"")&amp;" "&amp;IFERROR(VLOOKUP(AB63,ETANCHEITE!AR$19:AT$164,3,FALSE),"")</f>
        <v xml:space="preserve"> </v>
      </c>
      <c r="AH63" s="161" t="str">
        <f>IF(AG63&lt;&gt;" ",'Feuille de Donnée'!$C$3,"")</f>
        <v/>
      </c>
      <c r="AI63" s="232" t="str" cm="1">
        <f t="array" aca="1" ref="AI63" ca="1">IFERROR(IF(_xlfn.XLOOKUP(AB63,ETANCHEITE!AR$19:AR$89,ETANCHEITE!AP$19:AP$89,"")&lt;&gt;"",_xlfn.XLOOKUP(AB63,ETANCHEITE!AR$19:AR$89,ETANCHEITE!AP$19:AP$89,""),    INDEX(ETANCHEITE!AP:AP,MAX(_xlfn._xlws.FILTER(ROW(ETANCHEITE!AP$19:INDIRECT("'PEINTURE'!O" &amp; AE63-1)),ETANCHEITE!AP$19:INDIRECT("'PEINTURE'!O" &amp; AE63-1)&lt;&gt;"")))),"")</f>
        <v/>
      </c>
      <c r="AJ63" s="233" t="str" cm="1">
        <f t="array" aca="1" ref="AJ63" ca="1">IFERROR(IF(_xlfn.XLOOKUP(AB63,ETANCHEITE!AR$19:AR$89,ETANCHEITE!AQ$19:AQ$89,"")&lt;&gt;"",_xlfn.XLOOKUP(AB63,ETANCHEITE!AR$19:AR$89,ETANCHEITE!AQ$19:AQ$89,""),    INDEX(ETANCHEITE!AQ:AQ,MAX(_xlfn._xlws.FILTER(ROW(ETANCHEITE!AQ$19:INDIRECT("'PEINTURE'!P" &amp; AE63-1)),ETANCHEITE!AQ$19:INDIRECT("'PEINTURE'!P" &amp; AE63-1)&lt;&gt;"")))),"")</f>
        <v/>
      </c>
      <c r="AK63" s="158">
        <v>61</v>
      </c>
      <c r="AL63" s="167" t="str">
        <f>IF(AP63&lt;&gt;" ",ETANCHEITE!$D$5,"")</f>
        <v/>
      </c>
      <c r="AM63" s="167" t="str">
        <f>IF(AP63&lt;&gt;" ",ETANCHEITE!$D$8,"")</f>
        <v/>
      </c>
      <c r="AN63" s="159" t="str">
        <f>IFERROR(MATCH(AK63,ETANCHEITE!BA$19:BA$164,0)+18,"")</f>
        <v/>
      </c>
      <c r="AO63" s="160" t="str" cm="1">
        <f t="array" aca="1" ref="AO63" ca="1">IFERROR(IF(_xlfn.XLOOKUP(AK63,ETANCHEITE!BA$19:BA$164,ETANCHEITE!$A$19:$A$164,"")&lt;&gt;"",_xlfn.XLOOKUP(AK63,ETANCHEITE!BA$19:BA$164,ETANCHEITE!$A$19:$A$164,""),    INDEX(ETANCHEITE!$A:$A,MAX(_xlfn._xlws.FILTER(ROW(ETANCHEITE!$A$19:INDIRECT("'MENUISERIES EXTERIEURES'!$A" &amp; AN63-1)),ETANCHEITE!$A$19:INDIRECT("'MENUISERIES EXTERIEURES'!$A" &amp; AN63-1)&lt;&gt;"")))),"")&amp;"   "&amp;IFERROR(_xlfn.XLOOKUP(AK63,ETANCHEITE!BA$19:BA$164,ETANCHEITE!$B$19:$B$164),"")&amp;IFERROR(_xlfn.XLOOKUP(AK63,ETANCHEITE!BA$19:BA$164,ETANCHEITE!$C$19:$C$164),"")&amp;IFERROR(_xlfn.XLOOKUP(AK63,ETANCHEITE!BA$19:BA$164,ETANCHEITE!$D$19:$D$164),"")&amp;IFERROR(_xlfn.XLOOKUP(AK63,ETANCHEITE!BA$19:BA$164,ETANCHEITE!$E$19:$E$164),"")&amp;IFERROR(_xlfn.XLOOKUP(AK63,ETANCHEITE!BA$19:BA$164,ETANCHEITE!$F$19:$F$164),"")</f>
        <v xml:space="preserve">   </v>
      </c>
      <c r="AP63" s="168" t="str">
        <f>IFERROR(VLOOKUP(AK63,ETANCHEITE!BA$19:BC$164,2,FALSE),"")&amp;" "&amp;IFERROR(VLOOKUP(AK63,ETANCHEITE!BA$19:BC$164,3,FALSE),"")</f>
        <v xml:space="preserve"> </v>
      </c>
      <c r="AQ63" s="161" t="str">
        <f>IF(AP63&lt;&gt;" ",'Feuille de Donnée'!$C$3,"")</f>
        <v/>
      </c>
      <c r="AR63" s="232" t="str" cm="1">
        <f t="array" aca="1" ref="AR63" ca="1">IFERROR(IF(_xlfn.XLOOKUP(AK63,ETANCHEITE!BA$19:BA$89,ETANCHEITE!AY$19:AY$89,"")&lt;&gt;"",_xlfn.XLOOKUP(AK63,ETANCHEITE!BA$19:BA$89,ETANCHEITE!AY$19:AY$89,""),    INDEX(ETANCHEITE!AY:AY,MAX(_xlfn._xlws.FILTER(ROW(ETANCHEITE!AY$19:INDIRECT("'PEINTURE'!O" &amp; AN63-1)),ETANCHEITE!AY$19:INDIRECT("'PEINTURE'!O" &amp; AN63-1)&lt;&gt;"")))),"")</f>
        <v/>
      </c>
      <c r="AS63" s="233" t="str" cm="1">
        <f t="array" aca="1" ref="AS63" ca="1">IFERROR(IF(_xlfn.XLOOKUP(AK63,ETANCHEITE!BA$19:BA$89,ETANCHEITE!AZ$19:AZ$89,"")&lt;&gt;"",_xlfn.XLOOKUP(AK63,ETANCHEITE!BA$19:BA$89,ETANCHEITE!AZ$19:AZ$89,""),    INDEX(ETANCHEITE!AZ:AZ,MAX(_xlfn._xlws.FILTER(ROW(ETANCHEITE!AZ$19:INDIRECT("'PEINTURE'!P" &amp; AN63-1)),ETANCHEITE!AZ$19:INDIRECT("'PEINTURE'!P" &amp; AN63-1)&lt;&gt;"")))),"")</f>
        <v/>
      </c>
      <c r="AT63" s="158">
        <v>61</v>
      </c>
      <c r="AU63" s="167" t="str">
        <f>IF(AY63&lt;&gt;" ",ETANCHEITE!$D$5,"")</f>
        <v/>
      </c>
      <c r="AV63" s="167" t="str">
        <f>IF(AY63&lt;&gt;" ",ETANCHEITE!$D$8,"")</f>
        <v/>
      </c>
      <c r="AW63" s="159" t="str">
        <f>IFERROR(MATCH(AT63,ETANCHEITE!BJ$19:BJ$164,0)+18,"")</f>
        <v/>
      </c>
      <c r="AX63" s="160" t="str" cm="1">
        <f t="array" aca="1" ref="AX63" ca="1">IFERROR(IF(_xlfn.XLOOKUP(AT63,ETANCHEITE!BJ$19:BJ$164,ETANCHEITE!$A$19:$A$164,"")&lt;&gt;"",_xlfn.XLOOKUP(AT63,ETANCHEITE!BJ$19:BJ$164,ETANCHEITE!$A$19:$A$164,""),    INDEX(ETANCHEITE!$A:$A,MAX(_xlfn._xlws.FILTER(ROW(ETANCHEITE!$A$19:INDIRECT("'MENUISERIES EXTERIEURES'!$A" &amp; AW63-1)),ETANCHEITE!$A$19:INDIRECT("'MENUISERIES EXTERIEURES'!$A" &amp; AW63-1)&lt;&gt;"")))),"")&amp;"   "&amp;IFERROR(_xlfn.XLOOKUP(AT63,ETANCHEITE!BJ$19:BJ$164,ETANCHEITE!$B$19:$B$164),"")&amp;IFERROR(_xlfn.XLOOKUP(AT63,ETANCHEITE!BJ$19:BJ$164,ETANCHEITE!$C$19:$C$164),"")&amp;IFERROR(_xlfn.XLOOKUP(AT63,ETANCHEITE!BJ$19:BJ$164,ETANCHEITE!$D$19:$D$164),"")&amp;IFERROR(_xlfn.XLOOKUP(AT63,ETANCHEITE!BJ$19:BJ$164,ETANCHEITE!$E$19:$E$164),"")&amp;IFERROR(_xlfn.XLOOKUP(AT63,ETANCHEITE!BJ$19:BJ$164,ETANCHEITE!$F$19:$F$164),"")</f>
        <v xml:space="preserve">   </v>
      </c>
      <c r="AY63" s="168" t="str">
        <f>IFERROR(VLOOKUP(AT63,ETANCHEITE!BJ$19:BL$164,2,FALSE),"")&amp;" "&amp;IFERROR(VLOOKUP(AT63,ETANCHEITE!BJ$19:BL$164,3,FALSE),"")</f>
        <v xml:space="preserve"> </v>
      </c>
      <c r="AZ63" s="161" t="str">
        <f>IF(AY63&lt;&gt;" ",'Feuille de Donnée'!$C$3,"")</f>
        <v/>
      </c>
      <c r="BA63" s="232" t="str" cm="1">
        <f t="array" aca="1" ref="BA63" ca="1">IFERROR(IF(_xlfn.XLOOKUP(AT63,ETANCHEITE!BJ$19:BJ$89,ETANCHEITE!BH$19:BH$89,"")&lt;&gt;"",_xlfn.XLOOKUP(AT63,ETANCHEITE!BJ$19:BJ$89,ETANCHEITE!BH$19:BH$89,""),    INDEX(ETANCHEITE!BH:BH,MAX(_xlfn._xlws.FILTER(ROW(ETANCHEITE!BH$19:INDIRECT("'PEINTURE'!O" &amp; AW63-1)),ETANCHEITE!BH$19:INDIRECT("'PEINTURE'!O" &amp; AW63-1)&lt;&gt;"")))),"")</f>
        <v/>
      </c>
      <c r="BB63" s="233" t="str" cm="1">
        <f t="array" aca="1" ref="BB63" ca="1">IFERROR(IF(_xlfn.XLOOKUP(AT63,ETANCHEITE!BJ$19:BJ$89,ETANCHEITE!BI$19:BI$89,"")&lt;&gt;"",_xlfn.XLOOKUP(AT63,ETANCHEITE!BJ$19:BJ$89,ETANCHEITE!BI$19:BI$89,""),    INDEX(ETANCHEITE!BI:BI,MAX(_xlfn._xlws.FILTER(ROW(ETANCHEITE!BI$19:INDIRECT("'PEINTURE'!P" &amp; AW63-1)),ETANCHEITE!BI$19:INDIRECT("'PEINTURE'!P" &amp; AW63-1)&lt;&gt;"")))),"")</f>
        <v/>
      </c>
    </row>
    <row r="64" spans="1:54" x14ac:dyDescent="0.3">
      <c r="A64" s="158">
        <v>62</v>
      </c>
      <c r="B64" s="167" t="str">
        <f>IF(F64&lt;&gt;" ",ETANCHEITE!$D$5,"")</f>
        <v/>
      </c>
      <c r="C64" s="167" t="str">
        <f>IF(F64&lt;&gt;" ",ETANCHEITE!$D$8,"")</f>
        <v/>
      </c>
      <c r="D64" s="159" t="str">
        <f>IFERROR(MATCH(A64,ETANCHEITE!Q$19:Q$164,0)+18,"")</f>
        <v/>
      </c>
      <c r="E64" s="160" t="str" cm="1">
        <f t="array" aca="1" ref="E64" ca="1">IFERROR(IF(_xlfn.XLOOKUP(A64,ETANCHEITE!Q$19:Q$164,ETANCHEITE!$A$19:$A$164,"")&lt;&gt;"",_xlfn.XLOOKUP(A64,ETANCHEITE!Q$19:Q$164,ETANCHEITE!$A$19:$A$164,""),    INDEX(ETANCHEITE!$A:$A,MAX(_xlfn._xlws.FILTER(ROW(ETANCHEITE!$A$19:INDIRECT("'MENUISERIES EXTERIEURES'!$A" &amp; D64-1)),ETANCHEITE!$A$19:INDIRECT("'MENUISERIES EXTERIEURES'!$A" &amp; D64-1)&lt;&gt;"")))),"")&amp;"   "&amp;IFERROR(_xlfn.XLOOKUP(A64,ETANCHEITE!Q$19:Q$164,ETANCHEITE!$B$19:$B$164),"")&amp;IFERROR(_xlfn.XLOOKUP(A64,ETANCHEITE!Q$19:Q$164,ETANCHEITE!$C$19:$C$164),"")&amp;IFERROR(_xlfn.XLOOKUP(A64,ETANCHEITE!Q$19:Q$164,ETANCHEITE!$D$19:$D$164),"")&amp;IFERROR(_xlfn.XLOOKUP(A64,ETANCHEITE!Q$19:Q$164,ETANCHEITE!$E$19:$E$164),"")&amp;IFERROR(_xlfn.XLOOKUP(A64,ETANCHEITE!Q$19:Q$164,ETANCHEITE!$F$19:$F$164),"")</f>
        <v xml:space="preserve">   </v>
      </c>
      <c r="F64" s="168" t="str">
        <f>IFERROR(VLOOKUP(A64,ETANCHEITE!Q$19:S$164,2,FALSE),"")&amp;" "&amp;IFERROR(VLOOKUP(A64,ETANCHEITE!Q$19:S$164,3,FALSE),"")</f>
        <v xml:space="preserve"> </v>
      </c>
      <c r="G64" s="161" t="str">
        <f>IF(F64&lt;&gt;" ",'Feuille de Donnée'!$C$3,"")</f>
        <v/>
      </c>
      <c r="H64" s="232" t="str" cm="1">
        <f t="array" aca="1" ref="H64" ca="1">IFERROR(IF(_xlfn.XLOOKUP(A64,ETANCHEITE!Q$19:Q$89,ETANCHEITE!O$19:O$89,"")&lt;&gt;"",_xlfn.XLOOKUP(A64,ETANCHEITE!Q$19:Q$89,ETANCHEITE!O$19:O$89,""),    INDEX(ETANCHEITE!O:O,MAX(_xlfn._xlws.FILTER(ROW(ETANCHEITE!O$19:INDIRECT("'PEINTURE'!O" &amp; D64-1)),ETANCHEITE!O$19:INDIRECT("'PEINTURE'!O" &amp; D64-1)&lt;&gt;"")))),"")</f>
        <v/>
      </c>
      <c r="I64" s="233" t="str" cm="1">
        <f t="array" aca="1" ref="I64" ca="1">IFERROR(IF(_xlfn.XLOOKUP(A64,ETANCHEITE!Q$19:Q$89,ETANCHEITE!P$19:P$89,"")&lt;&gt;"",_xlfn.XLOOKUP(A64,ETANCHEITE!Q$19:Q$89,ETANCHEITE!P$19:P$89,""),    INDEX(ETANCHEITE!P:P,MAX(_xlfn._xlws.FILTER(ROW(ETANCHEITE!P$19:INDIRECT("'PEINTURE'!P" &amp; D64-1)),ETANCHEITE!P$19:INDIRECT("'PEINTURE'!P" &amp; D64-1)&lt;&gt;"")))),"")</f>
        <v/>
      </c>
      <c r="J64" s="158">
        <v>62</v>
      </c>
      <c r="K64" s="167" t="str">
        <f>IF(O64&lt;&gt;" ",ETANCHEITE!$D$5,"")</f>
        <v/>
      </c>
      <c r="L64" s="167" t="str">
        <f>IF(O64&lt;&gt;" ",ETANCHEITE!$D$8,"")</f>
        <v/>
      </c>
      <c r="M64" s="159" t="str">
        <f>IFERROR(MATCH(J64,ETANCHEITE!Z$19:Z$164,0)+18,"")</f>
        <v/>
      </c>
      <c r="N64" s="160" t="str" cm="1">
        <f t="array" aca="1" ref="N64" ca="1">IFERROR(IF(_xlfn.XLOOKUP(J64,ETANCHEITE!Z$19:Z$164,ETANCHEITE!$A$19:$A$164,"")&lt;&gt;"",_xlfn.XLOOKUP(J64,ETANCHEITE!Z$19:Z$164,ETANCHEITE!$A$19:$A$164,""),    INDEX(ETANCHEITE!$A:$A,MAX(_xlfn._xlws.FILTER(ROW(ETANCHEITE!$A$19:INDIRECT("'MENUISERIES EXTERIEURES'!$A" &amp; M64-1)),ETANCHEITE!$A$19:INDIRECT("'MENUISERIES EXTERIEURES'!$A" &amp; M64-1)&lt;&gt;"")))),"")&amp;"   "&amp;IFERROR(_xlfn.XLOOKUP(J64,ETANCHEITE!Z$19:Z$164,ETANCHEITE!$B$19:$B$164),"")&amp;IFERROR(_xlfn.XLOOKUP(J64,ETANCHEITE!Z$19:Z$164,ETANCHEITE!$C$19:$C$164),"")&amp;IFERROR(_xlfn.XLOOKUP(J64,ETANCHEITE!Z$19:Z$164,ETANCHEITE!$D$19:$D$164),"")&amp;IFERROR(_xlfn.XLOOKUP(J64,ETANCHEITE!Z$19:Z$164,ETANCHEITE!$E$19:$E$164),"")&amp;IFERROR(_xlfn.XLOOKUP(J64,ETANCHEITE!Z$19:Z$164,ETANCHEITE!$F$19:$F$164),"")</f>
        <v xml:space="preserve">   </v>
      </c>
      <c r="O64" s="168" t="str">
        <f>IFERROR(VLOOKUP(J64,ETANCHEITE!Z$19:AB$164,2,FALSE),"")&amp;" "&amp;IFERROR(VLOOKUP(J64,ETANCHEITE!Z$19:AB$164,3,FALSE),"")</f>
        <v xml:space="preserve"> </v>
      </c>
      <c r="P64" s="161" t="str">
        <f>IF(O64&lt;&gt;" ",'Feuille de Donnée'!$C$3,"")</f>
        <v/>
      </c>
      <c r="Q64" s="232" t="str" cm="1">
        <f t="array" aca="1" ref="Q64" ca="1">IFERROR(IF(_xlfn.XLOOKUP(J64,ETANCHEITE!Z$19:Z$89,ETANCHEITE!X$19:X$89,"")&lt;&gt;"",_xlfn.XLOOKUP(J64,ETANCHEITE!Z$19:Z$89,ETANCHEITE!X$19:X$89,""),    INDEX(ETANCHEITE!X:X,MAX(_xlfn._xlws.FILTER(ROW(ETANCHEITE!X$19:INDIRECT("'PEINTURE'!O" &amp; M64-1)),ETANCHEITE!X$19:INDIRECT("'PEINTURE'!O" &amp; M64-1)&lt;&gt;"")))),"")</f>
        <v/>
      </c>
      <c r="R64" s="233" t="str" cm="1">
        <f t="array" aca="1" ref="R64" ca="1">IFERROR(IF(_xlfn.XLOOKUP(J64,ETANCHEITE!Z$19:Z$89,ETANCHEITE!Y$19:Y$89,"")&lt;&gt;"",_xlfn.XLOOKUP(J64,ETANCHEITE!Z$19:Z$89,ETANCHEITE!Y$19:Y$89,""),    INDEX(ETANCHEITE!Y:Y,MAX(_xlfn._xlws.FILTER(ROW(ETANCHEITE!Y$19:INDIRECT("'PEINTURE'!P" &amp; M64-1)),ETANCHEITE!Y$19:INDIRECT("'PEINTURE'!P" &amp; M64-1)&lt;&gt;"")))),"")</f>
        <v/>
      </c>
      <c r="S64" s="158">
        <v>62</v>
      </c>
      <c r="T64" s="167" t="str">
        <f>IF(X64&lt;&gt;" ",ETANCHEITE!$D$5,"")</f>
        <v/>
      </c>
      <c r="U64" s="167" t="str">
        <f>IF(X64&lt;&gt;" ",ETANCHEITE!$D$8,"")</f>
        <v/>
      </c>
      <c r="V64" s="159" t="str">
        <f>IFERROR(MATCH(S64,ETANCHEITE!AI$19:AI$164,0)+18,"")</f>
        <v/>
      </c>
      <c r="W64" s="160" t="str" cm="1">
        <f t="array" aca="1" ref="W64" ca="1">IFERROR(IF(_xlfn.XLOOKUP(S64,ETANCHEITE!AI$19:AI$164,ETANCHEITE!$A$19:$A$164,"")&lt;&gt;"",_xlfn.XLOOKUP(S64,ETANCHEITE!AI$19:AI$164,ETANCHEITE!$A$19:$A$164,""),    INDEX(ETANCHEITE!$A:$A,MAX(_xlfn._xlws.FILTER(ROW(ETANCHEITE!$A$19:INDIRECT("'MENUISERIES EXTERIEURES'!$A" &amp; V64-1)),ETANCHEITE!$A$19:INDIRECT("'MENUISERIES EXTERIEURES'!$A" &amp; V64-1)&lt;&gt;"")))),"")&amp;"   "&amp;IFERROR(_xlfn.XLOOKUP(S64,ETANCHEITE!AI$19:AI$164,ETANCHEITE!$B$19:$B$164),"")&amp;IFERROR(_xlfn.XLOOKUP(S64,ETANCHEITE!AI$19:AI$164,ETANCHEITE!$C$19:$C$164),"")&amp;IFERROR(_xlfn.XLOOKUP(S64,ETANCHEITE!AI$19:AI$164,ETANCHEITE!$D$19:$D$164),"")&amp;IFERROR(_xlfn.XLOOKUP(S64,ETANCHEITE!AI$19:AI$164,ETANCHEITE!$E$19:$E$164),"")&amp;IFERROR(_xlfn.XLOOKUP(S64,ETANCHEITE!AI$19:AI$164,ETANCHEITE!$F$19:$F$164),"")</f>
        <v xml:space="preserve">   </v>
      </c>
      <c r="X64" s="168" t="str">
        <f>IFERROR(VLOOKUP(S64,ETANCHEITE!AI$19:AK$164,2,FALSE),"")&amp;" "&amp;IFERROR(VLOOKUP(S64,ETANCHEITE!AI$19:AK$164,3,FALSE),"")</f>
        <v xml:space="preserve"> </v>
      </c>
      <c r="Y64" s="161" t="str">
        <f>IF(X64&lt;&gt;" ",'Feuille de Donnée'!$C$3,"")</f>
        <v/>
      </c>
      <c r="Z64" s="232" t="str" cm="1">
        <f t="array" aca="1" ref="Z64" ca="1">IFERROR(IF(_xlfn.XLOOKUP(S64,ETANCHEITE!AI$19:AI$89,ETANCHEITE!AG$19:AG$89,"")&lt;&gt;"",_xlfn.XLOOKUP(S64,ETANCHEITE!AI$19:AI$89,ETANCHEITE!AG$19:AG$89,""),    INDEX(ETANCHEITE!AG:AG,MAX(_xlfn._xlws.FILTER(ROW(ETANCHEITE!AG$19:INDIRECT("'PEINTURE'!O" &amp; V64-1)),ETANCHEITE!AG$19:INDIRECT("'PEINTURE'!O" &amp; V64-1)&lt;&gt;"")))),"")</f>
        <v/>
      </c>
      <c r="AA64" s="233" t="str" cm="1">
        <f t="array" aca="1" ref="AA64" ca="1">IFERROR(IF(_xlfn.XLOOKUP(S64,ETANCHEITE!AI$19:AI$89,ETANCHEITE!AH$19:AH$89,"")&lt;&gt;"",_xlfn.XLOOKUP(S64,ETANCHEITE!AI$19:AI$89,ETANCHEITE!AH$19:AH$89,""),    INDEX(ETANCHEITE!AH:AH,MAX(_xlfn._xlws.FILTER(ROW(ETANCHEITE!AH$19:INDIRECT("'PEINTURE'!P" &amp; V64-1)),ETANCHEITE!AH$19:INDIRECT("'PEINTURE'!P" &amp; V64-1)&lt;&gt;"")))),"")</f>
        <v/>
      </c>
      <c r="AB64" s="158">
        <v>62</v>
      </c>
      <c r="AC64" s="167" t="str">
        <f>IF(AG64&lt;&gt;" ",ETANCHEITE!$D$5,"")</f>
        <v/>
      </c>
      <c r="AD64" s="167" t="str">
        <f>IF(AG64&lt;&gt;" ",ETANCHEITE!$D$8,"")</f>
        <v/>
      </c>
      <c r="AE64" s="159" t="str">
        <f>IFERROR(MATCH(AB64,ETANCHEITE!AR$19:AR$164,0)+18,"")</f>
        <v/>
      </c>
      <c r="AF64" s="160" t="str" cm="1">
        <f t="array" aca="1" ref="AF64" ca="1">IFERROR(IF(_xlfn.XLOOKUP(AB64,ETANCHEITE!AR$19:AR$164,ETANCHEITE!$A$19:$A$164,"")&lt;&gt;"",_xlfn.XLOOKUP(AB64,ETANCHEITE!AR$19:AR$164,ETANCHEITE!$A$19:$A$164,""),    INDEX(ETANCHEITE!$A:$A,MAX(_xlfn._xlws.FILTER(ROW(ETANCHEITE!$A$19:INDIRECT("'MENUISERIES EXTERIEURES'!$A" &amp; AE64-1)),ETANCHEITE!$A$19:INDIRECT("'MENUISERIES EXTERIEURES'!$A" &amp; AE64-1)&lt;&gt;"")))),"")&amp;"   "&amp;IFERROR(_xlfn.XLOOKUP(AB64,ETANCHEITE!AR$19:AR$164,ETANCHEITE!$B$19:$B$164),"")&amp;IFERROR(_xlfn.XLOOKUP(AB64,ETANCHEITE!AR$19:AR$164,ETANCHEITE!$C$19:$C$164),"")&amp;IFERROR(_xlfn.XLOOKUP(AB64,ETANCHEITE!AR$19:AR$164,ETANCHEITE!$D$19:$D$164),"")&amp;IFERROR(_xlfn.XLOOKUP(AB64,ETANCHEITE!AR$19:AR$164,ETANCHEITE!$E$19:$E$164),"")&amp;IFERROR(_xlfn.XLOOKUP(AB64,ETANCHEITE!AR$19:AR$164,ETANCHEITE!$F$19:$F$164),"")</f>
        <v xml:space="preserve">   </v>
      </c>
      <c r="AG64" s="168" t="str">
        <f>IFERROR(VLOOKUP(AB64,ETANCHEITE!AR$19:AT$164,2,FALSE),"")&amp;" "&amp;IFERROR(VLOOKUP(AB64,ETANCHEITE!AR$19:AT$164,3,FALSE),"")</f>
        <v xml:space="preserve"> </v>
      </c>
      <c r="AH64" s="161" t="str">
        <f>IF(AG64&lt;&gt;" ",'Feuille de Donnée'!$C$3,"")</f>
        <v/>
      </c>
      <c r="AI64" s="232" t="str" cm="1">
        <f t="array" aca="1" ref="AI64" ca="1">IFERROR(IF(_xlfn.XLOOKUP(AB64,ETANCHEITE!AR$19:AR$89,ETANCHEITE!AP$19:AP$89,"")&lt;&gt;"",_xlfn.XLOOKUP(AB64,ETANCHEITE!AR$19:AR$89,ETANCHEITE!AP$19:AP$89,""),    INDEX(ETANCHEITE!AP:AP,MAX(_xlfn._xlws.FILTER(ROW(ETANCHEITE!AP$19:INDIRECT("'PEINTURE'!O" &amp; AE64-1)),ETANCHEITE!AP$19:INDIRECT("'PEINTURE'!O" &amp; AE64-1)&lt;&gt;"")))),"")</f>
        <v/>
      </c>
      <c r="AJ64" s="233" t="str" cm="1">
        <f t="array" aca="1" ref="AJ64" ca="1">IFERROR(IF(_xlfn.XLOOKUP(AB64,ETANCHEITE!AR$19:AR$89,ETANCHEITE!AQ$19:AQ$89,"")&lt;&gt;"",_xlfn.XLOOKUP(AB64,ETANCHEITE!AR$19:AR$89,ETANCHEITE!AQ$19:AQ$89,""),    INDEX(ETANCHEITE!AQ:AQ,MAX(_xlfn._xlws.FILTER(ROW(ETANCHEITE!AQ$19:INDIRECT("'PEINTURE'!P" &amp; AE64-1)),ETANCHEITE!AQ$19:INDIRECT("'PEINTURE'!P" &amp; AE64-1)&lt;&gt;"")))),"")</f>
        <v/>
      </c>
      <c r="AK64" s="158">
        <v>62</v>
      </c>
      <c r="AL64" s="167" t="str">
        <f>IF(AP64&lt;&gt;" ",ETANCHEITE!$D$5,"")</f>
        <v/>
      </c>
      <c r="AM64" s="167" t="str">
        <f>IF(AP64&lt;&gt;" ",ETANCHEITE!$D$8,"")</f>
        <v/>
      </c>
      <c r="AN64" s="159" t="str">
        <f>IFERROR(MATCH(AK64,ETANCHEITE!BA$19:BA$164,0)+18,"")</f>
        <v/>
      </c>
      <c r="AO64" s="160" t="str" cm="1">
        <f t="array" aca="1" ref="AO64" ca="1">IFERROR(IF(_xlfn.XLOOKUP(AK64,ETANCHEITE!BA$19:BA$164,ETANCHEITE!$A$19:$A$164,"")&lt;&gt;"",_xlfn.XLOOKUP(AK64,ETANCHEITE!BA$19:BA$164,ETANCHEITE!$A$19:$A$164,""),    INDEX(ETANCHEITE!$A:$A,MAX(_xlfn._xlws.FILTER(ROW(ETANCHEITE!$A$19:INDIRECT("'MENUISERIES EXTERIEURES'!$A" &amp; AN64-1)),ETANCHEITE!$A$19:INDIRECT("'MENUISERIES EXTERIEURES'!$A" &amp; AN64-1)&lt;&gt;"")))),"")&amp;"   "&amp;IFERROR(_xlfn.XLOOKUP(AK64,ETANCHEITE!BA$19:BA$164,ETANCHEITE!$B$19:$B$164),"")&amp;IFERROR(_xlfn.XLOOKUP(AK64,ETANCHEITE!BA$19:BA$164,ETANCHEITE!$C$19:$C$164),"")&amp;IFERROR(_xlfn.XLOOKUP(AK64,ETANCHEITE!BA$19:BA$164,ETANCHEITE!$D$19:$D$164),"")&amp;IFERROR(_xlfn.XLOOKUP(AK64,ETANCHEITE!BA$19:BA$164,ETANCHEITE!$E$19:$E$164),"")&amp;IFERROR(_xlfn.XLOOKUP(AK64,ETANCHEITE!BA$19:BA$164,ETANCHEITE!$F$19:$F$164),"")</f>
        <v xml:space="preserve">   </v>
      </c>
      <c r="AP64" s="168" t="str">
        <f>IFERROR(VLOOKUP(AK64,ETANCHEITE!BA$19:BC$164,2,FALSE),"")&amp;" "&amp;IFERROR(VLOOKUP(AK64,ETANCHEITE!BA$19:BC$164,3,FALSE),"")</f>
        <v xml:space="preserve"> </v>
      </c>
      <c r="AQ64" s="161" t="str">
        <f>IF(AP64&lt;&gt;" ",'Feuille de Donnée'!$C$3,"")</f>
        <v/>
      </c>
      <c r="AR64" s="232" t="str" cm="1">
        <f t="array" aca="1" ref="AR64" ca="1">IFERROR(IF(_xlfn.XLOOKUP(AK64,ETANCHEITE!BA$19:BA$89,ETANCHEITE!AY$19:AY$89,"")&lt;&gt;"",_xlfn.XLOOKUP(AK64,ETANCHEITE!BA$19:BA$89,ETANCHEITE!AY$19:AY$89,""),    INDEX(ETANCHEITE!AY:AY,MAX(_xlfn._xlws.FILTER(ROW(ETANCHEITE!AY$19:INDIRECT("'PEINTURE'!O" &amp; AN64-1)),ETANCHEITE!AY$19:INDIRECT("'PEINTURE'!O" &amp; AN64-1)&lt;&gt;"")))),"")</f>
        <v/>
      </c>
      <c r="AS64" s="233" t="str" cm="1">
        <f t="array" aca="1" ref="AS64" ca="1">IFERROR(IF(_xlfn.XLOOKUP(AK64,ETANCHEITE!BA$19:BA$89,ETANCHEITE!AZ$19:AZ$89,"")&lt;&gt;"",_xlfn.XLOOKUP(AK64,ETANCHEITE!BA$19:BA$89,ETANCHEITE!AZ$19:AZ$89,""),    INDEX(ETANCHEITE!AZ:AZ,MAX(_xlfn._xlws.FILTER(ROW(ETANCHEITE!AZ$19:INDIRECT("'PEINTURE'!P" &amp; AN64-1)),ETANCHEITE!AZ$19:INDIRECT("'PEINTURE'!P" &amp; AN64-1)&lt;&gt;"")))),"")</f>
        <v/>
      </c>
      <c r="AT64" s="158">
        <v>62</v>
      </c>
      <c r="AU64" s="167" t="str">
        <f>IF(AY64&lt;&gt;" ",ETANCHEITE!$D$5,"")</f>
        <v/>
      </c>
      <c r="AV64" s="167" t="str">
        <f>IF(AY64&lt;&gt;" ",ETANCHEITE!$D$8,"")</f>
        <v/>
      </c>
      <c r="AW64" s="159" t="str">
        <f>IFERROR(MATCH(AT64,ETANCHEITE!BJ$19:BJ$164,0)+18,"")</f>
        <v/>
      </c>
      <c r="AX64" s="160" t="str" cm="1">
        <f t="array" aca="1" ref="AX64" ca="1">IFERROR(IF(_xlfn.XLOOKUP(AT64,ETANCHEITE!BJ$19:BJ$164,ETANCHEITE!$A$19:$A$164,"")&lt;&gt;"",_xlfn.XLOOKUP(AT64,ETANCHEITE!BJ$19:BJ$164,ETANCHEITE!$A$19:$A$164,""),    INDEX(ETANCHEITE!$A:$A,MAX(_xlfn._xlws.FILTER(ROW(ETANCHEITE!$A$19:INDIRECT("'MENUISERIES EXTERIEURES'!$A" &amp; AW64-1)),ETANCHEITE!$A$19:INDIRECT("'MENUISERIES EXTERIEURES'!$A" &amp; AW64-1)&lt;&gt;"")))),"")&amp;"   "&amp;IFERROR(_xlfn.XLOOKUP(AT64,ETANCHEITE!BJ$19:BJ$164,ETANCHEITE!$B$19:$B$164),"")&amp;IFERROR(_xlfn.XLOOKUP(AT64,ETANCHEITE!BJ$19:BJ$164,ETANCHEITE!$C$19:$C$164),"")&amp;IFERROR(_xlfn.XLOOKUP(AT64,ETANCHEITE!BJ$19:BJ$164,ETANCHEITE!$D$19:$D$164),"")&amp;IFERROR(_xlfn.XLOOKUP(AT64,ETANCHEITE!BJ$19:BJ$164,ETANCHEITE!$E$19:$E$164),"")&amp;IFERROR(_xlfn.XLOOKUP(AT64,ETANCHEITE!BJ$19:BJ$164,ETANCHEITE!$F$19:$F$164),"")</f>
        <v xml:space="preserve">   </v>
      </c>
      <c r="AY64" s="168" t="str">
        <f>IFERROR(VLOOKUP(AT64,ETANCHEITE!BJ$19:BL$164,2,FALSE),"")&amp;" "&amp;IFERROR(VLOOKUP(AT64,ETANCHEITE!BJ$19:BL$164,3,FALSE),"")</f>
        <v xml:space="preserve"> </v>
      </c>
      <c r="AZ64" s="161" t="str">
        <f>IF(AY64&lt;&gt;" ",'Feuille de Donnée'!$C$3,"")</f>
        <v/>
      </c>
      <c r="BA64" s="232" t="str" cm="1">
        <f t="array" aca="1" ref="BA64" ca="1">IFERROR(IF(_xlfn.XLOOKUP(AT64,ETANCHEITE!BJ$19:BJ$89,ETANCHEITE!BH$19:BH$89,"")&lt;&gt;"",_xlfn.XLOOKUP(AT64,ETANCHEITE!BJ$19:BJ$89,ETANCHEITE!BH$19:BH$89,""),    INDEX(ETANCHEITE!BH:BH,MAX(_xlfn._xlws.FILTER(ROW(ETANCHEITE!BH$19:INDIRECT("'PEINTURE'!O" &amp; AW64-1)),ETANCHEITE!BH$19:INDIRECT("'PEINTURE'!O" &amp; AW64-1)&lt;&gt;"")))),"")</f>
        <v/>
      </c>
      <c r="BB64" s="233" t="str" cm="1">
        <f t="array" aca="1" ref="BB64" ca="1">IFERROR(IF(_xlfn.XLOOKUP(AT64,ETANCHEITE!BJ$19:BJ$89,ETANCHEITE!BI$19:BI$89,"")&lt;&gt;"",_xlfn.XLOOKUP(AT64,ETANCHEITE!BJ$19:BJ$89,ETANCHEITE!BI$19:BI$89,""),    INDEX(ETANCHEITE!BI:BI,MAX(_xlfn._xlws.FILTER(ROW(ETANCHEITE!BI$19:INDIRECT("'PEINTURE'!P" &amp; AW64-1)),ETANCHEITE!BI$19:INDIRECT("'PEINTURE'!P" &amp; AW64-1)&lt;&gt;"")))),"")</f>
        <v/>
      </c>
    </row>
    <row r="65" spans="1:54" x14ac:dyDescent="0.3">
      <c r="A65" s="158">
        <v>63</v>
      </c>
      <c r="B65" s="167" t="str">
        <f>IF(F65&lt;&gt;" ",ETANCHEITE!$D$5,"")</f>
        <v/>
      </c>
      <c r="C65" s="167" t="str">
        <f>IF(F65&lt;&gt;" ",ETANCHEITE!$D$8,"")</f>
        <v/>
      </c>
      <c r="D65" s="159" t="str">
        <f>IFERROR(MATCH(A65,ETANCHEITE!Q$19:Q$164,0)+18,"")</f>
        <v/>
      </c>
      <c r="E65" s="160" t="str" cm="1">
        <f t="array" aca="1" ref="E65" ca="1">IFERROR(IF(_xlfn.XLOOKUP(A65,ETANCHEITE!Q$19:Q$164,ETANCHEITE!$A$19:$A$164,"")&lt;&gt;"",_xlfn.XLOOKUP(A65,ETANCHEITE!Q$19:Q$164,ETANCHEITE!$A$19:$A$164,""),    INDEX(ETANCHEITE!$A:$A,MAX(_xlfn._xlws.FILTER(ROW(ETANCHEITE!$A$19:INDIRECT("'MENUISERIES EXTERIEURES'!$A" &amp; D65-1)),ETANCHEITE!$A$19:INDIRECT("'MENUISERIES EXTERIEURES'!$A" &amp; D65-1)&lt;&gt;"")))),"")&amp;"   "&amp;IFERROR(_xlfn.XLOOKUP(A65,ETANCHEITE!Q$19:Q$164,ETANCHEITE!$B$19:$B$164),"")&amp;IFERROR(_xlfn.XLOOKUP(A65,ETANCHEITE!Q$19:Q$164,ETANCHEITE!$C$19:$C$164),"")&amp;IFERROR(_xlfn.XLOOKUP(A65,ETANCHEITE!Q$19:Q$164,ETANCHEITE!$D$19:$D$164),"")&amp;IFERROR(_xlfn.XLOOKUP(A65,ETANCHEITE!Q$19:Q$164,ETANCHEITE!$E$19:$E$164),"")&amp;IFERROR(_xlfn.XLOOKUP(A65,ETANCHEITE!Q$19:Q$164,ETANCHEITE!$F$19:$F$164),"")</f>
        <v xml:space="preserve">   </v>
      </c>
      <c r="F65" s="168" t="str">
        <f>IFERROR(VLOOKUP(A65,ETANCHEITE!Q$19:S$164,2,FALSE),"")&amp;" "&amp;IFERROR(VLOOKUP(A65,ETANCHEITE!Q$19:S$164,3,FALSE),"")</f>
        <v xml:space="preserve"> </v>
      </c>
      <c r="G65" s="161" t="str">
        <f>IF(F65&lt;&gt;" ",'Feuille de Donnée'!$C$3,"")</f>
        <v/>
      </c>
      <c r="H65" s="232" t="str" cm="1">
        <f t="array" aca="1" ref="H65" ca="1">IFERROR(IF(_xlfn.XLOOKUP(A65,ETANCHEITE!Q$19:Q$89,ETANCHEITE!O$19:O$89,"")&lt;&gt;"",_xlfn.XLOOKUP(A65,ETANCHEITE!Q$19:Q$89,ETANCHEITE!O$19:O$89,""),    INDEX(ETANCHEITE!O:O,MAX(_xlfn._xlws.FILTER(ROW(ETANCHEITE!O$19:INDIRECT("'PEINTURE'!O" &amp; D65-1)),ETANCHEITE!O$19:INDIRECT("'PEINTURE'!O" &amp; D65-1)&lt;&gt;"")))),"")</f>
        <v/>
      </c>
      <c r="I65" s="233" t="str" cm="1">
        <f t="array" aca="1" ref="I65" ca="1">IFERROR(IF(_xlfn.XLOOKUP(A65,ETANCHEITE!Q$19:Q$89,ETANCHEITE!P$19:P$89,"")&lt;&gt;"",_xlfn.XLOOKUP(A65,ETANCHEITE!Q$19:Q$89,ETANCHEITE!P$19:P$89,""),    INDEX(ETANCHEITE!P:P,MAX(_xlfn._xlws.FILTER(ROW(ETANCHEITE!P$19:INDIRECT("'PEINTURE'!P" &amp; D65-1)),ETANCHEITE!P$19:INDIRECT("'PEINTURE'!P" &amp; D65-1)&lt;&gt;"")))),"")</f>
        <v/>
      </c>
      <c r="J65" s="158">
        <v>63</v>
      </c>
      <c r="K65" s="167" t="str">
        <f>IF(O65&lt;&gt;" ",ETANCHEITE!$D$5,"")</f>
        <v/>
      </c>
      <c r="L65" s="167" t="str">
        <f>IF(O65&lt;&gt;" ",ETANCHEITE!$D$8,"")</f>
        <v/>
      </c>
      <c r="M65" s="159" t="str">
        <f>IFERROR(MATCH(J65,ETANCHEITE!Z$19:Z$164,0)+18,"")</f>
        <v/>
      </c>
      <c r="N65" s="160" t="str" cm="1">
        <f t="array" aca="1" ref="N65" ca="1">IFERROR(IF(_xlfn.XLOOKUP(J65,ETANCHEITE!Z$19:Z$164,ETANCHEITE!$A$19:$A$164,"")&lt;&gt;"",_xlfn.XLOOKUP(J65,ETANCHEITE!Z$19:Z$164,ETANCHEITE!$A$19:$A$164,""),    INDEX(ETANCHEITE!$A:$A,MAX(_xlfn._xlws.FILTER(ROW(ETANCHEITE!$A$19:INDIRECT("'MENUISERIES EXTERIEURES'!$A" &amp; M65-1)),ETANCHEITE!$A$19:INDIRECT("'MENUISERIES EXTERIEURES'!$A" &amp; M65-1)&lt;&gt;"")))),"")&amp;"   "&amp;IFERROR(_xlfn.XLOOKUP(J65,ETANCHEITE!Z$19:Z$164,ETANCHEITE!$B$19:$B$164),"")&amp;IFERROR(_xlfn.XLOOKUP(J65,ETANCHEITE!Z$19:Z$164,ETANCHEITE!$C$19:$C$164),"")&amp;IFERROR(_xlfn.XLOOKUP(J65,ETANCHEITE!Z$19:Z$164,ETANCHEITE!$D$19:$D$164),"")&amp;IFERROR(_xlfn.XLOOKUP(J65,ETANCHEITE!Z$19:Z$164,ETANCHEITE!$E$19:$E$164),"")&amp;IFERROR(_xlfn.XLOOKUP(J65,ETANCHEITE!Z$19:Z$164,ETANCHEITE!$F$19:$F$164),"")</f>
        <v xml:space="preserve">   </v>
      </c>
      <c r="O65" s="168" t="str">
        <f>IFERROR(VLOOKUP(J65,ETANCHEITE!Z$19:AB$164,2,FALSE),"")&amp;" "&amp;IFERROR(VLOOKUP(J65,ETANCHEITE!Z$19:AB$164,3,FALSE),"")</f>
        <v xml:space="preserve"> </v>
      </c>
      <c r="P65" s="161" t="str">
        <f>IF(O65&lt;&gt;" ",'Feuille de Donnée'!$C$3,"")</f>
        <v/>
      </c>
      <c r="Q65" s="232" t="str" cm="1">
        <f t="array" aca="1" ref="Q65" ca="1">IFERROR(IF(_xlfn.XLOOKUP(J65,ETANCHEITE!Z$19:Z$89,ETANCHEITE!X$19:X$89,"")&lt;&gt;"",_xlfn.XLOOKUP(J65,ETANCHEITE!Z$19:Z$89,ETANCHEITE!X$19:X$89,""),    INDEX(ETANCHEITE!X:X,MAX(_xlfn._xlws.FILTER(ROW(ETANCHEITE!X$19:INDIRECT("'PEINTURE'!O" &amp; M65-1)),ETANCHEITE!X$19:INDIRECT("'PEINTURE'!O" &amp; M65-1)&lt;&gt;"")))),"")</f>
        <v/>
      </c>
      <c r="R65" s="233" t="str" cm="1">
        <f t="array" aca="1" ref="R65" ca="1">IFERROR(IF(_xlfn.XLOOKUP(J65,ETANCHEITE!Z$19:Z$89,ETANCHEITE!Y$19:Y$89,"")&lt;&gt;"",_xlfn.XLOOKUP(J65,ETANCHEITE!Z$19:Z$89,ETANCHEITE!Y$19:Y$89,""),    INDEX(ETANCHEITE!Y:Y,MAX(_xlfn._xlws.FILTER(ROW(ETANCHEITE!Y$19:INDIRECT("'PEINTURE'!P" &amp; M65-1)),ETANCHEITE!Y$19:INDIRECT("'PEINTURE'!P" &amp; M65-1)&lt;&gt;"")))),"")</f>
        <v/>
      </c>
      <c r="S65" s="158">
        <v>63</v>
      </c>
      <c r="T65" s="167" t="str">
        <f>IF(X65&lt;&gt;" ",ETANCHEITE!$D$5,"")</f>
        <v/>
      </c>
      <c r="U65" s="167" t="str">
        <f>IF(X65&lt;&gt;" ",ETANCHEITE!$D$8,"")</f>
        <v/>
      </c>
      <c r="V65" s="159" t="str">
        <f>IFERROR(MATCH(S65,ETANCHEITE!AI$19:AI$164,0)+18,"")</f>
        <v/>
      </c>
      <c r="W65" s="160" t="str" cm="1">
        <f t="array" aca="1" ref="W65" ca="1">IFERROR(IF(_xlfn.XLOOKUP(S65,ETANCHEITE!AI$19:AI$164,ETANCHEITE!$A$19:$A$164,"")&lt;&gt;"",_xlfn.XLOOKUP(S65,ETANCHEITE!AI$19:AI$164,ETANCHEITE!$A$19:$A$164,""),    INDEX(ETANCHEITE!$A:$A,MAX(_xlfn._xlws.FILTER(ROW(ETANCHEITE!$A$19:INDIRECT("'MENUISERIES EXTERIEURES'!$A" &amp; V65-1)),ETANCHEITE!$A$19:INDIRECT("'MENUISERIES EXTERIEURES'!$A" &amp; V65-1)&lt;&gt;"")))),"")&amp;"   "&amp;IFERROR(_xlfn.XLOOKUP(S65,ETANCHEITE!AI$19:AI$164,ETANCHEITE!$B$19:$B$164),"")&amp;IFERROR(_xlfn.XLOOKUP(S65,ETANCHEITE!AI$19:AI$164,ETANCHEITE!$C$19:$C$164),"")&amp;IFERROR(_xlfn.XLOOKUP(S65,ETANCHEITE!AI$19:AI$164,ETANCHEITE!$D$19:$D$164),"")&amp;IFERROR(_xlfn.XLOOKUP(S65,ETANCHEITE!AI$19:AI$164,ETANCHEITE!$E$19:$E$164),"")&amp;IFERROR(_xlfn.XLOOKUP(S65,ETANCHEITE!AI$19:AI$164,ETANCHEITE!$F$19:$F$164),"")</f>
        <v xml:space="preserve">   </v>
      </c>
      <c r="X65" s="168" t="str">
        <f>IFERROR(VLOOKUP(S65,ETANCHEITE!AI$19:AK$164,2,FALSE),"")&amp;" "&amp;IFERROR(VLOOKUP(S65,ETANCHEITE!AI$19:AK$164,3,FALSE),"")</f>
        <v xml:space="preserve"> </v>
      </c>
      <c r="Y65" s="161" t="str">
        <f>IF(X65&lt;&gt;" ",'Feuille de Donnée'!$C$3,"")</f>
        <v/>
      </c>
      <c r="Z65" s="232" t="str" cm="1">
        <f t="array" aca="1" ref="Z65" ca="1">IFERROR(IF(_xlfn.XLOOKUP(S65,ETANCHEITE!AI$19:AI$89,ETANCHEITE!AG$19:AG$89,"")&lt;&gt;"",_xlfn.XLOOKUP(S65,ETANCHEITE!AI$19:AI$89,ETANCHEITE!AG$19:AG$89,""),    INDEX(ETANCHEITE!AG:AG,MAX(_xlfn._xlws.FILTER(ROW(ETANCHEITE!AG$19:INDIRECT("'PEINTURE'!O" &amp; V65-1)),ETANCHEITE!AG$19:INDIRECT("'PEINTURE'!O" &amp; V65-1)&lt;&gt;"")))),"")</f>
        <v/>
      </c>
      <c r="AA65" s="233" t="str" cm="1">
        <f t="array" aca="1" ref="AA65" ca="1">IFERROR(IF(_xlfn.XLOOKUP(S65,ETANCHEITE!AI$19:AI$89,ETANCHEITE!AH$19:AH$89,"")&lt;&gt;"",_xlfn.XLOOKUP(S65,ETANCHEITE!AI$19:AI$89,ETANCHEITE!AH$19:AH$89,""),    INDEX(ETANCHEITE!AH:AH,MAX(_xlfn._xlws.FILTER(ROW(ETANCHEITE!AH$19:INDIRECT("'PEINTURE'!P" &amp; V65-1)),ETANCHEITE!AH$19:INDIRECT("'PEINTURE'!P" &amp; V65-1)&lt;&gt;"")))),"")</f>
        <v/>
      </c>
      <c r="AB65" s="158">
        <v>63</v>
      </c>
      <c r="AC65" s="167" t="str">
        <f>IF(AG65&lt;&gt;" ",ETANCHEITE!$D$5,"")</f>
        <v/>
      </c>
      <c r="AD65" s="167" t="str">
        <f>IF(AG65&lt;&gt;" ",ETANCHEITE!$D$8,"")</f>
        <v/>
      </c>
      <c r="AE65" s="159" t="str">
        <f>IFERROR(MATCH(AB65,ETANCHEITE!AR$19:AR$164,0)+18,"")</f>
        <v/>
      </c>
      <c r="AF65" s="160" t="str" cm="1">
        <f t="array" aca="1" ref="AF65" ca="1">IFERROR(IF(_xlfn.XLOOKUP(AB65,ETANCHEITE!AR$19:AR$164,ETANCHEITE!$A$19:$A$164,"")&lt;&gt;"",_xlfn.XLOOKUP(AB65,ETANCHEITE!AR$19:AR$164,ETANCHEITE!$A$19:$A$164,""),    INDEX(ETANCHEITE!$A:$A,MAX(_xlfn._xlws.FILTER(ROW(ETANCHEITE!$A$19:INDIRECT("'MENUISERIES EXTERIEURES'!$A" &amp; AE65-1)),ETANCHEITE!$A$19:INDIRECT("'MENUISERIES EXTERIEURES'!$A" &amp; AE65-1)&lt;&gt;"")))),"")&amp;"   "&amp;IFERROR(_xlfn.XLOOKUP(AB65,ETANCHEITE!AR$19:AR$164,ETANCHEITE!$B$19:$B$164),"")&amp;IFERROR(_xlfn.XLOOKUP(AB65,ETANCHEITE!AR$19:AR$164,ETANCHEITE!$C$19:$C$164),"")&amp;IFERROR(_xlfn.XLOOKUP(AB65,ETANCHEITE!AR$19:AR$164,ETANCHEITE!$D$19:$D$164),"")&amp;IFERROR(_xlfn.XLOOKUP(AB65,ETANCHEITE!AR$19:AR$164,ETANCHEITE!$E$19:$E$164),"")&amp;IFERROR(_xlfn.XLOOKUP(AB65,ETANCHEITE!AR$19:AR$164,ETANCHEITE!$F$19:$F$164),"")</f>
        <v xml:space="preserve">   </v>
      </c>
      <c r="AG65" s="168" t="str">
        <f>IFERROR(VLOOKUP(AB65,ETANCHEITE!AR$19:AT$164,2,FALSE),"")&amp;" "&amp;IFERROR(VLOOKUP(AB65,ETANCHEITE!AR$19:AT$164,3,FALSE),"")</f>
        <v xml:space="preserve"> </v>
      </c>
      <c r="AH65" s="161" t="str">
        <f>IF(AG65&lt;&gt;" ",'Feuille de Donnée'!$C$3,"")</f>
        <v/>
      </c>
      <c r="AI65" s="232" t="str" cm="1">
        <f t="array" aca="1" ref="AI65" ca="1">IFERROR(IF(_xlfn.XLOOKUP(AB65,ETANCHEITE!AR$19:AR$89,ETANCHEITE!AP$19:AP$89,"")&lt;&gt;"",_xlfn.XLOOKUP(AB65,ETANCHEITE!AR$19:AR$89,ETANCHEITE!AP$19:AP$89,""),    INDEX(ETANCHEITE!AP:AP,MAX(_xlfn._xlws.FILTER(ROW(ETANCHEITE!AP$19:INDIRECT("'PEINTURE'!O" &amp; AE65-1)),ETANCHEITE!AP$19:INDIRECT("'PEINTURE'!O" &amp; AE65-1)&lt;&gt;"")))),"")</f>
        <v/>
      </c>
      <c r="AJ65" s="233" t="str" cm="1">
        <f t="array" aca="1" ref="AJ65" ca="1">IFERROR(IF(_xlfn.XLOOKUP(AB65,ETANCHEITE!AR$19:AR$89,ETANCHEITE!AQ$19:AQ$89,"")&lt;&gt;"",_xlfn.XLOOKUP(AB65,ETANCHEITE!AR$19:AR$89,ETANCHEITE!AQ$19:AQ$89,""),    INDEX(ETANCHEITE!AQ:AQ,MAX(_xlfn._xlws.FILTER(ROW(ETANCHEITE!AQ$19:INDIRECT("'PEINTURE'!P" &amp; AE65-1)),ETANCHEITE!AQ$19:INDIRECT("'PEINTURE'!P" &amp; AE65-1)&lt;&gt;"")))),"")</f>
        <v/>
      </c>
      <c r="AK65" s="158">
        <v>63</v>
      </c>
      <c r="AL65" s="167" t="str">
        <f>IF(AP65&lt;&gt;" ",ETANCHEITE!$D$5,"")</f>
        <v/>
      </c>
      <c r="AM65" s="167" t="str">
        <f>IF(AP65&lt;&gt;" ",ETANCHEITE!$D$8,"")</f>
        <v/>
      </c>
      <c r="AN65" s="159" t="str">
        <f>IFERROR(MATCH(AK65,ETANCHEITE!BA$19:BA$164,0)+18,"")</f>
        <v/>
      </c>
      <c r="AO65" s="160" t="str" cm="1">
        <f t="array" aca="1" ref="AO65" ca="1">IFERROR(IF(_xlfn.XLOOKUP(AK65,ETANCHEITE!BA$19:BA$164,ETANCHEITE!$A$19:$A$164,"")&lt;&gt;"",_xlfn.XLOOKUP(AK65,ETANCHEITE!BA$19:BA$164,ETANCHEITE!$A$19:$A$164,""),    INDEX(ETANCHEITE!$A:$A,MAX(_xlfn._xlws.FILTER(ROW(ETANCHEITE!$A$19:INDIRECT("'MENUISERIES EXTERIEURES'!$A" &amp; AN65-1)),ETANCHEITE!$A$19:INDIRECT("'MENUISERIES EXTERIEURES'!$A" &amp; AN65-1)&lt;&gt;"")))),"")&amp;"   "&amp;IFERROR(_xlfn.XLOOKUP(AK65,ETANCHEITE!BA$19:BA$164,ETANCHEITE!$B$19:$B$164),"")&amp;IFERROR(_xlfn.XLOOKUP(AK65,ETANCHEITE!BA$19:BA$164,ETANCHEITE!$C$19:$C$164),"")&amp;IFERROR(_xlfn.XLOOKUP(AK65,ETANCHEITE!BA$19:BA$164,ETANCHEITE!$D$19:$D$164),"")&amp;IFERROR(_xlfn.XLOOKUP(AK65,ETANCHEITE!BA$19:BA$164,ETANCHEITE!$E$19:$E$164),"")&amp;IFERROR(_xlfn.XLOOKUP(AK65,ETANCHEITE!BA$19:BA$164,ETANCHEITE!$F$19:$F$164),"")</f>
        <v xml:space="preserve">   </v>
      </c>
      <c r="AP65" s="168" t="str">
        <f>IFERROR(VLOOKUP(AK65,ETANCHEITE!BA$19:BC$164,2,FALSE),"")&amp;" "&amp;IFERROR(VLOOKUP(AK65,ETANCHEITE!BA$19:BC$164,3,FALSE),"")</f>
        <v xml:space="preserve"> </v>
      </c>
      <c r="AQ65" s="161" t="str">
        <f>IF(AP65&lt;&gt;" ",'Feuille de Donnée'!$C$3,"")</f>
        <v/>
      </c>
      <c r="AR65" s="232" t="str" cm="1">
        <f t="array" aca="1" ref="AR65" ca="1">IFERROR(IF(_xlfn.XLOOKUP(AK65,ETANCHEITE!BA$19:BA$89,ETANCHEITE!AY$19:AY$89,"")&lt;&gt;"",_xlfn.XLOOKUP(AK65,ETANCHEITE!BA$19:BA$89,ETANCHEITE!AY$19:AY$89,""),    INDEX(ETANCHEITE!AY:AY,MAX(_xlfn._xlws.FILTER(ROW(ETANCHEITE!AY$19:INDIRECT("'PEINTURE'!O" &amp; AN65-1)),ETANCHEITE!AY$19:INDIRECT("'PEINTURE'!O" &amp; AN65-1)&lt;&gt;"")))),"")</f>
        <v/>
      </c>
      <c r="AS65" s="233" t="str" cm="1">
        <f t="array" aca="1" ref="AS65" ca="1">IFERROR(IF(_xlfn.XLOOKUP(AK65,ETANCHEITE!BA$19:BA$89,ETANCHEITE!AZ$19:AZ$89,"")&lt;&gt;"",_xlfn.XLOOKUP(AK65,ETANCHEITE!BA$19:BA$89,ETANCHEITE!AZ$19:AZ$89,""),    INDEX(ETANCHEITE!AZ:AZ,MAX(_xlfn._xlws.FILTER(ROW(ETANCHEITE!AZ$19:INDIRECT("'PEINTURE'!P" &amp; AN65-1)),ETANCHEITE!AZ$19:INDIRECT("'PEINTURE'!P" &amp; AN65-1)&lt;&gt;"")))),"")</f>
        <v/>
      </c>
      <c r="AT65" s="158">
        <v>63</v>
      </c>
      <c r="AU65" s="167" t="str">
        <f>IF(AY65&lt;&gt;" ",ETANCHEITE!$D$5,"")</f>
        <v/>
      </c>
      <c r="AV65" s="167" t="str">
        <f>IF(AY65&lt;&gt;" ",ETANCHEITE!$D$8,"")</f>
        <v/>
      </c>
      <c r="AW65" s="159" t="str">
        <f>IFERROR(MATCH(AT65,ETANCHEITE!BJ$19:BJ$164,0)+18,"")</f>
        <v/>
      </c>
      <c r="AX65" s="160" t="str" cm="1">
        <f t="array" aca="1" ref="AX65" ca="1">IFERROR(IF(_xlfn.XLOOKUP(AT65,ETANCHEITE!BJ$19:BJ$164,ETANCHEITE!$A$19:$A$164,"")&lt;&gt;"",_xlfn.XLOOKUP(AT65,ETANCHEITE!BJ$19:BJ$164,ETANCHEITE!$A$19:$A$164,""),    INDEX(ETANCHEITE!$A:$A,MAX(_xlfn._xlws.FILTER(ROW(ETANCHEITE!$A$19:INDIRECT("'MENUISERIES EXTERIEURES'!$A" &amp; AW65-1)),ETANCHEITE!$A$19:INDIRECT("'MENUISERIES EXTERIEURES'!$A" &amp; AW65-1)&lt;&gt;"")))),"")&amp;"   "&amp;IFERROR(_xlfn.XLOOKUP(AT65,ETANCHEITE!BJ$19:BJ$164,ETANCHEITE!$B$19:$B$164),"")&amp;IFERROR(_xlfn.XLOOKUP(AT65,ETANCHEITE!BJ$19:BJ$164,ETANCHEITE!$C$19:$C$164),"")&amp;IFERROR(_xlfn.XLOOKUP(AT65,ETANCHEITE!BJ$19:BJ$164,ETANCHEITE!$D$19:$D$164),"")&amp;IFERROR(_xlfn.XLOOKUP(AT65,ETANCHEITE!BJ$19:BJ$164,ETANCHEITE!$E$19:$E$164),"")&amp;IFERROR(_xlfn.XLOOKUP(AT65,ETANCHEITE!BJ$19:BJ$164,ETANCHEITE!$F$19:$F$164),"")</f>
        <v xml:space="preserve">   </v>
      </c>
      <c r="AY65" s="168" t="str">
        <f>IFERROR(VLOOKUP(AT65,ETANCHEITE!BJ$19:BL$164,2,FALSE),"")&amp;" "&amp;IFERROR(VLOOKUP(AT65,ETANCHEITE!BJ$19:BL$164,3,FALSE),"")</f>
        <v xml:space="preserve"> </v>
      </c>
      <c r="AZ65" s="161" t="str">
        <f>IF(AY65&lt;&gt;" ",'Feuille de Donnée'!$C$3,"")</f>
        <v/>
      </c>
      <c r="BA65" s="232" t="str" cm="1">
        <f t="array" aca="1" ref="BA65" ca="1">IFERROR(IF(_xlfn.XLOOKUP(AT65,ETANCHEITE!BJ$19:BJ$89,ETANCHEITE!BH$19:BH$89,"")&lt;&gt;"",_xlfn.XLOOKUP(AT65,ETANCHEITE!BJ$19:BJ$89,ETANCHEITE!BH$19:BH$89,""),    INDEX(ETANCHEITE!BH:BH,MAX(_xlfn._xlws.FILTER(ROW(ETANCHEITE!BH$19:INDIRECT("'PEINTURE'!O" &amp; AW65-1)),ETANCHEITE!BH$19:INDIRECT("'PEINTURE'!O" &amp; AW65-1)&lt;&gt;"")))),"")</f>
        <v/>
      </c>
      <c r="BB65" s="233" t="str" cm="1">
        <f t="array" aca="1" ref="BB65" ca="1">IFERROR(IF(_xlfn.XLOOKUP(AT65,ETANCHEITE!BJ$19:BJ$89,ETANCHEITE!BI$19:BI$89,"")&lt;&gt;"",_xlfn.XLOOKUP(AT65,ETANCHEITE!BJ$19:BJ$89,ETANCHEITE!BI$19:BI$89,""),    INDEX(ETANCHEITE!BI:BI,MAX(_xlfn._xlws.FILTER(ROW(ETANCHEITE!BI$19:INDIRECT("'PEINTURE'!P" &amp; AW65-1)),ETANCHEITE!BI$19:INDIRECT("'PEINTURE'!P" &amp; AW65-1)&lt;&gt;"")))),"")</f>
        <v/>
      </c>
    </row>
    <row r="66" spans="1:54" x14ac:dyDescent="0.3">
      <c r="A66" s="158">
        <v>64</v>
      </c>
      <c r="B66" s="167" t="str">
        <f>IF(F66&lt;&gt;" ",ETANCHEITE!$D$5,"")</f>
        <v/>
      </c>
      <c r="C66" s="167" t="str">
        <f>IF(F66&lt;&gt;" ",ETANCHEITE!$D$8,"")</f>
        <v/>
      </c>
      <c r="D66" s="159" t="str">
        <f>IFERROR(MATCH(A66,ETANCHEITE!Q$19:Q$164,0)+18,"")</f>
        <v/>
      </c>
      <c r="E66" s="160" t="str" cm="1">
        <f t="array" aca="1" ref="E66" ca="1">IFERROR(IF(_xlfn.XLOOKUP(A66,ETANCHEITE!Q$19:Q$164,ETANCHEITE!$A$19:$A$164,"")&lt;&gt;"",_xlfn.XLOOKUP(A66,ETANCHEITE!Q$19:Q$164,ETANCHEITE!$A$19:$A$164,""),    INDEX(ETANCHEITE!$A:$A,MAX(_xlfn._xlws.FILTER(ROW(ETANCHEITE!$A$19:INDIRECT("'MENUISERIES EXTERIEURES'!$A" &amp; D66-1)),ETANCHEITE!$A$19:INDIRECT("'MENUISERIES EXTERIEURES'!$A" &amp; D66-1)&lt;&gt;"")))),"")&amp;"   "&amp;IFERROR(_xlfn.XLOOKUP(A66,ETANCHEITE!Q$19:Q$164,ETANCHEITE!$B$19:$B$164),"")&amp;IFERROR(_xlfn.XLOOKUP(A66,ETANCHEITE!Q$19:Q$164,ETANCHEITE!$C$19:$C$164),"")&amp;IFERROR(_xlfn.XLOOKUP(A66,ETANCHEITE!Q$19:Q$164,ETANCHEITE!$D$19:$D$164),"")&amp;IFERROR(_xlfn.XLOOKUP(A66,ETANCHEITE!Q$19:Q$164,ETANCHEITE!$E$19:$E$164),"")&amp;IFERROR(_xlfn.XLOOKUP(A66,ETANCHEITE!Q$19:Q$164,ETANCHEITE!$F$19:$F$164),"")</f>
        <v xml:space="preserve">   </v>
      </c>
      <c r="F66" s="168" t="str">
        <f>IFERROR(VLOOKUP(A66,ETANCHEITE!Q$19:S$164,2,FALSE),"")&amp;" "&amp;IFERROR(VLOOKUP(A66,ETANCHEITE!Q$19:S$164,3,FALSE),"")</f>
        <v xml:space="preserve"> </v>
      </c>
      <c r="G66" s="161" t="str">
        <f>IF(F66&lt;&gt;" ",'Feuille de Donnée'!$C$3,"")</f>
        <v/>
      </c>
      <c r="H66" s="232" t="str" cm="1">
        <f t="array" aca="1" ref="H66" ca="1">IFERROR(IF(_xlfn.XLOOKUP(A66,ETANCHEITE!Q$19:Q$89,ETANCHEITE!O$19:O$89,"")&lt;&gt;"",_xlfn.XLOOKUP(A66,ETANCHEITE!Q$19:Q$89,ETANCHEITE!O$19:O$89,""),    INDEX(ETANCHEITE!O:O,MAX(_xlfn._xlws.FILTER(ROW(ETANCHEITE!O$19:INDIRECT("'PEINTURE'!O" &amp; D66-1)),ETANCHEITE!O$19:INDIRECT("'PEINTURE'!O" &amp; D66-1)&lt;&gt;"")))),"")</f>
        <v/>
      </c>
      <c r="I66" s="233" t="str" cm="1">
        <f t="array" aca="1" ref="I66" ca="1">IFERROR(IF(_xlfn.XLOOKUP(A66,ETANCHEITE!Q$19:Q$89,ETANCHEITE!P$19:P$89,"")&lt;&gt;"",_xlfn.XLOOKUP(A66,ETANCHEITE!Q$19:Q$89,ETANCHEITE!P$19:P$89,""),    INDEX(ETANCHEITE!P:P,MAX(_xlfn._xlws.FILTER(ROW(ETANCHEITE!P$19:INDIRECT("'PEINTURE'!P" &amp; D66-1)),ETANCHEITE!P$19:INDIRECT("'PEINTURE'!P" &amp; D66-1)&lt;&gt;"")))),"")</f>
        <v/>
      </c>
      <c r="J66" s="158">
        <v>64</v>
      </c>
      <c r="K66" s="167" t="str">
        <f>IF(O66&lt;&gt;" ",ETANCHEITE!$D$5,"")</f>
        <v/>
      </c>
      <c r="L66" s="167" t="str">
        <f>IF(O66&lt;&gt;" ",ETANCHEITE!$D$8,"")</f>
        <v/>
      </c>
      <c r="M66" s="159" t="str">
        <f>IFERROR(MATCH(J66,ETANCHEITE!Z$19:Z$164,0)+18,"")</f>
        <v/>
      </c>
      <c r="N66" s="160" t="str" cm="1">
        <f t="array" aca="1" ref="N66" ca="1">IFERROR(IF(_xlfn.XLOOKUP(J66,ETANCHEITE!Z$19:Z$164,ETANCHEITE!$A$19:$A$164,"")&lt;&gt;"",_xlfn.XLOOKUP(J66,ETANCHEITE!Z$19:Z$164,ETANCHEITE!$A$19:$A$164,""),    INDEX(ETANCHEITE!$A:$A,MAX(_xlfn._xlws.FILTER(ROW(ETANCHEITE!$A$19:INDIRECT("'MENUISERIES EXTERIEURES'!$A" &amp; M66-1)),ETANCHEITE!$A$19:INDIRECT("'MENUISERIES EXTERIEURES'!$A" &amp; M66-1)&lt;&gt;"")))),"")&amp;"   "&amp;IFERROR(_xlfn.XLOOKUP(J66,ETANCHEITE!Z$19:Z$164,ETANCHEITE!$B$19:$B$164),"")&amp;IFERROR(_xlfn.XLOOKUP(J66,ETANCHEITE!Z$19:Z$164,ETANCHEITE!$C$19:$C$164),"")&amp;IFERROR(_xlfn.XLOOKUP(J66,ETANCHEITE!Z$19:Z$164,ETANCHEITE!$D$19:$D$164),"")&amp;IFERROR(_xlfn.XLOOKUP(J66,ETANCHEITE!Z$19:Z$164,ETANCHEITE!$E$19:$E$164),"")&amp;IFERROR(_xlfn.XLOOKUP(J66,ETANCHEITE!Z$19:Z$164,ETANCHEITE!$F$19:$F$164),"")</f>
        <v xml:space="preserve">   </v>
      </c>
      <c r="O66" s="168" t="str">
        <f>IFERROR(VLOOKUP(J66,ETANCHEITE!Z$19:AB$164,2,FALSE),"")&amp;" "&amp;IFERROR(VLOOKUP(J66,ETANCHEITE!Z$19:AB$164,3,FALSE),"")</f>
        <v xml:space="preserve"> </v>
      </c>
      <c r="P66" s="161" t="str">
        <f>IF(O66&lt;&gt;" ",'Feuille de Donnée'!$C$3,"")</f>
        <v/>
      </c>
      <c r="Q66" s="232" t="str" cm="1">
        <f t="array" aca="1" ref="Q66" ca="1">IFERROR(IF(_xlfn.XLOOKUP(J66,ETANCHEITE!Z$19:Z$89,ETANCHEITE!X$19:X$89,"")&lt;&gt;"",_xlfn.XLOOKUP(J66,ETANCHEITE!Z$19:Z$89,ETANCHEITE!X$19:X$89,""),    INDEX(ETANCHEITE!X:X,MAX(_xlfn._xlws.FILTER(ROW(ETANCHEITE!X$19:INDIRECT("'PEINTURE'!O" &amp; M66-1)),ETANCHEITE!X$19:INDIRECT("'PEINTURE'!O" &amp; M66-1)&lt;&gt;"")))),"")</f>
        <v/>
      </c>
      <c r="R66" s="233" t="str" cm="1">
        <f t="array" aca="1" ref="R66" ca="1">IFERROR(IF(_xlfn.XLOOKUP(J66,ETANCHEITE!Z$19:Z$89,ETANCHEITE!Y$19:Y$89,"")&lt;&gt;"",_xlfn.XLOOKUP(J66,ETANCHEITE!Z$19:Z$89,ETANCHEITE!Y$19:Y$89,""),    INDEX(ETANCHEITE!Y:Y,MAX(_xlfn._xlws.FILTER(ROW(ETANCHEITE!Y$19:INDIRECT("'PEINTURE'!P" &amp; M66-1)),ETANCHEITE!Y$19:INDIRECT("'PEINTURE'!P" &amp; M66-1)&lt;&gt;"")))),"")</f>
        <v/>
      </c>
      <c r="S66" s="158">
        <v>64</v>
      </c>
      <c r="T66" s="167" t="str">
        <f>IF(X66&lt;&gt;" ",ETANCHEITE!$D$5,"")</f>
        <v/>
      </c>
      <c r="U66" s="167" t="str">
        <f>IF(X66&lt;&gt;" ",ETANCHEITE!$D$8,"")</f>
        <v/>
      </c>
      <c r="V66" s="159" t="str">
        <f>IFERROR(MATCH(S66,ETANCHEITE!AI$19:AI$164,0)+18,"")</f>
        <v/>
      </c>
      <c r="W66" s="160" t="str" cm="1">
        <f t="array" aca="1" ref="W66" ca="1">IFERROR(IF(_xlfn.XLOOKUP(S66,ETANCHEITE!AI$19:AI$164,ETANCHEITE!$A$19:$A$164,"")&lt;&gt;"",_xlfn.XLOOKUP(S66,ETANCHEITE!AI$19:AI$164,ETANCHEITE!$A$19:$A$164,""),    INDEX(ETANCHEITE!$A:$A,MAX(_xlfn._xlws.FILTER(ROW(ETANCHEITE!$A$19:INDIRECT("'MENUISERIES EXTERIEURES'!$A" &amp; V66-1)),ETANCHEITE!$A$19:INDIRECT("'MENUISERIES EXTERIEURES'!$A" &amp; V66-1)&lt;&gt;"")))),"")&amp;"   "&amp;IFERROR(_xlfn.XLOOKUP(S66,ETANCHEITE!AI$19:AI$164,ETANCHEITE!$B$19:$B$164),"")&amp;IFERROR(_xlfn.XLOOKUP(S66,ETANCHEITE!AI$19:AI$164,ETANCHEITE!$C$19:$C$164),"")&amp;IFERROR(_xlfn.XLOOKUP(S66,ETANCHEITE!AI$19:AI$164,ETANCHEITE!$D$19:$D$164),"")&amp;IFERROR(_xlfn.XLOOKUP(S66,ETANCHEITE!AI$19:AI$164,ETANCHEITE!$E$19:$E$164),"")&amp;IFERROR(_xlfn.XLOOKUP(S66,ETANCHEITE!AI$19:AI$164,ETANCHEITE!$F$19:$F$164),"")</f>
        <v xml:space="preserve">   </v>
      </c>
      <c r="X66" s="168" t="str">
        <f>IFERROR(VLOOKUP(S66,ETANCHEITE!AI$19:AK$164,2,FALSE),"")&amp;" "&amp;IFERROR(VLOOKUP(S66,ETANCHEITE!AI$19:AK$164,3,FALSE),"")</f>
        <v xml:space="preserve"> </v>
      </c>
      <c r="Y66" s="161" t="str">
        <f>IF(X66&lt;&gt;" ",'Feuille de Donnée'!$C$3,"")</f>
        <v/>
      </c>
      <c r="Z66" s="232" t="str" cm="1">
        <f t="array" aca="1" ref="Z66" ca="1">IFERROR(IF(_xlfn.XLOOKUP(S66,ETANCHEITE!AI$19:AI$89,ETANCHEITE!AG$19:AG$89,"")&lt;&gt;"",_xlfn.XLOOKUP(S66,ETANCHEITE!AI$19:AI$89,ETANCHEITE!AG$19:AG$89,""),    INDEX(ETANCHEITE!AG:AG,MAX(_xlfn._xlws.FILTER(ROW(ETANCHEITE!AG$19:INDIRECT("'PEINTURE'!O" &amp; V66-1)),ETANCHEITE!AG$19:INDIRECT("'PEINTURE'!O" &amp; V66-1)&lt;&gt;"")))),"")</f>
        <v/>
      </c>
      <c r="AA66" s="233" t="str" cm="1">
        <f t="array" aca="1" ref="AA66" ca="1">IFERROR(IF(_xlfn.XLOOKUP(S66,ETANCHEITE!AI$19:AI$89,ETANCHEITE!AH$19:AH$89,"")&lt;&gt;"",_xlfn.XLOOKUP(S66,ETANCHEITE!AI$19:AI$89,ETANCHEITE!AH$19:AH$89,""),    INDEX(ETANCHEITE!AH:AH,MAX(_xlfn._xlws.FILTER(ROW(ETANCHEITE!AH$19:INDIRECT("'PEINTURE'!P" &amp; V66-1)),ETANCHEITE!AH$19:INDIRECT("'PEINTURE'!P" &amp; V66-1)&lt;&gt;"")))),"")</f>
        <v/>
      </c>
      <c r="AB66" s="158">
        <v>64</v>
      </c>
      <c r="AC66" s="167" t="str">
        <f>IF(AG66&lt;&gt;" ",ETANCHEITE!$D$5,"")</f>
        <v/>
      </c>
      <c r="AD66" s="167" t="str">
        <f>IF(AG66&lt;&gt;" ",ETANCHEITE!$D$8,"")</f>
        <v/>
      </c>
      <c r="AE66" s="159" t="str">
        <f>IFERROR(MATCH(AB66,ETANCHEITE!AR$19:AR$164,0)+18,"")</f>
        <v/>
      </c>
      <c r="AF66" s="160" t="str" cm="1">
        <f t="array" aca="1" ref="AF66" ca="1">IFERROR(IF(_xlfn.XLOOKUP(AB66,ETANCHEITE!AR$19:AR$164,ETANCHEITE!$A$19:$A$164,"")&lt;&gt;"",_xlfn.XLOOKUP(AB66,ETANCHEITE!AR$19:AR$164,ETANCHEITE!$A$19:$A$164,""),    INDEX(ETANCHEITE!$A:$A,MAX(_xlfn._xlws.FILTER(ROW(ETANCHEITE!$A$19:INDIRECT("'MENUISERIES EXTERIEURES'!$A" &amp; AE66-1)),ETANCHEITE!$A$19:INDIRECT("'MENUISERIES EXTERIEURES'!$A" &amp; AE66-1)&lt;&gt;"")))),"")&amp;"   "&amp;IFERROR(_xlfn.XLOOKUP(AB66,ETANCHEITE!AR$19:AR$164,ETANCHEITE!$B$19:$B$164),"")&amp;IFERROR(_xlfn.XLOOKUP(AB66,ETANCHEITE!AR$19:AR$164,ETANCHEITE!$C$19:$C$164),"")&amp;IFERROR(_xlfn.XLOOKUP(AB66,ETANCHEITE!AR$19:AR$164,ETANCHEITE!$D$19:$D$164),"")&amp;IFERROR(_xlfn.XLOOKUP(AB66,ETANCHEITE!AR$19:AR$164,ETANCHEITE!$E$19:$E$164),"")&amp;IFERROR(_xlfn.XLOOKUP(AB66,ETANCHEITE!AR$19:AR$164,ETANCHEITE!$F$19:$F$164),"")</f>
        <v xml:space="preserve">   </v>
      </c>
      <c r="AG66" s="168" t="str">
        <f>IFERROR(VLOOKUP(AB66,ETANCHEITE!AR$19:AT$164,2,FALSE),"")&amp;" "&amp;IFERROR(VLOOKUP(AB66,ETANCHEITE!AR$19:AT$164,3,FALSE),"")</f>
        <v xml:space="preserve"> </v>
      </c>
      <c r="AH66" s="161" t="str">
        <f>IF(AG66&lt;&gt;" ",'Feuille de Donnée'!$C$3,"")</f>
        <v/>
      </c>
      <c r="AI66" s="232" t="str" cm="1">
        <f t="array" aca="1" ref="AI66" ca="1">IFERROR(IF(_xlfn.XLOOKUP(AB66,ETANCHEITE!AR$19:AR$89,ETANCHEITE!AP$19:AP$89,"")&lt;&gt;"",_xlfn.XLOOKUP(AB66,ETANCHEITE!AR$19:AR$89,ETANCHEITE!AP$19:AP$89,""),    INDEX(ETANCHEITE!AP:AP,MAX(_xlfn._xlws.FILTER(ROW(ETANCHEITE!AP$19:INDIRECT("'PEINTURE'!O" &amp; AE66-1)),ETANCHEITE!AP$19:INDIRECT("'PEINTURE'!O" &amp; AE66-1)&lt;&gt;"")))),"")</f>
        <v/>
      </c>
      <c r="AJ66" s="233" t="str" cm="1">
        <f t="array" aca="1" ref="AJ66" ca="1">IFERROR(IF(_xlfn.XLOOKUP(AB66,ETANCHEITE!AR$19:AR$89,ETANCHEITE!AQ$19:AQ$89,"")&lt;&gt;"",_xlfn.XLOOKUP(AB66,ETANCHEITE!AR$19:AR$89,ETANCHEITE!AQ$19:AQ$89,""),    INDEX(ETANCHEITE!AQ:AQ,MAX(_xlfn._xlws.FILTER(ROW(ETANCHEITE!AQ$19:INDIRECT("'PEINTURE'!P" &amp; AE66-1)),ETANCHEITE!AQ$19:INDIRECT("'PEINTURE'!P" &amp; AE66-1)&lt;&gt;"")))),"")</f>
        <v/>
      </c>
      <c r="AK66" s="158">
        <v>64</v>
      </c>
      <c r="AL66" s="167" t="str">
        <f>IF(AP66&lt;&gt;" ",ETANCHEITE!$D$5,"")</f>
        <v/>
      </c>
      <c r="AM66" s="167" t="str">
        <f>IF(AP66&lt;&gt;" ",ETANCHEITE!$D$8,"")</f>
        <v/>
      </c>
      <c r="AN66" s="159" t="str">
        <f>IFERROR(MATCH(AK66,ETANCHEITE!BA$19:BA$164,0)+18,"")</f>
        <v/>
      </c>
      <c r="AO66" s="160" t="str" cm="1">
        <f t="array" aca="1" ref="AO66" ca="1">IFERROR(IF(_xlfn.XLOOKUP(AK66,ETANCHEITE!BA$19:BA$164,ETANCHEITE!$A$19:$A$164,"")&lt;&gt;"",_xlfn.XLOOKUP(AK66,ETANCHEITE!BA$19:BA$164,ETANCHEITE!$A$19:$A$164,""),    INDEX(ETANCHEITE!$A:$A,MAX(_xlfn._xlws.FILTER(ROW(ETANCHEITE!$A$19:INDIRECT("'MENUISERIES EXTERIEURES'!$A" &amp; AN66-1)),ETANCHEITE!$A$19:INDIRECT("'MENUISERIES EXTERIEURES'!$A" &amp; AN66-1)&lt;&gt;"")))),"")&amp;"   "&amp;IFERROR(_xlfn.XLOOKUP(AK66,ETANCHEITE!BA$19:BA$164,ETANCHEITE!$B$19:$B$164),"")&amp;IFERROR(_xlfn.XLOOKUP(AK66,ETANCHEITE!BA$19:BA$164,ETANCHEITE!$C$19:$C$164),"")&amp;IFERROR(_xlfn.XLOOKUP(AK66,ETANCHEITE!BA$19:BA$164,ETANCHEITE!$D$19:$D$164),"")&amp;IFERROR(_xlfn.XLOOKUP(AK66,ETANCHEITE!BA$19:BA$164,ETANCHEITE!$E$19:$E$164),"")&amp;IFERROR(_xlfn.XLOOKUP(AK66,ETANCHEITE!BA$19:BA$164,ETANCHEITE!$F$19:$F$164),"")</f>
        <v xml:space="preserve">   </v>
      </c>
      <c r="AP66" s="168" t="str">
        <f>IFERROR(VLOOKUP(AK66,ETANCHEITE!BA$19:BC$164,2,FALSE),"")&amp;" "&amp;IFERROR(VLOOKUP(AK66,ETANCHEITE!BA$19:BC$164,3,FALSE),"")</f>
        <v xml:space="preserve"> </v>
      </c>
      <c r="AQ66" s="161" t="str">
        <f>IF(AP66&lt;&gt;" ",'Feuille de Donnée'!$C$3,"")</f>
        <v/>
      </c>
      <c r="AR66" s="232" t="str" cm="1">
        <f t="array" aca="1" ref="AR66" ca="1">IFERROR(IF(_xlfn.XLOOKUP(AK66,ETANCHEITE!BA$19:BA$89,ETANCHEITE!AY$19:AY$89,"")&lt;&gt;"",_xlfn.XLOOKUP(AK66,ETANCHEITE!BA$19:BA$89,ETANCHEITE!AY$19:AY$89,""),    INDEX(ETANCHEITE!AY:AY,MAX(_xlfn._xlws.FILTER(ROW(ETANCHEITE!AY$19:INDIRECT("'PEINTURE'!O" &amp; AN66-1)),ETANCHEITE!AY$19:INDIRECT("'PEINTURE'!O" &amp; AN66-1)&lt;&gt;"")))),"")</f>
        <v/>
      </c>
      <c r="AS66" s="233" t="str" cm="1">
        <f t="array" aca="1" ref="AS66" ca="1">IFERROR(IF(_xlfn.XLOOKUP(AK66,ETANCHEITE!BA$19:BA$89,ETANCHEITE!AZ$19:AZ$89,"")&lt;&gt;"",_xlfn.XLOOKUP(AK66,ETANCHEITE!BA$19:BA$89,ETANCHEITE!AZ$19:AZ$89,""),    INDEX(ETANCHEITE!AZ:AZ,MAX(_xlfn._xlws.FILTER(ROW(ETANCHEITE!AZ$19:INDIRECT("'PEINTURE'!P" &amp; AN66-1)),ETANCHEITE!AZ$19:INDIRECT("'PEINTURE'!P" &amp; AN66-1)&lt;&gt;"")))),"")</f>
        <v/>
      </c>
      <c r="AT66" s="158">
        <v>64</v>
      </c>
      <c r="AU66" s="167" t="str">
        <f>IF(AY66&lt;&gt;" ",ETANCHEITE!$D$5,"")</f>
        <v/>
      </c>
      <c r="AV66" s="167" t="str">
        <f>IF(AY66&lt;&gt;" ",ETANCHEITE!$D$8,"")</f>
        <v/>
      </c>
      <c r="AW66" s="159" t="str">
        <f>IFERROR(MATCH(AT66,ETANCHEITE!BJ$19:BJ$164,0)+18,"")</f>
        <v/>
      </c>
      <c r="AX66" s="160" t="str" cm="1">
        <f t="array" aca="1" ref="AX66" ca="1">IFERROR(IF(_xlfn.XLOOKUP(AT66,ETANCHEITE!BJ$19:BJ$164,ETANCHEITE!$A$19:$A$164,"")&lt;&gt;"",_xlfn.XLOOKUP(AT66,ETANCHEITE!BJ$19:BJ$164,ETANCHEITE!$A$19:$A$164,""),    INDEX(ETANCHEITE!$A:$A,MAX(_xlfn._xlws.FILTER(ROW(ETANCHEITE!$A$19:INDIRECT("'MENUISERIES EXTERIEURES'!$A" &amp; AW66-1)),ETANCHEITE!$A$19:INDIRECT("'MENUISERIES EXTERIEURES'!$A" &amp; AW66-1)&lt;&gt;"")))),"")&amp;"   "&amp;IFERROR(_xlfn.XLOOKUP(AT66,ETANCHEITE!BJ$19:BJ$164,ETANCHEITE!$B$19:$B$164),"")&amp;IFERROR(_xlfn.XLOOKUP(AT66,ETANCHEITE!BJ$19:BJ$164,ETANCHEITE!$C$19:$C$164),"")&amp;IFERROR(_xlfn.XLOOKUP(AT66,ETANCHEITE!BJ$19:BJ$164,ETANCHEITE!$D$19:$D$164),"")&amp;IFERROR(_xlfn.XLOOKUP(AT66,ETANCHEITE!BJ$19:BJ$164,ETANCHEITE!$E$19:$E$164),"")&amp;IFERROR(_xlfn.XLOOKUP(AT66,ETANCHEITE!BJ$19:BJ$164,ETANCHEITE!$F$19:$F$164),"")</f>
        <v xml:space="preserve">   </v>
      </c>
      <c r="AY66" s="168" t="str">
        <f>IFERROR(VLOOKUP(AT66,ETANCHEITE!BJ$19:BL$164,2,FALSE),"")&amp;" "&amp;IFERROR(VLOOKUP(AT66,ETANCHEITE!BJ$19:BL$164,3,FALSE),"")</f>
        <v xml:space="preserve"> </v>
      </c>
      <c r="AZ66" s="161" t="str">
        <f>IF(AY66&lt;&gt;" ",'Feuille de Donnée'!$C$3,"")</f>
        <v/>
      </c>
      <c r="BA66" s="232" t="str" cm="1">
        <f t="array" aca="1" ref="BA66" ca="1">IFERROR(IF(_xlfn.XLOOKUP(AT66,ETANCHEITE!BJ$19:BJ$89,ETANCHEITE!BH$19:BH$89,"")&lt;&gt;"",_xlfn.XLOOKUP(AT66,ETANCHEITE!BJ$19:BJ$89,ETANCHEITE!BH$19:BH$89,""),    INDEX(ETANCHEITE!BH:BH,MAX(_xlfn._xlws.FILTER(ROW(ETANCHEITE!BH$19:INDIRECT("'PEINTURE'!O" &amp; AW66-1)),ETANCHEITE!BH$19:INDIRECT("'PEINTURE'!O" &amp; AW66-1)&lt;&gt;"")))),"")</f>
        <v/>
      </c>
      <c r="BB66" s="233" t="str" cm="1">
        <f t="array" aca="1" ref="BB66" ca="1">IFERROR(IF(_xlfn.XLOOKUP(AT66,ETANCHEITE!BJ$19:BJ$89,ETANCHEITE!BI$19:BI$89,"")&lt;&gt;"",_xlfn.XLOOKUP(AT66,ETANCHEITE!BJ$19:BJ$89,ETANCHEITE!BI$19:BI$89,""),    INDEX(ETANCHEITE!BI:BI,MAX(_xlfn._xlws.FILTER(ROW(ETANCHEITE!BI$19:INDIRECT("'PEINTURE'!P" &amp; AW66-1)),ETANCHEITE!BI$19:INDIRECT("'PEINTURE'!P" &amp; AW66-1)&lt;&gt;"")))),"")</f>
        <v/>
      </c>
    </row>
    <row r="67" spans="1:54" x14ac:dyDescent="0.3">
      <c r="A67" s="158">
        <v>65</v>
      </c>
      <c r="B67" s="167" t="str">
        <f>IF(F67&lt;&gt;" ",ETANCHEITE!$D$5,"")</f>
        <v/>
      </c>
      <c r="C67" s="167" t="str">
        <f>IF(F67&lt;&gt;" ",ETANCHEITE!$D$8,"")</f>
        <v/>
      </c>
      <c r="D67" s="159" t="str">
        <f>IFERROR(MATCH(A67,ETANCHEITE!Q$19:Q$164,0)+18,"")</f>
        <v/>
      </c>
      <c r="E67" s="160" t="str" cm="1">
        <f t="array" aca="1" ref="E67" ca="1">IFERROR(IF(_xlfn.XLOOKUP(A67,ETANCHEITE!Q$19:Q$164,ETANCHEITE!$A$19:$A$164,"")&lt;&gt;"",_xlfn.XLOOKUP(A67,ETANCHEITE!Q$19:Q$164,ETANCHEITE!$A$19:$A$164,""),    INDEX(ETANCHEITE!$A:$A,MAX(_xlfn._xlws.FILTER(ROW(ETANCHEITE!$A$19:INDIRECT("'MENUISERIES EXTERIEURES'!$A" &amp; D67-1)),ETANCHEITE!$A$19:INDIRECT("'MENUISERIES EXTERIEURES'!$A" &amp; D67-1)&lt;&gt;"")))),"")&amp;"   "&amp;IFERROR(_xlfn.XLOOKUP(A67,ETANCHEITE!Q$19:Q$164,ETANCHEITE!$B$19:$B$164),"")&amp;IFERROR(_xlfn.XLOOKUP(A67,ETANCHEITE!Q$19:Q$164,ETANCHEITE!$C$19:$C$164),"")&amp;IFERROR(_xlfn.XLOOKUP(A67,ETANCHEITE!Q$19:Q$164,ETANCHEITE!$D$19:$D$164),"")&amp;IFERROR(_xlfn.XLOOKUP(A67,ETANCHEITE!Q$19:Q$164,ETANCHEITE!$E$19:$E$164),"")&amp;IFERROR(_xlfn.XLOOKUP(A67,ETANCHEITE!Q$19:Q$164,ETANCHEITE!$F$19:$F$164),"")</f>
        <v xml:space="preserve">   </v>
      </c>
      <c r="F67" s="168" t="str">
        <f>IFERROR(VLOOKUP(A67,ETANCHEITE!Q$19:S$164,2,FALSE),"")&amp;" "&amp;IFERROR(VLOOKUP(A67,ETANCHEITE!Q$19:S$164,3,FALSE),"")</f>
        <v xml:space="preserve"> </v>
      </c>
      <c r="G67" s="161" t="str">
        <f>IF(F67&lt;&gt;" ",'Feuille de Donnée'!$C$3,"")</f>
        <v/>
      </c>
      <c r="H67" s="232" t="str" cm="1">
        <f t="array" aca="1" ref="H67" ca="1">IFERROR(IF(_xlfn.XLOOKUP(A67,ETANCHEITE!Q$19:Q$89,ETANCHEITE!O$19:O$89,"")&lt;&gt;"",_xlfn.XLOOKUP(A67,ETANCHEITE!Q$19:Q$89,ETANCHEITE!O$19:O$89,""),    INDEX(ETANCHEITE!O:O,MAX(_xlfn._xlws.FILTER(ROW(ETANCHEITE!O$19:INDIRECT("'PEINTURE'!O" &amp; D67-1)),ETANCHEITE!O$19:INDIRECT("'PEINTURE'!O" &amp; D67-1)&lt;&gt;"")))),"")</f>
        <v/>
      </c>
      <c r="I67" s="233" t="str" cm="1">
        <f t="array" aca="1" ref="I67" ca="1">IFERROR(IF(_xlfn.XLOOKUP(A67,ETANCHEITE!Q$19:Q$89,ETANCHEITE!P$19:P$89,"")&lt;&gt;"",_xlfn.XLOOKUP(A67,ETANCHEITE!Q$19:Q$89,ETANCHEITE!P$19:P$89,""),    INDEX(ETANCHEITE!P:P,MAX(_xlfn._xlws.FILTER(ROW(ETANCHEITE!P$19:INDIRECT("'PEINTURE'!P" &amp; D67-1)),ETANCHEITE!P$19:INDIRECT("'PEINTURE'!P" &amp; D67-1)&lt;&gt;"")))),"")</f>
        <v/>
      </c>
      <c r="J67" s="158">
        <v>65</v>
      </c>
      <c r="K67" s="167" t="str">
        <f>IF(O67&lt;&gt;" ",ETANCHEITE!$D$5,"")</f>
        <v/>
      </c>
      <c r="L67" s="167" t="str">
        <f>IF(O67&lt;&gt;" ",ETANCHEITE!$D$8,"")</f>
        <v/>
      </c>
      <c r="M67" s="159" t="str">
        <f>IFERROR(MATCH(J67,ETANCHEITE!Z$19:Z$164,0)+18,"")</f>
        <v/>
      </c>
      <c r="N67" s="160" t="str" cm="1">
        <f t="array" aca="1" ref="N67" ca="1">IFERROR(IF(_xlfn.XLOOKUP(J67,ETANCHEITE!Z$19:Z$164,ETANCHEITE!$A$19:$A$164,"")&lt;&gt;"",_xlfn.XLOOKUP(J67,ETANCHEITE!Z$19:Z$164,ETANCHEITE!$A$19:$A$164,""),    INDEX(ETANCHEITE!$A:$A,MAX(_xlfn._xlws.FILTER(ROW(ETANCHEITE!$A$19:INDIRECT("'MENUISERIES EXTERIEURES'!$A" &amp; M67-1)),ETANCHEITE!$A$19:INDIRECT("'MENUISERIES EXTERIEURES'!$A" &amp; M67-1)&lt;&gt;"")))),"")&amp;"   "&amp;IFERROR(_xlfn.XLOOKUP(J67,ETANCHEITE!Z$19:Z$164,ETANCHEITE!$B$19:$B$164),"")&amp;IFERROR(_xlfn.XLOOKUP(J67,ETANCHEITE!Z$19:Z$164,ETANCHEITE!$C$19:$C$164),"")&amp;IFERROR(_xlfn.XLOOKUP(J67,ETANCHEITE!Z$19:Z$164,ETANCHEITE!$D$19:$D$164),"")&amp;IFERROR(_xlfn.XLOOKUP(J67,ETANCHEITE!Z$19:Z$164,ETANCHEITE!$E$19:$E$164),"")&amp;IFERROR(_xlfn.XLOOKUP(J67,ETANCHEITE!Z$19:Z$164,ETANCHEITE!$F$19:$F$164),"")</f>
        <v xml:space="preserve">   </v>
      </c>
      <c r="O67" s="168" t="str">
        <f>IFERROR(VLOOKUP(J67,ETANCHEITE!Z$19:AB$164,2,FALSE),"")&amp;" "&amp;IFERROR(VLOOKUP(J67,ETANCHEITE!Z$19:AB$164,3,FALSE),"")</f>
        <v xml:space="preserve"> </v>
      </c>
      <c r="P67" s="161" t="str">
        <f>IF(O67&lt;&gt;" ",'Feuille de Donnée'!$C$3,"")</f>
        <v/>
      </c>
      <c r="Q67" s="232" t="str" cm="1">
        <f t="array" aca="1" ref="Q67" ca="1">IFERROR(IF(_xlfn.XLOOKUP(J67,ETANCHEITE!Z$19:Z$89,ETANCHEITE!X$19:X$89,"")&lt;&gt;"",_xlfn.XLOOKUP(J67,ETANCHEITE!Z$19:Z$89,ETANCHEITE!X$19:X$89,""),    INDEX(ETANCHEITE!X:X,MAX(_xlfn._xlws.FILTER(ROW(ETANCHEITE!X$19:INDIRECT("'PEINTURE'!O" &amp; M67-1)),ETANCHEITE!X$19:INDIRECT("'PEINTURE'!O" &amp; M67-1)&lt;&gt;"")))),"")</f>
        <v/>
      </c>
      <c r="R67" s="233" t="str" cm="1">
        <f t="array" aca="1" ref="R67" ca="1">IFERROR(IF(_xlfn.XLOOKUP(J67,ETANCHEITE!Z$19:Z$89,ETANCHEITE!Y$19:Y$89,"")&lt;&gt;"",_xlfn.XLOOKUP(J67,ETANCHEITE!Z$19:Z$89,ETANCHEITE!Y$19:Y$89,""),    INDEX(ETANCHEITE!Y:Y,MAX(_xlfn._xlws.FILTER(ROW(ETANCHEITE!Y$19:INDIRECT("'PEINTURE'!P" &amp; M67-1)),ETANCHEITE!Y$19:INDIRECT("'PEINTURE'!P" &amp; M67-1)&lt;&gt;"")))),"")</f>
        <v/>
      </c>
      <c r="S67" s="158">
        <v>65</v>
      </c>
      <c r="T67" s="167" t="str">
        <f>IF(X67&lt;&gt;" ",ETANCHEITE!$D$5,"")</f>
        <v/>
      </c>
      <c r="U67" s="167" t="str">
        <f>IF(X67&lt;&gt;" ",ETANCHEITE!$D$8,"")</f>
        <v/>
      </c>
      <c r="V67" s="159" t="str">
        <f>IFERROR(MATCH(S67,ETANCHEITE!AI$19:AI$164,0)+18,"")</f>
        <v/>
      </c>
      <c r="W67" s="160" t="str" cm="1">
        <f t="array" aca="1" ref="W67" ca="1">IFERROR(IF(_xlfn.XLOOKUP(S67,ETANCHEITE!AI$19:AI$164,ETANCHEITE!$A$19:$A$164,"")&lt;&gt;"",_xlfn.XLOOKUP(S67,ETANCHEITE!AI$19:AI$164,ETANCHEITE!$A$19:$A$164,""),    INDEX(ETANCHEITE!$A:$A,MAX(_xlfn._xlws.FILTER(ROW(ETANCHEITE!$A$19:INDIRECT("'MENUISERIES EXTERIEURES'!$A" &amp; V67-1)),ETANCHEITE!$A$19:INDIRECT("'MENUISERIES EXTERIEURES'!$A" &amp; V67-1)&lt;&gt;"")))),"")&amp;"   "&amp;IFERROR(_xlfn.XLOOKUP(S67,ETANCHEITE!AI$19:AI$164,ETANCHEITE!$B$19:$B$164),"")&amp;IFERROR(_xlfn.XLOOKUP(S67,ETANCHEITE!AI$19:AI$164,ETANCHEITE!$C$19:$C$164),"")&amp;IFERROR(_xlfn.XLOOKUP(S67,ETANCHEITE!AI$19:AI$164,ETANCHEITE!$D$19:$D$164),"")&amp;IFERROR(_xlfn.XLOOKUP(S67,ETANCHEITE!AI$19:AI$164,ETANCHEITE!$E$19:$E$164),"")&amp;IFERROR(_xlfn.XLOOKUP(S67,ETANCHEITE!AI$19:AI$164,ETANCHEITE!$F$19:$F$164),"")</f>
        <v xml:space="preserve">   </v>
      </c>
      <c r="X67" s="168" t="str">
        <f>IFERROR(VLOOKUP(S67,ETANCHEITE!AI$19:AK$164,2,FALSE),"")&amp;" "&amp;IFERROR(VLOOKUP(S67,ETANCHEITE!AI$19:AK$164,3,FALSE),"")</f>
        <v xml:space="preserve"> </v>
      </c>
      <c r="Y67" s="161" t="str">
        <f>IF(X67&lt;&gt;" ",'Feuille de Donnée'!$C$3,"")</f>
        <v/>
      </c>
      <c r="Z67" s="232" t="str" cm="1">
        <f t="array" aca="1" ref="Z67" ca="1">IFERROR(IF(_xlfn.XLOOKUP(S67,ETANCHEITE!AI$19:AI$89,ETANCHEITE!AG$19:AG$89,"")&lt;&gt;"",_xlfn.XLOOKUP(S67,ETANCHEITE!AI$19:AI$89,ETANCHEITE!AG$19:AG$89,""),    INDEX(ETANCHEITE!AG:AG,MAX(_xlfn._xlws.FILTER(ROW(ETANCHEITE!AG$19:INDIRECT("'PEINTURE'!O" &amp; V67-1)),ETANCHEITE!AG$19:INDIRECT("'PEINTURE'!O" &amp; V67-1)&lt;&gt;"")))),"")</f>
        <v/>
      </c>
      <c r="AA67" s="233" t="str" cm="1">
        <f t="array" aca="1" ref="AA67" ca="1">IFERROR(IF(_xlfn.XLOOKUP(S67,ETANCHEITE!AI$19:AI$89,ETANCHEITE!AH$19:AH$89,"")&lt;&gt;"",_xlfn.XLOOKUP(S67,ETANCHEITE!AI$19:AI$89,ETANCHEITE!AH$19:AH$89,""),    INDEX(ETANCHEITE!AH:AH,MAX(_xlfn._xlws.FILTER(ROW(ETANCHEITE!AH$19:INDIRECT("'PEINTURE'!P" &amp; V67-1)),ETANCHEITE!AH$19:INDIRECT("'PEINTURE'!P" &amp; V67-1)&lt;&gt;"")))),"")</f>
        <v/>
      </c>
      <c r="AB67" s="158">
        <v>65</v>
      </c>
      <c r="AC67" s="167" t="str">
        <f>IF(AG67&lt;&gt;" ",ETANCHEITE!$D$5,"")</f>
        <v/>
      </c>
      <c r="AD67" s="167" t="str">
        <f>IF(AG67&lt;&gt;" ",ETANCHEITE!$D$8,"")</f>
        <v/>
      </c>
      <c r="AE67" s="159" t="str">
        <f>IFERROR(MATCH(AB67,ETANCHEITE!AR$19:AR$164,0)+18,"")</f>
        <v/>
      </c>
      <c r="AF67" s="160" t="str" cm="1">
        <f t="array" aca="1" ref="AF67" ca="1">IFERROR(IF(_xlfn.XLOOKUP(AB67,ETANCHEITE!AR$19:AR$164,ETANCHEITE!$A$19:$A$164,"")&lt;&gt;"",_xlfn.XLOOKUP(AB67,ETANCHEITE!AR$19:AR$164,ETANCHEITE!$A$19:$A$164,""),    INDEX(ETANCHEITE!$A:$A,MAX(_xlfn._xlws.FILTER(ROW(ETANCHEITE!$A$19:INDIRECT("'MENUISERIES EXTERIEURES'!$A" &amp; AE67-1)),ETANCHEITE!$A$19:INDIRECT("'MENUISERIES EXTERIEURES'!$A" &amp; AE67-1)&lt;&gt;"")))),"")&amp;"   "&amp;IFERROR(_xlfn.XLOOKUP(AB67,ETANCHEITE!AR$19:AR$164,ETANCHEITE!$B$19:$B$164),"")&amp;IFERROR(_xlfn.XLOOKUP(AB67,ETANCHEITE!AR$19:AR$164,ETANCHEITE!$C$19:$C$164),"")&amp;IFERROR(_xlfn.XLOOKUP(AB67,ETANCHEITE!AR$19:AR$164,ETANCHEITE!$D$19:$D$164),"")&amp;IFERROR(_xlfn.XLOOKUP(AB67,ETANCHEITE!AR$19:AR$164,ETANCHEITE!$E$19:$E$164),"")&amp;IFERROR(_xlfn.XLOOKUP(AB67,ETANCHEITE!AR$19:AR$164,ETANCHEITE!$F$19:$F$164),"")</f>
        <v xml:space="preserve">   </v>
      </c>
      <c r="AG67" s="168" t="str">
        <f>IFERROR(VLOOKUP(AB67,ETANCHEITE!AR$19:AT$164,2,FALSE),"")&amp;" "&amp;IFERROR(VLOOKUP(AB67,ETANCHEITE!AR$19:AT$164,3,FALSE),"")</f>
        <v xml:space="preserve"> </v>
      </c>
      <c r="AH67" s="161" t="str">
        <f>IF(AG67&lt;&gt;" ",'Feuille de Donnée'!$C$3,"")</f>
        <v/>
      </c>
      <c r="AI67" s="232" t="str" cm="1">
        <f t="array" aca="1" ref="AI67" ca="1">IFERROR(IF(_xlfn.XLOOKUP(AB67,ETANCHEITE!AR$19:AR$89,ETANCHEITE!AP$19:AP$89,"")&lt;&gt;"",_xlfn.XLOOKUP(AB67,ETANCHEITE!AR$19:AR$89,ETANCHEITE!AP$19:AP$89,""),    INDEX(ETANCHEITE!AP:AP,MAX(_xlfn._xlws.FILTER(ROW(ETANCHEITE!AP$19:INDIRECT("'PEINTURE'!O" &amp; AE67-1)),ETANCHEITE!AP$19:INDIRECT("'PEINTURE'!O" &amp; AE67-1)&lt;&gt;"")))),"")</f>
        <v/>
      </c>
      <c r="AJ67" s="233" t="str" cm="1">
        <f t="array" aca="1" ref="AJ67" ca="1">IFERROR(IF(_xlfn.XLOOKUP(AB67,ETANCHEITE!AR$19:AR$89,ETANCHEITE!AQ$19:AQ$89,"")&lt;&gt;"",_xlfn.XLOOKUP(AB67,ETANCHEITE!AR$19:AR$89,ETANCHEITE!AQ$19:AQ$89,""),    INDEX(ETANCHEITE!AQ:AQ,MAX(_xlfn._xlws.FILTER(ROW(ETANCHEITE!AQ$19:INDIRECT("'PEINTURE'!P" &amp; AE67-1)),ETANCHEITE!AQ$19:INDIRECT("'PEINTURE'!P" &amp; AE67-1)&lt;&gt;"")))),"")</f>
        <v/>
      </c>
      <c r="AK67" s="158">
        <v>65</v>
      </c>
      <c r="AL67" s="167" t="str">
        <f>IF(AP67&lt;&gt;" ",ETANCHEITE!$D$5,"")</f>
        <v/>
      </c>
      <c r="AM67" s="167" t="str">
        <f>IF(AP67&lt;&gt;" ",ETANCHEITE!$D$8,"")</f>
        <v/>
      </c>
      <c r="AN67" s="159" t="str">
        <f>IFERROR(MATCH(AK67,ETANCHEITE!BA$19:BA$164,0)+18,"")</f>
        <v/>
      </c>
      <c r="AO67" s="160" t="str" cm="1">
        <f t="array" aca="1" ref="AO67" ca="1">IFERROR(IF(_xlfn.XLOOKUP(AK67,ETANCHEITE!BA$19:BA$164,ETANCHEITE!$A$19:$A$164,"")&lt;&gt;"",_xlfn.XLOOKUP(AK67,ETANCHEITE!BA$19:BA$164,ETANCHEITE!$A$19:$A$164,""),    INDEX(ETANCHEITE!$A:$A,MAX(_xlfn._xlws.FILTER(ROW(ETANCHEITE!$A$19:INDIRECT("'MENUISERIES EXTERIEURES'!$A" &amp; AN67-1)),ETANCHEITE!$A$19:INDIRECT("'MENUISERIES EXTERIEURES'!$A" &amp; AN67-1)&lt;&gt;"")))),"")&amp;"   "&amp;IFERROR(_xlfn.XLOOKUP(AK67,ETANCHEITE!BA$19:BA$164,ETANCHEITE!$B$19:$B$164),"")&amp;IFERROR(_xlfn.XLOOKUP(AK67,ETANCHEITE!BA$19:BA$164,ETANCHEITE!$C$19:$C$164),"")&amp;IFERROR(_xlfn.XLOOKUP(AK67,ETANCHEITE!BA$19:BA$164,ETANCHEITE!$D$19:$D$164),"")&amp;IFERROR(_xlfn.XLOOKUP(AK67,ETANCHEITE!BA$19:BA$164,ETANCHEITE!$E$19:$E$164),"")&amp;IFERROR(_xlfn.XLOOKUP(AK67,ETANCHEITE!BA$19:BA$164,ETANCHEITE!$F$19:$F$164),"")</f>
        <v xml:space="preserve">   </v>
      </c>
      <c r="AP67" s="168" t="str">
        <f>IFERROR(VLOOKUP(AK67,ETANCHEITE!BA$19:BC$164,2,FALSE),"")&amp;" "&amp;IFERROR(VLOOKUP(AK67,ETANCHEITE!BA$19:BC$164,3,FALSE),"")</f>
        <v xml:space="preserve"> </v>
      </c>
      <c r="AQ67" s="161" t="str">
        <f>IF(AP67&lt;&gt;" ",'Feuille de Donnée'!$C$3,"")</f>
        <v/>
      </c>
      <c r="AR67" s="232" t="str" cm="1">
        <f t="array" aca="1" ref="AR67" ca="1">IFERROR(IF(_xlfn.XLOOKUP(AK67,ETANCHEITE!BA$19:BA$89,ETANCHEITE!AY$19:AY$89,"")&lt;&gt;"",_xlfn.XLOOKUP(AK67,ETANCHEITE!BA$19:BA$89,ETANCHEITE!AY$19:AY$89,""),    INDEX(ETANCHEITE!AY:AY,MAX(_xlfn._xlws.FILTER(ROW(ETANCHEITE!AY$19:INDIRECT("'PEINTURE'!O" &amp; AN67-1)),ETANCHEITE!AY$19:INDIRECT("'PEINTURE'!O" &amp; AN67-1)&lt;&gt;"")))),"")</f>
        <v/>
      </c>
      <c r="AS67" s="233" t="str" cm="1">
        <f t="array" aca="1" ref="AS67" ca="1">IFERROR(IF(_xlfn.XLOOKUP(AK67,ETANCHEITE!BA$19:BA$89,ETANCHEITE!AZ$19:AZ$89,"")&lt;&gt;"",_xlfn.XLOOKUP(AK67,ETANCHEITE!BA$19:BA$89,ETANCHEITE!AZ$19:AZ$89,""),    INDEX(ETANCHEITE!AZ:AZ,MAX(_xlfn._xlws.FILTER(ROW(ETANCHEITE!AZ$19:INDIRECT("'PEINTURE'!P" &amp; AN67-1)),ETANCHEITE!AZ$19:INDIRECT("'PEINTURE'!P" &amp; AN67-1)&lt;&gt;"")))),"")</f>
        <v/>
      </c>
      <c r="AT67" s="158">
        <v>65</v>
      </c>
      <c r="AU67" s="167" t="str">
        <f>IF(AY67&lt;&gt;" ",ETANCHEITE!$D$5,"")</f>
        <v/>
      </c>
      <c r="AV67" s="167" t="str">
        <f>IF(AY67&lt;&gt;" ",ETANCHEITE!$D$8,"")</f>
        <v/>
      </c>
      <c r="AW67" s="159" t="str">
        <f>IFERROR(MATCH(AT67,ETANCHEITE!BJ$19:BJ$164,0)+18,"")</f>
        <v/>
      </c>
      <c r="AX67" s="160" t="str" cm="1">
        <f t="array" aca="1" ref="AX67" ca="1">IFERROR(IF(_xlfn.XLOOKUP(AT67,ETANCHEITE!BJ$19:BJ$164,ETANCHEITE!$A$19:$A$164,"")&lt;&gt;"",_xlfn.XLOOKUP(AT67,ETANCHEITE!BJ$19:BJ$164,ETANCHEITE!$A$19:$A$164,""),    INDEX(ETANCHEITE!$A:$A,MAX(_xlfn._xlws.FILTER(ROW(ETANCHEITE!$A$19:INDIRECT("'MENUISERIES EXTERIEURES'!$A" &amp; AW67-1)),ETANCHEITE!$A$19:INDIRECT("'MENUISERIES EXTERIEURES'!$A" &amp; AW67-1)&lt;&gt;"")))),"")&amp;"   "&amp;IFERROR(_xlfn.XLOOKUP(AT67,ETANCHEITE!BJ$19:BJ$164,ETANCHEITE!$B$19:$B$164),"")&amp;IFERROR(_xlfn.XLOOKUP(AT67,ETANCHEITE!BJ$19:BJ$164,ETANCHEITE!$C$19:$C$164),"")&amp;IFERROR(_xlfn.XLOOKUP(AT67,ETANCHEITE!BJ$19:BJ$164,ETANCHEITE!$D$19:$D$164),"")&amp;IFERROR(_xlfn.XLOOKUP(AT67,ETANCHEITE!BJ$19:BJ$164,ETANCHEITE!$E$19:$E$164),"")&amp;IFERROR(_xlfn.XLOOKUP(AT67,ETANCHEITE!BJ$19:BJ$164,ETANCHEITE!$F$19:$F$164),"")</f>
        <v xml:space="preserve">   </v>
      </c>
      <c r="AY67" s="168" t="str">
        <f>IFERROR(VLOOKUP(AT67,ETANCHEITE!BJ$19:BL$164,2,FALSE),"")&amp;" "&amp;IFERROR(VLOOKUP(AT67,ETANCHEITE!BJ$19:BL$164,3,FALSE),"")</f>
        <v xml:space="preserve"> </v>
      </c>
      <c r="AZ67" s="161" t="str">
        <f>IF(AY67&lt;&gt;" ",'Feuille de Donnée'!$C$3,"")</f>
        <v/>
      </c>
      <c r="BA67" s="232" t="str" cm="1">
        <f t="array" aca="1" ref="BA67" ca="1">IFERROR(IF(_xlfn.XLOOKUP(AT67,ETANCHEITE!BJ$19:BJ$89,ETANCHEITE!BH$19:BH$89,"")&lt;&gt;"",_xlfn.XLOOKUP(AT67,ETANCHEITE!BJ$19:BJ$89,ETANCHEITE!BH$19:BH$89,""),    INDEX(ETANCHEITE!BH:BH,MAX(_xlfn._xlws.FILTER(ROW(ETANCHEITE!BH$19:INDIRECT("'PEINTURE'!O" &amp; AW67-1)),ETANCHEITE!BH$19:INDIRECT("'PEINTURE'!O" &amp; AW67-1)&lt;&gt;"")))),"")</f>
        <v/>
      </c>
      <c r="BB67" s="233" t="str" cm="1">
        <f t="array" aca="1" ref="BB67" ca="1">IFERROR(IF(_xlfn.XLOOKUP(AT67,ETANCHEITE!BJ$19:BJ$89,ETANCHEITE!BI$19:BI$89,"")&lt;&gt;"",_xlfn.XLOOKUP(AT67,ETANCHEITE!BJ$19:BJ$89,ETANCHEITE!BI$19:BI$89,""),    INDEX(ETANCHEITE!BI:BI,MAX(_xlfn._xlws.FILTER(ROW(ETANCHEITE!BI$19:INDIRECT("'PEINTURE'!P" &amp; AW67-1)),ETANCHEITE!BI$19:INDIRECT("'PEINTURE'!P" &amp; AW67-1)&lt;&gt;"")))),"")</f>
        <v/>
      </c>
    </row>
    <row r="68" spans="1:54" x14ac:dyDescent="0.3">
      <c r="A68" s="158">
        <v>66</v>
      </c>
      <c r="B68" s="167" t="str">
        <f>IF(F68&lt;&gt;" ",ETANCHEITE!$D$5,"")</f>
        <v/>
      </c>
      <c r="C68" s="167" t="str">
        <f>IF(F68&lt;&gt;" ",ETANCHEITE!$D$8,"")</f>
        <v/>
      </c>
      <c r="D68" s="159" t="str">
        <f>IFERROR(MATCH(A68,ETANCHEITE!Q$19:Q$164,0)+18,"")</f>
        <v/>
      </c>
      <c r="E68" s="160" t="str" cm="1">
        <f t="array" aca="1" ref="E68" ca="1">IFERROR(IF(_xlfn.XLOOKUP(A68,ETANCHEITE!Q$19:Q$164,ETANCHEITE!$A$19:$A$164,"")&lt;&gt;"",_xlfn.XLOOKUP(A68,ETANCHEITE!Q$19:Q$164,ETANCHEITE!$A$19:$A$164,""),    INDEX(ETANCHEITE!$A:$A,MAX(_xlfn._xlws.FILTER(ROW(ETANCHEITE!$A$19:INDIRECT("'MENUISERIES EXTERIEURES'!$A" &amp; D68-1)),ETANCHEITE!$A$19:INDIRECT("'MENUISERIES EXTERIEURES'!$A" &amp; D68-1)&lt;&gt;"")))),"")&amp;"   "&amp;IFERROR(_xlfn.XLOOKUP(A68,ETANCHEITE!Q$19:Q$164,ETANCHEITE!$B$19:$B$164),"")&amp;IFERROR(_xlfn.XLOOKUP(A68,ETANCHEITE!Q$19:Q$164,ETANCHEITE!$C$19:$C$164),"")&amp;IFERROR(_xlfn.XLOOKUP(A68,ETANCHEITE!Q$19:Q$164,ETANCHEITE!$D$19:$D$164),"")&amp;IFERROR(_xlfn.XLOOKUP(A68,ETANCHEITE!Q$19:Q$164,ETANCHEITE!$E$19:$E$164),"")&amp;IFERROR(_xlfn.XLOOKUP(A68,ETANCHEITE!Q$19:Q$164,ETANCHEITE!$F$19:$F$164),"")</f>
        <v xml:space="preserve">   </v>
      </c>
      <c r="F68" s="168" t="str">
        <f>IFERROR(VLOOKUP(A68,ETANCHEITE!Q$19:S$164,2,FALSE),"")&amp;" "&amp;IFERROR(VLOOKUP(A68,ETANCHEITE!Q$19:S$164,3,FALSE),"")</f>
        <v xml:space="preserve"> </v>
      </c>
      <c r="G68" s="161" t="str">
        <f>IF(F68&lt;&gt;" ",'Feuille de Donnée'!$C$3,"")</f>
        <v/>
      </c>
      <c r="H68" s="232" t="str" cm="1">
        <f t="array" aca="1" ref="H68" ca="1">IFERROR(IF(_xlfn.XLOOKUP(A68,ETANCHEITE!Q$19:Q$89,ETANCHEITE!O$19:O$89,"")&lt;&gt;"",_xlfn.XLOOKUP(A68,ETANCHEITE!Q$19:Q$89,ETANCHEITE!O$19:O$89,""),    INDEX(ETANCHEITE!O:O,MAX(_xlfn._xlws.FILTER(ROW(ETANCHEITE!O$19:INDIRECT("'PEINTURE'!O" &amp; D68-1)),ETANCHEITE!O$19:INDIRECT("'PEINTURE'!O" &amp; D68-1)&lt;&gt;"")))),"")</f>
        <v/>
      </c>
      <c r="I68" s="233" t="str" cm="1">
        <f t="array" aca="1" ref="I68" ca="1">IFERROR(IF(_xlfn.XLOOKUP(A68,ETANCHEITE!Q$19:Q$89,ETANCHEITE!P$19:P$89,"")&lt;&gt;"",_xlfn.XLOOKUP(A68,ETANCHEITE!Q$19:Q$89,ETANCHEITE!P$19:P$89,""),    INDEX(ETANCHEITE!P:P,MAX(_xlfn._xlws.FILTER(ROW(ETANCHEITE!P$19:INDIRECT("'PEINTURE'!P" &amp; D68-1)),ETANCHEITE!P$19:INDIRECT("'PEINTURE'!P" &amp; D68-1)&lt;&gt;"")))),"")</f>
        <v/>
      </c>
      <c r="J68" s="158">
        <v>66</v>
      </c>
      <c r="K68" s="167" t="str">
        <f>IF(O68&lt;&gt;" ",ETANCHEITE!$D$5,"")</f>
        <v/>
      </c>
      <c r="L68" s="167" t="str">
        <f>IF(O68&lt;&gt;" ",ETANCHEITE!$D$8,"")</f>
        <v/>
      </c>
      <c r="M68" s="159" t="str">
        <f>IFERROR(MATCH(J68,ETANCHEITE!Z$19:Z$164,0)+18,"")</f>
        <v/>
      </c>
      <c r="N68" s="160" t="str" cm="1">
        <f t="array" aca="1" ref="N68" ca="1">IFERROR(IF(_xlfn.XLOOKUP(J68,ETANCHEITE!Z$19:Z$164,ETANCHEITE!$A$19:$A$164,"")&lt;&gt;"",_xlfn.XLOOKUP(J68,ETANCHEITE!Z$19:Z$164,ETANCHEITE!$A$19:$A$164,""),    INDEX(ETANCHEITE!$A:$A,MAX(_xlfn._xlws.FILTER(ROW(ETANCHEITE!$A$19:INDIRECT("'MENUISERIES EXTERIEURES'!$A" &amp; M68-1)),ETANCHEITE!$A$19:INDIRECT("'MENUISERIES EXTERIEURES'!$A" &amp; M68-1)&lt;&gt;"")))),"")&amp;"   "&amp;IFERROR(_xlfn.XLOOKUP(J68,ETANCHEITE!Z$19:Z$164,ETANCHEITE!$B$19:$B$164),"")&amp;IFERROR(_xlfn.XLOOKUP(J68,ETANCHEITE!Z$19:Z$164,ETANCHEITE!$C$19:$C$164),"")&amp;IFERROR(_xlfn.XLOOKUP(J68,ETANCHEITE!Z$19:Z$164,ETANCHEITE!$D$19:$D$164),"")&amp;IFERROR(_xlfn.XLOOKUP(J68,ETANCHEITE!Z$19:Z$164,ETANCHEITE!$E$19:$E$164),"")&amp;IFERROR(_xlfn.XLOOKUP(J68,ETANCHEITE!Z$19:Z$164,ETANCHEITE!$F$19:$F$164),"")</f>
        <v xml:space="preserve">   </v>
      </c>
      <c r="O68" s="168" t="str">
        <f>IFERROR(VLOOKUP(J68,ETANCHEITE!Z$19:AB$164,2,FALSE),"")&amp;" "&amp;IFERROR(VLOOKUP(J68,ETANCHEITE!Z$19:AB$164,3,FALSE),"")</f>
        <v xml:space="preserve"> </v>
      </c>
      <c r="P68" s="161" t="str">
        <f>IF(O68&lt;&gt;" ",'Feuille de Donnée'!$C$3,"")</f>
        <v/>
      </c>
      <c r="Q68" s="232" t="str" cm="1">
        <f t="array" aca="1" ref="Q68" ca="1">IFERROR(IF(_xlfn.XLOOKUP(J68,ETANCHEITE!Z$19:Z$89,ETANCHEITE!X$19:X$89,"")&lt;&gt;"",_xlfn.XLOOKUP(J68,ETANCHEITE!Z$19:Z$89,ETANCHEITE!X$19:X$89,""),    INDEX(ETANCHEITE!X:X,MAX(_xlfn._xlws.FILTER(ROW(ETANCHEITE!X$19:INDIRECT("'PEINTURE'!O" &amp; M68-1)),ETANCHEITE!X$19:INDIRECT("'PEINTURE'!O" &amp; M68-1)&lt;&gt;"")))),"")</f>
        <v/>
      </c>
      <c r="R68" s="233" t="str" cm="1">
        <f t="array" aca="1" ref="R68" ca="1">IFERROR(IF(_xlfn.XLOOKUP(J68,ETANCHEITE!Z$19:Z$89,ETANCHEITE!Y$19:Y$89,"")&lt;&gt;"",_xlfn.XLOOKUP(J68,ETANCHEITE!Z$19:Z$89,ETANCHEITE!Y$19:Y$89,""),    INDEX(ETANCHEITE!Y:Y,MAX(_xlfn._xlws.FILTER(ROW(ETANCHEITE!Y$19:INDIRECT("'PEINTURE'!P" &amp; M68-1)),ETANCHEITE!Y$19:INDIRECT("'PEINTURE'!P" &amp; M68-1)&lt;&gt;"")))),"")</f>
        <v/>
      </c>
      <c r="S68" s="158">
        <v>66</v>
      </c>
      <c r="T68" s="167" t="str">
        <f>IF(X68&lt;&gt;" ",ETANCHEITE!$D$5,"")</f>
        <v/>
      </c>
      <c r="U68" s="167" t="str">
        <f>IF(X68&lt;&gt;" ",ETANCHEITE!$D$8,"")</f>
        <v/>
      </c>
      <c r="V68" s="159" t="str">
        <f>IFERROR(MATCH(S68,ETANCHEITE!AI$19:AI$164,0)+18,"")</f>
        <v/>
      </c>
      <c r="W68" s="160" t="str" cm="1">
        <f t="array" aca="1" ref="W68" ca="1">IFERROR(IF(_xlfn.XLOOKUP(S68,ETANCHEITE!AI$19:AI$164,ETANCHEITE!$A$19:$A$164,"")&lt;&gt;"",_xlfn.XLOOKUP(S68,ETANCHEITE!AI$19:AI$164,ETANCHEITE!$A$19:$A$164,""),    INDEX(ETANCHEITE!$A:$A,MAX(_xlfn._xlws.FILTER(ROW(ETANCHEITE!$A$19:INDIRECT("'MENUISERIES EXTERIEURES'!$A" &amp; V68-1)),ETANCHEITE!$A$19:INDIRECT("'MENUISERIES EXTERIEURES'!$A" &amp; V68-1)&lt;&gt;"")))),"")&amp;"   "&amp;IFERROR(_xlfn.XLOOKUP(S68,ETANCHEITE!AI$19:AI$164,ETANCHEITE!$B$19:$B$164),"")&amp;IFERROR(_xlfn.XLOOKUP(S68,ETANCHEITE!AI$19:AI$164,ETANCHEITE!$C$19:$C$164),"")&amp;IFERROR(_xlfn.XLOOKUP(S68,ETANCHEITE!AI$19:AI$164,ETANCHEITE!$D$19:$D$164),"")&amp;IFERROR(_xlfn.XLOOKUP(S68,ETANCHEITE!AI$19:AI$164,ETANCHEITE!$E$19:$E$164),"")&amp;IFERROR(_xlfn.XLOOKUP(S68,ETANCHEITE!AI$19:AI$164,ETANCHEITE!$F$19:$F$164),"")</f>
        <v xml:space="preserve">   </v>
      </c>
      <c r="X68" s="168" t="str">
        <f>IFERROR(VLOOKUP(S68,ETANCHEITE!AI$19:AK$164,2,FALSE),"")&amp;" "&amp;IFERROR(VLOOKUP(S68,ETANCHEITE!AI$19:AK$164,3,FALSE),"")</f>
        <v xml:space="preserve"> </v>
      </c>
      <c r="Y68" s="161" t="str">
        <f>IF(X68&lt;&gt;" ",'Feuille de Donnée'!$C$3,"")</f>
        <v/>
      </c>
      <c r="Z68" s="232" t="str" cm="1">
        <f t="array" aca="1" ref="Z68" ca="1">IFERROR(IF(_xlfn.XLOOKUP(S68,ETANCHEITE!AI$19:AI$89,ETANCHEITE!AG$19:AG$89,"")&lt;&gt;"",_xlfn.XLOOKUP(S68,ETANCHEITE!AI$19:AI$89,ETANCHEITE!AG$19:AG$89,""),    INDEX(ETANCHEITE!AG:AG,MAX(_xlfn._xlws.FILTER(ROW(ETANCHEITE!AG$19:INDIRECT("'PEINTURE'!O" &amp; V68-1)),ETANCHEITE!AG$19:INDIRECT("'PEINTURE'!O" &amp; V68-1)&lt;&gt;"")))),"")</f>
        <v/>
      </c>
      <c r="AA68" s="233" t="str" cm="1">
        <f t="array" aca="1" ref="AA68" ca="1">IFERROR(IF(_xlfn.XLOOKUP(S68,ETANCHEITE!AI$19:AI$89,ETANCHEITE!AH$19:AH$89,"")&lt;&gt;"",_xlfn.XLOOKUP(S68,ETANCHEITE!AI$19:AI$89,ETANCHEITE!AH$19:AH$89,""),    INDEX(ETANCHEITE!AH:AH,MAX(_xlfn._xlws.FILTER(ROW(ETANCHEITE!AH$19:INDIRECT("'PEINTURE'!P" &amp; V68-1)),ETANCHEITE!AH$19:INDIRECT("'PEINTURE'!P" &amp; V68-1)&lt;&gt;"")))),"")</f>
        <v/>
      </c>
      <c r="AB68" s="158">
        <v>66</v>
      </c>
      <c r="AC68" s="167" t="str">
        <f>IF(AG68&lt;&gt;" ",ETANCHEITE!$D$5,"")</f>
        <v/>
      </c>
      <c r="AD68" s="167" t="str">
        <f>IF(AG68&lt;&gt;" ",ETANCHEITE!$D$8,"")</f>
        <v/>
      </c>
      <c r="AE68" s="159" t="str">
        <f>IFERROR(MATCH(AB68,ETANCHEITE!AR$19:AR$164,0)+18,"")</f>
        <v/>
      </c>
      <c r="AF68" s="160" t="str" cm="1">
        <f t="array" aca="1" ref="AF68" ca="1">IFERROR(IF(_xlfn.XLOOKUP(AB68,ETANCHEITE!AR$19:AR$164,ETANCHEITE!$A$19:$A$164,"")&lt;&gt;"",_xlfn.XLOOKUP(AB68,ETANCHEITE!AR$19:AR$164,ETANCHEITE!$A$19:$A$164,""),    INDEX(ETANCHEITE!$A:$A,MAX(_xlfn._xlws.FILTER(ROW(ETANCHEITE!$A$19:INDIRECT("'MENUISERIES EXTERIEURES'!$A" &amp; AE68-1)),ETANCHEITE!$A$19:INDIRECT("'MENUISERIES EXTERIEURES'!$A" &amp; AE68-1)&lt;&gt;"")))),"")&amp;"   "&amp;IFERROR(_xlfn.XLOOKUP(AB68,ETANCHEITE!AR$19:AR$164,ETANCHEITE!$B$19:$B$164),"")&amp;IFERROR(_xlfn.XLOOKUP(AB68,ETANCHEITE!AR$19:AR$164,ETANCHEITE!$C$19:$C$164),"")&amp;IFERROR(_xlfn.XLOOKUP(AB68,ETANCHEITE!AR$19:AR$164,ETANCHEITE!$D$19:$D$164),"")&amp;IFERROR(_xlfn.XLOOKUP(AB68,ETANCHEITE!AR$19:AR$164,ETANCHEITE!$E$19:$E$164),"")&amp;IFERROR(_xlfn.XLOOKUP(AB68,ETANCHEITE!AR$19:AR$164,ETANCHEITE!$F$19:$F$164),"")</f>
        <v xml:space="preserve">   </v>
      </c>
      <c r="AG68" s="168" t="str">
        <f>IFERROR(VLOOKUP(AB68,ETANCHEITE!AR$19:AT$164,2,FALSE),"")&amp;" "&amp;IFERROR(VLOOKUP(AB68,ETANCHEITE!AR$19:AT$164,3,FALSE),"")</f>
        <v xml:space="preserve"> </v>
      </c>
      <c r="AH68" s="161" t="str">
        <f>IF(AG68&lt;&gt;" ",'Feuille de Donnée'!$C$3,"")</f>
        <v/>
      </c>
      <c r="AI68" s="232" t="str" cm="1">
        <f t="array" aca="1" ref="AI68" ca="1">IFERROR(IF(_xlfn.XLOOKUP(AB68,ETANCHEITE!AR$19:AR$89,ETANCHEITE!AP$19:AP$89,"")&lt;&gt;"",_xlfn.XLOOKUP(AB68,ETANCHEITE!AR$19:AR$89,ETANCHEITE!AP$19:AP$89,""),    INDEX(ETANCHEITE!AP:AP,MAX(_xlfn._xlws.FILTER(ROW(ETANCHEITE!AP$19:INDIRECT("'PEINTURE'!O" &amp; AE68-1)),ETANCHEITE!AP$19:INDIRECT("'PEINTURE'!O" &amp; AE68-1)&lt;&gt;"")))),"")</f>
        <v/>
      </c>
      <c r="AJ68" s="233" t="str" cm="1">
        <f t="array" aca="1" ref="AJ68" ca="1">IFERROR(IF(_xlfn.XLOOKUP(AB68,ETANCHEITE!AR$19:AR$89,ETANCHEITE!AQ$19:AQ$89,"")&lt;&gt;"",_xlfn.XLOOKUP(AB68,ETANCHEITE!AR$19:AR$89,ETANCHEITE!AQ$19:AQ$89,""),    INDEX(ETANCHEITE!AQ:AQ,MAX(_xlfn._xlws.FILTER(ROW(ETANCHEITE!AQ$19:INDIRECT("'PEINTURE'!P" &amp; AE68-1)),ETANCHEITE!AQ$19:INDIRECT("'PEINTURE'!P" &amp; AE68-1)&lt;&gt;"")))),"")</f>
        <v/>
      </c>
      <c r="AK68" s="158">
        <v>66</v>
      </c>
      <c r="AL68" s="167" t="str">
        <f>IF(AP68&lt;&gt;" ",ETANCHEITE!$D$5,"")</f>
        <v/>
      </c>
      <c r="AM68" s="167" t="str">
        <f>IF(AP68&lt;&gt;" ",ETANCHEITE!$D$8,"")</f>
        <v/>
      </c>
      <c r="AN68" s="159" t="str">
        <f>IFERROR(MATCH(AK68,ETANCHEITE!BA$19:BA$164,0)+18,"")</f>
        <v/>
      </c>
      <c r="AO68" s="160" t="str" cm="1">
        <f t="array" aca="1" ref="AO68" ca="1">IFERROR(IF(_xlfn.XLOOKUP(AK68,ETANCHEITE!BA$19:BA$164,ETANCHEITE!$A$19:$A$164,"")&lt;&gt;"",_xlfn.XLOOKUP(AK68,ETANCHEITE!BA$19:BA$164,ETANCHEITE!$A$19:$A$164,""),    INDEX(ETANCHEITE!$A:$A,MAX(_xlfn._xlws.FILTER(ROW(ETANCHEITE!$A$19:INDIRECT("'MENUISERIES EXTERIEURES'!$A" &amp; AN68-1)),ETANCHEITE!$A$19:INDIRECT("'MENUISERIES EXTERIEURES'!$A" &amp; AN68-1)&lt;&gt;"")))),"")&amp;"   "&amp;IFERROR(_xlfn.XLOOKUP(AK68,ETANCHEITE!BA$19:BA$164,ETANCHEITE!$B$19:$B$164),"")&amp;IFERROR(_xlfn.XLOOKUP(AK68,ETANCHEITE!BA$19:BA$164,ETANCHEITE!$C$19:$C$164),"")&amp;IFERROR(_xlfn.XLOOKUP(AK68,ETANCHEITE!BA$19:BA$164,ETANCHEITE!$D$19:$D$164),"")&amp;IFERROR(_xlfn.XLOOKUP(AK68,ETANCHEITE!BA$19:BA$164,ETANCHEITE!$E$19:$E$164),"")&amp;IFERROR(_xlfn.XLOOKUP(AK68,ETANCHEITE!BA$19:BA$164,ETANCHEITE!$F$19:$F$164),"")</f>
        <v xml:space="preserve">   </v>
      </c>
      <c r="AP68" s="168" t="str">
        <f>IFERROR(VLOOKUP(AK68,ETANCHEITE!BA$19:BC$164,2,FALSE),"")&amp;" "&amp;IFERROR(VLOOKUP(AK68,ETANCHEITE!BA$19:BC$164,3,FALSE),"")</f>
        <v xml:space="preserve"> </v>
      </c>
      <c r="AQ68" s="161" t="str">
        <f>IF(AP68&lt;&gt;" ",'Feuille de Donnée'!$C$3,"")</f>
        <v/>
      </c>
      <c r="AR68" s="232" t="str" cm="1">
        <f t="array" aca="1" ref="AR68" ca="1">IFERROR(IF(_xlfn.XLOOKUP(AK68,ETANCHEITE!BA$19:BA$89,ETANCHEITE!AY$19:AY$89,"")&lt;&gt;"",_xlfn.XLOOKUP(AK68,ETANCHEITE!BA$19:BA$89,ETANCHEITE!AY$19:AY$89,""),    INDEX(ETANCHEITE!AY:AY,MAX(_xlfn._xlws.FILTER(ROW(ETANCHEITE!AY$19:INDIRECT("'PEINTURE'!O" &amp; AN68-1)),ETANCHEITE!AY$19:INDIRECT("'PEINTURE'!O" &amp; AN68-1)&lt;&gt;"")))),"")</f>
        <v/>
      </c>
      <c r="AS68" s="233" t="str" cm="1">
        <f t="array" aca="1" ref="AS68" ca="1">IFERROR(IF(_xlfn.XLOOKUP(AK68,ETANCHEITE!BA$19:BA$89,ETANCHEITE!AZ$19:AZ$89,"")&lt;&gt;"",_xlfn.XLOOKUP(AK68,ETANCHEITE!BA$19:BA$89,ETANCHEITE!AZ$19:AZ$89,""),    INDEX(ETANCHEITE!AZ:AZ,MAX(_xlfn._xlws.FILTER(ROW(ETANCHEITE!AZ$19:INDIRECT("'PEINTURE'!P" &amp; AN68-1)),ETANCHEITE!AZ$19:INDIRECT("'PEINTURE'!P" &amp; AN68-1)&lt;&gt;"")))),"")</f>
        <v/>
      </c>
      <c r="AT68" s="158">
        <v>66</v>
      </c>
      <c r="AU68" s="167" t="str">
        <f>IF(AY68&lt;&gt;" ",ETANCHEITE!$D$5,"")</f>
        <v/>
      </c>
      <c r="AV68" s="167" t="str">
        <f>IF(AY68&lt;&gt;" ",ETANCHEITE!$D$8,"")</f>
        <v/>
      </c>
      <c r="AW68" s="159" t="str">
        <f>IFERROR(MATCH(AT68,ETANCHEITE!BJ$19:BJ$164,0)+18,"")</f>
        <v/>
      </c>
      <c r="AX68" s="160" t="str" cm="1">
        <f t="array" aca="1" ref="AX68" ca="1">IFERROR(IF(_xlfn.XLOOKUP(AT68,ETANCHEITE!BJ$19:BJ$164,ETANCHEITE!$A$19:$A$164,"")&lt;&gt;"",_xlfn.XLOOKUP(AT68,ETANCHEITE!BJ$19:BJ$164,ETANCHEITE!$A$19:$A$164,""),    INDEX(ETANCHEITE!$A:$A,MAX(_xlfn._xlws.FILTER(ROW(ETANCHEITE!$A$19:INDIRECT("'MENUISERIES EXTERIEURES'!$A" &amp; AW68-1)),ETANCHEITE!$A$19:INDIRECT("'MENUISERIES EXTERIEURES'!$A" &amp; AW68-1)&lt;&gt;"")))),"")&amp;"   "&amp;IFERROR(_xlfn.XLOOKUP(AT68,ETANCHEITE!BJ$19:BJ$164,ETANCHEITE!$B$19:$B$164),"")&amp;IFERROR(_xlfn.XLOOKUP(AT68,ETANCHEITE!BJ$19:BJ$164,ETANCHEITE!$C$19:$C$164),"")&amp;IFERROR(_xlfn.XLOOKUP(AT68,ETANCHEITE!BJ$19:BJ$164,ETANCHEITE!$D$19:$D$164),"")&amp;IFERROR(_xlfn.XLOOKUP(AT68,ETANCHEITE!BJ$19:BJ$164,ETANCHEITE!$E$19:$E$164),"")&amp;IFERROR(_xlfn.XLOOKUP(AT68,ETANCHEITE!BJ$19:BJ$164,ETANCHEITE!$F$19:$F$164),"")</f>
        <v xml:space="preserve">   </v>
      </c>
      <c r="AY68" s="168" t="str">
        <f>IFERROR(VLOOKUP(AT68,ETANCHEITE!BJ$19:BL$164,2,FALSE),"")&amp;" "&amp;IFERROR(VLOOKUP(AT68,ETANCHEITE!BJ$19:BL$164,3,FALSE),"")</f>
        <v xml:space="preserve"> </v>
      </c>
      <c r="AZ68" s="161" t="str">
        <f>IF(AY68&lt;&gt;" ",'Feuille de Donnée'!$C$3,"")</f>
        <v/>
      </c>
      <c r="BA68" s="232" t="str" cm="1">
        <f t="array" aca="1" ref="BA68" ca="1">IFERROR(IF(_xlfn.XLOOKUP(AT68,ETANCHEITE!BJ$19:BJ$89,ETANCHEITE!BH$19:BH$89,"")&lt;&gt;"",_xlfn.XLOOKUP(AT68,ETANCHEITE!BJ$19:BJ$89,ETANCHEITE!BH$19:BH$89,""),    INDEX(ETANCHEITE!BH:BH,MAX(_xlfn._xlws.FILTER(ROW(ETANCHEITE!BH$19:INDIRECT("'PEINTURE'!O" &amp; AW68-1)),ETANCHEITE!BH$19:INDIRECT("'PEINTURE'!O" &amp; AW68-1)&lt;&gt;"")))),"")</f>
        <v/>
      </c>
      <c r="BB68" s="233" t="str" cm="1">
        <f t="array" aca="1" ref="BB68" ca="1">IFERROR(IF(_xlfn.XLOOKUP(AT68,ETANCHEITE!BJ$19:BJ$89,ETANCHEITE!BI$19:BI$89,"")&lt;&gt;"",_xlfn.XLOOKUP(AT68,ETANCHEITE!BJ$19:BJ$89,ETANCHEITE!BI$19:BI$89,""),    INDEX(ETANCHEITE!BI:BI,MAX(_xlfn._xlws.FILTER(ROW(ETANCHEITE!BI$19:INDIRECT("'PEINTURE'!P" &amp; AW68-1)),ETANCHEITE!BI$19:INDIRECT("'PEINTURE'!P" &amp; AW68-1)&lt;&gt;"")))),"")</f>
        <v/>
      </c>
    </row>
    <row r="69" spans="1:54" x14ac:dyDescent="0.3">
      <c r="A69" s="158">
        <v>67</v>
      </c>
      <c r="B69" s="167" t="str">
        <f>IF(F69&lt;&gt;" ",ETANCHEITE!$D$5,"")</f>
        <v/>
      </c>
      <c r="C69" s="167" t="str">
        <f>IF(F69&lt;&gt;" ",ETANCHEITE!$D$8,"")</f>
        <v/>
      </c>
      <c r="D69" s="159" t="str">
        <f>IFERROR(MATCH(A69,ETANCHEITE!Q$19:Q$164,0)+18,"")</f>
        <v/>
      </c>
      <c r="E69" s="160" t="str" cm="1">
        <f t="array" aca="1" ref="E69" ca="1">IFERROR(IF(_xlfn.XLOOKUP(A69,ETANCHEITE!Q$19:Q$164,ETANCHEITE!$A$19:$A$164,"")&lt;&gt;"",_xlfn.XLOOKUP(A69,ETANCHEITE!Q$19:Q$164,ETANCHEITE!$A$19:$A$164,""),    INDEX(ETANCHEITE!$A:$A,MAX(_xlfn._xlws.FILTER(ROW(ETANCHEITE!$A$19:INDIRECT("'MENUISERIES EXTERIEURES'!$A" &amp; D69-1)),ETANCHEITE!$A$19:INDIRECT("'MENUISERIES EXTERIEURES'!$A" &amp; D69-1)&lt;&gt;"")))),"")&amp;"   "&amp;IFERROR(_xlfn.XLOOKUP(A69,ETANCHEITE!Q$19:Q$164,ETANCHEITE!$B$19:$B$164),"")&amp;IFERROR(_xlfn.XLOOKUP(A69,ETANCHEITE!Q$19:Q$164,ETANCHEITE!$C$19:$C$164),"")&amp;IFERROR(_xlfn.XLOOKUP(A69,ETANCHEITE!Q$19:Q$164,ETANCHEITE!$D$19:$D$164),"")&amp;IFERROR(_xlfn.XLOOKUP(A69,ETANCHEITE!Q$19:Q$164,ETANCHEITE!$E$19:$E$164),"")&amp;IFERROR(_xlfn.XLOOKUP(A69,ETANCHEITE!Q$19:Q$164,ETANCHEITE!$F$19:$F$164),"")</f>
        <v xml:space="preserve">   </v>
      </c>
      <c r="F69" s="168" t="str">
        <f>IFERROR(VLOOKUP(A69,ETANCHEITE!Q$19:S$164,2,FALSE),"")&amp;" "&amp;IFERROR(VLOOKUP(A69,ETANCHEITE!Q$19:S$164,3,FALSE),"")</f>
        <v xml:space="preserve"> </v>
      </c>
      <c r="G69" s="161" t="str">
        <f>IF(F69&lt;&gt;" ",'Feuille de Donnée'!$C$3,"")</f>
        <v/>
      </c>
      <c r="H69" s="232" t="str" cm="1">
        <f t="array" aca="1" ref="H69" ca="1">IFERROR(IF(_xlfn.XLOOKUP(A69,ETANCHEITE!Q$19:Q$89,ETANCHEITE!O$19:O$89,"")&lt;&gt;"",_xlfn.XLOOKUP(A69,ETANCHEITE!Q$19:Q$89,ETANCHEITE!O$19:O$89,""),    INDEX(ETANCHEITE!O:O,MAX(_xlfn._xlws.FILTER(ROW(ETANCHEITE!O$19:INDIRECT("'PEINTURE'!O" &amp; D69-1)),ETANCHEITE!O$19:INDIRECT("'PEINTURE'!O" &amp; D69-1)&lt;&gt;"")))),"")</f>
        <v/>
      </c>
      <c r="I69" s="233" t="str" cm="1">
        <f t="array" aca="1" ref="I69" ca="1">IFERROR(IF(_xlfn.XLOOKUP(A69,ETANCHEITE!Q$19:Q$89,ETANCHEITE!P$19:P$89,"")&lt;&gt;"",_xlfn.XLOOKUP(A69,ETANCHEITE!Q$19:Q$89,ETANCHEITE!P$19:P$89,""),    INDEX(ETANCHEITE!P:P,MAX(_xlfn._xlws.FILTER(ROW(ETANCHEITE!P$19:INDIRECT("'PEINTURE'!P" &amp; D69-1)),ETANCHEITE!P$19:INDIRECT("'PEINTURE'!P" &amp; D69-1)&lt;&gt;"")))),"")</f>
        <v/>
      </c>
      <c r="J69" s="158">
        <v>67</v>
      </c>
      <c r="K69" s="167" t="str">
        <f>IF(O69&lt;&gt;" ",ETANCHEITE!$D$5,"")</f>
        <v/>
      </c>
      <c r="L69" s="167" t="str">
        <f>IF(O69&lt;&gt;" ",ETANCHEITE!$D$8,"")</f>
        <v/>
      </c>
      <c r="M69" s="159" t="str">
        <f>IFERROR(MATCH(J69,ETANCHEITE!Z$19:Z$164,0)+18,"")</f>
        <v/>
      </c>
      <c r="N69" s="160" t="str" cm="1">
        <f t="array" aca="1" ref="N69" ca="1">IFERROR(IF(_xlfn.XLOOKUP(J69,ETANCHEITE!Z$19:Z$164,ETANCHEITE!$A$19:$A$164,"")&lt;&gt;"",_xlfn.XLOOKUP(J69,ETANCHEITE!Z$19:Z$164,ETANCHEITE!$A$19:$A$164,""),    INDEX(ETANCHEITE!$A:$A,MAX(_xlfn._xlws.FILTER(ROW(ETANCHEITE!$A$19:INDIRECT("'MENUISERIES EXTERIEURES'!$A" &amp; M69-1)),ETANCHEITE!$A$19:INDIRECT("'MENUISERIES EXTERIEURES'!$A" &amp; M69-1)&lt;&gt;"")))),"")&amp;"   "&amp;IFERROR(_xlfn.XLOOKUP(J69,ETANCHEITE!Z$19:Z$164,ETANCHEITE!$B$19:$B$164),"")&amp;IFERROR(_xlfn.XLOOKUP(J69,ETANCHEITE!Z$19:Z$164,ETANCHEITE!$C$19:$C$164),"")&amp;IFERROR(_xlfn.XLOOKUP(J69,ETANCHEITE!Z$19:Z$164,ETANCHEITE!$D$19:$D$164),"")&amp;IFERROR(_xlfn.XLOOKUP(J69,ETANCHEITE!Z$19:Z$164,ETANCHEITE!$E$19:$E$164),"")&amp;IFERROR(_xlfn.XLOOKUP(J69,ETANCHEITE!Z$19:Z$164,ETANCHEITE!$F$19:$F$164),"")</f>
        <v xml:space="preserve">   </v>
      </c>
      <c r="O69" s="168" t="str">
        <f>IFERROR(VLOOKUP(J69,ETANCHEITE!Z$19:AB$164,2,FALSE),"")&amp;" "&amp;IFERROR(VLOOKUP(J69,ETANCHEITE!Z$19:AB$164,3,FALSE),"")</f>
        <v xml:space="preserve"> </v>
      </c>
      <c r="P69" s="161" t="str">
        <f>IF(O69&lt;&gt;" ",'Feuille de Donnée'!$C$3,"")</f>
        <v/>
      </c>
      <c r="Q69" s="232" t="str" cm="1">
        <f t="array" aca="1" ref="Q69" ca="1">IFERROR(IF(_xlfn.XLOOKUP(J69,ETANCHEITE!Z$19:Z$89,ETANCHEITE!X$19:X$89,"")&lt;&gt;"",_xlfn.XLOOKUP(J69,ETANCHEITE!Z$19:Z$89,ETANCHEITE!X$19:X$89,""),    INDEX(ETANCHEITE!X:X,MAX(_xlfn._xlws.FILTER(ROW(ETANCHEITE!X$19:INDIRECT("'PEINTURE'!O" &amp; M69-1)),ETANCHEITE!X$19:INDIRECT("'PEINTURE'!O" &amp; M69-1)&lt;&gt;"")))),"")</f>
        <v/>
      </c>
      <c r="R69" s="233" t="str" cm="1">
        <f t="array" aca="1" ref="R69" ca="1">IFERROR(IF(_xlfn.XLOOKUP(J69,ETANCHEITE!Z$19:Z$89,ETANCHEITE!Y$19:Y$89,"")&lt;&gt;"",_xlfn.XLOOKUP(J69,ETANCHEITE!Z$19:Z$89,ETANCHEITE!Y$19:Y$89,""),    INDEX(ETANCHEITE!Y:Y,MAX(_xlfn._xlws.FILTER(ROW(ETANCHEITE!Y$19:INDIRECT("'PEINTURE'!P" &amp; M69-1)),ETANCHEITE!Y$19:INDIRECT("'PEINTURE'!P" &amp; M69-1)&lt;&gt;"")))),"")</f>
        <v/>
      </c>
      <c r="S69" s="158">
        <v>67</v>
      </c>
      <c r="T69" s="167" t="str">
        <f>IF(X69&lt;&gt;" ",ETANCHEITE!$D$5,"")</f>
        <v/>
      </c>
      <c r="U69" s="167" t="str">
        <f>IF(X69&lt;&gt;" ",ETANCHEITE!$D$8,"")</f>
        <v/>
      </c>
      <c r="V69" s="159" t="str">
        <f>IFERROR(MATCH(S69,ETANCHEITE!AI$19:AI$164,0)+18,"")</f>
        <v/>
      </c>
      <c r="W69" s="160" t="str" cm="1">
        <f t="array" aca="1" ref="W69" ca="1">IFERROR(IF(_xlfn.XLOOKUP(S69,ETANCHEITE!AI$19:AI$164,ETANCHEITE!$A$19:$A$164,"")&lt;&gt;"",_xlfn.XLOOKUP(S69,ETANCHEITE!AI$19:AI$164,ETANCHEITE!$A$19:$A$164,""),    INDEX(ETANCHEITE!$A:$A,MAX(_xlfn._xlws.FILTER(ROW(ETANCHEITE!$A$19:INDIRECT("'MENUISERIES EXTERIEURES'!$A" &amp; V69-1)),ETANCHEITE!$A$19:INDIRECT("'MENUISERIES EXTERIEURES'!$A" &amp; V69-1)&lt;&gt;"")))),"")&amp;"   "&amp;IFERROR(_xlfn.XLOOKUP(S69,ETANCHEITE!AI$19:AI$164,ETANCHEITE!$B$19:$B$164),"")&amp;IFERROR(_xlfn.XLOOKUP(S69,ETANCHEITE!AI$19:AI$164,ETANCHEITE!$C$19:$C$164),"")&amp;IFERROR(_xlfn.XLOOKUP(S69,ETANCHEITE!AI$19:AI$164,ETANCHEITE!$D$19:$D$164),"")&amp;IFERROR(_xlfn.XLOOKUP(S69,ETANCHEITE!AI$19:AI$164,ETANCHEITE!$E$19:$E$164),"")&amp;IFERROR(_xlfn.XLOOKUP(S69,ETANCHEITE!AI$19:AI$164,ETANCHEITE!$F$19:$F$164),"")</f>
        <v xml:space="preserve">   </v>
      </c>
      <c r="X69" s="168" t="str">
        <f>IFERROR(VLOOKUP(S69,ETANCHEITE!AI$19:AK$164,2,FALSE),"")&amp;" "&amp;IFERROR(VLOOKUP(S69,ETANCHEITE!AI$19:AK$164,3,FALSE),"")</f>
        <v xml:space="preserve"> </v>
      </c>
      <c r="Y69" s="161" t="str">
        <f>IF(X69&lt;&gt;" ",'Feuille de Donnée'!$C$3,"")</f>
        <v/>
      </c>
      <c r="Z69" s="232" t="str" cm="1">
        <f t="array" aca="1" ref="Z69" ca="1">IFERROR(IF(_xlfn.XLOOKUP(S69,ETANCHEITE!AI$19:AI$89,ETANCHEITE!AG$19:AG$89,"")&lt;&gt;"",_xlfn.XLOOKUP(S69,ETANCHEITE!AI$19:AI$89,ETANCHEITE!AG$19:AG$89,""),    INDEX(ETANCHEITE!AG:AG,MAX(_xlfn._xlws.FILTER(ROW(ETANCHEITE!AG$19:INDIRECT("'PEINTURE'!O" &amp; V69-1)),ETANCHEITE!AG$19:INDIRECT("'PEINTURE'!O" &amp; V69-1)&lt;&gt;"")))),"")</f>
        <v/>
      </c>
      <c r="AA69" s="233" t="str" cm="1">
        <f t="array" aca="1" ref="AA69" ca="1">IFERROR(IF(_xlfn.XLOOKUP(S69,ETANCHEITE!AI$19:AI$89,ETANCHEITE!AH$19:AH$89,"")&lt;&gt;"",_xlfn.XLOOKUP(S69,ETANCHEITE!AI$19:AI$89,ETANCHEITE!AH$19:AH$89,""),    INDEX(ETANCHEITE!AH:AH,MAX(_xlfn._xlws.FILTER(ROW(ETANCHEITE!AH$19:INDIRECT("'PEINTURE'!P" &amp; V69-1)),ETANCHEITE!AH$19:INDIRECT("'PEINTURE'!P" &amp; V69-1)&lt;&gt;"")))),"")</f>
        <v/>
      </c>
      <c r="AB69" s="158">
        <v>67</v>
      </c>
      <c r="AC69" s="167" t="str">
        <f>IF(AG69&lt;&gt;" ",ETANCHEITE!$D$5,"")</f>
        <v/>
      </c>
      <c r="AD69" s="167" t="str">
        <f>IF(AG69&lt;&gt;" ",ETANCHEITE!$D$8,"")</f>
        <v/>
      </c>
      <c r="AE69" s="159" t="str">
        <f>IFERROR(MATCH(AB69,ETANCHEITE!AR$19:AR$164,0)+18,"")</f>
        <v/>
      </c>
      <c r="AF69" s="160" t="str" cm="1">
        <f t="array" aca="1" ref="AF69" ca="1">IFERROR(IF(_xlfn.XLOOKUP(AB69,ETANCHEITE!AR$19:AR$164,ETANCHEITE!$A$19:$A$164,"")&lt;&gt;"",_xlfn.XLOOKUP(AB69,ETANCHEITE!AR$19:AR$164,ETANCHEITE!$A$19:$A$164,""),    INDEX(ETANCHEITE!$A:$A,MAX(_xlfn._xlws.FILTER(ROW(ETANCHEITE!$A$19:INDIRECT("'MENUISERIES EXTERIEURES'!$A" &amp; AE69-1)),ETANCHEITE!$A$19:INDIRECT("'MENUISERIES EXTERIEURES'!$A" &amp; AE69-1)&lt;&gt;"")))),"")&amp;"   "&amp;IFERROR(_xlfn.XLOOKUP(AB69,ETANCHEITE!AR$19:AR$164,ETANCHEITE!$B$19:$B$164),"")&amp;IFERROR(_xlfn.XLOOKUP(AB69,ETANCHEITE!AR$19:AR$164,ETANCHEITE!$C$19:$C$164),"")&amp;IFERROR(_xlfn.XLOOKUP(AB69,ETANCHEITE!AR$19:AR$164,ETANCHEITE!$D$19:$D$164),"")&amp;IFERROR(_xlfn.XLOOKUP(AB69,ETANCHEITE!AR$19:AR$164,ETANCHEITE!$E$19:$E$164),"")&amp;IFERROR(_xlfn.XLOOKUP(AB69,ETANCHEITE!AR$19:AR$164,ETANCHEITE!$F$19:$F$164),"")</f>
        <v xml:space="preserve">   </v>
      </c>
      <c r="AG69" s="168" t="str">
        <f>IFERROR(VLOOKUP(AB69,ETANCHEITE!AR$19:AT$164,2,FALSE),"")&amp;" "&amp;IFERROR(VLOOKUP(AB69,ETANCHEITE!AR$19:AT$164,3,FALSE),"")</f>
        <v xml:space="preserve"> </v>
      </c>
      <c r="AH69" s="161" t="str">
        <f>IF(AG69&lt;&gt;" ",'Feuille de Donnée'!$C$3,"")</f>
        <v/>
      </c>
      <c r="AI69" s="232" t="str" cm="1">
        <f t="array" aca="1" ref="AI69" ca="1">IFERROR(IF(_xlfn.XLOOKUP(AB69,ETANCHEITE!AR$19:AR$89,ETANCHEITE!AP$19:AP$89,"")&lt;&gt;"",_xlfn.XLOOKUP(AB69,ETANCHEITE!AR$19:AR$89,ETANCHEITE!AP$19:AP$89,""),    INDEX(ETANCHEITE!AP:AP,MAX(_xlfn._xlws.FILTER(ROW(ETANCHEITE!AP$19:INDIRECT("'PEINTURE'!O" &amp; AE69-1)),ETANCHEITE!AP$19:INDIRECT("'PEINTURE'!O" &amp; AE69-1)&lt;&gt;"")))),"")</f>
        <v/>
      </c>
      <c r="AJ69" s="233" t="str" cm="1">
        <f t="array" aca="1" ref="AJ69" ca="1">IFERROR(IF(_xlfn.XLOOKUP(AB69,ETANCHEITE!AR$19:AR$89,ETANCHEITE!AQ$19:AQ$89,"")&lt;&gt;"",_xlfn.XLOOKUP(AB69,ETANCHEITE!AR$19:AR$89,ETANCHEITE!AQ$19:AQ$89,""),    INDEX(ETANCHEITE!AQ:AQ,MAX(_xlfn._xlws.FILTER(ROW(ETANCHEITE!AQ$19:INDIRECT("'PEINTURE'!P" &amp; AE69-1)),ETANCHEITE!AQ$19:INDIRECT("'PEINTURE'!P" &amp; AE69-1)&lt;&gt;"")))),"")</f>
        <v/>
      </c>
      <c r="AK69" s="158">
        <v>67</v>
      </c>
      <c r="AL69" s="167" t="str">
        <f>IF(AP69&lt;&gt;" ",ETANCHEITE!$D$5,"")</f>
        <v/>
      </c>
      <c r="AM69" s="167" t="str">
        <f>IF(AP69&lt;&gt;" ",ETANCHEITE!$D$8,"")</f>
        <v/>
      </c>
      <c r="AN69" s="159" t="str">
        <f>IFERROR(MATCH(AK69,ETANCHEITE!BA$19:BA$164,0)+18,"")</f>
        <v/>
      </c>
      <c r="AO69" s="160" t="str" cm="1">
        <f t="array" aca="1" ref="AO69" ca="1">IFERROR(IF(_xlfn.XLOOKUP(AK69,ETANCHEITE!BA$19:BA$164,ETANCHEITE!$A$19:$A$164,"")&lt;&gt;"",_xlfn.XLOOKUP(AK69,ETANCHEITE!BA$19:BA$164,ETANCHEITE!$A$19:$A$164,""),    INDEX(ETANCHEITE!$A:$A,MAX(_xlfn._xlws.FILTER(ROW(ETANCHEITE!$A$19:INDIRECT("'MENUISERIES EXTERIEURES'!$A" &amp; AN69-1)),ETANCHEITE!$A$19:INDIRECT("'MENUISERIES EXTERIEURES'!$A" &amp; AN69-1)&lt;&gt;"")))),"")&amp;"   "&amp;IFERROR(_xlfn.XLOOKUP(AK69,ETANCHEITE!BA$19:BA$164,ETANCHEITE!$B$19:$B$164),"")&amp;IFERROR(_xlfn.XLOOKUP(AK69,ETANCHEITE!BA$19:BA$164,ETANCHEITE!$C$19:$C$164),"")&amp;IFERROR(_xlfn.XLOOKUP(AK69,ETANCHEITE!BA$19:BA$164,ETANCHEITE!$D$19:$D$164),"")&amp;IFERROR(_xlfn.XLOOKUP(AK69,ETANCHEITE!BA$19:BA$164,ETANCHEITE!$E$19:$E$164),"")&amp;IFERROR(_xlfn.XLOOKUP(AK69,ETANCHEITE!BA$19:BA$164,ETANCHEITE!$F$19:$F$164),"")</f>
        <v xml:space="preserve">   </v>
      </c>
      <c r="AP69" s="168" t="str">
        <f>IFERROR(VLOOKUP(AK69,ETANCHEITE!BA$19:BC$164,2,FALSE),"")&amp;" "&amp;IFERROR(VLOOKUP(AK69,ETANCHEITE!BA$19:BC$164,3,FALSE),"")</f>
        <v xml:space="preserve"> </v>
      </c>
      <c r="AQ69" s="161" t="str">
        <f>IF(AP69&lt;&gt;" ",'Feuille de Donnée'!$C$3,"")</f>
        <v/>
      </c>
      <c r="AR69" s="232" t="str" cm="1">
        <f t="array" aca="1" ref="AR69" ca="1">IFERROR(IF(_xlfn.XLOOKUP(AK69,ETANCHEITE!BA$19:BA$89,ETANCHEITE!AY$19:AY$89,"")&lt;&gt;"",_xlfn.XLOOKUP(AK69,ETANCHEITE!BA$19:BA$89,ETANCHEITE!AY$19:AY$89,""),    INDEX(ETANCHEITE!AY:AY,MAX(_xlfn._xlws.FILTER(ROW(ETANCHEITE!AY$19:INDIRECT("'PEINTURE'!O" &amp; AN69-1)),ETANCHEITE!AY$19:INDIRECT("'PEINTURE'!O" &amp; AN69-1)&lt;&gt;"")))),"")</f>
        <v/>
      </c>
      <c r="AS69" s="233" t="str" cm="1">
        <f t="array" aca="1" ref="AS69" ca="1">IFERROR(IF(_xlfn.XLOOKUP(AK69,ETANCHEITE!BA$19:BA$89,ETANCHEITE!AZ$19:AZ$89,"")&lt;&gt;"",_xlfn.XLOOKUP(AK69,ETANCHEITE!BA$19:BA$89,ETANCHEITE!AZ$19:AZ$89,""),    INDEX(ETANCHEITE!AZ:AZ,MAX(_xlfn._xlws.FILTER(ROW(ETANCHEITE!AZ$19:INDIRECT("'PEINTURE'!P" &amp; AN69-1)),ETANCHEITE!AZ$19:INDIRECT("'PEINTURE'!P" &amp; AN69-1)&lt;&gt;"")))),"")</f>
        <v/>
      </c>
      <c r="AT69" s="158">
        <v>67</v>
      </c>
      <c r="AU69" s="167" t="str">
        <f>IF(AY69&lt;&gt;" ",ETANCHEITE!$D$5,"")</f>
        <v/>
      </c>
      <c r="AV69" s="167" t="str">
        <f>IF(AY69&lt;&gt;" ",ETANCHEITE!$D$8,"")</f>
        <v/>
      </c>
      <c r="AW69" s="159" t="str">
        <f>IFERROR(MATCH(AT69,ETANCHEITE!BJ$19:BJ$164,0)+18,"")</f>
        <v/>
      </c>
      <c r="AX69" s="160" t="str" cm="1">
        <f t="array" aca="1" ref="AX69" ca="1">IFERROR(IF(_xlfn.XLOOKUP(AT69,ETANCHEITE!BJ$19:BJ$164,ETANCHEITE!$A$19:$A$164,"")&lt;&gt;"",_xlfn.XLOOKUP(AT69,ETANCHEITE!BJ$19:BJ$164,ETANCHEITE!$A$19:$A$164,""),    INDEX(ETANCHEITE!$A:$A,MAX(_xlfn._xlws.FILTER(ROW(ETANCHEITE!$A$19:INDIRECT("'MENUISERIES EXTERIEURES'!$A" &amp; AW69-1)),ETANCHEITE!$A$19:INDIRECT("'MENUISERIES EXTERIEURES'!$A" &amp; AW69-1)&lt;&gt;"")))),"")&amp;"   "&amp;IFERROR(_xlfn.XLOOKUP(AT69,ETANCHEITE!BJ$19:BJ$164,ETANCHEITE!$B$19:$B$164),"")&amp;IFERROR(_xlfn.XLOOKUP(AT69,ETANCHEITE!BJ$19:BJ$164,ETANCHEITE!$C$19:$C$164),"")&amp;IFERROR(_xlfn.XLOOKUP(AT69,ETANCHEITE!BJ$19:BJ$164,ETANCHEITE!$D$19:$D$164),"")&amp;IFERROR(_xlfn.XLOOKUP(AT69,ETANCHEITE!BJ$19:BJ$164,ETANCHEITE!$E$19:$E$164),"")&amp;IFERROR(_xlfn.XLOOKUP(AT69,ETANCHEITE!BJ$19:BJ$164,ETANCHEITE!$F$19:$F$164),"")</f>
        <v xml:space="preserve">   </v>
      </c>
      <c r="AY69" s="168" t="str">
        <f>IFERROR(VLOOKUP(AT69,ETANCHEITE!BJ$19:BL$164,2,FALSE),"")&amp;" "&amp;IFERROR(VLOOKUP(AT69,ETANCHEITE!BJ$19:BL$164,3,FALSE),"")</f>
        <v xml:space="preserve"> </v>
      </c>
      <c r="AZ69" s="161" t="str">
        <f>IF(AY69&lt;&gt;" ",'Feuille de Donnée'!$C$3,"")</f>
        <v/>
      </c>
      <c r="BA69" s="232" t="str" cm="1">
        <f t="array" aca="1" ref="BA69" ca="1">IFERROR(IF(_xlfn.XLOOKUP(AT69,ETANCHEITE!BJ$19:BJ$89,ETANCHEITE!BH$19:BH$89,"")&lt;&gt;"",_xlfn.XLOOKUP(AT69,ETANCHEITE!BJ$19:BJ$89,ETANCHEITE!BH$19:BH$89,""),    INDEX(ETANCHEITE!BH:BH,MAX(_xlfn._xlws.FILTER(ROW(ETANCHEITE!BH$19:INDIRECT("'PEINTURE'!O" &amp; AW69-1)),ETANCHEITE!BH$19:INDIRECT("'PEINTURE'!O" &amp; AW69-1)&lt;&gt;"")))),"")</f>
        <v/>
      </c>
      <c r="BB69" s="233" t="str" cm="1">
        <f t="array" aca="1" ref="BB69" ca="1">IFERROR(IF(_xlfn.XLOOKUP(AT69,ETANCHEITE!BJ$19:BJ$89,ETANCHEITE!BI$19:BI$89,"")&lt;&gt;"",_xlfn.XLOOKUP(AT69,ETANCHEITE!BJ$19:BJ$89,ETANCHEITE!BI$19:BI$89,""),    INDEX(ETANCHEITE!BI:BI,MAX(_xlfn._xlws.FILTER(ROW(ETANCHEITE!BI$19:INDIRECT("'PEINTURE'!P" &amp; AW69-1)),ETANCHEITE!BI$19:INDIRECT("'PEINTURE'!P" &amp; AW69-1)&lt;&gt;"")))),"")</f>
        <v/>
      </c>
    </row>
    <row r="70" spans="1:54" x14ac:dyDescent="0.3">
      <c r="A70" s="158">
        <v>68</v>
      </c>
      <c r="B70" s="167" t="str">
        <f>IF(F70&lt;&gt;" ",ETANCHEITE!$D$5,"")</f>
        <v/>
      </c>
      <c r="C70" s="167" t="str">
        <f>IF(F70&lt;&gt;" ",ETANCHEITE!$D$8,"")</f>
        <v/>
      </c>
      <c r="D70" s="159" t="str">
        <f>IFERROR(MATCH(A70,ETANCHEITE!Q$19:Q$164,0)+18,"")</f>
        <v/>
      </c>
      <c r="E70" s="160" t="str" cm="1">
        <f t="array" aca="1" ref="E70" ca="1">IFERROR(IF(_xlfn.XLOOKUP(A70,ETANCHEITE!Q$19:Q$164,ETANCHEITE!$A$19:$A$164,"")&lt;&gt;"",_xlfn.XLOOKUP(A70,ETANCHEITE!Q$19:Q$164,ETANCHEITE!$A$19:$A$164,""),    INDEX(ETANCHEITE!$A:$A,MAX(_xlfn._xlws.FILTER(ROW(ETANCHEITE!$A$19:INDIRECT("'MENUISERIES EXTERIEURES'!$A" &amp; D70-1)),ETANCHEITE!$A$19:INDIRECT("'MENUISERIES EXTERIEURES'!$A" &amp; D70-1)&lt;&gt;"")))),"")&amp;"   "&amp;IFERROR(_xlfn.XLOOKUP(A70,ETANCHEITE!Q$19:Q$164,ETANCHEITE!$B$19:$B$164),"")&amp;IFERROR(_xlfn.XLOOKUP(A70,ETANCHEITE!Q$19:Q$164,ETANCHEITE!$C$19:$C$164),"")&amp;IFERROR(_xlfn.XLOOKUP(A70,ETANCHEITE!Q$19:Q$164,ETANCHEITE!$D$19:$D$164),"")&amp;IFERROR(_xlfn.XLOOKUP(A70,ETANCHEITE!Q$19:Q$164,ETANCHEITE!$E$19:$E$164),"")&amp;IFERROR(_xlfn.XLOOKUP(A70,ETANCHEITE!Q$19:Q$164,ETANCHEITE!$F$19:$F$164),"")</f>
        <v xml:space="preserve">   </v>
      </c>
      <c r="F70" s="168" t="str">
        <f>IFERROR(VLOOKUP(A70,ETANCHEITE!Q$19:S$164,2,FALSE),"")&amp;" "&amp;IFERROR(VLOOKUP(A70,ETANCHEITE!Q$19:S$164,3,FALSE),"")</f>
        <v xml:space="preserve"> </v>
      </c>
      <c r="G70" s="161" t="str">
        <f>IF(F70&lt;&gt;" ",'Feuille de Donnée'!$C$3,"")</f>
        <v/>
      </c>
      <c r="H70" s="232" t="str" cm="1">
        <f t="array" aca="1" ref="H70" ca="1">IFERROR(IF(_xlfn.XLOOKUP(A70,ETANCHEITE!Q$19:Q$89,ETANCHEITE!O$19:O$89,"")&lt;&gt;"",_xlfn.XLOOKUP(A70,ETANCHEITE!Q$19:Q$89,ETANCHEITE!O$19:O$89,""),    INDEX(ETANCHEITE!O:O,MAX(_xlfn._xlws.FILTER(ROW(ETANCHEITE!O$19:INDIRECT("'PEINTURE'!O" &amp; D70-1)),ETANCHEITE!O$19:INDIRECT("'PEINTURE'!O" &amp; D70-1)&lt;&gt;"")))),"")</f>
        <v/>
      </c>
      <c r="I70" s="233" t="str" cm="1">
        <f t="array" aca="1" ref="I70" ca="1">IFERROR(IF(_xlfn.XLOOKUP(A70,ETANCHEITE!Q$19:Q$89,ETANCHEITE!P$19:P$89,"")&lt;&gt;"",_xlfn.XLOOKUP(A70,ETANCHEITE!Q$19:Q$89,ETANCHEITE!P$19:P$89,""),    INDEX(ETANCHEITE!P:P,MAX(_xlfn._xlws.FILTER(ROW(ETANCHEITE!P$19:INDIRECT("'PEINTURE'!P" &amp; D70-1)),ETANCHEITE!P$19:INDIRECT("'PEINTURE'!P" &amp; D70-1)&lt;&gt;"")))),"")</f>
        <v/>
      </c>
      <c r="J70" s="158">
        <v>68</v>
      </c>
      <c r="K70" s="167" t="str">
        <f>IF(O70&lt;&gt;" ",ETANCHEITE!$D$5,"")</f>
        <v/>
      </c>
      <c r="L70" s="167" t="str">
        <f>IF(O70&lt;&gt;" ",ETANCHEITE!$D$8,"")</f>
        <v/>
      </c>
      <c r="M70" s="159" t="str">
        <f>IFERROR(MATCH(J70,ETANCHEITE!Z$19:Z$164,0)+18,"")</f>
        <v/>
      </c>
      <c r="N70" s="160" t="str" cm="1">
        <f t="array" aca="1" ref="N70" ca="1">IFERROR(IF(_xlfn.XLOOKUP(J70,ETANCHEITE!Z$19:Z$164,ETANCHEITE!$A$19:$A$164,"")&lt;&gt;"",_xlfn.XLOOKUP(J70,ETANCHEITE!Z$19:Z$164,ETANCHEITE!$A$19:$A$164,""),    INDEX(ETANCHEITE!$A:$A,MAX(_xlfn._xlws.FILTER(ROW(ETANCHEITE!$A$19:INDIRECT("'MENUISERIES EXTERIEURES'!$A" &amp; M70-1)),ETANCHEITE!$A$19:INDIRECT("'MENUISERIES EXTERIEURES'!$A" &amp; M70-1)&lt;&gt;"")))),"")&amp;"   "&amp;IFERROR(_xlfn.XLOOKUP(J70,ETANCHEITE!Z$19:Z$164,ETANCHEITE!$B$19:$B$164),"")&amp;IFERROR(_xlfn.XLOOKUP(J70,ETANCHEITE!Z$19:Z$164,ETANCHEITE!$C$19:$C$164),"")&amp;IFERROR(_xlfn.XLOOKUP(J70,ETANCHEITE!Z$19:Z$164,ETANCHEITE!$D$19:$D$164),"")&amp;IFERROR(_xlfn.XLOOKUP(J70,ETANCHEITE!Z$19:Z$164,ETANCHEITE!$E$19:$E$164),"")&amp;IFERROR(_xlfn.XLOOKUP(J70,ETANCHEITE!Z$19:Z$164,ETANCHEITE!$F$19:$F$164),"")</f>
        <v xml:space="preserve">   </v>
      </c>
      <c r="O70" s="168" t="str">
        <f>IFERROR(VLOOKUP(J70,ETANCHEITE!Z$19:AB$164,2,FALSE),"")&amp;" "&amp;IFERROR(VLOOKUP(J70,ETANCHEITE!Z$19:AB$164,3,FALSE),"")</f>
        <v xml:space="preserve"> </v>
      </c>
      <c r="P70" s="161" t="str">
        <f>IF(O70&lt;&gt;" ",'Feuille de Donnée'!$C$3,"")</f>
        <v/>
      </c>
      <c r="Q70" s="232" t="str" cm="1">
        <f t="array" aca="1" ref="Q70" ca="1">IFERROR(IF(_xlfn.XLOOKUP(J70,ETANCHEITE!Z$19:Z$89,ETANCHEITE!X$19:X$89,"")&lt;&gt;"",_xlfn.XLOOKUP(J70,ETANCHEITE!Z$19:Z$89,ETANCHEITE!X$19:X$89,""),    INDEX(ETANCHEITE!X:X,MAX(_xlfn._xlws.FILTER(ROW(ETANCHEITE!X$19:INDIRECT("'PEINTURE'!O" &amp; M70-1)),ETANCHEITE!X$19:INDIRECT("'PEINTURE'!O" &amp; M70-1)&lt;&gt;"")))),"")</f>
        <v/>
      </c>
      <c r="R70" s="233" t="str" cm="1">
        <f t="array" aca="1" ref="R70" ca="1">IFERROR(IF(_xlfn.XLOOKUP(J70,ETANCHEITE!Z$19:Z$89,ETANCHEITE!Y$19:Y$89,"")&lt;&gt;"",_xlfn.XLOOKUP(J70,ETANCHEITE!Z$19:Z$89,ETANCHEITE!Y$19:Y$89,""),    INDEX(ETANCHEITE!Y:Y,MAX(_xlfn._xlws.FILTER(ROW(ETANCHEITE!Y$19:INDIRECT("'PEINTURE'!P" &amp; M70-1)),ETANCHEITE!Y$19:INDIRECT("'PEINTURE'!P" &amp; M70-1)&lt;&gt;"")))),"")</f>
        <v/>
      </c>
      <c r="S70" s="158">
        <v>68</v>
      </c>
      <c r="T70" s="167" t="str">
        <f>IF(X70&lt;&gt;" ",ETANCHEITE!$D$5,"")</f>
        <v/>
      </c>
      <c r="U70" s="167" t="str">
        <f>IF(X70&lt;&gt;" ",ETANCHEITE!$D$8,"")</f>
        <v/>
      </c>
      <c r="V70" s="159" t="str">
        <f>IFERROR(MATCH(S70,ETANCHEITE!AI$19:AI$164,0)+18,"")</f>
        <v/>
      </c>
      <c r="W70" s="160" t="str" cm="1">
        <f t="array" aca="1" ref="W70" ca="1">IFERROR(IF(_xlfn.XLOOKUP(S70,ETANCHEITE!AI$19:AI$164,ETANCHEITE!$A$19:$A$164,"")&lt;&gt;"",_xlfn.XLOOKUP(S70,ETANCHEITE!AI$19:AI$164,ETANCHEITE!$A$19:$A$164,""),    INDEX(ETANCHEITE!$A:$A,MAX(_xlfn._xlws.FILTER(ROW(ETANCHEITE!$A$19:INDIRECT("'MENUISERIES EXTERIEURES'!$A" &amp; V70-1)),ETANCHEITE!$A$19:INDIRECT("'MENUISERIES EXTERIEURES'!$A" &amp; V70-1)&lt;&gt;"")))),"")&amp;"   "&amp;IFERROR(_xlfn.XLOOKUP(S70,ETANCHEITE!AI$19:AI$164,ETANCHEITE!$B$19:$B$164),"")&amp;IFERROR(_xlfn.XLOOKUP(S70,ETANCHEITE!AI$19:AI$164,ETANCHEITE!$C$19:$C$164),"")&amp;IFERROR(_xlfn.XLOOKUP(S70,ETANCHEITE!AI$19:AI$164,ETANCHEITE!$D$19:$D$164),"")&amp;IFERROR(_xlfn.XLOOKUP(S70,ETANCHEITE!AI$19:AI$164,ETANCHEITE!$E$19:$E$164),"")&amp;IFERROR(_xlfn.XLOOKUP(S70,ETANCHEITE!AI$19:AI$164,ETANCHEITE!$F$19:$F$164),"")</f>
        <v xml:space="preserve">   </v>
      </c>
      <c r="X70" s="168" t="str">
        <f>IFERROR(VLOOKUP(S70,ETANCHEITE!AI$19:AK$164,2,FALSE),"")&amp;" "&amp;IFERROR(VLOOKUP(S70,ETANCHEITE!AI$19:AK$164,3,FALSE),"")</f>
        <v xml:space="preserve"> </v>
      </c>
      <c r="Y70" s="161" t="str">
        <f>IF(X70&lt;&gt;" ",'Feuille de Donnée'!$C$3,"")</f>
        <v/>
      </c>
      <c r="Z70" s="232" t="str" cm="1">
        <f t="array" aca="1" ref="Z70" ca="1">IFERROR(IF(_xlfn.XLOOKUP(S70,ETANCHEITE!AI$19:AI$89,ETANCHEITE!AG$19:AG$89,"")&lt;&gt;"",_xlfn.XLOOKUP(S70,ETANCHEITE!AI$19:AI$89,ETANCHEITE!AG$19:AG$89,""),    INDEX(ETANCHEITE!AG:AG,MAX(_xlfn._xlws.FILTER(ROW(ETANCHEITE!AG$19:INDIRECT("'PEINTURE'!O" &amp; V70-1)),ETANCHEITE!AG$19:INDIRECT("'PEINTURE'!O" &amp; V70-1)&lt;&gt;"")))),"")</f>
        <v/>
      </c>
      <c r="AA70" s="233" t="str" cm="1">
        <f t="array" aca="1" ref="AA70" ca="1">IFERROR(IF(_xlfn.XLOOKUP(S70,ETANCHEITE!AI$19:AI$89,ETANCHEITE!AH$19:AH$89,"")&lt;&gt;"",_xlfn.XLOOKUP(S70,ETANCHEITE!AI$19:AI$89,ETANCHEITE!AH$19:AH$89,""),    INDEX(ETANCHEITE!AH:AH,MAX(_xlfn._xlws.FILTER(ROW(ETANCHEITE!AH$19:INDIRECT("'PEINTURE'!P" &amp; V70-1)),ETANCHEITE!AH$19:INDIRECT("'PEINTURE'!P" &amp; V70-1)&lt;&gt;"")))),"")</f>
        <v/>
      </c>
      <c r="AB70" s="158">
        <v>68</v>
      </c>
      <c r="AC70" s="167" t="str">
        <f>IF(AG70&lt;&gt;" ",ETANCHEITE!$D$5,"")</f>
        <v/>
      </c>
      <c r="AD70" s="167" t="str">
        <f>IF(AG70&lt;&gt;" ",ETANCHEITE!$D$8,"")</f>
        <v/>
      </c>
      <c r="AE70" s="159" t="str">
        <f>IFERROR(MATCH(AB70,ETANCHEITE!AR$19:AR$164,0)+18,"")</f>
        <v/>
      </c>
      <c r="AF70" s="160" t="str" cm="1">
        <f t="array" aca="1" ref="AF70" ca="1">IFERROR(IF(_xlfn.XLOOKUP(AB70,ETANCHEITE!AR$19:AR$164,ETANCHEITE!$A$19:$A$164,"")&lt;&gt;"",_xlfn.XLOOKUP(AB70,ETANCHEITE!AR$19:AR$164,ETANCHEITE!$A$19:$A$164,""),    INDEX(ETANCHEITE!$A:$A,MAX(_xlfn._xlws.FILTER(ROW(ETANCHEITE!$A$19:INDIRECT("'MENUISERIES EXTERIEURES'!$A" &amp; AE70-1)),ETANCHEITE!$A$19:INDIRECT("'MENUISERIES EXTERIEURES'!$A" &amp; AE70-1)&lt;&gt;"")))),"")&amp;"   "&amp;IFERROR(_xlfn.XLOOKUP(AB70,ETANCHEITE!AR$19:AR$164,ETANCHEITE!$B$19:$B$164),"")&amp;IFERROR(_xlfn.XLOOKUP(AB70,ETANCHEITE!AR$19:AR$164,ETANCHEITE!$C$19:$C$164),"")&amp;IFERROR(_xlfn.XLOOKUP(AB70,ETANCHEITE!AR$19:AR$164,ETANCHEITE!$D$19:$D$164),"")&amp;IFERROR(_xlfn.XLOOKUP(AB70,ETANCHEITE!AR$19:AR$164,ETANCHEITE!$E$19:$E$164),"")&amp;IFERROR(_xlfn.XLOOKUP(AB70,ETANCHEITE!AR$19:AR$164,ETANCHEITE!$F$19:$F$164),"")</f>
        <v xml:space="preserve">   </v>
      </c>
      <c r="AG70" s="168" t="str">
        <f>IFERROR(VLOOKUP(AB70,ETANCHEITE!AR$19:AT$164,2,FALSE),"")&amp;" "&amp;IFERROR(VLOOKUP(AB70,ETANCHEITE!AR$19:AT$164,3,FALSE),"")</f>
        <v xml:space="preserve"> </v>
      </c>
      <c r="AH70" s="161" t="str">
        <f>IF(AG70&lt;&gt;" ",'Feuille de Donnée'!$C$3,"")</f>
        <v/>
      </c>
      <c r="AI70" s="232" t="str" cm="1">
        <f t="array" aca="1" ref="AI70" ca="1">IFERROR(IF(_xlfn.XLOOKUP(AB70,ETANCHEITE!AR$19:AR$89,ETANCHEITE!AP$19:AP$89,"")&lt;&gt;"",_xlfn.XLOOKUP(AB70,ETANCHEITE!AR$19:AR$89,ETANCHEITE!AP$19:AP$89,""),    INDEX(ETANCHEITE!AP:AP,MAX(_xlfn._xlws.FILTER(ROW(ETANCHEITE!AP$19:INDIRECT("'PEINTURE'!O" &amp; AE70-1)),ETANCHEITE!AP$19:INDIRECT("'PEINTURE'!O" &amp; AE70-1)&lt;&gt;"")))),"")</f>
        <v/>
      </c>
      <c r="AJ70" s="233" t="str" cm="1">
        <f t="array" aca="1" ref="AJ70" ca="1">IFERROR(IF(_xlfn.XLOOKUP(AB70,ETANCHEITE!AR$19:AR$89,ETANCHEITE!AQ$19:AQ$89,"")&lt;&gt;"",_xlfn.XLOOKUP(AB70,ETANCHEITE!AR$19:AR$89,ETANCHEITE!AQ$19:AQ$89,""),    INDEX(ETANCHEITE!AQ:AQ,MAX(_xlfn._xlws.FILTER(ROW(ETANCHEITE!AQ$19:INDIRECT("'PEINTURE'!P" &amp; AE70-1)),ETANCHEITE!AQ$19:INDIRECT("'PEINTURE'!P" &amp; AE70-1)&lt;&gt;"")))),"")</f>
        <v/>
      </c>
      <c r="AK70" s="158">
        <v>68</v>
      </c>
      <c r="AL70" s="167" t="str">
        <f>IF(AP70&lt;&gt;" ",ETANCHEITE!$D$5,"")</f>
        <v/>
      </c>
      <c r="AM70" s="167" t="str">
        <f>IF(AP70&lt;&gt;" ",ETANCHEITE!$D$8,"")</f>
        <v/>
      </c>
      <c r="AN70" s="159" t="str">
        <f>IFERROR(MATCH(AK70,ETANCHEITE!BA$19:BA$164,0)+18,"")</f>
        <v/>
      </c>
      <c r="AO70" s="160" t="str" cm="1">
        <f t="array" aca="1" ref="AO70" ca="1">IFERROR(IF(_xlfn.XLOOKUP(AK70,ETANCHEITE!BA$19:BA$164,ETANCHEITE!$A$19:$A$164,"")&lt;&gt;"",_xlfn.XLOOKUP(AK70,ETANCHEITE!BA$19:BA$164,ETANCHEITE!$A$19:$A$164,""),    INDEX(ETANCHEITE!$A:$A,MAX(_xlfn._xlws.FILTER(ROW(ETANCHEITE!$A$19:INDIRECT("'MENUISERIES EXTERIEURES'!$A" &amp; AN70-1)),ETANCHEITE!$A$19:INDIRECT("'MENUISERIES EXTERIEURES'!$A" &amp; AN70-1)&lt;&gt;"")))),"")&amp;"   "&amp;IFERROR(_xlfn.XLOOKUP(AK70,ETANCHEITE!BA$19:BA$164,ETANCHEITE!$B$19:$B$164),"")&amp;IFERROR(_xlfn.XLOOKUP(AK70,ETANCHEITE!BA$19:BA$164,ETANCHEITE!$C$19:$C$164),"")&amp;IFERROR(_xlfn.XLOOKUP(AK70,ETANCHEITE!BA$19:BA$164,ETANCHEITE!$D$19:$D$164),"")&amp;IFERROR(_xlfn.XLOOKUP(AK70,ETANCHEITE!BA$19:BA$164,ETANCHEITE!$E$19:$E$164),"")&amp;IFERROR(_xlfn.XLOOKUP(AK70,ETANCHEITE!BA$19:BA$164,ETANCHEITE!$F$19:$F$164),"")</f>
        <v xml:space="preserve">   </v>
      </c>
      <c r="AP70" s="168" t="str">
        <f>IFERROR(VLOOKUP(AK70,ETANCHEITE!BA$19:BC$164,2,FALSE),"")&amp;" "&amp;IFERROR(VLOOKUP(AK70,ETANCHEITE!BA$19:BC$164,3,FALSE),"")</f>
        <v xml:space="preserve"> </v>
      </c>
      <c r="AQ70" s="161" t="str">
        <f>IF(AP70&lt;&gt;" ",'Feuille de Donnée'!$C$3,"")</f>
        <v/>
      </c>
      <c r="AR70" s="232" t="str" cm="1">
        <f t="array" aca="1" ref="AR70" ca="1">IFERROR(IF(_xlfn.XLOOKUP(AK70,ETANCHEITE!BA$19:BA$89,ETANCHEITE!AY$19:AY$89,"")&lt;&gt;"",_xlfn.XLOOKUP(AK70,ETANCHEITE!BA$19:BA$89,ETANCHEITE!AY$19:AY$89,""),    INDEX(ETANCHEITE!AY:AY,MAX(_xlfn._xlws.FILTER(ROW(ETANCHEITE!AY$19:INDIRECT("'PEINTURE'!O" &amp; AN70-1)),ETANCHEITE!AY$19:INDIRECT("'PEINTURE'!O" &amp; AN70-1)&lt;&gt;"")))),"")</f>
        <v/>
      </c>
      <c r="AS70" s="233" t="str" cm="1">
        <f t="array" aca="1" ref="AS70" ca="1">IFERROR(IF(_xlfn.XLOOKUP(AK70,ETANCHEITE!BA$19:BA$89,ETANCHEITE!AZ$19:AZ$89,"")&lt;&gt;"",_xlfn.XLOOKUP(AK70,ETANCHEITE!BA$19:BA$89,ETANCHEITE!AZ$19:AZ$89,""),    INDEX(ETANCHEITE!AZ:AZ,MAX(_xlfn._xlws.FILTER(ROW(ETANCHEITE!AZ$19:INDIRECT("'PEINTURE'!P" &amp; AN70-1)),ETANCHEITE!AZ$19:INDIRECT("'PEINTURE'!P" &amp; AN70-1)&lt;&gt;"")))),"")</f>
        <v/>
      </c>
      <c r="AT70" s="158">
        <v>68</v>
      </c>
      <c r="AU70" s="167" t="str">
        <f>IF(AY70&lt;&gt;" ",ETANCHEITE!$D$5,"")</f>
        <v/>
      </c>
      <c r="AV70" s="167" t="str">
        <f>IF(AY70&lt;&gt;" ",ETANCHEITE!$D$8,"")</f>
        <v/>
      </c>
      <c r="AW70" s="159" t="str">
        <f>IFERROR(MATCH(AT70,ETANCHEITE!BJ$19:BJ$164,0)+18,"")</f>
        <v/>
      </c>
      <c r="AX70" s="160" t="str" cm="1">
        <f t="array" aca="1" ref="AX70" ca="1">IFERROR(IF(_xlfn.XLOOKUP(AT70,ETANCHEITE!BJ$19:BJ$164,ETANCHEITE!$A$19:$A$164,"")&lt;&gt;"",_xlfn.XLOOKUP(AT70,ETANCHEITE!BJ$19:BJ$164,ETANCHEITE!$A$19:$A$164,""),    INDEX(ETANCHEITE!$A:$A,MAX(_xlfn._xlws.FILTER(ROW(ETANCHEITE!$A$19:INDIRECT("'MENUISERIES EXTERIEURES'!$A" &amp; AW70-1)),ETANCHEITE!$A$19:INDIRECT("'MENUISERIES EXTERIEURES'!$A" &amp; AW70-1)&lt;&gt;"")))),"")&amp;"   "&amp;IFERROR(_xlfn.XLOOKUP(AT70,ETANCHEITE!BJ$19:BJ$164,ETANCHEITE!$B$19:$B$164),"")&amp;IFERROR(_xlfn.XLOOKUP(AT70,ETANCHEITE!BJ$19:BJ$164,ETANCHEITE!$C$19:$C$164),"")&amp;IFERROR(_xlfn.XLOOKUP(AT70,ETANCHEITE!BJ$19:BJ$164,ETANCHEITE!$D$19:$D$164),"")&amp;IFERROR(_xlfn.XLOOKUP(AT70,ETANCHEITE!BJ$19:BJ$164,ETANCHEITE!$E$19:$E$164),"")&amp;IFERROR(_xlfn.XLOOKUP(AT70,ETANCHEITE!BJ$19:BJ$164,ETANCHEITE!$F$19:$F$164),"")</f>
        <v xml:space="preserve">   </v>
      </c>
      <c r="AY70" s="168" t="str">
        <f>IFERROR(VLOOKUP(AT70,ETANCHEITE!BJ$19:BL$164,2,FALSE),"")&amp;" "&amp;IFERROR(VLOOKUP(AT70,ETANCHEITE!BJ$19:BL$164,3,FALSE),"")</f>
        <v xml:space="preserve"> </v>
      </c>
      <c r="AZ70" s="161" t="str">
        <f>IF(AY70&lt;&gt;" ",'Feuille de Donnée'!$C$3,"")</f>
        <v/>
      </c>
      <c r="BA70" s="232" t="str" cm="1">
        <f t="array" aca="1" ref="BA70" ca="1">IFERROR(IF(_xlfn.XLOOKUP(AT70,ETANCHEITE!BJ$19:BJ$89,ETANCHEITE!BH$19:BH$89,"")&lt;&gt;"",_xlfn.XLOOKUP(AT70,ETANCHEITE!BJ$19:BJ$89,ETANCHEITE!BH$19:BH$89,""),    INDEX(ETANCHEITE!BH:BH,MAX(_xlfn._xlws.FILTER(ROW(ETANCHEITE!BH$19:INDIRECT("'PEINTURE'!O" &amp; AW70-1)),ETANCHEITE!BH$19:INDIRECT("'PEINTURE'!O" &amp; AW70-1)&lt;&gt;"")))),"")</f>
        <v/>
      </c>
      <c r="BB70" s="233" t="str" cm="1">
        <f t="array" aca="1" ref="BB70" ca="1">IFERROR(IF(_xlfn.XLOOKUP(AT70,ETANCHEITE!BJ$19:BJ$89,ETANCHEITE!BI$19:BI$89,"")&lt;&gt;"",_xlfn.XLOOKUP(AT70,ETANCHEITE!BJ$19:BJ$89,ETANCHEITE!BI$19:BI$89,""),    INDEX(ETANCHEITE!BI:BI,MAX(_xlfn._xlws.FILTER(ROW(ETANCHEITE!BI$19:INDIRECT("'PEINTURE'!P" &amp; AW70-1)),ETANCHEITE!BI$19:INDIRECT("'PEINTURE'!P" &amp; AW70-1)&lt;&gt;"")))),"")</f>
        <v/>
      </c>
    </row>
    <row r="71" spans="1:54" x14ac:dyDescent="0.3">
      <c r="A71" s="158">
        <v>69</v>
      </c>
      <c r="B71" s="167" t="str">
        <f>IF(F71&lt;&gt;" ",ETANCHEITE!$D$5,"")</f>
        <v/>
      </c>
      <c r="C71" s="167" t="str">
        <f>IF(F71&lt;&gt;" ",ETANCHEITE!$D$8,"")</f>
        <v/>
      </c>
      <c r="D71" s="159" t="str">
        <f>IFERROR(MATCH(A71,ETANCHEITE!Q$19:Q$164,0)+18,"")</f>
        <v/>
      </c>
      <c r="E71" s="160" t="str" cm="1">
        <f t="array" aca="1" ref="E71" ca="1">IFERROR(IF(_xlfn.XLOOKUP(A71,ETANCHEITE!Q$19:Q$164,ETANCHEITE!$A$19:$A$164,"")&lt;&gt;"",_xlfn.XLOOKUP(A71,ETANCHEITE!Q$19:Q$164,ETANCHEITE!$A$19:$A$164,""),    INDEX(ETANCHEITE!$A:$A,MAX(_xlfn._xlws.FILTER(ROW(ETANCHEITE!$A$19:INDIRECT("'MENUISERIES EXTERIEURES'!$A" &amp; D71-1)),ETANCHEITE!$A$19:INDIRECT("'MENUISERIES EXTERIEURES'!$A" &amp; D71-1)&lt;&gt;"")))),"")&amp;"   "&amp;IFERROR(_xlfn.XLOOKUP(A71,ETANCHEITE!Q$19:Q$164,ETANCHEITE!$B$19:$B$164),"")&amp;IFERROR(_xlfn.XLOOKUP(A71,ETANCHEITE!Q$19:Q$164,ETANCHEITE!$C$19:$C$164),"")&amp;IFERROR(_xlfn.XLOOKUP(A71,ETANCHEITE!Q$19:Q$164,ETANCHEITE!$D$19:$D$164),"")&amp;IFERROR(_xlfn.XLOOKUP(A71,ETANCHEITE!Q$19:Q$164,ETANCHEITE!$E$19:$E$164),"")&amp;IFERROR(_xlfn.XLOOKUP(A71,ETANCHEITE!Q$19:Q$164,ETANCHEITE!$F$19:$F$164),"")</f>
        <v xml:space="preserve">   </v>
      </c>
      <c r="F71" s="168" t="str">
        <f>IFERROR(VLOOKUP(A71,ETANCHEITE!Q$19:S$164,2,FALSE),"")&amp;" "&amp;IFERROR(VLOOKUP(A71,ETANCHEITE!Q$19:S$164,3,FALSE),"")</f>
        <v xml:space="preserve"> </v>
      </c>
      <c r="G71" s="161" t="str">
        <f>IF(F71&lt;&gt;" ",'Feuille de Donnée'!$C$3,"")</f>
        <v/>
      </c>
      <c r="H71" s="232" t="str" cm="1">
        <f t="array" aca="1" ref="H71" ca="1">IFERROR(IF(_xlfn.XLOOKUP(A71,ETANCHEITE!Q$19:Q$89,ETANCHEITE!O$19:O$89,"")&lt;&gt;"",_xlfn.XLOOKUP(A71,ETANCHEITE!Q$19:Q$89,ETANCHEITE!O$19:O$89,""),    INDEX(ETANCHEITE!O:O,MAX(_xlfn._xlws.FILTER(ROW(ETANCHEITE!O$19:INDIRECT("'PEINTURE'!O" &amp; D71-1)),ETANCHEITE!O$19:INDIRECT("'PEINTURE'!O" &amp; D71-1)&lt;&gt;"")))),"")</f>
        <v/>
      </c>
      <c r="I71" s="233" t="str" cm="1">
        <f t="array" aca="1" ref="I71" ca="1">IFERROR(IF(_xlfn.XLOOKUP(A71,ETANCHEITE!Q$19:Q$89,ETANCHEITE!P$19:P$89,"")&lt;&gt;"",_xlfn.XLOOKUP(A71,ETANCHEITE!Q$19:Q$89,ETANCHEITE!P$19:P$89,""),    INDEX(ETANCHEITE!P:P,MAX(_xlfn._xlws.FILTER(ROW(ETANCHEITE!P$19:INDIRECT("'PEINTURE'!P" &amp; D71-1)),ETANCHEITE!P$19:INDIRECT("'PEINTURE'!P" &amp; D71-1)&lt;&gt;"")))),"")</f>
        <v/>
      </c>
      <c r="J71" s="158">
        <v>69</v>
      </c>
      <c r="K71" s="167" t="str">
        <f>IF(O71&lt;&gt;" ",ETANCHEITE!$D$5,"")</f>
        <v/>
      </c>
      <c r="L71" s="167" t="str">
        <f>IF(O71&lt;&gt;" ",ETANCHEITE!$D$8,"")</f>
        <v/>
      </c>
      <c r="M71" s="159" t="str">
        <f>IFERROR(MATCH(J71,ETANCHEITE!Z$19:Z$164,0)+18,"")</f>
        <v/>
      </c>
      <c r="N71" s="160" t="str" cm="1">
        <f t="array" aca="1" ref="N71" ca="1">IFERROR(IF(_xlfn.XLOOKUP(J71,ETANCHEITE!Z$19:Z$164,ETANCHEITE!$A$19:$A$164,"")&lt;&gt;"",_xlfn.XLOOKUP(J71,ETANCHEITE!Z$19:Z$164,ETANCHEITE!$A$19:$A$164,""),    INDEX(ETANCHEITE!$A:$A,MAX(_xlfn._xlws.FILTER(ROW(ETANCHEITE!$A$19:INDIRECT("'MENUISERIES EXTERIEURES'!$A" &amp; M71-1)),ETANCHEITE!$A$19:INDIRECT("'MENUISERIES EXTERIEURES'!$A" &amp; M71-1)&lt;&gt;"")))),"")&amp;"   "&amp;IFERROR(_xlfn.XLOOKUP(J71,ETANCHEITE!Z$19:Z$164,ETANCHEITE!$B$19:$B$164),"")&amp;IFERROR(_xlfn.XLOOKUP(J71,ETANCHEITE!Z$19:Z$164,ETANCHEITE!$C$19:$C$164),"")&amp;IFERROR(_xlfn.XLOOKUP(J71,ETANCHEITE!Z$19:Z$164,ETANCHEITE!$D$19:$D$164),"")&amp;IFERROR(_xlfn.XLOOKUP(J71,ETANCHEITE!Z$19:Z$164,ETANCHEITE!$E$19:$E$164),"")&amp;IFERROR(_xlfn.XLOOKUP(J71,ETANCHEITE!Z$19:Z$164,ETANCHEITE!$F$19:$F$164),"")</f>
        <v xml:space="preserve">   </v>
      </c>
      <c r="O71" s="168" t="str">
        <f>IFERROR(VLOOKUP(J71,ETANCHEITE!Z$19:AB$164,2,FALSE),"")&amp;" "&amp;IFERROR(VLOOKUP(J71,ETANCHEITE!Z$19:AB$164,3,FALSE),"")</f>
        <v xml:space="preserve"> </v>
      </c>
      <c r="P71" s="161" t="str">
        <f>IF(O71&lt;&gt;" ",'Feuille de Donnée'!$C$3,"")</f>
        <v/>
      </c>
      <c r="Q71" s="232" t="str" cm="1">
        <f t="array" aca="1" ref="Q71" ca="1">IFERROR(IF(_xlfn.XLOOKUP(J71,ETANCHEITE!Z$19:Z$89,ETANCHEITE!X$19:X$89,"")&lt;&gt;"",_xlfn.XLOOKUP(J71,ETANCHEITE!Z$19:Z$89,ETANCHEITE!X$19:X$89,""),    INDEX(ETANCHEITE!X:X,MAX(_xlfn._xlws.FILTER(ROW(ETANCHEITE!X$19:INDIRECT("'PEINTURE'!O" &amp; M71-1)),ETANCHEITE!X$19:INDIRECT("'PEINTURE'!O" &amp; M71-1)&lt;&gt;"")))),"")</f>
        <v/>
      </c>
      <c r="R71" s="233" t="str" cm="1">
        <f t="array" aca="1" ref="R71" ca="1">IFERROR(IF(_xlfn.XLOOKUP(J71,ETANCHEITE!Z$19:Z$89,ETANCHEITE!Y$19:Y$89,"")&lt;&gt;"",_xlfn.XLOOKUP(J71,ETANCHEITE!Z$19:Z$89,ETANCHEITE!Y$19:Y$89,""),    INDEX(ETANCHEITE!Y:Y,MAX(_xlfn._xlws.FILTER(ROW(ETANCHEITE!Y$19:INDIRECT("'PEINTURE'!P" &amp; M71-1)),ETANCHEITE!Y$19:INDIRECT("'PEINTURE'!P" &amp; M71-1)&lt;&gt;"")))),"")</f>
        <v/>
      </c>
      <c r="S71" s="158">
        <v>69</v>
      </c>
      <c r="T71" s="167" t="str">
        <f>IF(X71&lt;&gt;" ",ETANCHEITE!$D$5,"")</f>
        <v/>
      </c>
      <c r="U71" s="167" t="str">
        <f>IF(X71&lt;&gt;" ",ETANCHEITE!$D$8,"")</f>
        <v/>
      </c>
      <c r="V71" s="159" t="str">
        <f>IFERROR(MATCH(S71,ETANCHEITE!AI$19:AI$164,0)+18,"")</f>
        <v/>
      </c>
      <c r="W71" s="160" t="str" cm="1">
        <f t="array" aca="1" ref="W71" ca="1">IFERROR(IF(_xlfn.XLOOKUP(S71,ETANCHEITE!AI$19:AI$164,ETANCHEITE!$A$19:$A$164,"")&lt;&gt;"",_xlfn.XLOOKUP(S71,ETANCHEITE!AI$19:AI$164,ETANCHEITE!$A$19:$A$164,""),    INDEX(ETANCHEITE!$A:$A,MAX(_xlfn._xlws.FILTER(ROW(ETANCHEITE!$A$19:INDIRECT("'MENUISERIES EXTERIEURES'!$A" &amp; V71-1)),ETANCHEITE!$A$19:INDIRECT("'MENUISERIES EXTERIEURES'!$A" &amp; V71-1)&lt;&gt;"")))),"")&amp;"   "&amp;IFERROR(_xlfn.XLOOKUP(S71,ETANCHEITE!AI$19:AI$164,ETANCHEITE!$B$19:$B$164),"")&amp;IFERROR(_xlfn.XLOOKUP(S71,ETANCHEITE!AI$19:AI$164,ETANCHEITE!$C$19:$C$164),"")&amp;IFERROR(_xlfn.XLOOKUP(S71,ETANCHEITE!AI$19:AI$164,ETANCHEITE!$D$19:$D$164),"")&amp;IFERROR(_xlfn.XLOOKUP(S71,ETANCHEITE!AI$19:AI$164,ETANCHEITE!$E$19:$E$164),"")&amp;IFERROR(_xlfn.XLOOKUP(S71,ETANCHEITE!AI$19:AI$164,ETANCHEITE!$F$19:$F$164),"")</f>
        <v xml:space="preserve">   </v>
      </c>
      <c r="X71" s="168" t="str">
        <f>IFERROR(VLOOKUP(S71,ETANCHEITE!AI$19:AK$164,2,FALSE),"")&amp;" "&amp;IFERROR(VLOOKUP(S71,ETANCHEITE!AI$19:AK$164,3,FALSE),"")</f>
        <v xml:space="preserve"> </v>
      </c>
      <c r="Y71" s="161" t="str">
        <f>IF(X71&lt;&gt;" ",'Feuille de Donnée'!$C$3,"")</f>
        <v/>
      </c>
      <c r="Z71" s="232" t="str" cm="1">
        <f t="array" aca="1" ref="Z71" ca="1">IFERROR(IF(_xlfn.XLOOKUP(S71,ETANCHEITE!AI$19:AI$89,ETANCHEITE!AG$19:AG$89,"")&lt;&gt;"",_xlfn.XLOOKUP(S71,ETANCHEITE!AI$19:AI$89,ETANCHEITE!AG$19:AG$89,""),    INDEX(ETANCHEITE!AG:AG,MAX(_xlfn._xlws.FILTER(ROW(ETANCHEITE!AG$19:INDIRECT("'PEINTURE'!O" &amp; V71-1)),ETANCHEITE!AG$19:INDIRECT("'PEINTURE'!O" &amp; V71-1)&lt;&gt;"")))),"")</f>
        <v/>
      </c>
      <c r="AA71" s="233" t="str" cm="1">
        <f t="array" aca="1" ref="AA71" ca="1">IFERROR(IF(_xlfn.XLOOKUP(S71,ETANCHEITE!AI$19:AI$89,ETANCHEITE!AH$19:AH$89,"")&lt;&gt;"",_xlfn.XLOOKUP(S71,ETANCHEITE!AI$19:AI$89,ETANCHEITE!AH$19:AH$89,""),    INDEX(ETANCHEITE!AH:AH,MAX(_xlfn._xlws.FILTER(ROW(ETANCHEITE!AH$19:INDIRECT("'PEINTURE'!P" &amp; V71-1)),ETANCHEITE!AH$19:INDIRECT("'PEINTURE'!P" &amp; V71-1)&lt;&gt;"")))),"")</f>
        <v/>
      </c>
      <c r="AB71" s="158">
        <v>69</v>
      </c>
      <c r="AC71" s="167" t="str">
        <f>IF(AG71&lt;&gt;" ",ETANCHEITE!$D$5,"")</f>
        <v/>
      </c>
      <c r="AD71" s="167" t="str">
        <f>IF(AG71&lt;&gt;" ",ETANCHEITE!$D$8,"")</f>
        <v/>
      </c>
      <c r="AE71" s="159" t="str">
        <f>IFERROR(MATCH(AB71,ETANCHEITE!AR$19:AR$164,0)+18,"")</f>
        <v/>
      </c>
      <c r="AF71" s="160" t="str" cm="1">
        <f t="array" aca="1" ref="AF71" ca="1">IFERROR(IF(_xlfn.XLOOKUP(AB71,ETANCHEITE!AR$19:AR$164,ETANCHEITE!$A$19:$A$164,"")&lt;&gt;"",_xlfn.XLOOKUP(AB71,ETANCHEITE!AR$19:AR$164,ETANCHEITE!$A$19:$A$164,""),    INDEX(ETANCHEITE!$A:$A,MAX(_xlfn._xlws.FILTER(ROW(ETANCHEITE!$A$19:INDIRECT("'MENUISERIES EXTERIEURES'!$A" &amp; AE71-1)),ETANCHEITE!$A$19:INDIRECT("'MENUISERIES EXTERIEURES'!$A" &amp; AE71-1)&lt;&gt;"")))),"")&amp;"   "&amp;IFERROR(_xlfn.XLOOKUP(AB71,ETANCHEITE!AR$19:AR$164,ETANCHEITE!$B$19:$B$164),"")&amp;IFERROR(_xlfn.XLOOKUP(AB71,ETANCHEITE!AR$19:AR$164,ETANCHEITE!$C$19:$C$164),"")&amp;IFERROR(_xlfn.XLOOKUP(AB71,ETANCHEITE!AR$19:AR$164,ETANCHEITE!$D$19:$D$164),"")&amp;IFERROR(_xlfn.XLOOKUP(AB71,ETANCHEITE!AR$19:AR$164,ETANCHEITE!$E$19:$E$164),"")&amp;IFERROR(_xlfn.XLOOKUP(AB71,ETANCHEITE!AR$19:AR$164,ETANCHEITE!$F$19:$F$164),"")</f>
        <v xml:space="preserve">   </v>
      </c>
      <c r="AG71" s="168" t="str">
        <f>IFERROR(VLOOKUP(AB71,ETANCHEITE!AR$19:AT$164,2,FALSE),"")&amp;" "&amp;IFERROR(VLOOKUP(AB71,ETANCHEITE!AR$19:AT$164,3,FALSE),"")</f>
        <v xml:space="preserve"> </v>
      </c>
      <c r="AH71" s="161" t="str">
        <f>IF(AG71&lt;&gt;" ",'Feuille de Donnée'!$C$3,"")</f>
        <v/>
      </c>
      <c r="AI71" s="232" t="str" cm="1">
        <f t="array" aca="1" ref="AI71" ca="1">IFERROR(IF(_xlfn.XLOOKUP(AB71,ETANCHEITE!AR$19:AR$89,ETANCHEITE!AP$19:AP$89,"")&lt;&gt;"",_xlfn.XLOOKUP(AB71,ETANCHEITE!AR$19:AR$89,ETANCHEITE!AP$19:AP$89,""),    INDEX(ETANCHEITE!AP:AP,MAX(_xlfn._xlws.FILTER(ROW(ETANCHEITE!AP$19:INDIRECT("'PEINTURE'!O" &amp; AE71-1)),ETANCHEITE!AP$19:INDIRECT("'PEINTURE'!O" &amp; AE71-1)&lt;&gt;"")))),"")</f>
        <v/>
      </c>
      <c r="AJ71" s="233" t="str" cm="1">
        <f t="array" aca="1" ref="AJ71" ca="1">IFERROR(IF(_xlfn.XLOOKUP(AB71,ETANCHEITE!AR$19:AR$89,ETANCHEITE!AQ$19:AQ$89,"")&lt;&gt;"",_xlfn.XLOOKUP(AB71,ETANCHEITE!AR$19:AR$89,ETANCHEITE!AQ$19:AQ$89,""),    INDEX(ETANCHEITE!AQ:AQ,MAX(_xlfn._xlws.FILTER(ROW(ETANCHEITE!AQ$19:INDIRECT("'PEINTURE'!P" &amp; AE71-1)),ETANCHEITE!AQ$19:INDIRECT("'PEINTURE'!P" &amp; AE71-1)&lt;&gt;"")))),"")</f>
        <v/>
      </c>
      <c r="AK71" s="158">
        <v>69</v>
      </c>
      <c r="AL71" s="167" t="str">
        <f>IF(AP71&lt;&gt;" ",ETANCHEITE!$D$5,"")</f>
        <v/>
      </c>
      <c r="AM71" s="167" t="str">
        <f>IF(AP71&lt;&gt;" ",ETANCHEITE!$D$8,"")</f>
        <v/>
      </c>
      <c r="AN71" s="159" t="str">
        <f>IFERROR(MATCH(AK71,ETANCHEITE!BA$19:BA$164,0)+18,"")</f>
        <v/>
      </c>
      <c r="AO71" s="160" t="str" cm="1">
        <f t="array" aca="1" ref="AO71" ca="1">IFERROR(IF(_xlfn.XLOOKUP(AK71,ETANCHEITE!BA$19:BA$164,ETANCHEITE!$A$19:$A$164,"")&lt;&gt;"",_xlfn.XLOOKUP(AK71,ETANCHEITE!BA$19:BA$164,ETANCHEITE!$A$19:$A$164,""),    INDEX(ETANCHEITE!$A:$A,MAX(_xlfn._xlws.FILTER(ROW(ETANCHEITE!$A$19:INDIRECT("'MENUISERIES EXTERIEURES'!$A" &amp; AN71-1)),ETANCHEITE!$A$19:INDIRECT("'MENUISERIES EXTERIEURES'!$A" &amp; AN71-1)&lt;&gt;"")))),"")&amp;"   "&amp;IFERROR(_xlfn.XLOOKUP(AK71,ETANCHEITE!BA$19:BA$164,ETANCHEITE!$B$19:$B$164),"")&amp;IFERROR(_xlfn.XLOOKUP(AK71,ETANCHEITE!BA$19:BA$164,ETANCHEITE!$C$19:$C$164),"")&amp;IFERROR(_xlfn.XLOOKUP(AK71,ETANCHEITE!BA$19:BA$164,ETANCHEITE!$D$19:$D$164),"")&amp;IFERROR(_xlfn.XLOOKUP(AK71,ETANCHEITE!BA$19:BA$164,ETANCHEITE!$E$19:$E$164),"")&amp;IFERROR(_xlfn.XLOOKUP(AK71,ETANCHEITE!BA$19:BA$164,ETANCHEITE!$F$19:$F$164),"")</f>
        <v xml:space="preserve">   </v>
      </c>
      <c r="AP71" s="168" t="str">
        <f>IFERROR(VLOOKUP(AK71,ETANCHEITE!BA$19:BC$164,2,FALSE),"")&amp;" "&amp;IFERROR(VLOOKUP(AK71,ETANCHEITE!BA$19:BC$164,3,FALSE),"")</f>
        <v xml:space="preserve"> </v>
      </c>
      <c r="AQ71" s="161" t="str">
        <f>IF(AP71&lt;&gt;" ",'Feuille de Donnée'!$C$3,"")</f>
        <v/>
      </c>
      <c r="AR71" s="232" t="str" cm="1">
        <f t="array" aca="1" ref="AR71" ca="1">IFERROR(IF(_xlfn.XLOOKUP(AK71,ETANCHEITE!BA$19:BA$89,ETANCHEITE!AY$19:AY$89,"")&lt;&gt;"",_xlfn.XLOOKUP(AK71,ETANCHEITE!BA$19:BA$89,ETANCHEITE!AY$19:AY$89,""),    INDEX(ETANCHEITE!AY:AY,MAX(_xlfn._xlws.FILTER(ROW(ETANCHEITE!AY$19:INDIRECT("'PEINTURE'!O" &amp; AN71-1)),ETANCHEITE!AY$19:INDIRECT("'PEINTURE'!O" &amp; AN71-1)&lt;&gt;"")))),"")</f>
        <v/>
      </c>
      <c r="AS71" s="233" t="str" cm="1">
        <f t="array" aca="1" ref="AS71" ca="1">IFERROR(IF(_xlfn.XLOOKUP(AK71,ETANCHEITE!BA$19:BA$89,ETANCHEITE!AZ$19:AZ$89,"")&lt;&gt;"",_xlfn.XLOOKUP(AK71,ETANCHEITE!BA$19:BA$89,ETANCHEITE!AZ$19:AZ$89,""),    INDEX(ETANCHEITE!AZ:AZ,MAX(_xlfn._xlws.FILTER(ROW(ETANCHEITE!AZ$19:INDIRECT("'PEINTURE'!P" &amp; AN71-1)),ETANCHEITE!AZ$19:INDIRECT("'PEINTURE'!P" &amp; AN71-1)&lt;&gt;"")))),"")</f>
        <v/>
      </c>
      <c r="AT71" s="158">
        <v>69</v>
      </c>
      <c r="AU71" s="167" t="str">
        <f>IF(AY71&lt;&gt;" ",ETANCHEITE!$D$5,"")</f>
        <v/>
      </c>
      <c r="AV71" s="167" t="str">
        <f>IF(AY71&lt;&gt;" ",ETANCHEITE!$D$8,"")</f>
        <v/>
      </c>
      <c r="AW71" s="159" t="str">
        <f>IFERROR(MATCH(AT71,ETANCHEITE!BJ$19:BJ$164,0)+18,"")</f>
        <v/>
      </c>
      <c r="AX71" s="160" t="str" cm="1">
        <f t="array" aca="1" ref="AX71" ca="1">IFERROR(IF(_xlfn.XLOOKUP(AT71,ETANCHEITE!BJ$19:BJ$164,ETANCHEITE!$A$19:$A$164,"")&lt;&gt;"",_xlfn.XLOOKUP(AT71,ETANCHEITE!BJ$19:BJ$164,ETANCHEITE!$A$19:$A$164,""),    INDEX(ETANCHEITE!$A:$A,MAX(_xlfn._xlws.FILTER(ROW(ETANCHEITE!$A$19:INDIRECT("'MENUISERIES EXTERIEURES'!$A" &amp; AW71-1)),ETANCHEITE!$A$19:INDIRECT("'MENUISERIES EXTERIEURES'!$A" &amp; AW71-1)&lt;&gt;"")))),"")&amp;"   "&amp;IFERROR(_xlfn.XLOOKUP(AT71,ETANCHEITE!BJ$19:BJ$164,ETANCHEITE!$B$19:$B$164),"")&amp;IFERROR(_xlfn.XLOOKUP(AT71,ETANCHEITE!BJ$19:BJ$164,ETANCHEITE!$C$19:$C$164),"")&amp;IFERROR(_xlfn.XLOOKUP(AT71,ETANCHEITE!BJ$19:BJ$164,ETANCHEITE!$D$19:$D$164),"")&amp;IFERROR(_xlfn.XLOOKUP(AT71,ETANCHEITE!BJ$19:BJ$164,ETANCHEITE!$E$19:$E$164),"")&amp;IFERROR(_xlfn.XLOOKUP(AT71,ETANCHEITE!BJ$19:BJ$164,ETANCHEITE!$F$19:$F$164),"")</f>
        <v xml:space="preserve">   </v>
      </c>
      <c r="AY71" s="168" t="str">
        <f>IFERROR(VLOOKUP(AT71,ETANCHEITE!BJ$19:BL$164,2,FALSE),"")&amp;" "&amp;IFERROR(VLOOKUP(AT71,ETANCHEITE!BJ$19:BL$164,3,FALSE),"")</f>
        <v xml:space="preserve"> </v>
      </c>
      <c r="AZ71" s="161" t="str">
        <f>IF(AY71&lt;&gt;" ",'Feuille de Donnée'!$C$3,"")</f>
        <v/>
      </c>
      <c r="BA71" s="232" t="str" cm="1">
        <f t="array" aca="1" ref="BA71" ca="1">IFERROR(IF(_xlfn.XLOOKUP(AT71,ETANCHEITE!BJ$19:BJ$89,ETANCHEITE!BH$19:BH$89,"")&lt;&gt;"",_xlfn.XLOOKUP(AT71,ETANCHEITE!BJ$19:BJ$89,ETANCHEITE!BH$19:BH$89,""),    INDEX(ETANCHEITE!BH:BH,MAX(_xlfn._xlws.FILTER(ROW(ETANCHEITE!BH$19:INDIRECT("'PEINTURE'!O" &amp; AW71-1)),ETANCHEITE!BH$19:INDIRECT("'PEINTURE'!O" &amp; AW71-1)&lt;&gt;"")))),"")</f>
        <v/>
      </c>
      <c r="BB71" s="233" t="str" cm="1">
        <f t="array" aca="1" ref="BB71" ca="1">IFERROR(IF(_xlfn.XLOOKUP(AT71,ETANCHEITE!BJ$19:BJ$89,ETANCHEITE!BI$19:BI$89,"")&lt;&gt;"",_xlfn.XLOOKUP(AT71,ETANCHEITE!BJ$19:BJ$89,ETANCHEITE!BI$19:BI$89,""),    INDEX(ETANCHEITE!BI:BI,MAX(_xlfn._xlws.FILTER(ROW(ETANCHEITE!BI$19:INDIRECT("'PEINTURE'!P" &amp; AW71-1)),ETANCHEITE!BI$19:INDIRECT("'PEINTURE'!P" &amp; AW71-1)&lt;&gt;"")))),"")</f>
        <v/>
      </c>
    </row>
    <row r="72" spans="1:54" ht="15" thickBot="1" x14ac:dyDescent="0.35">
      <c r="A72" s="162">
        <v>70</v>
      </c>
      <c r="B72" s="169" t="str">
        <f>IF(F72&lt;&gt;" ",ETANCHEITE!$D$5,"")</f>
        <v/>
      </c>
      <c r="C72" s="169" t="str">
        <f>IF(F72&lt;&gt;" ",ETANCHEITE!$D$8,"")</f>
        <v/>
      </c>
      <c r="D72" s="163" t="str">
        <f>IFERROR(MATCH(A72,ETANCHEITE!Q$19:Q$164,0)+18,"")</f>
        <v/>
      </c>
      <c r="E72" s="160" t="str" cm="1">
        <f t="array" aca="1" ref="E72" ca="1">IFERROR(IF(_xlfn.XLOOKUP(A72,ETANCHEITE!Q$19:Q$164,ETANCHEITE!$A$19:$A$164,"")&lt;&gt;"",_xlfn.XLOOKUP(A72,ETANCHEITE!Q$19:Q$164,ETANCHEITE!$A$19:$A$164,""),    INDEX(ETANCHEITE!$A:$A,MAX(_xlfn._xlws.FILTER(ROW(ETANCHEITE!$A$19:INDIRECT("'MENUISERIES EXTERIEURES'!$A" &amp; D72-1)),ETANCHEITE!$A$19:INDIRECT("'MENUISERIES EXTERIEURES'!$A" &amp; D72-1)&lt;&gt;"")))),"")&amp;"   "&amp;IFERROR(_xlfn.XLOOKUP(A72,ETANCHEITE!Q$19:Q$164,ETANCHEITE!$B$19:$B$164),"")&amp;IFERROR(_xlfn.XLOOKUP(A72,ETANCHEITE!Q$19:Q$164,ETANCHEITE!$C$19:$C$164),"")&amp;IFERROR(_xlfn.XLOOKUP(A72,ETANCHEITE!Q$19:Q$164,ETANCHEITE!$D$19:$D$164),"")&amp;IFERROR(_xlfn.XLOOKUP(A72,ETANCHEITE!Q$19:Q$164,ETANCHEITE!$E$19:$E$164),"")&amp;IFERROR(_xlfn.XLOOKUP(A72,ETANCHEITE!Q$19:Q$164,ETANCHEITE!$F$19:$F$164),"")</f>
        <v xml:space="preserve">   </v>
      </c>
      <c r="F72" s="170" t="str">
        <f>IFERROR(VLOOKUP(A72,ETANCHEITE!Q$19:S$164,2,FALSE),"")&amp;" "&amp;IFERROR(VLOOKUP(A72,ETANCHEITE!Q$19:S$164,3,FALSE),"")</f>
        <v xml:space="preserve"> </v>
      </c>
      <c r="G72" s="165" t="str">
        <f>IF(F72&lt;&gt;" ",'Feuille de Donnée'!$C$3,"")</f>
        <v/>
      </c>
      <c r="H72" s="232" t="str" cm="1">
        <f t="array" aca="1" ref="H72" ca="1">IFERROR(IF(_xlfn.XLOOKUP(A72,ETANCHEITE!Q$19:Q$89,ETANCHEITE!O$19:O$89,"")&lt;&gt;"",_xlfn.XLOOKUP(A72,ETANCHEITE!Q$19:Q$89,ETANCHEITE!O$19:O$89,""),    INDEX(ETANCHEITE!O:O,MAX(_xlfn._xlws.FILTER(ROW(ETANCHEITE!O$19:INDIRECT("'PEINTURE'!O" &amp; D72-1)),ETANCHEITE!O$19:INDIRECT("'PEINTURE'!O" &amp; D72-1)&lt;&gt;"")))),"")</f>
        <v/>
      </c>
      <c r="I72" s="233" t="str" cm="1">
        <f t="array" aca="1" ref="I72" ca="1">IFERROR(IF(_xlfn.XLOOKUP(A72,ETANCHEITE!Q$19:Q$89,ETANCHEITE!P$19:P$89,"")&lt;&gt;"",_xlfn.XLOOKUP(A72,ETANCHEITE!Q$19:Q$89,ETANCHEITE!P$19:P$89,""),    INDEX(ETANCHEITE!P:P,MAX(_xlfn._xlws.FILTER(ROW(ETANCHEITE!P$19:INDIRECT("'PEINTURE'!P" &amp; D72-1)),ETANCHEITE!P$19:INDIRECT("'PEINTURE'!P" &amp; D72-1)&lt;&gt;"")))),"")</f>
        <v/>
      </c>
      <c r="J72" s="162">
        <v>70</v>
      </c>
      <c r="K72" s="169" t="str">
        <f>IF(O72&lt;&gt;" ",ETANCHEITE!$D$5,"")</f>
        <v/>
      </c>
      <c r="L72" s="169" t="str">
        <f>IF(O72&lt;&gt;" ",ETANCHEITE!$D$8,"")</f>
        <v/>
      </c>
      <c r="M72" s="163" t="str">
        <f>IFERROR(MATCH(J72,ETANCHEITE!Z$19:Z$164,0)+18,"")</f>
        <v/>
      </c>
      <c r="N72" s="160" t="str" cm="1">
        <f t="array" aca="1" ref="N72" ca="1">IFERROR(IF(_xlfn.XLOOKUP(J72,ETANCHEITE!Z$19:Z$164,ETANCHEITE!$A$19:$A$164,"")&lt;&gt;"",_xlfn.XLOOKUP(J72,ETANCHEITE!Z$19:Z$164,ETANCHEITE!$A$19:$A$164,""),    INDEX(ETANCHEITE!$A:$A,MAX(_xlfn._xlws.FILTER(ROW(ETANCHEITE!$A$19:INDIRECT("'MENUISERIES EXTERIEURES'!$A" &amp; M72-1)),ETANCHEITE!$A$19:INDIRECT("'MENUISERIES EXTERIEURES'!$A" &amp; M72-1)&lt;&gt;"")))),"")&amp;"   "&amp;IFERROR(_xlfn.XLOOKUP(J72,ETANCHEITE!Z$19:Z$164,ETANCHEITE!$B$19:$B$164),"")&amp;IFERROR(_xlfn.XLOOKUP(J72,ETANCHEITE!Z$19:Z$164,ETANCHEITE!$C$19:$C$164),"")&amp;IFERROR(_xlfn.XLOOKUP(J72,ETANCHEITE!Z$19:Z$164,ETANCHEITE!$D$19:$D$164),"")&amp;IFERROR(_xlfn.XLOOKUP(J72,ETANCHEITE!Z$19:Z$164,ETANCHEITE!$E$19:$E$164),"")&amp;IFERROR(_xlfn.XLOOKUP(J72,ETANCHEITE!Z$19:Z$164,ETANCHEITE!$F$19:$F$164),"")</f>
        <v xml:space="preserve">   </v>
      </c>
      <c r="O72" s="170" t="str">
        <f>IFERROR(VLOOKUP(J72,ETANCHEITE!Z$19:AB$164,2,FALSE),"")&amp;" "&amp;IFERROR(VLOOKUP(J72,ETANCHEITE!Z$19:AB$164,3,FALSE),"")</f>
        <v xml:space="preserve"> </v>
      </c>
      <c r="P72" s="165" t="str">
        <f>IF(O72&lt;&gt;" ",'Feuille de Donnée'!$C$3,"")</f>
        <v/>
      </c>
      <c r="Q72" s="164"/>
      <c r="R72" s="166"/>
      <c r="S72" s="162">
        <v>70</v>
      </c>
      <c r="T72" s="169" t="str">
        <f>IF(X72&lt;&gt;" ",ETANCHEITE!$D$5,"")</f>
        <v/>
      </c>
      <c r="U72" s="169" t="str">
        <f>IF(X72&lt;&gt;" ",ETANCHEITE!$D$8,"")</f>
        <v/>
      </c>
      <c r="V72" s="163" t="str">
        <f>IFERROR(MATCH(S72,ETANCHEITE!AI$19:AI$164,0)+18,"")</f>
        <v/>
      </c>
      <c r="W72" s="160" t="str" cm="1">
        <f t="array" aca="1" ref="W72" ca="1">IFERROR(IF(_xlfn.XLOOKUP(S72,ETANCHEITE!AI$19:AI$164,ETANCHEITE!$A$19:$A$164,"")&lt;&gt;"",_xlfn.XLOOKUP(S72,ETANCHEITE!AI$19:AI$164,ETANCHEITE!$A$19:$A$164,""),    INDEX(ETANCHEITE!$A:$A,MAX(_xlfn._xlws.FILTER(ROW(ETANCHEITE!$A$19:INDIRECT("'MENUISERIES EXTERIEURES'!$A" &amp; V72-1)),ETANCHEITE!$A$19:INDIRECT("'MENUISERIES EXTERIEURES'!$A" &amp; V72-1)&lt;&gt;"")))),"")&amp;"   "&amp;IFERROR(_xlfn.XLOOKUP(S72,ETANCHEITE!AI$19:AI$164,ETANCHEITE!$B$19:$B$164),"")&amp;IFERROR(_xlfn.XLOOKUP(S72,ETANCHEITE!AI$19:AI$164,ETANCHEITE!$C$19:$C$164),"")&amp;IFERROR(_xlfn.XLOOKUP(S72,ETANCHEITE!AI$19:AI$164,ETANCHEITE!$D$19:$D$164),"")&amp;IFERROR(_xlfn.XLOOKUP(S72,ETANCHEITE!AI$19:AI$164,ETANCHEITE!$E$19:$E$164),"")&amp;IFERROR(_xlfn.XLOOKUP(S72,ETANCHEITE!AI$19:AI$164,ETANCHEITE!$F$19:$F$164),"")</f>
        <v xml:space="preserve">   </v>
      </c>
      <c r="X72" s="170" t="str">
        <f>IFERROR(VLOOKUP(S72,ETANCHEITE!AI$19:AK$164,2,FALSE),"")&amp;" "&amp;IFERROR(VLOOKUP(S72,ETANCHEITE!AI$19:AK$164,3,FALSE),"")</f>
        <v xml:space="preserve"> </v>
      </c>
      <c r="Y72" s="165" t="str">
        <f>IF(X72&lt;&gt;" ",'Feuille de Donnée'!$C$3,"")</f>
        <v/>
      </c>
      <c r="Z72" s="164"/>
      <c r="AA72" s="166"/>
      <c r="AB72" s="162">
        <v>70</v>
      </c>
      <c r="AC72" s="169" t="str">
        <f>IF(AG72&lt;&gt;" ",ETANCHEITE!$D$5,"")</f>
        <v/>
      </c>
      <c r="AD72" s="169" t="str">
        <f>IF(AG72&lt;&gt;" ",ETANCHEITE!$D$8,"")</f>
        <v/>
      </c>
      <c r="AE72" s="163" t="str">
        <f>IFERROR(MATCH(AB72,ETANCHEITE!AR$19:AR$164,0)+18,"")</f>
        <v/>
      </c>
      <c r="AF72" s="160" t="str" cm="1">
        <f t="array" aca="1" ref="AF72" ca="1">IFERROR(IF(_xlfn.XLOOKUP(AB72,ETANCHEITE!AR$19:AR$164,ETANCHEITE!$A$19:$A$164,"")&lt;&gt;"",_xlfn.XLOOKUP(AB72,ETANCHEITE!AR$19:AR$164,ETANCHEITE!$A$19:$A$164,""),    INDEX(ETANCHEITE!$A:$A,MAX(_xlfn._xlws.FILTER(ROW(ETANCHEITE!$A$19:INDIRECT("'MENUISERIES EXTERIEURES'!$A" &amp; AE72-1)),ETANCHEITE!$A$19:INDIRECT("'MENUISERIES EXTERIEURES'!$A" &amp; AE72-1)&lt;&gt;"")))),"")&amp;"   "&amp;IFERROR(_xlfn.XLOOKUP(AB72,ETANCHEITE!AR$19:AR$164,ETANCHEITE!$B$19:$B$164),"")&amp;IFERROR(_xlfn.XLOOKUP(AB72,ETANCHEITE!AR$19:AR$164,ETANCHEITE!$C$19:$C$164),"")&amp;IFERROR(_xlfn.XLOOKUP(AB72,ETANCHEITE!AR$19:AR$164,ETANCHEITE!$D$19:$D$164),"")&amp;IFERROR(_xlfn.XLOOKUP(AB72,ETANCHEITE!AR$19:AR$164,ETANCHEITE!$E$19:$E$164),"")&amp;IFERROR(_xlfn.XLOOKUP(AB72,ETANCHEITE!AR$19:AR$164,ETANCHEITE!$F$19:$F$164),"")</f>
        <v xml:space="preserve">   </v>
      </c>
      <c r="AG72" s="170" t="str">
        <f>IFERROR(VLOOKUP(AB72,ETANCHEITE!AR$19:AT$164,2,FALSE),"")&amp;" "&amp;IFERROR(VLOOKUP(AB72,ETANCHEITE!AR$19:AT$164,3,FALSE),"")</f>
        <v xml:space="preserve"> </v>
      </c>
      <c r="AH72" s="165" t="str">
        <f>IF(AG72&lt;&gt;" ",'Feuille de Donnée'!$C$3,"")</f>
        <v/>
      </c>
      <c r="AI72" s="164"/>
      <c r="AJ72" s="166"/>
      <c r="AK72" s="162">
        <v>70</v>
      </c>
      <c r="AL72" s="169" t="str">
        <f>IF(AP72&lt;&gt;" ",ETANCHEITE!$D$5,"")</f>
        <v/>
      </c>
      <c r="AM72" s="169" t="str">
        <f>IF(AP72&lt;&gt;" ",ETANCHEITE!$D$8,"")</f>
        <v/>
      </c>
      <c r="AN72" s="163" t="str">
        <f>IFERROR(MATCH(AK72,ETANCHEITE!BA$19:BA$164,0)+18,"")</f>
        <v/>
      </c>
      <c r="AO72" s="160" t="str" cm="1">
        <f t="array" aca="1" ref="AO72" ca="1">IFERROR(IF(_xlfn.XLOOKUP(AK72,ETANCHEITE!BA$19:BA$164,ETANCHEITE!$A$19:$A$164,"")&lt;&gt;"",_xlfn.XLOOKUP(AK72,ETANCHEITE!BA$19:BA$164,ETANCHEITE!$A$19:$A$164,""),    INDEX(ETANCHEITE!$A:$A,MAX(_xlfn._xlws.FILTER(ROW(ETANCHEITE!$A$19:INDIRECT("'MENUISERIES EXTERIEURES'!$A" &amp; AN72-1)),ETANCHEITE!$A$19:INDIRECT("'MENUISERIES EXTERIEURES'!$A" &amp; AN72-1)&lt;&gt;"")))),"")&amp;"   "&amp;IFERROR(_xlfn.XLOOKUP(AK72,ETANCHEITE!BA$19:BA$164,ETANCHEITE!$B$19:$B$164),"")&amp;IFERROR(_xlfn.XLOOKUP(AK72,ETANCHEITE!BA$19:BA$164,ETANCHEITE!$C$19:$C$164),"")&amp;IFERROR(_xlfn.XLOOKUP(AK72,ETANCHEITE!BA$19:BA$164,ETANCHEITE!$D$19:$D$164),"")&amp;IFERROR(_xlfn.XLOOKUP(AK72,ETANCHEITE!BA$19:BA$164,ETANCHEITE!$E$19:$E$164),"")&amp;IFERROR(_xlfn.XLOOKUP(AK72,ETANCHEITE!BA$19:BA$164,ETANCHEITE!$F$19:$F$164),"")</f>
        <v xml:space="preserve">   </v>
      </c>
      <c r="AP72" s="170" t="str">
        <f>IFERROR(VLOOKUP(AK72,ETANCHEITE!BA$19:BC$164,2,FALSE),"")&amp;" "&amp;IFERROR(VLOOKUP(AK72,ETANCHEITE!BA$19:BC$164,3,FALSE),"")</f>
        <v xml:space="preserve"> </v>
      </c>
      <c r="AQ72" s="165" t="str">
        <f>IF(AP72&lt;&gt;" ",'Feuille de Donnée'!$C$3,"")</f>
        <v/>
      </c>
      <c r="AR72" s="164"/>
      <c r="AS72" s="166"/>
      <c r="AT72" s="162">
        <v>70</v>
      </c>
      <c r="AU72" s="169" t="str">
        <f>IF(AY72&lt;&gt;" ",ETANCHEITE!$D$5,"")</f>
        <v/>
      </c>
      <c r="AV72" s="169" t="str">
        <f>IF(AY72&lt;&gt;" ",ETANCHEITE!$D$8,"")</f>
        <v/>
      </c>
      <c r="AW72" s="163" t="str">
        <f>IFERROR(MATCH(AT72,ETANCHEITE!BJ$19:BJ$164,0)+18,"")</f>
        <v/>
      </c>
      <c r="AX72" s="160" t="str" cm="1">
        <f t="array" aca="1" ref="AX72" ca="1">IFERROR(IF(_xlfn.XLOOKUP(AT72,ETANCHEITE!BJ$19:BJ$164,ETANCHEITE!$A$19:$A$164,"")&lt;&gt;"",_xlfn.XLOOKUP(AT72,ETANCHEITE!BJ$19:BJ$164,ETANCHEITE!$A$19:$A$164,""),    INDEX(ETANCHEITE!$A:$A,MAX(_xlfn._xlws.FILTER(ROW(ETANCHEITE!$A$19:INDIRECT("'MENUISERIES EXTERIEURES'!$A" &amp; AW72-1)),ETANCHEITE!$A$19:INDIRECT("'MENUISERIES EXTERIEURES'!$A" &amp; AW72-1)&lt;&gt;"")))),"")&amp;"   "&amp;IFERROR(_xlfn.XLOOKUP(AT72,ETANCHEITE!BJ$19:BJ$164,ETANCHEITE!$B$19:$B$164),"")&amp;IFERROR(_xlfn.XLOOKUP(AT72,ETANCHEITE!BJ$19:BJ$164,ETANCHEITE!$C$19:$C$164),"")&amp;IFERROR(_xlfn.XLOOKUP(AT72,ETANCHEITE!BJ$19:BJ$164,ETANCHEITE!$D$19:$D$164),"")&amp;IFERROR(_xlfn.XLOOKUP(AT72,ETANCHEITE!BJ$19:BJ$164,ETANCHEITE!$E$19:$E$164),"")&amp;IFERROR(_xlfn.XLOOKUP(AT72,ETANCHEITE!BJ$19:BJ$164,ETANCHEITE!$F$19:$F$164),"")</f>
        <v xml:space="preserve">   </v>
      </c>
      <c r="AY72" s="170" t="str">
        <f>IFERROR(VLOOKUP(AT72,ETANCHEITE!BJ$19:BL$164,2,FALSE),"")&amp;" "&amp;IFERROR(VLOOKUP(AT72,ETANCHEITE!BJ$19:BL$164,3,FALSE),"")</f>
        <v xml:space="preserve"> </v>
      </c>
      <c r="AZ72" s="165" t="str">
        <f>IF(AY72&lt;&gt;" ",'Feuille de Donnée'!$C$3,"")</f>
        <v/>
      </c>
      <c r="BA72" s="164"/>
      <c r="BB72" s="166"/>
    </row>
    <row r="73" spans="1:54" ht="15" thickTop="1" x14ac:dyDescent="0.3"/>
  </sheetData>
  <mergeCells count="6">
    <mergeCell ref="AT1:BB1"/>
    <mergeCell ref="AK1:AS1"/>
    <mergeCell ref="AB1:AJ1"/>
    <mergeCell ref="A1:I1"/>
    <mergeCell ref="J1:R1"/>
    <mergeCell ref="S1:AA1"/>
  </mergeCells>
  <conditionalFormatting sqref="G3:G72">
    <cfRule type="cellIs" dxfId="23" priority="21" operator="equal">
      <formula>"NON"</formula>
    </cfRule>
    <cfRule type="cellIs" dxfId="22" priority="22" operator="equal">
      <formula>"OUI"</formula>
    </cfRule>
  </conditionalFormatting>
  <conditionalFormatting sqref="P3:P72">
    <cfRule type="cellIs" dxfId="21" priority="17" operator="equal">
      <formula>"NON"</formula>
    </cfRule>
    <cfRule type="cellIs" dxfId="20" priority="18" operator="equal">
      <formula>"OUI"</formula>
    </cfRule>
  </conditionalFormatting>
  <conditionalFormatting sqref="Y3:Y72">
    <cfRule type="cellIs" dxfId="19" priority="13" operator="equal">
      <formula>"NON"</formula>
    </cfRule>
    <cfRule type="cellIs" dxfId="18" priority="14" operator="equal">
      <formula>"OUI"</formula>
    </cfRule>
  </conditionalFormatting>
  <conditionalFormatting sqref="AH3:AH72">
    <cfRule type="cellIs" dxfId="17" priority="9" operator="equal">
      <formula>"NON"</formula>
    </cfRule>
    <cfRule type="cellIs" dxfId="16" priority="10" operator="equal">
      <formula>"OUI"</formula>
    </cfRule>
  </conditionalFormatting>
  <conditionalFormatting sqref="AQ3:AQ72">
    <cfRule type="cellIs" dxfId="15" priority="5" operator="equal">
      <formula>"NON"</formula>
    </cfRule>
    <cfRule type="cellIs" dxfId="14" priority="6" operator="equal">
      <formula>"OUI"</formula>
    </cfRule>
  </conditionalFormatting>
  <conditionalFormatting sqref="AZ3:AZ72">
    <cfRule type="cellIs" dxfId="3" priority="1" operator="equal">
      <formula>"NON"</formula>
    </cfRule>
    <cfRule type="cellIs" dxfId="2" priority="2" operator="equal">
      <formula>"OUI"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2D72-6447-4470-A6BD-34E6B308880A}">
  <sheetPr>
    <tabColor rgb="FFFFFF00"/>
  </sheetPr>
  <dimension ref="B1:P36"/>
  <sheetViews>
    <sheetView topLeftCell="D1" workbookViewId="0">
      <selection activeCell="F4" sqref="F4"/>
    </sheetView>
  </sheetViews>
  <sheetFormatPr baseColWidth="10" defaultColWidth="11.5546875" defaultRowHeight="14.4" x14ac:dyDescent="0.3"/>
  <cols>
    <col min="1" max="1" width="11.5546875" style="12"/>
    <col min="2" max="2" width="36.88671875" style="12" bestFit="1" customWidth="1"/>
    <col min="3" max="3" width="22.5546875" style="12" customWidth="1"/>
    <col min="4" max="4" width="26.5546875" style="12" bestFit="1" customWidth="1"/>
    <col min="5" max="5" width="49.5546875" style="12" customWidth="1"/>
    <col min="6" max="6" width="28.33203125" style="12" bestFit="1" customWidth="1"/>
    <col min="7" max="7" width="20.6640625" style="12" bestFit="1" customWidth="1"/>
    <col min="8" max="8" width="20.6640625" style="12" customWidth="1"/>
    <col min="9" max="9" width="26" style="12" customWidth="1"/>
    <col min="10" max="10" width="26.5546875" style="12" bestFit="1" customWidth="1"/>
    <col min="11" max="11" width="25.109375" style="12" bestFit="1" customWidth="1"/>
    <col min="12" max="12" width="29.44140625" style="12" customWidth="1"/>
    <col min="13" max="13" width="11.5546875" style="12"/>
    <col min="14" max="14" width="4.109375" style="12" customWidth="1"/>
    <col min="15" max="15" width="14.5546875" style="12" bestFit="1" customWidth="1"/>
    <col min="16" max="16" width="58.109375" style="12" bestFit="1" customWidth="1"/>
    <col min="17" max="17" width="28.33203125" style="12" bestFit="1" customWidth="1"/>
    <col min="18" max="18" width="4.5546875" style="12" customWidth="1"/>
    <col min="19" max="16384" width="11.5546875" style="12"/>
  </cols>
  <sheetData>
    <row r="1" spans="2:16" ht="15.6" thickTop="1" thickBot="1" x14ac:dyDescent="0.35">
      <c r="C1" s="224" t="s">
        <v>45</v>
      </c>
      <c r="D1" s="225"/>
      <c r="E1" s="225"/>
      <c r="F1" s="225"/>
      <c r="G1" s="225"/>
      <c r="H1" s="226"/>
      <c r="I1" s="75"/>
    </row>
    <row r="2" spans="2:16" ht="15.6" thickTop="1" thickBot="1" x14ac:dyDescent="0.35">
      <c r="B2" s="54"/>
      <c r="C2" s="54" t="s">
        <v>1</v>
      </c>
      <c r="D2" s="54" t="s">
        <v>11</v>
      </c>
      <c r="E2" s="54" t="s">
        <v>87</v>
      </c>
      <c r="F2" s="54" t="s">
        <v>13</v>
      </c>
      <c r="G2" s="54" t="s">
        <v>14</v>
      </c>
      <c r="H2" s="54" t="s">
        <v>41</v>
      </c>
      <c r="I2" s="54" t="s">
        <v>82</v>
      </c>
      <c r="J2" s="54" t="s">
        <v>36</v>
      </c>
      <c r="K2" s="54" t="s">
        <v>37</v>
      </c>
      <c r="L2" s="54" t="s">
        <v>38</v>
      </c>
      <c r="M2" s="54" t="s">
        <v>0</v>
      </c>
    </row>
    <row r="3" spans="2:16" ht="30" thickTop="1" thickBot="1" x14ac:dyDescent="0.35">
      <c r="B3" s="54" t="s">
        <v>1</v>
      </c>
      <c r="C3" s="80">
        <f ca="1">TODAY()</f>
        <v>46077</v>
      </c>
      <c r="D3" s="81" t="s">
        <v>12</v>
      </c>
      <c r="E3" s="81" t="s">
        <v>87</v>
      </c>
      <c r="F3" s="81" t="s">
        <v>100</v>
      </c>
      <c r="G3" s="81" t="s">
        <v>101</v>
      </c>
      <c r="H3" s="82" t="s">
        <v>102</v>
      </c>
      <c r="I3" s="81" t="s">
        <v>103</v>
      </c>
      <c r="J3" s="54" t="str">
        <f ca="1">UPPER(SUBSTITUTE(O10,"_",""))</f>
        <v>NOMDULOT</v>
      </c>
      <c r="K3" s="54" t="str">
        <f ca="1">UPPER(SUBSTITUTE(O9,"_",""))</f>
        <v>LOT 01</v>
      </c>
      <c r="L3" s="54" t="str">
        <f ca="1">UPPER(SUBSTITUTE(O7,"_",""))</f>
        <v>AFFAIRE</v>
      </c>
      <c r="M3" s="54" t="str">
        <f ca="1">SUBSTITUTE(P10,".xlsx","")</f>
        <v>0</v>
      </c>
    </row>
    <row r="4" spans="2:16" ht="14.4" customHeight="1" thickTop="1" thickBot="1" x14ac:dyDescent="0.35">
      <c r="C4" s="12" t="s">
        <v>99</v>
      </c>
      <c r="O4" s="224" t="s">
        <v>44</v>
      </c>
      <c r="P4" s="226"/>
    </row>
    <row r="5" spans="2:16" ht="24.6" thickTop="1" thickBot="1" x14ac:dyDescent="0.35">
      <c r="D5" s="46"/>
      <c r="O5" s="54" t="s">
        <v>34</v>
      </c>
      <c r="P5" s="55" t="str" cm="1">
        <f t="array" aca="1" ref="P5" ca="1">MID(CELL("nomfichier"),FIND("[",CELL("nomfichier"))+1,FIND("]",CELL("nomfichier"))-FIND("[",CELL("nomfichier"))-1)</f>
        <v>AFFAIRE_TAO-1BAT_LOT 01_nomdulot_0.xlsx</v>
      </c>
    </row>
    <row r="6" spans="2:16" ht="15" thickTop="1" x14ac:dyDescent="0.3">
      <c r="D6" s="46"/>
      <c r="O6" s="56" t="s">
        <v>35</v>
      </c>
      <c r="P6" s="57" t="s">
        <v>33</v>
      </c>
    </row>
    <row r="7" spans="2:16" ht="15" thickBot="1" x14ac:dyDescent="0.35">
      <c r="D7" s="46"/>
      <c r="O7" s="52" t="str">
        <f ca="1">LEFT(P5,FIND("_",P5))</f>
        <v>AFFAIRE_</v>
      </c>
      <c r="P7" s="50" t="str">
        <f ca="1">SUBSTITUTE(P5,O7,"")</f>
        <v>TAO-1BAT_LOT 01_nomdulot_0.xlsx</v>
      </c>
    </row>
    <row r="8" spans="2:16" ht="27" customHeight="1" thickTop="1" thickBot="1" x14ac:dyDescent="0.35">
      <c r="C8" s="224" t="s">
        <v>43</v>
      </c>
      <c r="D8" s="225"/>
      <c r="E8" s="225"/>
      <c r="F8" s="225"/>
      <c r="G8" s="226"/>
      <c r="J8" s="230" t="s">
        <v>39</v>
      </c>
      <c r="K8" s="231"/>
      <c r="L8" s="90"/>
      <c r="O8" s="52" t="str">
        <f ca="1">LEFT(P7,FIND("_",P7))</f>
        <v>TAO-1BAT_</v>
      </c>
      <c r="P8" s="50" t="str">
        <f ca="1">SUBSTITUTE(P7,O8,"")</f>
        <v>LOT 01_nomdulot_0.xlsx</v>
      </c>
    </row>
    <row r="9" spans="2:16" ht="15.6" thickTop="1" thickBot="1" x14ac:dyDescent="0.35">
      <c r="C9" s="62"/>
      <c r="D9" s="78"/>
      <c r="E9" s="78"/>
      <c r="F9" s="78"/>
      <c r="G9" s="64"/>
      <c r="J9" s="58" t="s">
        <v>40</v>
      </c>
      <c r="K9" s="59">
        <v>0</v>
      </c>
      <c r="O9" s="52" t="str">
        <f ca="1">LEFT(P8,FIND("_",P8))</f>
        <v>LOT 01_</v>
      </c>
      <c r="P9" s="50" t="str">
        <f ca="1">SUBSTITUTE(P8,O9,"")</f>
        <v>nomdulot_0.xlsx</v>
      </c>
    </row>
    <row r="10" spans="2:16" ht="15.6" thickTop="1" thickBot="1" x14ac:dyDescent="0.35">
      <c r="C10" s="65"/>
      <c r="D10" s="227" t="s">
        <v>48</v>
      </c>
      <c r="E10" s="228"/>
      <c r="F10" s="229"/>
      <c r="G10" s="74"/>
      <c r="J10" s="89" t="s">
        <v>49</v>
      </c>
      <c r="O10" s="53" t="str">
        <f ca="1">LEFT(P9,FIND("_",P9))</f>
        <v>nomdulot_</v>
      </c>
      <c r="P10" s="51" t="str">
        <f ca="1">SUBSTITUTE(P9,O10,"")</f>
        <v>0.xlsx</v>
      </c>
    </row>
    <row r="11" spans="2:16" ht="15.6" thickTop="1" thickBot="1" x14ac:dyDescent="0.35">
      <c r="C11" s="65"/>
      <c r="D11" s="67"/>
      <c r="E11" s="68" t="s">
        <v>18</v>
      </c>
      <c r="F11" s="69" t="s">
        <v>17</v>
      </c>
      <c r="G11" s="79"/>
      <c r="H11" s="13"/>
    </row>
    <row r="12" spans="2:16" ht="15.6" thickTop="1" thickBot="1" x14ac:dyDescent="0.35">
      <c r="C12" s="65"/>
      <c r="D12" s="49" t="s">
        <v>15</v>
      </c>
      <c r="E12" s="60">
        <v>0.05</v>
      </c>
      <c r="F12" s="61">
        <v>0.02</v>
      </c>
      <c r="G12" s="74"/>
      <c r="J12" s="227" t="s">
        <v>85</v>
      </c>
      <c r="K12" s="229"/>
    </row>
    <row r="13" spans="2:16" ht="15.6" thickTop="1" thickBot="1" x14ac:dyDescent="0.35">
      <c r="C13" s="65"/>
      <c r="G13" s="74"/>
      <c r="J13" s="49" t="s">
        <v>86</v>
      </c>
      <c r="K13" s="72" t="s">
        <v>94</v>
      </c>
    </row>
    <row r="14" spans="2:16" ht="35.4" customHeight="1" thickTop="1" thickBot="1" x14ac:dyDescent="0.35">
      <c r="C14" s="65"/>
      <c r="G14" s="74"/>
    </row>
    <row r="15" spans="2:16" ht="15.6" thickTop="1" thickBot="1" x14ac:dyDescent="0.35">
      <c r="C15" s="65"/>
      <c r="E15" s="227" t="s">
        <v>47</v>
      </c>
      <c r="F15" s="229"/>
      <c r="G15" s="74"/>
      <c r="M15" s="13"/>
    </row>
    <row r="16" spans="2:16" ht="15" thickTop="1" x14ac:dyDescent="0.3">
      <c r="C16" s="65"/>
      <c r="E16" s="67" t="s">
        <v>20</v>
      </c>
      <c r="F16" s="70" t="s">
        <v>26</v>
      </c>
      <c r="G16" s="74"/>
    </row>
    <row r="17" spans="3:13" x14ac:dyDescent="0.3">
      <c r="C17" s="65"/>
      <c r="E17" s="48" t="s">
        <v>30</v>
      </c>
      <c r="F17" s="71" t="s">
        <v>25</v>
      </c>
      <c r="G17" s="74"/>
    </row>
    <row r="18" spans="3:13" ht="15" thickBot="1" x14ac:dyDescent="0.35">
      <c r="C18" s="65"/>
      <c r="E18" s="49" t="s">
        <v>21</v>
      </c>
      <c r="F18" s="72" t="s">
        <v>27</v>
      </c>
      <c r="G18" s="74"/>
    </row>
    <row r="19" spans="3:13" ht="24" customHeight="1" thickTop="1" x14ac:dyDescent="0.3">
      <c r="C19" s="65"/>
      <c r="G19" s="74"/>
    </row>
    <row r="20" spans="3:13" ht="15" thickBot="1" x14ac:dyDescent="0.35">
      <c r="C20" s="75"/>
      <c r="D20" s="76"/>
      <c r="E20" s="76"/>
      <c r="F20" s="76"/>
      <c r="G20" s="77"/>
      <c r="M20" s="46"/>
    </row>
    <row r="21" spans="3:13" ht="15" thickTop="1" x14ac:dyDescent="0.3">
      <c r="M21" s="46"/>
    </row>
    <row r="22" spans="3:13" ht="15" thickBot="1" x14ac:dyDescent="0.35">
      <c r="M22" s="46"/>
    </row>
    <row r="23" spans="3:13" ht="15.6" thickTop="1" thickBot="1" x14ac:dyDescent="0.35">
      <c r="C23" s="224" t="s">
        <v>42</v>
      </c>
      <c r="D23" s="225"/>
      <c r="E23" s="225"/>
      <c r="F23" s="225"/>
      <c r="G23" s="226"/>
    </row>
    <row r="24" spans="3:13" ht="15.6" thickTop="1" thickBot="1" x14ac:dyDescent="0.35">
      <c r="C24" s="62"/>
      <c r="D24" s="63"/>
      <c r="E24" s="63"/>
      <c r="F24" s="63"/>
      <c r="G24" s="64"/>
    </row>
    <row r="25" spans="3:13" ht="15.6" thickTop="1" thickBot="1" x14ac:dyDescent="0.35">
      <c r="C25" s="65"/>
      <c r="D25" s="227" t="s">
        <v>50</v>
      </c>
      <c r="E25" s="228"/>
      <c r="F25" s="229"/>
      <c r="G25" s="74"/>
    </row>
    <row r="26" spans="3:13" ht="15" thickTop="1" x14ac:dyDescent="0.3">
      <c r="C26" s="73"/>
      <c r="D26" s="67"/>
      <c r="E26" s="68" t="s">
        <v>18</v>
      </c>
      <c r="F26" s="69" t="s">
        <v>17</v>
      </c>
      <c r="G26" s="74"/>
    </row>
    <row r="27" spans="3:13" ht="15" thickBot="1" x14ac:dyDescent="0.35">
      <c r="C27" s="65"/>
      <c r="D27" s="66" t="s">
        <v>16</v>
      </c>
      <c r="E27" s="60">
        <v>0.35</v>
      </c>
      <c r="F27" s="61">
        <v>0.1</v>
      </c>
      <c r="G27" s="74"/>
    </row>
    <row r="28" spans="3:13" ht="15" thickTop="1" x14ac:dyDescent="0.3">
      <c r="C28" s="65"/>
      <c r="G28" s="74"/>
    </row>
    <row r="29" spans="3:13" ht="15" thickBot="1" x14ac:dyDescent="0.35">
      <c r="C29" s="65"/>
      <c r="G29" s="74"/>
    </row>
    <row r="30" spans="3:13" ht="15.6" thickTop="1" thickBot="1" x14ac:dyDescent="0.35">
      <c r="C30" s="65"/>
      <c r="E30" s="227" t="s">
        <v>47</v>
      </c>
      <c r="F30" s="229"/>
      <c r="G30" s="74"/>
    </row>
    <row r="31" spans="3:13" ht="15" thickTop="1" x14ac:dyDescent="0.3">
      <c r="C31" s="65"/>
      <c r="E31" s="47" t="s">
        <v>23</v>
      </c>
      <c r="F31" s="70" t="s">
        <v>28</v>
      </c>
      <c r="G31" s="74"/>
    </row>
    <row r="32" spans="3:13" x14ac:dyDescent="0.3">
      <c r="C32" s="65"/>
      <c r="E32" s="48" t="s">
        <v>19</v>
      </c>
      <c r="F32" s="71"/>
      <c r="G32" s="74"/>
    </row>
    <row r="33" spans="3:7" ht="15" thickBot="1" x14ac:dyDescent="0.35">
      <c r="C33" s="65"/>
      <c r="E33" s="49" t="s">
        <v>22</v>
      </c>
      <c r="F33" s="72" t="s">
        <v>29</v>
      </c>
      <c r="G33" s="74"/>
    </row>
    <row r="34" spans="3:7" ht="15" thickTop="1" x14ac:dyDescent="0.3">
      <c r="C34" s="65"/>
      <c r="G34" s="74"/>
    </row>
    <row r="35" spans="3:7" ht="15" thickBot="1" x14ac:dyDescent="0.35">
      <c r="C35" s="75"/>
      <c r="D35" s="76"/>
      <c r="E35" s="76"/>
      <c r="F35" s="76"/>
      <c r="G35" s="77"/>
    </row>
    <row r="36" spans="3:7" ht="15" thickTop="1" x14ac:dyDescent="0.3"/>
  </sheetData>
  <mergeCells count="10">
    <mergeCell ref="C23:G23"/>
    <mergeCell ref="D25:F25"/>
    <mergeCell ref="E30:F30"/>
    <mergeCell ref="C1:H1"/>
    <mergeCell ref="O4:P4"/>
    <mergeCell ref="C8:G8"/>
    <mergeCell ref="J8:K8"/>
    <mergeCell ref="D10:F10"/>
    <mergeCell ref="E15:F15"/>
    <mergeCell ref="J12:K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60659-6A62-4CA4-9976-5D01CE09AA6D}">
  <sheetPr>
    <tabColor rgb="FFFFFF00"/>
  </sheetPr>
  <dimension ref="A1:I73"/>
  <sheetViews>
    <sheetView zoomScale="70" zoomScaleNormal="70" workbookViewId="0">
      <selection activeCell="K3" sqref="K3"/>
    </sheetView>
  </sheetViews>
  <sheetFormatPr baseColWidth="10" defaultRowHeight="14.4" outlineLevelCol="1" x14ac:dyDescent="0.3"/>
  <cols>
    <col min="1" max="1" width="20.44140625" bestFit="1" customWidth="1"/>
    <col min="2" max="2" width="9.44140625" bestFit="1" customWidth="1"/>
    <col min="3" max="3" width="27.6640625" customWidth="1"/>
    <col min="4" max="4" width="8.5546875" customWidth="1" outlineLevel="1"/>
    <col min="5" max="5" width="11.109375" bestFit="1" customWidth="1"/>
    <col min="6" max="6" width="54.33203125" bestFit="1" customWidth="1"/>
    <col min="7" max="7" width="11.6640625" bestFit="1" customWidth="1"/>
    <col min="8" max="8" width="29.5546875" customWidth="1"/>
    <col min="9" max="9" width="11.21875" bestFit="1" customWidth="1"/>
  </cols>
  <sheetData>
    <row r="1" spans="1:9" ht="24.6" thickTop="1" thickBot="1" x14ac:dyDescent="0.35">
      <c r="A1" s="173" t="s">
        <v>98</v>
      </c>
      <c r="B1" s="173">
        <v>0</v>
      </c>
      <c r="C1" s="174"/>
      <c r="D1" s="174"/>
      <c r="E1" s="174"/>
      <c r="F1" s="174" t="str" cm="1">
        <f t="array" ref="F1">IFERROR(INDEX('Questions global'!$A:$YP,1,1+$B$1), "")</f>
        <v>Entreprise 1</v>
      </c>
      <c r="G1" s="174"/>
      <c r="H1" s="174"/>
      <c r="I1" s="174"/>
    </row>
    <row r="2" spans="1:9" ht="16.5" customHeight="1" thickTop="1" x14ac:dyDescent="0.3">
      <c r="A2" s="113" t="s">
        <v>77</v>
      </c>
      <c r="B2" s="114" t="s">
        <v>80</v>
      </c>
      <c r="C2" s="115" t="s">
        <v>81</v>
      </c>
      <c r="D2" s="142" t="s">
        <v>88</v>
      </c>
      <c r="E2" s="142" t="s">
        <v>83</v>
      </c>
      <c r="F2" s="116" t="s">
        <v>78</v>
      </c>
      <c r="G2" s="117" t="s">
        <v>1</v>
      </c>
      <c r="H2" s="144" t="s">
        <v>104</v>
      </c>
      <c r="I2" s="145" t="s">
        <v>105</v>
      </c>
    </row>
    <row r="3" spans="1:9" ht="16.5" customHeight="1" x14ac:dyDescent="0.3">
      <c r="A3" s="118" cm="1">
        <f t="array" ref="A3">INDEX('Questions global'!$A:$YP,ROW(A2)-ROW($A$2)+4,COLUMN(A2)-COLUMN($A$2)+1+$B$1)</f>
        <v>2</v>
      </c>
      <c r="B3" s="106" t="str" cm="1">
        <f t="array" ref="B3">INDEX('Questions global'!$A:$YP,ROW(B2)-ROW($A$2)+4,COLUMN(B2)-COLUMN($A$2)+1+$B$1)</f>
        <v/>
      </c>
      <c r="C3" s="106" t="str" cm="1">
        <f t="array" ref="C3">INDEX('Questions global'!$A:$YP,ROW(C2)-ROW($A$2)+4,COLUMN(C2)-COLUMN($A$2)+1+$B$1)</f>
        <v/>
      </c>
      <c r="D3" s="126" t="str" cm="1">
        <f t="array" ref="D3">INDEX('Questions global'!$A:$YP,ROW(D2)-ROW($A$2)+4,COLUMN(D2)-COLUMN($A$2)+1+$B$1)</f>
        <v/>
      </c>
      <c r="E3" s="104" t="str" cm="1">
        <f t="array" aca="1" ref="E3" ca="1">INDEX('Questions global'!$A:$YP,ROW(E2)-ROW($A$2)+4,COLUMN(E2)-COLUMN($A$2)+1+$B$1)</f>
        <v xml:space="preserve">   </v>
      </c>
      <c r="F3" s="105" t="str" cm="1">
        <f t="array" ref="F3">INDEX('Questions global'!$A:$YP,ROW(F2)-ROW($A$2)+4,COLUMN(F2)-COLUMN($A$2)+1+$B$1)</f>
        <v xml:space="preserve"> </v>
      </c>
      <c r="G3" s="112" t="str" cm="1">
        <f t="array" ref="G3">INDEX('Questions global'!$A:$YP,ROW(G2)-ROW($A$2)+4,COLUMN(G2)-COLUMN($A$2)+1+$B$1)</f>
        <v/>
      </c>
      <c r="H3" s="104" t="str" cm="1">
        <f t="array" aca="1" ref="H3" ca="1">INDEX('Questions global'!$A:$YP,ROW(H2)-ROW($A$2)+4,COLUMN(H2)-COLUMN($A$2)+1+$B$1)</f>
        <v/>
      </c>
      <c r="I3" s="119" t="str" cm="1">
        <f t="array" aca="1" ref="I3" ca="1">INDEX('Questions global'!$A:$YP,ROW(I2)-ROW($A$2)+4,COLUMN(I2)-COLUMN($A$2)+1+$B$1)</f>
        <v/>
      </c>
    </row>
    <row r="4" spans="1:9" ht="15" customHeight="1" x14ac:dyDescent="0.3">
      <c r="A4" s="118" cm="1">
        <f t="array" ref="A4">INDEX('Questions global'!$A:$YP,ROW(A3)-ROW($A$2)+4,COLUMN(A3)-COLUMN($A$2)+1+$B$1)</f>
        <v>3</v>
      </c>
      <c r="B4" s="106" t="str" cm="1">
        <f t="array" ref="B4">INDEX('Questions global'!$A:$YP,ROW(B3)-ROW($A$2)+4,COLUMN(B3)-COLUMN($A$2)+1+$B$1)</f>
        <v/>
      </c>
      <c r="C4" s="106" t="str" cm="1">
        <f t="array" ref="C4">INDEX('Questions global'!$A:$YP,ROW(C3)-ROW($A$2)+4,COLUMN(C3)-COLUMN($A$2)+1+$B$1)</f>
        <v/>
      </c>
      <c r="D4" s="126" t="str" cm="1">
        <f t="array" ref="D4">INDEX('Questions global'!$A:$YP,ROW(D3)-ROW($A$2)+4,COLUMN(D3)-COLUMN($A$2)+1+$B$1)</f>
        <v/>
      </c>
      <c r="E4" s="104" t="str" cm="1">
        <f t="array" aca="1" ref="E4" ca="1">INDEX('Questions global'!$A:$YP,ROW(E3)-ROW($A$2)+4,COLUMN(E3)-COLUMN($A$2)+1+$B$1)</f>
        <v xml:space="preserve">   </v>
      </c>
      <c r="F4" s="105" t="str" cm="1">
        <f t="array" ref="F4">INDEX('Questions global'!$A:$YP,ROW(F3)-ROW($A$2)+4,COLUMN(F3)-COLUMN($A$2)+1+$B$1)</f>
        <v xml:space="preserve"> </v>
      </c>
      <c r="G4" s="112" t="str" cm="1">
        <f t="array" ref="G4">INDEX('Questions global'!$A:$YP,ROW(G3)-ROW($A$2)+4,COLUMN(G3)-COLUMN($A$2)+1+$B$1)</f>
        <v/>
      </c>
      <c r="H4" s="104" t="str" cm="1">
        <f t="array" aca="1" ref="H4" ca="1">INDEX('Questions global'!$A:$YP,ROW(H3)-ROW($A$2)+4,COLUMN(H3)-COLUMN($A$2)+1+$B$1)</f>
        <v/>
      </c>
      <c r="I4" s="119" t="str" cm="1">
        <f t="array" aca="1" ref="I4" ca="1">INDEX('Questions global'!$A:$YP,ROW(I3)-ROW($A$2)+4,COLUMN(I3)-COLUMN($A$2)+1+$B$1)</f>
        <v/>
      </c>
    </row>
    <row r="5" spans="1:9" ht="15" customHeight="1" x14ac:dyDescent="0.3">
      <c r="A5" s="118" cm="1">
        <f t="array" ref="A5">INDEX('Questions global'!$A:$YP,ROW(A4)-ROW($A$2)+4,COLUMN(A4)-COLUMN($A$2)+1+$B$1)</f>
        <v>4</v>
      </c>
      <c r="B5" s="106" t="str" cm="1">
        <f t="array" ref="B5">INDEX('Questions global'!$A:$YP,ROW(B4)-ROW($A$2)+4,COLUMN(B4)-COLUMN($A$2)+1+$B$1)</f>
        <v/>
      </c>
      <c r="C5" s="106" t="str" cm="1">
        <f t="array" ref="C5">INDEX('Questions global'!$A:$YP,ROW(C4)-ROW($A$2)+4,COLUMN(C4)-COLUMN($A$2)+1+$B$1)</f>
        <v/>
      </c>
      <c r="D5" s="126" t="str" cm="1">
        <f t="array" ref="D5">INDEX('Questions global'!$A:$YP,ROW(D4)-ROW($A$2)+4,COLUMN(D4)-COLUMN($A$2)+1+$B$1)</f>
        <v/>
      </c>
      <c r="E5" s="104" t="str" cm="1">
        <f t="array" aca="1" ref="E5" ca="1">INDEX('Questions global'!$A:$YP,ROW(E4)-ROW($A$2)+4,COLUMN(E4)-COLUMN($A$2)+1+$B$1)</f>
        <v xml:space="preserve">   </v>
      </c>
      <c r="F5" s="105" t="str" cm="1">
        <f t="array" ref="F5">INDEX('Questions global'!$A:$YP,ROW(F4)-ROW($A$2)+4,COLUMN(F4)-COLUMN($A$2)+1+$B$1)</f>
        <v xml:space="preserve"> </v>
      </c>
      <c r="G5" s="112" t="str" cm="1">
        <f t="array" ref="G5">INDEX('Questions global'!$A:$YP,ROW(G4)-ROW($A$2)+4,COLUMN(G4)-COLUMN($A$2)+1+$B$1)</f>
        <v/>
      </c>
      <c r="H5" s="104" t="str" cm="1">
        <f t="array" aca="1" ref="H5" ca="1">INDEX('Questions global'!$A:$YP,ROW(H4)-ROW($A$2)+4,COLUMN(H4)-COLUMN($A$2)+1+$B$1)</f>
        <v/>
      </c>
      <c r="I5" s="119" t="str" cm="1">
        <f t="array" aca="1" ref="I5" ca="1">INDEX('Questions global'!$A:$YP,ROW(I4)-ROW($A$2)+4,COLUMN(I4)-COLUMN($A$2)+1+$B$1)</f>
        <v/>
      </c>
    </row>
    <row r="6" spans="1:9" ht="15" customHeight="1" x14ac:dyDescent="0.3">
      <c r="A6" s="118" cm="1">
        <f t="array" ref="A6">INDEX('Questions global'!$A:$YP,ROW(A5)-ROW($A$2)+4,COLUMN(A5)-COLUMN($A$2)+1+$B$1)</f>
        <v>5</v>
      </c>
      <c r="B6" s="106" t="str" cm="1">
        <f t="array" ref="B6">INDEX('Questions global'!$A:$YP,ROW(B5)-ROW($A$2)+4,COLUMN(B5)-COLUMN($A$2)+1+$B$1)</f>
        <v/>
      </c>
      <c r="C6" s="106" t="str" cm="1">
        <f t="array" ref="C6">INDEX('Questions global'!$A:$YP,ROW(C5)-ROW($A$2)+4,COLUMN(C5)-COLUMN($A$2)+1+$B$1)</f>
        <v/>
      </c>
      <c r="D6" s="126" t="str" cm="1">
        <f t="array" ref="D6">INDEX('Questions global'!$A:$YP,ROW(D5)-ROW($A$2)+4,COLUMN(D5)-COLUMN($A$2)+1+$B$1)</f>
        <v/>
      </c>
      <c r="E6" s="104" t="str" cm="1">
        <f t="array" aca="1" ref="E6" ca="1">INDEX('Questions global'!$A:$YP,ROW(E5)-ROW($A$2)+4,COLUMN(E5)-COLUMN($A$2)+1+$B$1)</f>
        <v xml:space="preserve">   </v>
      </c>
      <c r="F6" s="105" t="str" cm="1">
        <f t="array" ref="F6">INDEX('Questions global'!$A:$YP,ROW(F5)-ROW($A$2)+4,COLUMN(F5)-COLUMN($A$2)+1+$B$1)</f>
        <v xml:space="preserve"> </v>
      </c>
      <c r="G6" s="112" t="str" cm="1">
        <f t="array" ref="G6">INDEX('Questions global'!$A:$YP,ROW(G5)-ROW($A$2)+4,COLUMN(G5)-COLUMN($A$2)+1+$B$1)</f>
        <v/>
      </c>
      <c r="H6" s="104" t="str" cm="1">
        <f t="array" aca="1" ref="H6" ca="1">INDEX('Questions global'!$A:$YP,ROW(H5)-ROW($A$2)+4,COLUMN(H5)-COLUMN($A$2)+1+$B$1)</f>
        <v/>
      </c>
      <c r="I6" s="119" t="str" cm="1">
        <f t="array" aca="1" ref="I6" ca="1">INDEX('Questions global'!$A:$YP,ROW(I5)-ROW($A$2)+4,COLUMN(I5)-COLUMN($A$2)+1+$B$1)</f>
        <v/>
      </c>
    </row>
    <row r="7" spans="1:9" ht="15" customHeight="1" x14ac:dyDescent="0.3">
      <c r="A7" s="118" cm="1">
        <f t="array" ref="A7">INDEX('Questions global'!$A:$YP,ROW(A6)-ROW($A$2)+4,COLUMN(A6)-COLUMN($A$2)+1+$B$1)</f>
        <v>6</v>
      </c>
      <c r="B7" s="106" t="str" cm="1">
        <f t="array" ref="B7">INDEX('Questions global'!$A:$YP,ROW(B6)-ROW($A$2)+4,COLUMN(B6)-COLUMN($A$2)+1+$B$1)</f>
        <v/>
      </c>
      <c r="C7" s="106" t="str" cm="1">
        <f t="array" ref="C7">INDEX('Questions global'!$A:$YP,ROW(C6)-ROW($A$2)+4,COLUMN(C6)-COLUMN($A$2)+1+$B$1)</f>
        <v/>
      </c>
      <c r="D7" s="126" t="str" cm="1">
        <f t="array" ref="D7">INDEX('Questions global'!$A:$YP,ROW(D6)-ROW($A$2)+4,COLUMN(D6)-COLUMN($A$2)+1+$B$1)</f>
        <v/>
      </c>
      <c r="E7" s="104" t="str" cm="1">
        <f t="array" aca="1" ref="E7" ca="1">INDEX('Questions global'!$A:$YP,ROW(E6)-ROW($A$2)+4,COLUMN(E6)-COLUMN($A$2)+1+$B$1)</f>
        <v xml:space="preserve">   </v>
      </c>
      <c r="F7" s="105" t="str" cm="1">
        <f t="array" ref="F7">INDEX('Questions global'!$A:$YP,ROW(F6)-ROW($A$2)+4,COLUMN(F6)-COLUMN($A$2)+1+$B$1)</f>
        <v xml:space="preserve"> </v>
      </c>
      <c r="G7" s="112" t="str" cm="1">
        <f t="array" ref="G7">INDEX('Questions global'!$A:$YP,ROW(G6)-ROW($A$2)+4,COLUMN(G6)-COLUMN($A$2)+1+$B$1)</f>
        <v/>
      </c>
      <c r="H7" s="104" t="str" cm="1">
        <f t="array" aca="1" ref="H7" ca="1">INDEX('Questions global'!$A:$YP,ROW(H6)-ROW($A$2)+4,COLUMN(H6)-COLUMN($A$2)+1+$B$1)</f>
        <v/>
      </c>
      <c r="I7" s="119" t="str" cm="1">
        <f t="array" aca="1" ref="I7" ca="1">INDEX('Questions global'!$A:$YP,ROW(I6)-ROW($A$2)+4,COLUMN(I6)-COLUMN($A$2)+1+$B$1)</f>
        <v/>
      </c>
    </row>
    <row r="8" spans="1:9" ht="15" customHeight="1" x14ac:dyDescent="0.3">
      <c r="A8" s="118" cm="1">
        <f t="array" ref="A8">INDEX('Questions global'!$A:$YP,ROW(A7)-ROW($A$2)+4,COLUMN(A7)-COLUMN($A$2)+1+$B$1)</f>
        <v>7</v>
      </c>
      <c r="B8" s="106" t="str" cm="1">
        <f t="array" ref="B8">INDEX('Questions global'!$A:$YP,ROW(B7)-ROW($A$2)+4,COLUMN(B7)-COLUMN($A$2)+1+$B$1)</f>
        <v/>
      </c>
      <c r="C8" s="106" t="str" cm="1">
        <f t="array" ref="C8">INDEX('Questions global'!$A:$YP,ROW(C7)-ROW($A$2)+4,COLUMN(C7)-COLUMN($A$2)+1+$B$1)</f>
        <v/>
      </c>
      <c r="D8" s="126" t="str" cm="1">
        <f t="array" ref="D8">INDEX('Questions global'!$A:$YP,ROW(D7)-ROW($A$2)+4,COLUMN(D7)-COLUMN($A$2)+1+$B$1)</f>
        <v/>
      </c>
      <c r="E8" s="104" t="str" cm="1">
        <f t="array" aca="1" ref="E8" ca="1">INDEX('Questions global'!$A:$YP,ROW(E7)-ROW($A$2)+4,COLUMN(E7)-COLUMN($A$2)+1+$B$1)</f>
        <v xml:space="preserve">   </v>
      </c>
      <c r="F8" s="105" t="str" cm="1">
        <f t="array" ref="F8">INDEX('Questions global'!$A:$YP,ROW(F7)-ROW($A$2)+4,COLUMN(F7)-COLUMN($A$2)+1+$B$1)</f>
        <v xml:space="preserve"> </v>
      </c>
      <c r="G8" s="112" t="str" cm="1">
        <f t="array" ref="G8">INDEX('Questions global'!$A:$YP,ROW(G7)-ROW($A$2)+4,COLUMN(G7)-COLUMN($A$2)+1+$B$1)</f>
        <v/>
      </c>
      <c r="H8" s="104" t="str" cm="1">
        <f t="array" aca="1" ref="H8" ca="1">INDEX('Questions global'!$A:$YP,ROW(H7)-ROW($A$2)+4,COLUMN(H7)-COLUMN($A$2)+1+$B$1)</f>
        <v/>
      </c>
      <c r="I8" s="119" t="str" cm="1">
        <f t="array" aca="1" ref="I8" ca="1">INDEX('Questions global'!$A:$YP,ROW(I7)-ROW($A$2)+4,COLUMN(I7)-COLUMN($A$2)+1+$B$1)</f>
        <v/>
      </c>
    </row>
    <row r="9" spans="1:9" ht="15" customHeight="1" x14ac:dyDescent="0.3">
      <c r="A9" s="118" cm="1">
        <f t="array" ref="A9">INDEX('Questions global'!$A:$YP,ROW(A8)-ROW($A$2)+4,COLUMN(A8)-COLUMN($A$2)+1+$B$1)</f>
        <v>8</v>
      </c>
      <c r="B9" s="106" t="str" cm="1">
        <f t="array" ref="B9">INDEX('Questions global'!$A:$YP,ROW(B8)-ROW($A$2)+4,COLUMN(B8)-COLUMN($A$2)+1+$B$1)</f>
        <v/>
      </c>
      <c r="C9" s="106" t="str" cm="1">
        <f t="array" ref="C9">INDEX('Questions global'!$A:$YP,ROW(C8)-ROW($A$2)+4,COLUMN(C8)-COLUMN($A$2)+1+$B$1)</f>
        <v/>
      </c>
      <c r="D9" s="126" t="str" cm="1">
        <f t="array" ref="D9">INDEX('Questions global'!$A:$YP,ROW(D8)-ROW($A$2)+4,COLUMN(D8)-COLUMN($A$2)+1+$B$1)</f>
        <v/>
      </c>
      <c r="E9" s="104" t="str" cm="1">
        <f t="array" aca="1" ref="E9" ca="1">INDEX('Questions global'!$A:$YP,ROW(E8)-ROW($A$2)+4,COLUMN(E8)-COLUMN($A$2)+1+$B$1)</f>
        <v xml:space="preserve">   </v>
      </c>
      <c r="F9" s="105" t="str" cm="1">
        <f t="array" ref="F9">INDEX('Questions global'!$A:$YP,ROW(F8)-ROW($A$2)+4,COLUMN(F8)-COLUMN($A$2)+1+$B$1)</f>
        <v xml:space="preserve"> </v>
      </c>
      <c r="G9" s="112" t="str" cm="1">
        <f t="array" ref="G9">INDEX('Questions global'!$A:$YP,ROW(G8)-ROW($A$2)+4,COLUMN(G8)-COLUMN($A$2)+1+$B$1)</f>
        <v/>
      </c>
      <c r="H9" s="104" t="str" cm="1">
        <f t="array" aca="1" ref="H9" ca="1">INDEX('Questions global'!$A:$YP,ROW(H8)-ROW($A$2)+4,COLUMN(H8)-COLUMN($A$2)+1+$B$1)</f>
        <v/>
      </c>
      <c r="I9" s="119" t="str" cm="1">
        <f t="array" aca="1" ref="I9" ca="1">INDEX('Questions global'!$A:$YP,ROW(I8)-ROW($A$2)+4,COLUMN(I8)-COLUMN($A$2)+1+$B$1)</f>
        <v/>
      </c>
    </row>
    <row r="10" spans="1:9" ht="15" customHeight="1" x14ac:dyDescent="0.3">
      <c r="A10" s="118" cm="1">
        <f t="array" ref="A10">INDEX('Questions global'!$A:$YP,ROW(A9)-ROW($A$2)+4,COLUMN(A9)-COLUMN($A$2)+1+$B$1)</f>
        <v>9</v>
      </c>
      <c r="B10" s="106" t="str" cm="1">
        <f t="array" ref="B10">INDEX('Questions global'!$A:$YP,ROW(B9)-ROW($A$2)+4,COLUMN(B9)-COLUMN($A$2)+1+$B$1)</f>
        <v/>
      </c>
      <c r="C10" s="106" t="str" cm="1">
        <f t="array" ref="C10">INDEX('Questions global'!$A:$YP,ROW(C9)-ROW($A$2)+4,COLUMN(C9)-COLUMN($A$2)+1+$B$1)</f>
        <v/>
      </c>
      <c r="D10" s="126" t="str" cm="1">
        <f t="array" ref="D10">INDEX('Questions global'!$A:$YP,ROW(D9)-ROW($A$2)+4,COLUMN(D9)-COLUMN($A$2)+1+$B$1)</f>
        <v/>
      </c>
      <c r="E10" s="104" t="str" cm="1">
        <f t="array" aca="1" ref="E10" ca="1">INDEX('Questions global'!$A:$YP,ROW(E9)-ROW($A$2)+4,COLUMN(E9)-COLUMN($A$2)+1+$B$1)</f>
        <v xml:space="preserve">   </v>
      </c>
      <c r="F10" s="105" t="str" cm="1">
        <f t="array" ref="F10">INDEX('Questions global'!$A:$YP,ROW(F9)-ROW($A$2)+4,COLUMN(F9)-COLUMN($A$2)+1+$B$1)</f>
        <v xml:space="preserve"> </v>
      </c>
      <c r="G10" s="112" t="str" cm="1">
        <f t="array" ref="G10">INDEX('Questions global'!$A:$YP,ROW(G9)-ROW($A$2)+4,COLUMN(G9)-COLUMN($A$2)+1+$B$1)</f>
        <v/>
      </c>
      <c r="H10" s="104" t="str" cm="1">
        <f t="array" aca="1" ref="H10" ca="1">INDEX('Questions global'!$A:$YP,ROW(H9)-ROW($A$2)+4,COLUMN(H9)-COLUMN($A$2)+1+$B$1)</f>
        <v/>
      </c>
      <c r="I10" s="119" t="str" cm="1">
        <f t="array" aca="1" ref="I10" ca="1">INDEX('Questions global'!$A:$YP,ROW(I9)-ROW($A$2)+4,COLUMN(I9)-COLUMN($A$2)+1+$B$1)</f>
        <v/>
      </c>
    </row>
    <row r="11" spans="1:9" ht="15" customHeight="1" x14ac:dyDescent="0.3">
      <c r="A11" s="118" cm="1">
        <f t="array" ref="A11">INDEX('Questions global'!$A:$YP,ROW(A10)-ROW($A$2)+4,COLUMN(A10)-COLUMN($A$2)+1+$B$1)</f>
        <v>10</v>
      </c>
      <c r="B11" s="106" t="str" cm="1">
        <f t="array" ref="B11">INDEX('Questions global'!$A:$YP,ROW(B10)-ROW($A$2)+4,COLUMN(B10)-COLUMN($A$2)+1+$B$1)</f>
        <v/>
      </c>
      <c r="C11" s="106" t="str" cm="1">
        <f t="array" ref="C11">INDEX('Questions global'!$A:$YP,ROW(C10)-ROW($A$2)+4,COLUMN(C10)-COLUMN($A$2)+1+$B$1)</f>
        <v/>
      </c>
      <c r="D11" s="126" t="str" cm="1">
        <f t="array" ref="D11">INDEX('Questions global'!$A:$YP,ROW(D10)-ROW($A$2)+4,COLUMN(D10)-COLUMN($A$2)+1+$B$1)</f>
        <v/>
      </c>
      <c r="E11" s="104" t="str" cm="1">
        <f t="array" aca="1" ref="E11" ca="1">INDEX('Questions global'!$A:$YP,ROW(E10)-ROW($A$2)+4,COLUMN(E10)-COLUMN($A$2)+1+$B$1)</f>
        <v xml:space="preserve">   </v>
      </c>
      <c r="F11" s="105" t="str" cm="1">
        <f t="array" ref="F11">INDEX('Questions global'!$A:$YP,ROW(F10)-ROW($A$2)+4,COLUMN(F10)-COLUMN($A$2)+1+$B$1)</f>
        <v xml:space="preserve"> </v>
      </c>
      <c r="G11" s="112" t="str" cm="1">
        <f t="array" ref="G11">INDEX('Questions global'!$A:$YP,ROW(G10)-ROW($A$2)+4,COLUMN(G10)-COLUMN($A$2)+1+$B$1)</f>
        <v/>
      </c>
      <c r="H11" s="104" t="str" cm="1">
        <f t="array" aca="1" ref="H11" ca="1">INDEX('Questions global'!$A:$YP,ROW(H10)-ROW($A$2)+4,COLUMN(H10)-COLUMN($A$2)+1+$B$1)</f>
        <v/>
      </c>
      <c r="I11" s="119" t="str" cm="1">
        <f t="array" aca="1" ref="I11" ca="1">INDEX('Questions global'!$A:$YP,ROW(I10)-ROW($A$2)+4,COLUMN(I10)-COLUMN($A$2)+1+$B$1)</f>
        <v/>
      </c>
    </row>
    <row r="12" spans="1:9" ht="15" customHeight="1" x14ac:dyDescent="0.3">
      <c r="A12" s="118" cm="1">
        <f t="array" ref="A12">INDEX('Questions global'!$A:$YP,ROW(A11)-ROW($A$2)+4,COLUMN(A11)-COLUMN($A$2)+1+$B$1)</f>
        <v>11</v>
      </c>
      <c r="B12" s="106" t="str" cm="1">
        <f t="array" ref="B12">INDEX('Questions global'!$A:$YP,ROW(B11)-ROW($A$2)+4,COLUMN(B11)-COLUMN($A$2)+1+$B$1)</f>
        <v/>
      </c>
      <c r="C12" s="106" t="str" cm="1">
        <f t="array" ref="C12">INDEX('Questions global'!$A:$YP,ROW(C11)-ROW($A$2)+4,COLUMN(C11)-COLUMN($A$2)+1+$B$1)</f>
        <v/>
      </c>
      <c r="D12" s="126" t="str" cm="1">
        <f t="array" ref="D12">INDEX('Questions global'!$A:$YP,ROW(D11)-ROW($A$2)+4,COLUMN(D11)-COLUMN($A$2)+1+$B$1)</f>
        <v/>
      </c>
      <c r="E12" s="104" t="str" cm="1">
        <f t="array" aca="1" ref="E12" ca="1">INDEX('Questions global'!$A:$YP,ROW(E11)-ROW($A$2)+4,COLUMN(E11)-COLUMN($A$2)+1+$B$1)</f>
        <v xml:space="preserve">   </v>
      </c>
      <c r="F12" s="105" t="str" cm="1">
        <f t="array" ref="F12">INDEX('Questions global'!$A:$YP,ROW(F11)-ROW($A$2)+4,COLUMN(F11)-COLUMN($A$2)+1+$B$1)</f>
        <v xml:space="preserve"> </v>
      </c>
      <c r="G12" s="112" t="str" cm="1">
        <f t="array" ref="G12">INDEX('Questions global'!$A:$YP,ROW(G11)-ROW($A$2)+4,COLUMN(G11)-COLUMN($A$2)+1+$B$1)</f>
        <v/>
      </c>
      <c r="H12" s="104" t="str" cm="1">
        <f t="array" aca="1" ref="H12" ca="1">INDEX('Questions global'!$A:$YP,ROW(H11)-ROW($A$2)+4,COLUMN(H11)-COLUMN($A$2)+1+$B$1)</f>
        <v/>
      </c>
      <c r="I12" s="119" t="str" cm="1">
        <f t="array" aca="1" ref="I12" ca="1">INDEX('Questions global'!$A:$YP,ROW(I11)-ROW($A$2)+4,COLUMN(I11)-COLUMN($A$2)+1+$B$1)</f>
        <v/>
      </c>
    </row>
    <row r="13" spans="1:9" ht="15" customHeight="1" x14ac:dyDescent="0.3">
      <c r="A13" s="118" cm="1">
        <f t="array" ref="A13">INDEX('Questions global'!$A:$YP,ROW(A12)-ROW($A$2)+4,COLUMN(A12)-COLUMN($A$2)+1+$B$1)</f>
        <v>12</v>
      </c>
      <c r="B13" s="106" t="str" cm="1">
        <f t="array" ref="B13">INDEX('Questions global'!$A:$YP,ROW(B12)-ROW($A$2)+4,COLUMN(B12)-COLUMN($A$2)+1+$B$1)</f>
        <v/>
      </c>
      <c r="C13" s="106" t="str" cm="1">
        <f t="array" ref="C13">INDEX('Questions global'!$A:$YP,ROW(C12)-ROW($A$2)+4,COLUMN(C12)-COLUMN($A$2)+1+$B$1)</f>
        <v/>
      </c>
      <c r="D13" s="126" t="str" cm="1">
        <f t="array" ref="D13">INDEX('Questions global'!$A:$YP,ROW(D12)-ROW($A$2)+4,COLUMN(D12)-COLUMN($A$2)+1+$B$1)</f>
        <v/>
      </c>
      <c r="E13" s="104" t="str" cm="1">
        <f t="array" aca="1" ref="E13" ca="1">INDEX('Questions global'!$A:$YP,ROW(E12)-ROW($A$2)+4,COLUMN(E12)-COLUMN($A$2)+1+$B$1)</f>
        <v xml:space="preserve">   </v>
      </c>
      <c r="F13" s="105" t="str" cm="1">
        <f t="array" ref="F13">INDEX('Questions global'!$A:$YP,ROW(F12)-ROW($A$2)+4,COLUMN(F12)-COLUMN($A$2)+1+$B$1)</f>
        <v xml:space="preserve"> </v>
      </c>
      <c r="G13" s="112" t="str" cm="1">
        <f t="array" ref="G13">INDEX('Questions global'!$A:$YP,ROW(G12)-ROW($A$2)+4,COLUMN(G12)-COLUMN($A$2)+1+$B$1)</f>
        <v/>
      </c>
      <c r="H13" s="104" t="str" cm="1">
        <f t="array" aca="1" ref="H13" ca="1">INDEX('Questions global'!$A:$YP,ROW(H12)-ROW($A$2)+4,COLUMN(H12)-COLUMN($A$2)+1+$B$1)</f>
        <v/>
      </c>
      <c r="I13" s="119" t="str" cm="1">
        <f t="array" aca="1" ref="I13" ca="1">INDEX('Questions global'!$A:$YP,ROW(I12)-ROW($A$2)+4,COLUMN(I12)-COLUMN($A$2)+1+$B$1)</f>
        <v/>
      </c>
    </row>
    <row r="14" spans="1:9" ht="15" customHeight="1" x14ac:dyDescent="0.3">
      <c r="A14" s="118" cm="1">
        <f t="array" ref="A14">INDEX('Questions global'!$A:$YP,ROW(A13)-ROW($A$2)+4,COLUMN(A13)-COLUMN($A$2)+1+$B$1)</f>
        <v>13</v>
      </c>
      <c r="B14" s="106" t="str" cm="1">
        <f t="array" ref="B14">INDEX('Questions global'!$A:$YP,ROW(B13)-ROW($A$2)+4,COLUMN(B13)-COLUMN($A$2)+1+$B$1)</f>
        <v/>
      </c>
      <c r="C14" s="106" t="str" cm="1">
        <f t="array" ref="C14">INDEX('Questions global'!$A:$YP,ROW(C13)-ROW($A$2)+4,COLUMN(C13)-COLUMN($A$2)+1+$B$1)</f>
        <v/>
      </c>
      <c r="D14" s="126" t="str" cm="1">
        <f t="array" ref="D14">INDEX('Questions global'!$A:$YP,ROW(D13)-ROW($A$2)+4,COLUMN(D13)-COLUMN($A$2)+1+$B$1)</f>
        <v/>
      </c>
      <c r="E14" s="104" t="str" cm="1">
        <f t="array" aca="1" ref="E14" ca="1">INDEX('Questions global'!$A:$YP,ROW(E13)-ROW($A$2)+4,COLUMN(E13)-COLUMN($A$2)+1+$B$1)</f>
        <v xml:space="preserve">   </v>
      </c>
      <c r="F14" s="105" t="str" cm="1">
        <f t="array" ref="F14">INDEX('Questions global'!$A:$YP,ROW(F13)-ROW($A$2)+4,COLUMN(F13)-COLUMN($A$2)+1+$B$1)</f>
        <v xml:space="preserve"> </v>
      </c>
      <c r="G14" s="112" t="str" cm="1">
        <f t="array" ref="G14">INDEX('Questions global'!$A:$YP,ROW(G13)-ROW($A$2)+4,COLUMN(G13)-COLUMN($A$2)+1+$B$1)</f>
        <v/>
      </c>
      <c r="H14" s="104" t="str" cm="1">
        <f t="array" aca="1" ref="H14" ca="1">INDEX('Questions global'!$A:$YP,ROW(H13)-ROW($A$2)+4,COLUMN(H13)-COLUMN($A$2)+1+$B$1)</f>
        <v/>
      </c>
      <c r="I14" s="119" t="str" cm="1">
        <f t="array" aca="1" ref="I14" ca="1">INDEX('Questions global'!$A:$YP,ROW(I13)-ROW($A$2)+4,COLUMN(I13)-COLUMN($A$2)+1+$B$1)</f>
        <v/>
      </c>
    </row>
    <row r="15" spans="1:9" ht="15" customHeight="1" x14ac:dyDescent="0.3">
      <c r="A15" s="118" cm="1">
        <f t="array" ref="A15">INDEX('Questions global'!$A:$YP,ROW(A14)-ROW($A$2)+4,COLUMN(A14)-COLUMN($A$2)+1+$B$1)</f>
        <v>14</v>
      </c>
      <c r="B15" s="106" t="str" cm="1">
        <f t="array" ref="B15">INDEX('Questions global'!$A:$YP,ROW(B14)-ROW($A$2)+4,COLUMN(B14)-COLUMN($A$2)+1+$B$1)</f>
        <v/>
      </c>
      <c r="C15" s="106" t="str" cm="1">
        <f t="array" ref="C15">INDEX('Questions global'!$A:$YP,ROW(C14)-ROW($A$2)+4,COLUMN(C14)-COLUMN($A$2)+1+$B$1)</f>
        <v/>
      </c>
      <c r="D15" s="126" t="str" cm="1">
        <f t="array" ref="D15">INDEX('Questions global'!$A:$YP,ROW(D14)-ROW($A$2)+4,COLUMN(D14)-COLUMN($A$2)+1+$B$1)</f>
        <v/>
      </c>
      <c r="E15" s="104" t="str" cm="1">
        <f t="array" aca="1" ref="E15" ca="1">INDEX('Questions global'!$A:$YP,ROW(E14)-ROW($A$2)+4,COLUMN(E14)-COLUMN($A$2)+1+$B$1)</f>
        <v xml:space="preserve">   </v>
      </c>
      <c r="F15" s="105" t="str" cm="1">
        <f t="array" ref="F15">INDEX('Questions global'!$A:$YP,ROW(F14)-ROW($A$2)+4,COLUMN(F14)-COLUMN($A$2)+1+$B$1)</f>
        <v xml:space="preserve"> </v>
      </c>
      <c r="G15" s="112" t="str" cm="1">
        <f t="array" ref="G15">INDEX('Questions global'!$A:$YP,ROW(G14)-ROW($A$2)+4,COLUMN(G14)-COLUMN($A$2)+1+$B$1)</f>
        <v/>
      </c>
      <c r="H15" s="104" t="str" cm="1">
        <f t="array" aca="1" ref="H15" ca="1">INDEX('Questions global'!$A:$YP,ROW(H14)-ROW($A$2)+4,COLUMN(H14)-COLUMN($A$2)+1+$B$1)</f>
        <v/>
      </c>
      <c r="I15" s="119" t="str" cm="1">
        <f t="array" aca="1" ref="I15" ca="1">INDEX('Questions global'!$A:$YP,ROW(I14)-ROW($A$2)+4,COLUMN(I14)-COLUMN($A$2)+1+$B$1)</f>
        <v/>
      </c>
    </row>
    <row r="16" spans="1:9" ht="15" customHeight="1" x14ac:dyDescent="0.3">
      <c r="A16" s="118" cm="1">
        <f t="array" ref="A16">INDEX('Questions global'!$A:$YP,ROW(A15)-ROW($A$2)+4,COLUMN(A15)-COLUMN($A$2)+1+$B$1)</f>
        <v>15</v>
      </c>
      <c r="B16" s="106" t="str" cm="1">
        <f t="array" ref="B16">INDEX('Questions global'!$A:$YP,ROW(B15)-ROW($A$2)+4,COLUMN(B15)-COLUMN($A$2)+1+$B$1)</f>
        <v/>
      </c>
      <c r="C16" s="106" t="str" cm="1">
        <f t="array" ref="C16">INDEX('Questions global'!$A:$YP,ROW(C15)-ROW($A$2)+4,COLUMN(C15)-COLUMN($A$2)+1+$B$1)</f>
        <v/>
      </c>
      <c r="D16" s="126" t="str" cm="1">
        <f t="array" ref="D16">INDEX('Questions global'!$A:$YP,ROW(D15)-ROW($A$2)+4,COLUMN(D15)-COLUMN($A$2)+1+$B$1)</f>
        <v/>
      </c>
      <c r="E16" s="104" t="str" cm="1">
        <f t="array" aca="1" ref="E16" ca="1">INDEX('Questions global'!$A:$YP,ROW(E15)-ROW($A$2)+4,COLUMN(E15)-COLUMN($A$2)+1+$B$1)</f>
        <v xml:space="preserve">   </v>
      </c>
      <c r="F16" s="105" t="str" cm="1">
        <f t="array" ref="F16">INDEX('Questions global'!$A:$YP,ROW(F15)-ROW($A$2)+4,COLUMN(F15)-COLUMN($A$2)+1+$B$1)</f>
        <v xml:space="preserve"> </v>
      </c>
      <c r="G16" s="112" t="str" cm="1">
        <f t="array" ref="G16">INDEX('Questions global'!$A:$YP,ROW(G15)-ROW($A$2)+4,COLUMN(G15)-COLUMN($A$2)+1+$B$1)</f>
        <v/>
      </c>
      <c r="H16" s="104" t="str" cm="1">
        <f t="array" aca="1" ref="H16" ca="1">INDEX('Questions global'!$A:$YP,ROW(H15)-ROW($A$2)+4,COLUMN(H15)-COLUMN($A$2)+1+$B$1)</f>
        <v/>
      </c>
      <c r="I16" s="119" t="str" cm="1">
        <f t="array" aca="1" ref="I16" ca="1">INDEX('Questions global'!$A:$YP,ROW(I15)-ROW($A$2)+4,COLUMN(I15)-COLUMN($A$2)+1+$B$1)</f>
        <v/>
      </c>
    </row>
    <row r="17" spans="1:9" ht="15" customHeight="1" x14ac:dyDescent="0.3">
      <c r="A17" s="118" cm="1">
        <f t="array" ref="A17">INDEX('Questions global'!$A:$YP,ROW(A16)-ROW($A$2)+4,COLUMN(A16)-COLUMN($A$2)+1+$B$1)</f>
        <v>16</v>
      </c>
      <c r="B17" s="106" t="str" cm="1">
        <f t="array" ref="B17">INDEX('Questions global'!$A:$YP,ROW(B16)-ROW($A$2)+4,COLUMN(B16)-COLUMN($A$2)+1+$B$1)</f>
        <v/>
      </c>
      <c r="C17" s="106" t="str" cm="1">
        <f t="array" ref="C17">INDEX('Questions global'!$A:$YP,ROW(C16)-ROW($A$2)+4,COLUMN(C16)-COLUMN($A$2)+1+$B$1)</f>
        <v/>
      </c>
      <c r="D17" s="126" t="str" cm="1">
        <f t="array" ref="D17">INDEX('Questions global'!$A:$YP,ROW(D16)-ROW($A$2)+4,COLUMN(D16)-COLUMN($A$2)+1+$B$1)</f>
        <v/>
      </c>
      <c r="E17" s="104" t="str" cm="1">
        <f t="array" aca="1" ref="E17" ca="1">INDEX('Questions global'!$A:$YP,ROW(E16)-ROW($A$2)+4,COLUMN(E16)-COLUMN($A$2)+1+$B$1)</f>
        <v xml:space="preserve">   </v>
      </c>
      <c r="F17" s="105" t="str" cm="1">
        <f t="array" ref="F17">INDEX('Questions global'!$A:$YP,ROW(F16)-ROW($A$2)+4,COLUMN(F16)-COLUMN($A$2)+1+$B$1)</f>
        <v xml:space="preserve"> </v>
      </c>
      <c r="G17" s="112" t="str" cm="1">
        <f t="array" ref="G17">INDEX('Questions global'!$A:$YP,ROW(G16)-ROW($A$2)+4,COLUMN(G16)-COLUMN($A$2)+1+$B$1)</f>
        <v/>
      </c>
      <c r="H17" s="104" t="str" cm="1">
        <f t="array" aca="1" ref="H17" ca="1">INDEX('Questions global'!$A:$YP,ROW(H16)-ROW($A$2)+4,COLUMN(H16)-COLUMN($A$2)+1+$B$1)</f>
        <v/>
      </c>
      <c r="I17" s="119" t="str" cm="1">
        <f t="array" aca="1" ref="I17" ca="1">INDEX('Questions global'!$A:$YP,ROW(I16)-ROW($A$2)+4,COLUMN(I16)-COLUMN($A$2)+1+$B$1)</f>
        <v/>
      </c>
    </row>
    <row r="18" spans="1:9" ht="15" customHeight="1" x14ac:dyDescent="0.3">
      <c r="A18" s="118" cm="1">
        <f t="array" ref="A18">INDEX('Questions global'!$A:$YP,ROW(A17)-ROW($A$2)+4,COLUMN(A17)-COLUMN($A$2)+1+$B$1)</f>
        <v>17</v>
      </c>
      <c r="B18" s="106" t="str" cm="1">
        <f t="array" ref="B18">INDEX('Questions global'!$A:$YP,ROW(B17)-ROW($A$2)+4,COLUMN(B17)-COLUMN($A$2)+1+$B$1)</f>
        <v/>
      </c>
      <c r="C18" s="106" t="str" cm="1">
        <f t="array" ref="C18">INDEX('Questions global'!$A:$YP,ROW(C17)-ROW($A$2)+4,COLUMN(C17)-COLUMN($A$2)+1+$B$1)</f>
        <v/>
      </c>
      <c r="D18" s="126" t="str" cm="1">
        <f t="array" ref="D18">INDEX('Questions global'!$A:$YP,ROW(D17)-ROW($A$2)+4,COLUMN(D17)-COLUMN($A$2)+1+$B$1)</f>
        <v/>
      </c>
      <c r="E18" s="104" t="str" cm="1">
        <f t="array" aca="1" ref="E18" ca="1">INDEX('Questions global'!$A:$YP,ROW(E17)-ROW($A$2)+4,COLUMN(E17)-COLUMN($A$2)+1+$B$1)</f>
        <v xml:space="preserve">   </v>
      </c>
      <c r="F18" s="105" t="str" cm="1">
        <f t="array" ref="F18">INDEX('Questions global'!$A:$YP,ROW(F17)-ROW($A$2)+4,COLUMN(F17)-COLUMN($A$2)+1+$B$1)</f>
        <v xml:space="preserve"> </v>
      </c>
      <c r="G18" s="112" t="str" cm="1">
        <f t="array" ref="G18">INDEX('Questions global'!$A:$YP,ROW(G17)-ROW($A$2)+4,COLUMN(G17)-COLUMN($A$2)+1+$B$1)</f>
        <v/>
      </c>
      <c r="H18" s="104" t="str" cm="1">
        <f t="array" aca="1" ref="H18" ca="1">INDEX('Questions global'!$A:$YP,ROW(H17)-ROW($A$2)+4,COLUMN(H17)-COLUMN($A$2)+1+$B$1)</f>
        <v/>
      </c>
      <c r="I18" s="119" t="str" cm="1">
        <f t="array" aca="1" ref="I18" ca="1">INDEX('Questions global'!$A:$YP,ROW(I17)-ROW($A$2)+4,COLUMN(I17)-COLUMN($A$2)+1+$B$1)</f>
        <v/>
      </c>
    </row>
    <row r="19" spans="1:9" ht="15" customHeight="1" x14ac:dyDescent="0.3">
      <c r="A19" s="118" cm="1">
        <f t="array" ref="A19">INDEX('Questions global'!$A:$YP,ROW(A18)-ROW($A$2)+4,COLUMN(A18)-COLUMN($A$2)+1+$B$1)</f>
        <v>18</v>
      </c>
      <c r="B19" s="106" t="str" cm="1">
        <f t="array" ref="B19">INDEX('Questions global'!$A:$YP,ROW(B18)-ROW($A$2)+4,COLUMN(B18)-COLUMN($A$2)+1+$B$1)</f>
        <v/>
      </c>
      <c r="C19" s="106" t="str" cm="1">
        <f t="array" ref="C19">INDEX('Questions global'!$A:$YP,ROW(C18)-ROW($A$2)+4,COLUMN(C18)-COLUMN($A$2)+1+$B$1)</f>
        <v/>
      </c>
      <c r="D19" s="126" t="str" cm="1">
        <f t="array" ref="D19">INDEX('Questions global'!$A:$YP,ROW(D18)-ROW($A$2)+4,COLUMN(D18)-COLUMN($A$2)+1+$B$1)</f>
        <v/>
      </c>
      <c r="E19" s="104" t="str" cm="1">
        <f t="array" aca="1" ref="E19" ca="1">INDEX('Questions global'!$A:$YP,ROW(E18)-ROW($A$2)+4,COLUMN(E18)-COLUMN($A$2)+1+$B$1)</f>
        <v xml:space="preserve">   </v>
      </c>
      <c r="F19" s="105" t="str" cm="1">
        <f t="array" ref="F19">INDEX('Questions global'!$A:$YP,ROW(F18)-ROW($A$2)+4,COLUMN(F18)-COLUMN($A$2)+1+$B$1)</f>
        <v xml:space="preserve"> </v>
      </c>
      <c r="G19" s="112" t="str" cm="1">
        <f t="array" ref="G19">INDEX('Questions global'!$A:$YP,ROW(G18)-ROW($A$2)+4,COLUMN(G18)-COLUMN($A$2)+1+$B$1)</f>
        <v/>
      </c>
      <c r="H19" s="104" t="str" cm="1">
        <f t="array" aca="1" ref="H19" ca="1">INDEX('Questions global'!$A:$YP,ROW(H18)-ROW($A$2)+4,COLUMN(H18)-COLUMN($A$2)+1+$B$1)</f>
        <v/>
      </c>
      <c r="I19" s="119" t="str" cm="1">
        <f t="array" aca="1" ref="I19" ca="1">INDEX('Questions global'!$A:$YP,ROW(I18)-ROW($A$2)+4,COLUMN(I18)-COLUMN($A$2)+1+$B$1)</f>
        <v/>
      </c>
    </row>
    <row r="20" spans="1:9" ht="15" customHeight="1" x14ac:dyDescent="0.3">
      <c r="A20" s="118" cm="1">
        <f t="array" ref="A20">INDEX('Questions global'!$A:$YP,ROW(A19)-ROW($A$2)+4,COLUMN(A19)-COLUMN($A$2)+1+$B$1)</f>
        <v>19</v>
      </c>
      <c r="B20" s="106" t="str" cm="1">
        <f t="array" ref="B20">INDEX('Questions global'!$A:$YP,ROW(B19)-ROW($A$2)+4,COLUMN(B19)-COLUMN($A$2)+1+$B$1)</f>
        <v/>
      </c>
      <c r="C20" s="106" t="str" cm="1">
        <f t="array" ref="C20">INDEX('Questions global'!$A:$YP,ROW(C19)-ROW($A$2)+4,COLUMN(C19)-COLUMN($A$2)+1+$B$1)</f>
        <v/>
      </c>
      <c r="D20" s="126" t="str" cm="1">
        <f t="array" ref="D20">INDEX('Questions global'!$A:$YP,ROW(D19)-ROW($A$2)+4,COLUMN(D19)-COLUMN($A$2)+1+$B$1)</f>
        <v/>
      </c>
      <c r="E20" s="104" t="str" cm="1">
        <f t="array" aca="1" ref="E20" ca="1">INDEX('Questions global'!$A:$YP,ROW(E19)-ROW($A$2)+4,COLUMN(E19)-COLUMN($A$2)+1+$B$1)</f>
        <v xml:space="preserve">   </v>
      </c>
      <c r="F20" s="105" t="str" cm="1">
        <f t="array" ref="F20">INDEX('Questions global'!$A:$YP,ROW(F19)-ROW($A$2)+4,COLUMN(F19)-COLUMN($A$2)+1+$B$1)</f>
        <v xml:space="preserve"> </v>
      </c>
      <c r="G20" s="112" t="str" cm="1">
        <f t="array" ref="G20">INDEX('Questions global'!$A:$YP,ROW(G19)-ROW($A$2)+4,COLUMN(G19)-COLUMN($A$2)+1+$B$1)</f>
        <v/>
      </c>
      <c r="H20" s="104" t="str" cm="1">
        <f t="array" aca="1" ref="H20" ca="1">INDEX('Questions global'!$A:$YP,ROW(H19)-ROW($A$2)+4,COLUMN(H19)-COLUMN($A$2)+1+$B$1)</f>
        <v/>
      </c>
      <c r="I20" s="119" t="str" cm="1">
        <f t="array" aca="1" ref="I20" ca="1">INDEX('Questions global'!$A:$YP,ROW(I19)-ROW($A$2)+4,COLUMN(I19)-COLUMN($A$2)+1+$B$1)</f>
        <v/>
      </c>
    </row>
    <row r="21" spans="1:9" ht="15" customHeight="1" x14ac:dyDescent="0.3">
      <c r="A21" s="118" cm="1">
        <f t="array" ref="A21">INDEX('Questions global'!$A:$YP,ROW(A20)-ROW($A$2)+4,COLUMN(A20)-COLUMN($A$2)+1+$B$1)</f>
        <v>20</v>
      </c>
      <c r="B21" s="106" t="str" cm="1">
        <f t="array" ref="B21">INDEX('Questions global'!$A:$YP,ROW(B20)-ROW($A$2)+4,COLUMN(B20)-COLUMN($A$2)+1+$B$1)</f>
        <v/>
      </c>
      <c r="C21" s="106" t="str" cm="1">
        <f t="array" ref="C21">INDEX('Questions global'!$A:$YP,ROW(C20)-ROW($A$2)+4,COLUMN(C20)-COLUMN($A$2)+1+$B$1)</f>
        <v/>
      </c>
      <c r="D21" s="126" t="str" cm="1">
        <f t="array" ref="D21">INDEX('Questions global'!$A:$YP,ROW(D20)-ROW($A$2)+4,COLUMN(D20)-COLUMN($A$2)+1+$B$1)</f>
        <v/>
      </c>
      <c r="E21" s="104" t="str" cm="1">
        <f t="array" aca="1" ref="E21" ca="1">INDEX('Questions global'!$A:$YP,ROW(E20)-ROW($A$2)+4,COLUMN(E20)-COLUMN($A$2)+1+$B$1)</f>
        <v xml:space="preserve">   </v>
      </c>
      <c r="F21" s="105" t="str" cm="1">
        <f t="array" ref="F21">INDEX('Questions global'!$A:$YP,ROW(F20)-ROW($A$2)+4,COLUMN(F20)-COLUMN($A$2)+1+$B$1)</f>
        <v xml:space="preserve"> </v>
      </c>
      <c r="G21" s="112" t="str" cm="1">
        <f t="array" ref="G21">INDEX('Questions global'!$A:$YP,ROW(G20)-ROW($A$2)+4,COLUMN(G20)-COLUMN($A$2)+1+$B$1)</f>
        <v/>
      </c>
      <c r="H21" s="104" t="str" cm="1">
        <f t="array" aca="1" ref="H21" ca="1">INDEX('Questions global'!$A:$YP,ROW(H20)-ROW($A$2)+4,COLUMN(H20)-COLUMN($A$2)+1+$B$1)</f>
        <v/>
      </c>
      <c r="I21" s="119" t="str" cm="1">
        <f t="array" aca="1" ref="I21" ca="1">INDEX('Questions global'!$A:$YP,ROW(I20)-ROW($A$2)+4,COLUMN(I20)-COLUMN($A$2)+1+$B$1)</f>
        <v/>
      </c>
    </row>
    <row r="22" spans="1:9" ht="15" customHeight="1" x14ac:dyDescent="0.3">
      <c r="A22" s="118" cm="1">
        <f t="array" ref="A22">INDEX('Questions global'!$A:$YP,ROW(A21)-ROW($A$2)+4,COLUMN(A21)-COLUMN($A$2)+1+$B$1)</f>
        <v>21</v>
      </c>
      <c r="B22" s="106" t="str" cm="1">
        <f t="array" ref="B22">INDEX('Questions global'!$A:$YP,ROW(B21)-ROW($A$2)+4,COLUMN(B21)-COLUMN($A$2)+1+$B$1)</f>
        <v/>
      </c>
      <c r="C22" s="106" t="str" cm="1">
        <f t="array" ref="C22">INDEX('Questions global'!$A:$YP,ROW(C21)-ROW($A$2)+4,COLUMN(C21)-COLUMN($A$2)+1+$B$1)</f>
        <v/>
      </c>
      <c r="D22" s="126" t="str" cm="1">
        <f t="array" ref="D22">INDEX('Questions global'!$A:$YP,ROW(D21)-ROW($A$2)+4,COLUMN(D21)-COLUMN($A$2)+1+$B$1)</f>
        <v/>
      </c>
      <c r="E22" s="104" t="str" cm="1">
        <f t="array" aca="1" ref="E22" ca="1">INDEX('Questions global'!$A:$YP,ROW(E21)-ROW($A$2)+4,COLUMN(E21)-COLUMN($A$2)+1+$B$1)</f>
        <v xml:space="preserve">   </v>
      </c>
      <c r="F22" s="105" t="str" cm="1">
        <f t="array" ref="F22">INDEX('Questions global'!$A:$YP,ROW(F21)-ROW($A$2)+4,COLUMN(F21)-COLUMN($A$2)+1+$B$1)</f>
        <v xml:space="preserve"> </v>
      </c>
      <c r="G22" s="112" t="str" cm="1">
        <f t="array" ref="G22">INDEX('Questions global'!$A:$YP,ROW(G21)-ROW($A$2)+4,COLUMN(G21)-COLUMN($A$2)+1+$B$1)</f>
        <v/>
      </c>
      <c r="H22" s="104" t="str" cm="1">
        <f t="array" aca="1" ref="H22" ca="1">INDEX('Questions global'!$A:$YP,ROW(H21)-ROW($A$2)+4,COLUMN(H21)-COLUMN($A$2)+1+$B$1)</f>
        <v/>
      </c>
      <c r="I22" s="119" t="str" cm="1">
        <f t="array" aca="1" ref="I22" ca="1">INDEX('Questions global'!$A:$YP,ROW(I21)-ROW($A$2)+4,COLUMN(I21)-COLUMN($A$2)+1+$B$1)</f>
        <v/>
      </c>
    </row>
    <row r="23" spans="1:9" ht="15" customHeight="1" x14ac:dyDescent="0.3">
      <c r="A23" s="118" cm="1">
        <f t="array" ref="A23">INDEX('Questions global'!$A:$YP,ROW(A22)-ROW($A$2)+4,COLUMN(A22)-COLUMN($A$2)+1+$B$1)</f>
        <v>22</v>
      </c>
      <c r="B23" s="106" t="str" cm="1">
        <f t="array" ref="B23">INDEX('Questions global'!$A:$YP,ROW(B22)-ROW($A$2)+4,COLUMN(B22)-COLUMN($A$2)+1+$B$1)</f>
        <v/>
      </c>
      <c r="C23" s="106" t="str" cm="1">
        <f t="array" ref="C23">INDEX('Questions global'!$A:$YP,ROW(C22)-ROW($A$2)+4,COLUMN(C22)-COLUMN($A$2)+1+$B$1)</f>
        <v/>
      </c>
      <c r="D23" s="126" t="str" cm="1">
        <f t="array" ref="D23">INDEX('Questions global'!$A:$YP,ROW(D22)-ROW($A$2)+4,COLUMN(D22)-COLUMN($A$2)+1+$B$1)</f>
        <v/>
      </c>
      <c r="E23" s="104" t="str" cm="1">
        <f t="array" aca="1" ref="E23" ca="1">INDEX('Questions global'!$A:$YP,ROW(E22)-ROW($A$2)+4,COLUMN(E22)-COLUMN($A$2)+1+$B$1)</f>
        <v xml:space="preserve">   </v>
      </c>
      <c r="F23" s="105" t="str" cm="1">
        <f t="array" ref="F23">INDEX('Questions global'!$A:$YP,ROW(F22)-ROW($A$2)+4,COLUMN(F22)-COLUMN($A$2)+1+$B$1)</f>
        <v xml:space="preserve"> </v>
      </c>
      <c r="G23" s="112" t="str" cm="1">
        <f t="array" ref="G23">INDEX('Questions global'!$A:$YP,ROW(G22)-ROW($A$2)+4,COLUMN(G22)-COLUMN($A$2)+1+$B$1)</f>
        <v/>
      </c>
      <c r="H23" s="104" t="str" cm="1">
        <f t="array" aca="1" ref="H23" ca="1">INDEX('Questions global'!$A:$YP,ROW(H22)-ROW($A$2)+4,COLUMN(H22)-COLUMN($A$2)+1+$B$1)</f>
        <v/>
      </c>
      <c r="I23" s="119" t="str" cm="1">
        <f t="array" aca="1" ref="I23" ca="1">INDEX('Questions global'!$A:$YP,ROW(I22)-ROW($A$2)+4,COLUMN(I22)-COLUMN($A$2)+1+$B$1)</f>
        <v/>
      </c>
    </row>
    <row r="24" spans="1:9" ht="15" customHeight="1" x14ac:dyDescent="0.3">
      <c r="A24" s="118" cm="1">
        <f t="array" ref="A24">INDEX('Questions global'!$A:$YP,ROW(A23)-ROW($A$2)+4,COLUMN(A23)-COLUMN($A$2)+1+$B$1)</f>
        <v>23</v>
      </c>
      <c r="B24" s="106" t="str" cm="1">
        <f t="array" ref="B24">INDEX('Questions global'!$A:$YP,ROW(B23)-ROW($A$2)+4,COLUMN(B23)-COLUMN($A$2)+1+$B$1)</f>
        <v/>
      </c>
      <c r="C24" s="106" t="str" cm="1">
        <f t="array" ref="C24">INDEX('Questions global'!$A:$YP,ROW(C23)-ROW($A$2)+4,COLUMN(C23)-COLUMN($A$2)+1+$B$1)</f>
        <v/>
      </c>
      <c r="D24" s="126" t="str" cm="1">
        <f t="array" ref="D24">INDEX('Questions global'!$A:$YP,ROW(D23)-ROW($A$2)+4,COLUMN(D23)-COLUMN($A$2)+1+$B$1)</f>
        <v/>
      </c>
      <c r="E24" s="104" t="str" cm="1">
        <f t="array" aca="1" ref="E24" ca="1">INDEX('Questions global'!$A:$YP,ROW(E23)-ROW($A$2)+4,COLUMN(E23)-COLUMN($A$2)+1+$B$1)</f>
        <v xml:space="preserve">   </v>
      </c>
      <c r="F24" s="105" t="str" cm="1">
        <f t="array" ref="F24">INDEX('Questions global'!$A:$YP,ROW(F23)-ROW($A$2)+4,COLUMN(F23)-COLUMN($A$2)+1+$B$1)</f>
        <v xml:space="preserve"> </v>
      </c>
      <c r="G24" s="112" t="str" cm="1">
        <f t="array" ref="G24">INDEX('Questions global'!$A:$YP,ROW(G23)-ROW($A$2)+4,COLUMN(G23)-COLUMN($A$2)+1+$B$1)</f>
        <v/>
      </c>
      <c r="H24" s="104" t="str" cm="1">
        <f t="array" aca="1" ref="H24" ca="1">INDEX('Questions global'!$A:$YP,ROW(H23)-ROW($A$2)+4,COLUMN(H23)-COLUMN($A$2)+1+$B$1)</f>
        <v/>
      </c>
      <c r="I24" s="119" t="str" cm="1">
        <f t="array" aca="1" ref="I24" ca="1">INDEX('Questions global'!$A:$YP,ROW(I23)-ROW($A$2)+4,COLUMN(I23)-COLUMN($A$2)+1+$B$1)</f>
        <v/>
      </c>
    </row>
    <row r="25" spans="1:9" ht="15" customHeight="1" x14ac:dyDescent="0.3">
      <c r="A25" s="118" cm="1">
        <f t="array" ref="A25">INDEX('Questions global'!$A:$YP,ROW(A24)-ROW($A$2)+4,COLUMN(A24)-COLUMN($A$2)+1+$B$1)</f>
        <v>24</v>
      </c>
      <c r="B25" s="106" t="str" cm="1">
        <f t="array" ref="B25">INDEX('Questions global'!$A:$YP,ROW(B24)-ROW($A$2)+4,COLUMN(B24)-COLUMN($A$2)+1+$B$1)</f>
        <v/>
      </c>
      <c r="C25" s="106" t="str" cm="1">
        <f t="array" ref="C25">INDEX('Questions global'!$A:$YP,ROW(C24)-ROW($A$2)+4,COLUMN(C24)-COLUMN($A$2)+1+$B$1)</f>
        <v/>
      </c>
      <c r="D25" s="126" t="str" cm="1">
        <f t="array" ref="D25">INDEX('Questions global'!$A:$YP,ROW(D24)-ROW($A$2)+4,COLUMN(D24)-COLUMN($A$2)+1+$B$1)</f>
        <v/>
      </c>
      <c r="E25" s="104" t="str" cm="1">
        <f t="array" aca="1" ref="E25" ca="1">INDEX('Questions global'!$A:$YP,ROW(E24)-ROW($A$2)+4,COLUMN(E24)-COLUMN($A$2)+1+$B$1)</f>
        <v xml:space="preserve">   </v>
      </c>
      <c r="F25" s="105" t="str" cm="1">
        <f t="array" ref="F25">INDEX('Questions global'!$A:$YP,ROW(F24)-ROW($A$2)+4,COLUMN(F24)-COLUMN($A$2)+1+$B$1)</f>
        <v xml:space="preserve"> </v>
      </c>
      <c r="G25" s="112" t="str" cm="1">
        <f t="array" ref="G25">INDEX('Questions global'!$A:$YP,ROW(G24)-ROW($A$2)+4,COLUMN(G24)-COLUMN($A$2)+1+$B$1)</f>
        <v/>
      </c>
      <c r="H25" s="104" t="str" cm="1">
        <f t="array" aca="1" ref="H25" ca="1">INDEX('Questions global'!$A:$YP,ROW(H24)-ROW($A$2)+4,COLUMN(H24)-COLUMN($A$2)+1+$B$1)</f>
        <v/>
      </c>
      <c r="I25" s="119" t="str" cm="1">
        <f t="array" aca="1" ref="I25" ca="1">INDEX('Questions global'!$A:$YP,ROW(I24)-ROW($A$2)+4,COLUMN(I24)-COLUMN($A$2)+1+$B$1)</f>
        <v/>
      </c>
    </row>
    <row r="26" spans="1:9" ht="15" customHeight="1" x14ac:dyDescent="0.3">
      <c r="A26" s="118" cm="1">
        <f t="array" ref="A26">INDEX('Questions global'!$A:$YP,ROW(A25)-ROW($A$2)+4,COLUMN(A25)-COLUMN($A$2)+1+$B$1)</f>
        <v>25</v>
      </c>
      <c r="B26" s="106" t="str" cm="1">
        <f t="array" ref="B26">INDEX('Questions global'!$A:$YP,ROW(B25)-ROW($A$2)+4,COLUMN(B25)-COLUMN($A$2)+1+$B$1)</f>
        <v/>
      </c>
      <c r="C26" s="106" t="str" cm="1">
        <f t="array" ref="C26">INDEX('Questions global'!$A:$YP,ROW(C25)-ROW($A$2)+4,COLUMN(C25)-COLUMN($A$2)+1+$B$1)</f>
        <v/>
      </c>
      <c r="D26" s="126" t="str" cm="1">
        <f t="array" ref="D26">INDEX('Questions global'!$A:$YP,ROW(D25)-ROW($A$2)+4,COLUMN(D25)-COLUMN($A$2)+1+$B$1)</f>
        <v/>
      </c>
      <c r="E26" s="104" t="str" cm="1">
        <f t="array" aca="1" ref="E26" ca="1">INDEX('Questions global'!$A:$YP,ROW(E25)-ROW($A$2)+4,COLUMN(E25)-COLUMN($A$2)+1+$B$1)</f>
        <v xml:space="preserve">   </v>
      </c>
      <c r="F26" s="105" t="str" cm="1">
        <f t="array" ref="F26">INDEX('Questions global'!$A:$YP,ROW(F25)-ROW($A$2)+4,COLUMN(F25)-COLUMN($A$2)+1+$B$1)</f>
        <v xml:space="preserve"> </v>
      </c>
      <c r="G26" s="112" t="str" cm="1">
        <f t="array" ref="G26">INDEX('Questions global'!$A:$YP,ROW(G25)-ROW($A$2)+4,COLUMN(G25)-COLUMN($A$2)+1+$B$1)</f>
        <v/>
      </c>
      <c r="H26" s="104" t="str" cm="1">
        <f t="array" aca="1" ref="H26" ca="1">INDEX('Questions global'!$A:$YP,ROW(H25)-ROW($A$2)+4,COLUMN(H25)-COLUMN($A$2)+1+$B$1)</f>
        <v/>
      </c>
      <c r="I26" s="119" t="str" cm="1">
        <f t="array" aca="1" ref="I26" ca="1">INDEX('Questions global'!$A:$YP,ROW(I25)-ROW($A$2)+4,COLUMN(I25)-COLUMN($A$2)+1+$B$1)</f>
        <v/>
      </c>
    </row>
    <row r="27" spans="1:9" ht="15" customHeight="1" x14ac:dyDescent="0.3">
      <c r="A27" s="118" cm="1">
        <f t="array" ref="A27">INDEX('Questions global'!$A:$YP,ROW(A26)-ROW($A$2)+4,COLUMN(A26)-COLUMN($A$2)+1+$B$1)</f>
        <v>26</v>
      </c>
      <c r="B27" s="106" t="str" cm="1">
        <f t="array" ref="B27">INDEX('Questions global'!$A:$YP,ROW(B26)-ROW($A$2)+4,COLUMN(B26)-COLUMN($A$2)+1+$B$1)</f>
        <v/>
      </c>
      <c r="C27" s="106" t="str" cm="1">
        <f t="array" ref="C27">INDEX('Questions global'!$A:$YP,ROW(C26)-ROW($A$2)+4,COLUMN(C26)-COLUMN($A$2)+1+$B$1)</f>
        <v/>
      </c>
      <c r="D27" s="126" t="str" cm="1">
        <f t="array" ref="D27">INDEX('Questions global'!$A:$YP,ROW(D26)-ROW($A$2)+4,COLUMN(D26)-COLUMN($A$2)+1+$B$1)</f>
        <v/>
      </c>
      <c r="E27" s="104" t="str" cm="1">
        <f t="array" aca="1" ref="E27" ca="1">INDEX('Questions global'!$A:$YP,ROW(E26)-ROW($A$2)+4,COLUMN(E26)-COLUMN($A$2)+1+$B$1)</f>
        <v xml:space="preserve">   </v>
      </c>
      <c r="F27" s="105" t="str" cm="1">
        <f t="array" ref="F27">INDEX('Questions global'!$A:$YP,ROW(F26)-ROW($A$2)+4,COLUMN(F26)-COLUMN($A$2)+1+$B$1)</f>
        <v xml:space="preserve"> </v>
      </c>
      <c r="G27" s="112" t="str" cm="1">
        <f t="array" ref="G27">INDEX('Questions global'!$A:$YP,ROW(G26)-ROW($A$2)+4,COLUMN(G26)-COLUMN($A$2)+1+$B$1)</f>
        <v/>
      </c>
      <c r="H27" s="104" t="str" cm="1">
        <f t="array" aca="1" ref="H27" ca="1">INDEX('Questions global'!$A:$YP,ROW(H26)-ROW($A$2)+4,COLUMN(H26)-COLUMN($A$2)+1+$B$1)</f>
        <v/>
      </c>
      <c r="I27" s="119" t="str" cm="1">
        <f t="array" aca="1" ref="I27" ca="1">INDEX('Questions global'!$A:$YP,ROW(I26)-ROW($A$2)+4,COLUMN(I26)-COLUMN($A$2)+1+$B$1)</f>
        <v/>
      </c>
    </row>
    <row r="28" spans="1:9" ht="15" customHeight="1" x14ac:dyDescent="0.3">
      <c r="A28" s="118" cm="1">
        <f t="array" ref="A28">INDEX('Questions global'!$A:$YP,ROW(A27)-ROW($A$2)+4,COLUMN(A27)-COLUMN($A$2)+1+$B$1)</f>
        <v>27</v>
      </c>
      <c r="B28" s="106" t="str" cm="1">
        <f t="array" ref="B28">INDEX('Questions global'!$A:$YP,ROW(B27)-ROW($A$2)+4,COLUMN(B27)-COLUMN($A$2)+1+$B$1)</f>
        <v/>
      </c>
      <c r="C28" s="106" t="str" cm="1">
        <f t="array" ref="C28">INDEX('Questions global'!$A:$YP,ROW(C27)-ROW($A$2)+4,COLUMN(C27)-COLUMN($A$2)+1+$B$1)</f>
        <v/>
      </c>
      <c r="D28" s="126" t="str" cm="1">
        <f t="array" ref="D28">INDEX('Questions global'!$A:$YP,ROW(D27)-ROW($A$2)+4,COLUMN(D27)-COLUMN($A$2)+1+$B$1)</f>
        <v/>
      </c>
      <c r="E28" s="104" t="str" cm="1">
        <f t="array" aca="1" ref="E28" ca="1">INDEX('Questions global'!$A:$YP,ROW(E27)-ROW($A$2)+4,COLUMN(E27)-COLUMN($A$2)+1+$B$1)</f>
        <v xml:space="preserve">   </v>
      </c>
      <c r="F28" s="105" t="str" cm="1">
        <f t="array" ref="F28">INDEX('Questions global'!$A:$YP,ROW(F27)-ROW($A$2)+4,COLUMN(F27)-COLUMN($A$2)+1+$B$1)</f>
        <v xml:space="preserve"> </v>
      </c>
      <c r="G28" s="112" t="str" cm="1">
        <f t="array" ref="G28">INDEX('Questions global'!$A:$YP,ROW(G27)-ROW($A$2)+4,COLUMN(G27)-COLUMN($A$2)+1+$B$1)</f>
        <v/>
      </c>
      <c r="H28" s="104" t="str" cm="1">
        <f t="array" aca="1" ref="H28" ca="1">INDEX('Questions global'!$A:$YP,ROW(H27)-ROW($A$2)+4,COLUMN(H27)-COLUMN($A$2)+1+$B$1)</f>
        <v/>
      </c>
      <c r="I28" s="119" t="str" cm="1">
        <f t="array" aca="1" ref="I28" ca="1">INDEX('Questions global'!$A:$YP,ROW(I27)-ROW($A$2)+4,COLUMN(I27)-COLUMN($A$2)+1+$B$1)</f>
        <v/>
      </c>
    </row>
    <row r="29" spans="1:9" ht="15" customHeight="1" x14ac:dyDescent="0.3">
      <c r="A29" s="118" cm="1">
        <f t="array" ref="A29">INDEX('Questions global'!$A:$YP,ROW(A28)-ROW($A$2)+4,COLUMN(A28)-COLUMN($A$2)+1+$B$1)</f>
        <v>28</v>
      </c>
      <c r="B29" s="106" t="str" cm="1">
        <f t="array" ref="B29">INDEX('Questions global'!$A:$YP,ROW(B28)-ROW($A$2)+4,COLUMN(B28)-COLUMN($A$2)+1+$B$1)</f>
        <v/>
      </c>
      <c r="C29" s="106" t="str" cm="1">
        <f t="array" ref="C29">INDEX('Questions global'!$A:$YP,ROW(C28)-ROW($A$2)+4,COLUMN(C28)-COLUMN($A$2)+1+$B$1)</f>
        <v/>
      </c>
      <c r="D29" s="126" t="str" cm="1">
        <f t="array" ref="D29">INDEX('Questions global'!$A:$YP,ROW(D28)-ROW($A$2)+4,COLUMN(D28)-COLUMN($A$2)+1+$B$1)</f>
        <v/>
      </c>
      <c r="E29" s="104" t="str" cm="1">
        <f t="array" aca="1" ref="E29" ca="1">INDEX('Questions global'!$A:$YP,ROW(E28)-ROW($A$2)+4,COLUMN(E28)-COLUMN($A$2)+1+$B$1)</f>
        <v xml:space="preserve">   </v>
      </c>
      <c r="F29" s="105" t="str" cm="1">
        <f t="array" ref="F29">INDEX('Questions global'!$A:$YP,ROW(F28)-ROW($A$2)+4,COLUMN(F28)-COLUMN($A$2)+1+$B$1)</f>
        <v xml:space="preserve"> </v>
      </c>
      <c r="G29" s="112" t="str" cm="1">
        <f t="array" ref="G29">INDEX('Questions global'!$A:$YP,ROW(G28)-ROW($A$2)+4,COLUMN(G28)-COLUMN($A$2)+1+$B$1)</f>
        <v/>
      </c>
      <c r="H29" s="104" t="str" cm="1">
        <f t="array" aca="1" ref="H29" ca="1">INDEX('Questions global'!$A:$YP,ROW(H28)-ROW($A$2)+4,COLUMN(H28)-COLUMN($A$2)+1+$B$1)</f>
        <v/>
      </c>
      <c r="I29" s="119" t="str" cm="1">
        <f t="array" aca="1" ref="I29" ca="1">INDEX('Questions global'!$A:$YP,ROW(I28)-ROW($A$2)+4,COLUMN(I28)-COLUMN($A$2)+1+$B$1)</f>
        <v/>
      </c>
    </row>
    <row r="30" spans="1:9" ht="15" customHeight="1" x14ac:dyDescent="0.3">
      <c r="A30" s="118" cm="1">
        <f t="array" ref="A30">INDEX('Questions global'!$A:$YP,ROW(A29)-ROW($A$2)+4,COLUMN(A29)-COLUMN($A$2)+1+$B$1)</f>
        <v>29</v>
      </c>
      <c r="B30" s="106" t="str" cm="1">
        <f t="array" ref="B30">INDEX('Questions global'!$A:$YP,ROW(B29)-ROW($A$2)+4,COLUMN(B29)-COLUMN($A$2)+1+$B$1)</f>
        <v/>
      </c>
      <c r="C30" s="106" t="str" cm="1">
        <f t="array" ref="C30">INDEX('Questions global'!$A:$YP,ROW(C29)-ROW($A$2)+4,COLUMN(C29)-COLUMN($A$2)+1+$B$1)</f>
        <v/>
      </c>
      <c r="D30" s="126" t="str" cm="1">
        <f t="array" ref="D30">INDEX('Questions global'!$A:$YP,ROW(D29)-ROW($A$2)+4,COLUMN(D29)-COLUMN($A$2)+1+$B$1)</f>
        <v/>
      </c>
      <c r="E30" s="104" t="str" cm="1">
        <f t="array" aca="1" ref="E30" ca="1">INDEX('Questions global'!$A:$YP,ROW(E29)-ROW($A$2)+4,COLUMN(E29)-COLUMN($A$2)+1+$B$1)</f>
        <v xml:space="preserve">   </v>
      </c>
      <c r="F30" s="105" t="str" cm="1">
        <f t="array" ref="F30">INDEX('Questions global'!$A:$YP,ROW(F29)-ROW($A$2)+4,COLUMN(F29)-COLUMN($A$2)+1+$B$1)</f>
        <v xml:space="preserve"> </v>
      </c>
      <c r="G30" s="112" t="str" cm="1">
        <f t="array" ref="G30">INDEX('Questions global'!$A:$YP,ROW(G29)-ROW($A$2)+4,COLUMN(G29)-COLUMN($A$2)+1+$B$1)</f>
        <v/>
      </c>
      <c r="H30" s="104" t="str" cm="1">
        <f t="array" aca="1" ref="H30" ca="1">INDEX('Questions global'!$A:$YP,ROW(H29)-ROW($A$2)+4,COLUMN(H29)-COLUMN($A$2)+1+$B$1)</f>
        <v/>
      </c>
      <c r="I30" s="119" t="str" cm="1">
        <f t="array" aca="1" ref="I30" ca="1">INDEX('Questions global'!$A:$YP,ROW(I29)-ROW($A$2)+4,COLUMN(I29)-COLUMN($A$2)+1+$B$1)</f>
        <v/>
      </c>
    </row>
    <row r="31" spans="1:9" ht="15" customHeight="1" x14ac:dyDescent="0.3">
      <c r="A31" s="118" cm="1">
        <f t="array" ref="A31">INDEX('Questions global'!$A:$YP,ROW(A30)-ROW($A$2)+4,COLUMN(A30)-COLUMN($A$2)+1+$B$1)</f>
        <v>30</v>
      </c>
      <c r="B31" s="106" t="str" cm="1">
        <f t="array" ref="B31">INDEX('Questions global'!$A:$YP,ROW(B30)-ROW($A$2)+4,COLUMN(B30)-COLUMN($A$2)+1+$B$1)</f>
        <v/>
      </c>
      <c r="C31" s="106" t="str" cm="1">
        <f t="array" ref="C31">INDEX('Questions global'!$A:$YP,ROW(C30)-ROW($A$2)+4,COLUMN(C30)-COLUMN($A$2)+1+$B$1)</f>
        <v/>
      </c>
      <c r="D31" s="126" t="str" cm="1">
        <f t="array" ref="D31">INDEX('Questions global'!$A:$YP,ROW(D30)-ROW($A$2)+4,COLUMN(D30)-COLUMN($A$2)+1+$B$1)</f>
        <v/>
      </c>
      <c r="E31" s="104" t="str" cm="1">
        <f t="array" aca="1" ref="E31" ca="1">INDEX('Questions global'!$A:$YP,ROW(E30)-ROW($A$2)+4,COLUMN(E30)-COLUMN($A$2)+1+$B$1)</f>
        <v xml:space="preserve">   </v>
      </c>
      <c r="F31" s="105" t="str" cm="1">
        <f t="array" ref="F31">INDEX('Questions global'!$A:$YP,ROW(F30)-ROW($A$2)+4,COLUMN(F30)-COLUMN($A$2)+1+$B$1)</f>
        <v xml:space="preserve"> </v>
      </c>
      <c r="G31" s="112" t="str" cm="1">
        <f t="array" ref="G31">INDEX('Questions global'!$A:$YP,ROW(G30)-ROW($A$2)+4,COLUMN(G30)-COLUMN($A$2)+1+$B$1)</f>
        <v/>
      </c>
      <c r="H31" s="104" t="str" cm="1">
        <f t="array" aca="1" ref="H31" ca="1">INDEX('Questions global'!$A:$YP,ROW(H30)-ROW($A$2)+4,COLUMN(H30)-COLUMN($A$2)+1+$B$1)</f>
        <v/>
      </c>
      <c r="I31" s="119" t="str" cm="1">
        <f t="array" aca="1" ref="I31" ca="1">INDEX('Questions global'!$A:$YP,ROW(I30)-ROW($A$2)+4,COLUMN(I30)-COLUMN($A$2)+1+$B$1)</f>
        <v/>
      </c>
    </row>
    <row r="32" spans="1:9" ht="15" customHeight="1" x14ac:dyDescent="0.3">
      <c r="A32" s="118" cm="1">
        <f t="array" ref="A32">INDEX('Questions global'!$A:$YP,ROW(A31)-ROW($A$2)+4,COLUMN(A31)-COLUMN($A$2)+1+$B$1)</f>
        <v>31</v>
      </c>
      <c r="B32" s="106" t="str" cm="1">
        <f t="array" ref="B32">INDEX('Questions global'!$A:$YP,ROW(B31)-ROW($A$2)+4,COLUMN(B31)-COLUMN($A$2)+1+$B$1)</f>
        <v/>
      </c>
      <c r="C32" s="106" t="str" cm="1">
        <f t="array" ref="C32">INDEX('Questions global'!$A:$YP,ROW(C31)-ROW($A$2)+4,COLUMN(C31)-COLUMN($A$2)+1+$B$1)</f>
        <v/>
      </c>
      <c r="D32" s="126" t="str" cm="1">
        <f t="array" ref="D32">INDEX('Questions global'!$A:$YP,ROW(D31)-ROW($A$2)+4,COLUMN(D31)-COLUMN($A$2)+1+$B$1)</f>
        <v/>
      </c>
      <c r="E32" s="104" t="str" cm="1">
        <f t="array" aca="1" ref="E32" ca="1">INDEX('Questions global'!$A:$YP,ROW(E31)-ROW($A$2)+4,COLUMN(E31)-COLUMN($A$2)+1+$B$1)</f>
        <v xml:space="preserve">   </v>
      </c>
      <c r="F32" s="105" t="str" cm="1">
        <f t="array" ref="F32">INDEX('Questions global'!$A:$YP,ROW(F31)-ROW($A$2)+4,COLUMN(F31)-COLUMN($A$2)+1+$B$1)</f>
        <v xml:space="preserve"> </v>
      </c>
      <c r="G32" s="112" t="str" cm="1">
        <f t="array" ref="G32">INDEX('Questions global'!$A:$YP,ROW(G31)-ROW($A$2)+4,COLUMN(G31)-COLUMN($A$2)+1+$B$1)</f>
        <v/>
      </c>
      <c r="H32" s="104" t="str" cm="1">
        <f t="array" aca="1" ref="H32" ca="1">INDEX('Questions global'!$A:$YP,ROW(H31)-ROW($A$2)+4,COLUMN(H31)-COLUMN($A$2)+1+$B$1)</f>
        <v/>
      </c>
      <c r="I32" s="119" t="str" cm="1">
        <f t="array" aca="1" ref="I32" ca="1">INDEX('Questions global'!$A:$YP,ROW(I31)-ROW($A$2)+4,COLUMN(I31)-COLUMN($A$2)+1+$B$1)</f>
        <v/>
      </c>
    </row>
    <row r="33" spans="1:9" ht="15" customHeight="1" x14ac:dyDescent="0.3">
      <c r="A33" s="118" cm="1">
        <f t="array" ref="A33">INDEX('Questions global'!$A:$YP,ROW(A32)-ROW($A$2)+4,COLUMN(A32)-COLUMN($A$2)+1+$B$1)</f>
        <v>32</v>
      </c>
      <c r="B33" s="106" t="str" cm="1">
        <f t="array" ref="B33">INDEX('Questions global'!$A:$YP,ROW(B32)-ROW($A$2)+4,COLUMN(B32)-COLUMN($A$2)+1+$B$1)</f>
        <v/>
      </c>
      <c r="C33" s="106" t="str" cm="1">
        <f t="array" ref="C33">INDEX('Questions global'!$A:$YP,ROW(C32)-ROW($A$2)+4,COLUMN(C32)-COLUMN($A$2)+1+$B$1)</f>
        <v/>
      </c>
      <c r="D33" s="126" t="str" cm="1">
        <f t="array" ref="D33">INDEX('Questions global'!$A:$YP,ROW(D32)-ROW($A$2)+4,COLUMN(D32)-COLUMN($A$2)+1+$B$1)</f>
        <v/>
      </c>
      <c r="E33" s="104" t="str" cm="1">
        <f t="array" aca="1" ref="E33" ca="1">INDEX('Questions global'!$A:$YP,ROW(E32)-ROW($A$2)+4,COLUMN(E32)-COLUMN($A$2)+1+$B$1)</f>
        <v xml:space="preserve">   </v>
      </c>
      <c r="F33" s="105" t="str" cm="1">
        <f t="array" ref="F33">INDEX('Questions global'!$A:$YP,ROW(F32)-ROW($A$2)+4,COLUMN(F32)-COLUMN($A$2)+1+$B$1)</f>
        <v xml:space="preserve"> </v>
      </c>
      <c r="G33" s="112" t="str" cm="1">
        <f t="array" ref="G33">INDEX('Questions global'!$A:$YP,ROW(G32)-ROW($A$2)+4,COLUMN(G32)-COLUMN($A$2)+1+$B$1)</f>
        <v/>
      </c>
      <c r="H33" s="104" t="str" cm="1">
        <f t="array" aca="1" ref="H33" ca="1">INDEX('Questions global'!$A:$YP,ROW(H32)-ROW($A$2)+4,COLUMN(H32)-COLUMN($A$2)+1+$B$1)</f>
        <v/>
      </c>
      <c r="I33" s="119" t="str" cm="1">
        <f t="array" aca="1" ref="I33" ca="1">INDEX('Questions global'!$A:$YP,ROW(I32)-ROW($A$2)+4,COLUMN(I32)-COLUMN($A$2)+1+$B$1)</f>
        <v/>
      </c>
    </row>
    <row r="34" spans="1:9" ht="15" customHeight="1" x14ac:dyDescent="0.3">
      <c r="A34" s="118" cm="1">
        <f t="array" ref="A34">INDEX('Questions global'!$A:$YP,ROW(A33)-ROW($A$2)+4,COLUMN(A33)-COLUMN($A$2)+1+$B$1)</f>
        <v>33</v>
      </c>
      <c r="B34" s="106" t="str" cm="1">
        <f t="array" ref="B34">INDEX('Questions global'!$A:$YP,ROW(B33)-ROW($A$2)+4,COLUMN(B33)-COLUMN($A$2)+1+$B$1)</f>
        <v/>
      </c>
      <c r="C34" s="106" t="str" cm="1">
        <f t="array" ref="C34">INDEX('Questions global'!$A:$YP,ROW(C33)-ROW($A$2)+4,COLUMN(C33)-COLUMN($A$2)+1+$B$1)</f>
        <v/>
      </c>
      <c r="D34" s="126" t="str" cm="1">
        <f t="array" ref="D34">INDEX('Questions global'!$A:$YP,ROW(D33)-ROW($A$2)+4,COLUMN(D33)-COLUMN($A$2)+1+$B$1)</f>
        <v/>
      </c>
      <c r="E34" s="104" t="str" cm="1">
        <f t="array" aca="1" ref="E34" ca="1">INDEX('Questions global'!$A:$YP,ROW(E33)-ROW($A$2)+4,COLUMN(E33)-COLUMN($A$2)+1+$B$1)</f>
        <v xml:space="preserve">   </v>
      </c>
      <c r="F34" s="105" t="str" cm="1">
        <f t="array" ref="F34">INDEX('Questions global'!$A:$YP,ROW(F33)-ROW($A$2)+4,COLUMN(F33)-COLUMN($A$2)+1+$B$1)</f>
        <v xml:space="preserve"> </v>
      </c>
      <c r="G34" s="112" t="str" cm="1">
        <f t="array" ref="G34">INDEX('Questions global'!$A:$YP,ROW(G33)-ROW($A$2)+4,COLUMN(G33)-COLUMN($A$2)+1+$B$1)</f>
        <v/>
      </c>
      <c r="H34" s="104" t="str" cm="1">
        <f t="array" aca="1" ref="H34" ca="1">INDEX('Questions global'!$A:$YP,ROW(H33)-ROW($A$2)+4,COLUMN(H33)-COLUMN($A$2)+1+$B$1)</f>
        <v/>
      </c>
      <c r="I34" s="119" t="str" cm="1">
        <f t="array" aca="1" ref="I34" ca="1">INDEX('Questions global'!$A:$YP,ROW(I33)-ROW($A$2)+4,COLUMN(I33)-COLUMN($A$2)+1+$B$1)</f>
        <v/>
      </c>
    </row>
    <row r="35" spans="1:9" ht="15" customHeight="1" x14ac:dyDescent="0.3">
      <c r="A35" s="118" cm="1">
        <f t="array" ref="A35">INDEX('Questions global'!$A:$YP,ROW(A34)-ROW($A$2)+4,COLUMN(A34)-COLUMN($A$2)+1+$B$1)</f>
        <v>34</v>
      </c>
      <c r="B35" s="106" t="str" cm="1">
        <f t="array" ref="B35">INDEX('Questions global'!$A:$YP,ROW(B34)-ROW($A$2)+4,COLUMN(B34)-COLUMN($A$2)+1+$B$1)</f>
        <v/>
      </c>
      <c r="C35" s="106" t="str" cm="1">
        <f t="array" ref="C35">INDEX('Questions global'!$A:$YP,ROW(C34)-ROW($A$2)+4,COLUMN(C34)-COLUMN($A$2)+1+$B$1)</f>
        <v/>
      </c>
      <c r="D35" s="126" t="str" cm="1">
        <f t="array" ref="D35">INDEX('Questions global'!$A:$YP,ROW(D34)-ROW($A$2)+4,COLUMN(D34)-COLUMN($A$2)+1+$B$1)</f>
        <v/>
      </c>
      <c r="E35" s="104" t="str" cm="1">
        <f t="array" aca="1" ref="E35" ca="1">INDEX('Questions global'!$A:$YP,ROW(E34)-ROW($A$2)+4,COLUMN(E34)-COLUMN($A$2)+1+$B$1)</f>
        <v xml:space="preserve">   </v>
      </c>
      <c r="F35" s="105" t="str" cm="1">
        <f t="array" ref="F35">INDEX('Questions global'!$A:$YP,ROW(F34)-ROW($A$2)+4,COLUMN(F34)-COLUMN($A$2)+1+$B$1)</f>
        <v xml:space="preserve"> </v>
      </c>
      <c r="G35" s="112" t="str" cm="1">
        <f t="array" ref="G35">INDEX('Questions global'!$A:$YP,ROW(G34)-ROW($A$2)+4,COLUMN(G34)-COLUMN($A$2)+1+$B$1)</f>
        <v/>
      </c>
      <c r="H35" s="104" t="str" cm="1">
        <f t="array" aca="1" ref="H35" ca="1">INDEX('Questions global'!$A:$YP,ROW(H34)-ROW($A$2)+4,COLUMN(H34)-COLUMN($A$2)+1+$B$1)</f>
        <v/>
      </c>
      <c r="I35" s="119" t="str" cm="1">
        <f t="array" aca="1" ref="I35" ca="1">INDEX('Questions global'!$A:$YP,ROW(I34)-ROW($A$2)+4,COLUMN(I34)-COLUMN($A$2)+1+$B$1)</f>
        <v/>
      </c>
    </row>
    <row r="36" spans="1:9" ht="15" customHeight="1" x14ac:dyDescent="0.3">
      <c r="A36" s="118" cm="1">
        <f t="array" ref="A36">INDEX('Questions global'!$A:$YP,ROW(A35)-ROW($A$2)+4,COLUMN(A35)-COLUMN($A$2)+1+$B$1)</f>
        <v>35</v>
      </c>
      <c r="B36" s="106" t="str" cm="1">
        <f t="array" ref="B36">INDEX('Questions global'!$A:$YP,ROW(B35)-ROW($A$2)+4,COLUMN(B35)-COLUMN($A$2)+1+$B$1)</f>
        <v/>
      </c>
      <c r="C36" s="106" t="str" cm="1">
        <f t="array" ref="C36">INDEX('Questions global'!$A:$YP,ROW(C35)-ROW($A$2)+4,COLUMN(C35)-COLUMN($A$2)+1+$B$1)</f>
        <v/>
      </c>
      <c r="D36" s="126" t="str" cm="1">
        <f t="array" ref="D36">INDEX('Questions global'!$A:$YP,ROW(D35)-ROW($A$2)+4,COLUMN(D35)-COLUMN($A$2)+1+$B$1)</f>
        <v/>
      </c>
      <c r="E36" s="104" t="str" cm="1">
        <f t="array" aca="1" ref="E36" ca="1">INDEX('Questions global'!$A:$YP,ROW(E35)-ROW($A$2)+4,COLUMN(E35)-COLUMN($A$2)+1+$B$1)</f>
        <v xml:space="preserve">   </v>
      </c>
      <c r="F36" s="105" t="str" cm="1">
        <f t="array" ref="F36">INDEX('Questions global'!$A:$YP,ROW(F35)-ROW($A$2)+4,COLUMN(F35)-COLUMN($A$2)+1+$B$1)</f>
        <v xml:space="preserve"> </v>
      </c>
      <c r="G36" s="112" t="str" cm="1">
        <f t="array" ref="G36">INDEX('Questions global'!$A:$YP,ROW(G35)-ROW($A$2)+4,COLUMN(G35)-COLUMN($A$2)+1+$B$1)</f>
        <v/>
      </c>
      <c r="H36" s="104" t="str" cm="1">
        <f t="array" aca="1" ref="H36" ca="1">INDEX('Questions global'!$A:$YP,ROW(H35)-ROW($A$2)+4,COLUMN(H35)-COLUMN($A$2)+1+$B$1)</f>
        <v/>
      </c>
      <c r="I36" s="119" t="str" cm="1">
        <f t="array" aca="1" ref="I36" ca="1">INDEX('Questions global'!$A:$YP,ROW(I35)-ROW($A$2)+4,COLUMN(I35)-COLUMN($A$2)+1+$B$1)</f>
        <v/>
      </c>
    </row>
    <row r="37" spans="1:9" ht="16.5" customHeight="1" x14ac:dyDescent="0.3">
      <c r="A37" s="118" cm="1">
        <f t="array" ref="A37">INDEX('Questions global'!$A:$YP,ROW(A36)-ROW($A$2)+4,COLUMN(A36)-COLUMN($A$2)+1+$B$1)</f>
        <v>36</v>
      </c>
      <c r="B37" s="106" t="str" cm="1">
        <f t="array" ref="B37">INDEX('Questions global'!$A:$YP,ROW(B36)-ROW($A$2)+4,COLUMN(B36)-COLUMN($A$2)+1+$B$1)</f>
        <v/>
      </c>
      <c r="C37" s="106" t="str" cm="1">
        <f t="array" ref="C37">INDEX('Questions global'!$A:$YP,ROW(C36)-ROW($A$2)+4,COLUMN(C36)-COLUMN($A$2)+1+$B$1)</f>
        <v/>
      </c>
      <c r="D37" s="126" t="str" cm="1">
        <f t="array" ref="D37">INDEX('Questions global'!$A:$YP,ROW(D36)-ROW($A$2)+4,COLUMN(D36)-COLUMN($A$2)+1+$B$1)</f>
        <v/>
      </c>
      <c r="E37" s="104" t="str" cm="1">
        <f t="array" aca="1" ref="E37" ca="1">INDEX('Questions global'!$A:$YP,ROW(E36)-ROW($A$2)+4,COLUMN(E36)-COLUMN($A$2)+1+$B$1)</f>
        <v xml:space="preserve">   </v>
      </c>
      <c r="F37" s="105" t="str" cm="1">
        <f t="array" ref="F37">INDEX('Questions global'!$A:$YP,ROW(F36)-ROW($A$2)+4,COLUMN(F36)-COLUMN($A$2)+1+$B$1)</f>
        <v xml:space="preserve"> </v>
      </c>
      <c r="G37" s="112" t="str" cm="1">
        <f t="array" ref="G37">INDEX('Questions global'!$A:$YP,ROW(G36)-ROW($A$2)+4,COLUMN(G36)-COLUMN($A$2)+1+$B$1)</f>
        <v/>
      </c>
      <c r="H37" s="104" t="str" cm="1">
        <f t="array" aca="1" ref="H37" ca="1">INDEX('Questions global'!$A:$YP,ROW(H36)-ROW($A$2)+4,COLUMN(H36)-COLUMN($A$2)+1+$B$1)</f>
        <v/>
      </c>
      <c r="I37" s="119" t="str" cm="1">
        <f t="array" aca="1" ref="I37" ca="1">INDEX('Questions global'!$A:$YP,ROW(I36)-ROW($A$2)+4,COLUMN(I36)-COLUMN($A$2)+1+$B$1)</f>
        <v/>
      </c>
    </row>
    <row r="38" spans="1:9" ht="16.5" customHeight="1" x14ac:dyDescent="0.3">
      <c r="A38" s="118" cm="1">
        <f t="array" ref="A38">INDEX('Questions global'!$A:$YP,ROW(A37)-ROW($A$2)+4,COLUMN(A37)-COLUMN($A$2)+1+$B$1)</f>
        <v>37</v>
      </c>
      <c r="B38" s="106" t="str" cm="1">
        <f t="array" ref="B38">INDEX('Questions global'!$A:$YP,ROW(B37)-ROW($A$2)+4,COLUMN(B37)-COLUMN($A$2)+1+$B$1)</f>
        <v/>
      </c>
      <c r="C38" s="106" t="str" cm="1">
        <f t="array" ref="C38">INDEX('Questions global'!$A:$YP,ROW(C37)-ROW($A$2)+4,COLUMN(C37)-COLUMN($A$2)+1+$B$1)</f>
        <v/>
      </c>
      <c r="D38" s="126" t="str" cm="1">
        <f t="array" ref="D38">INDEX('Questions global'!$A:$YP,ROW(D37)-ROW($A$2)+4,COLUMN(D37)-COLUMN($A$2)+1+$B$1)</f>
        <v/>
      </c>
      <c r="E38" s="104" t="str" cm="1">
        <f t="array" aca="1" ref="E38" ca="1">INDEX('Questions global'!$A:$YP,ROW(E37)-ROW($A$2)+4,COLUMN(E37)-COLUMN($A$2)+1+$B$1)</f>
        <v xml:space="preserve">   </v>
      </c>
      <c r="F38" s="105" t="str" cm="1">
        <f t="array" ref="F38">INDEX('Questions global'!$A:$YP,ROW(F37)-ROW($A$2)+4,COLUMN(F37)-COLUMN($A$2)+1+$B$1)</f>
        <v xml:space="preserve"> </v>
      </c>
      <c r="G38" s="112" t="str" cm="1">
        <f t="array" ref="G38">INDEX('Questions global'!$A:$YP,ROW(G37)-ROW($A$2)+4,COLUMN(G37)-COLUMN($A$2)+1+$B$1)</f>
        <v/>
      </c>
      <c r="H38" s="104" t="str" cm="1">
        <f t="array" aca="1" ref="H38" ca="1">INDEX('Questions global'!$A:$YP,ROW(H37)-ROW($A$2)+4,COLUMN(H37)-COLUMN($A$2)+1+$B$1)</f>
        <v/>
      </c>
      <c r="I38" s="119" t="str" cm="1">
        <f t="array" aca="1" ref="I38" ca="1">INDEX('Questions global'!$A:$YP,ROW(I37)-ROW($A$2)+4,COLUMN(I37)-COLUMN($A$2)+1+$B$1)</f>
        <v/>
      </c>
    </row>
    <row r="39" spans="1:9" ht="16.5" customHeight="1" x14ac:dyDescent="0.3">
      <c r="A39" s="118" cm="1">
        <f t="array" ref="A39">INDEX('Questions global'!$A:$YP,ROW(A38)-ROW($A$2)+4,COLUMN(A38)-COLUMN($A$2)+1+$B$1)</f>
        <v>38</v>
      </c>
      <c r="B39" s="106" t="str" cm="1">
        <f t="array" ref="B39">INDEX('Questions global'!$A:$YP,ROW(B38)-ROW($A$2)+4,COLUMN(B38)-COLUMN($A$2)+1+$B$1)</f>
        <v/>
      </c>
      <c r="C39" s="106" t="str" cm="1">
        <f t="array" ref="C39">INDEX('Questions global'!$A:$YP,ROW(C38)-ROW($A$2)+4,COLUMN(C38)-COLUMN($A$2)+1+$B$1)</f>
        <v/>
      </c>
      <c r="D39" s="126" t="str" cm="1">
        <f t="array" ref="D39">INDEX('Questions global'!$A:$YP,ROW(D38)-ROW($A$2)+4,COLUMN(D38)-COLUMN($A$2)+1+$B$1)</f>
        <v/>
      </c>
      <c r="E39" s="104" t="str" cm="1">
        <f t="array" aca="1" ref="E39" ca="1">INDEX('Questions global'!$A:$YP,ROW(E38)-ROW($A$2)+4,COLUMN(E38)-COLUMN($A$2)+1+$B$1)</f>
        <v xml:space="preserve">   </v>
      </c>
      <c r="F39" s="105" t="str" cm="1">
        <f t="array" ref="F39">INDEX('Questions global'!$A:$YP,ROW(F38)-ROW($A$2)+4,COLUMN(F38)-COLUMN($A$2)+1+$B$1)</f>
        <v xml:space="preserve"> </v>
      </c>
      <c r="G39" s="112" t="str" cm="1">
        <f t="array" ref="G39">INDEX('Questions global'!$A:$YP,ROW(G38)-ROW($A$2)+4,COLUMN(G38)-COLUMN($A$2)+1+$B$1)</f>
        <v/>
      </c>
      <c r="H39" s="104" t="str" cm="1">
        <f t="array" aca="1" ref="H39" ca="1">INDEX('Questions global'!$A:$YP,ROW(H38)-ROW($A$2)+4,COLUMN(H38)-COLUMN($A$2)+1+$B$1)</f>
        <v/>
      </c>
      <c r="I39" s="119" t="str" cm="1">
        <f t="array" aca="1" ref="I39" ca="1">INDEX('Questions global'!$A:$YP,ROW(I38)-ROW($A$2)+4,COLUMN(I38)-COLUMN($A$2)+1+$B$1)</f>
        <v/>
      </c>
    </row>
    <row r="40" spans="1:9" ht="16.5" customHeight="1" x14ac:dyDescent="0.3">
      <c r="A40" s="118" cm="1">
        <f t="array" ref="A40">INDEX('Questions global'!$A:$YP,ROW(A39)-ROW($A$2)+4,COLUMN(A39)-COLUMN($A$2)+1+$B$1)</f>
        <v>39</v>
      </c>
      <c r="B40" s="106" t="str" cm="1">
        <f t="array" ref="B40">INDEX('Questions global'!$A:$YP,ROW(B39)-ROW($A$2)+4,COLUMN(B39)-COLUMN($A$2)+1+$B$1)</f>
        <v/>
      </c>
      <c r="C40" s="106" t="str" cm="1">
        <f t="array" ref="C40">INDEX('Questions global'!$A:$YP,ROW(C39)-ROW($A$2)+4,COLUMN(C39)-COLUMN($A$2)+1+$B$1)</f>
        <v/>
      </c>
      <c r="D40" s="126" t="str" cm="1">
        <f t="array" ref="D40">INDEX('Questions global'!$A:$YP,ROW(D39)-ROW($A$2)+4,COLUMN(D39)-COLUMN($A$2)+1+$B$1)</f>
        <v/>
      </c>
      <c r="E40" s="104" t="str" cm="1">
        <f t="array" aca="1" ref="E40" ca="1">INDEX('Questions global'!$A:$YP,ROW(E39)-ROW($A$2)+4,COLUMN(E39)-COLUMN($A$2)+1+$B$1)</f>
        <v xml:space="preserve">   </v>
      </c>
      <c r="F40" s="105" t="str" cm="1">
        <f t="array" ref="F40">INDEX('Questions global'!$A:$YP,ROW(F39)-ROW($A$2)+4,COLUMN(F39)-COLUMN($A$2)+1+$B$1)</f>
        <v xml:space="preserve"> </v>
      </c>
      <c r="G40" s="112" t="str" cm="1">
        <f t="array" ref="G40">INDEX('Questions global'!$A:$YP,ROW(G39)-ROW($A$2)+4,COLUMN(G39)-COLUMN($A$2)+1+$B$1)</f>
        <v/>
      </c>
      <c r="H40" s="104" t="str" cm="1">
        <f t="array" aca="1" ref="H40" ca="1">INDEX('Questions global'!$A:$YP,ROW(H39)-ROW($A$2)+4,COLUMN(H39)-COLUMN($A$2)+1+$B$1)</f>
        <v/>
      </c>
      <c r="I40" s="119" t="str" cm="1">
        <f t="array" aca="1" ref="I40" ca="1">INDEX('Questions global'!$A:$YP,ROW(I39)-ROW($A$2)+4,COLUMN(I39)-COLUMN($A$2)+1+$B$1)</f>
        <v/>
      </c>
    </row>
    <row r="41" spans="1:9" ht="16.5" customHeight="1" x14ac:dyDescent="0.3">
      <c r="A41" s="118" cm="1">
        <f t="array" ref="A41">INDEX('Questions global'!$A:$YP,ROW(A40)-ROW($A$2)+4,COLUMN(A40)-COLUMN($A$2)+1+$B$1)</f>
        <v>40</v>
      </c>
      <c r="B41" s="106" t="str" cm="1">
        <f t="array" ref="B41">INDEX('Questions global'!$A:$YP,ROW(B40)-ROW($A$2)+4,COLUMN(B40)-COLUMN($A$2)+1+$B$1)</f>
        <v/>
      </c>
      <c r="C41" s="106" t="str" cm="1">
        <f t="array" ref="C41">INDEX('Questions global'!$A:$YP,ROW(C40)-ROW($A$2)+4,COLUMN(C40)-COLUMN($A$2)+1+$B$1)</f>
        <v/>
      </c>
      <c r="D41" s="126" t="str" cm="1">
        <f t="array" ref="D41">INDEX('Questions global'!$A:$YP,ROW(D40)-ROW($A$2)+4,COLUMN(D40)-COLUMN($A$2)+1+$B$1)</f>
        <v/>
      </c>
      <c r="E41" s="104" t="str" cm="1">
        <f t="array" aca="1" ref="E41" ca="1">INDEX('Questions global'!$A:$YP,ROW(E40)-ROW($A$2)+4,COLUMN(E40)-COLUMN($A$2)+1+$B$1)</f>
        <v xml:space="preserve">   </v>
      </c>
      <c r="F41" s="105" t="str" cm="1">
        <f t="array" ref="F41">INDEX('Questions global'!$A:$YP,ROW(F40)-ROW($A$2)+4,COLUMN(F40)-COLUMN($A$2)+1+$B$1)</f>
        <v xml:space="preserve"> </v>
      </c>
      <c r="G41" s="112" t="str" cm="1">
        <f t="array" ref="G41">INDEX('Questions global'!$A:$YP,ROW(G40)-ROW($A$2)+4,COLUMN(G40)-COLUMN($A$2)+1+$B$1)</f>
        <v/>
      </c>
      <c r="H41" s="104" t="str" cm="1">
        <f t="array" aca="1" ref="H41" ca="1">INDEX('Questions global'!$A:$YP,ROW(H40)-ROW($A$2)+4,COLUMN(H40)-COLUMN($A$2)+1+$B$1)</f>
        <v/>
      </c>
      <c r="I41" s="119" t="str" cm="1">
        <f t="array" aca="1" ref="I41" ca="1">INDEX('Questions global'!$A:$YP,ROW(I40)-ROW($A$2)+4,COLUMN(I40)-COLUMN($A$2)+1+$B$1)</f>
        <v/>
      </c>
    </row>
    <row r="42" spans="1:9" ht="16.5" customHeight="1" x14ac:dyDescent="0.3">
      <c r="A42" s="118" cm="1">
        <f t="array" ref="A42">INDEX('Questions global'!$A:$YP,ROW(A41)-ROW($A$2)+4,COLUMN(A41)-COLUMN($A$2)+1+$B$1)</f>
        <v>41</v>
      </c>
      <c r="B42" s="106" t="str" cm="1">
        <f t="array" ref="B42">INDEX('Questions global'!$A:$YP,ROW(B41)-ROW($A$2)+4,COLUMN(B41)-COLUMN($A$2)+1+$B$1)</f>
        <v/>
      </c>
      <c r="C42" s="106" t="str" cm="1">
        <f t="array" ref="C42">INDEX('Questions global'!$A:$YP,ROW(C41)-ROW($A$2)+4,COLUMN(C41)-COLUMN($A$2)+1+$B$1)</f>
        <v/>
      </c>
      <c r="D42" s="126" t="str" cm="1">
        <f t="array" ref="D42">INDEX('Questions global'!$A:$YP,ROW(D41)-ROW($A$2)+4,COLUMN(D41)-COLUMN($A$2)+1+$B$1)</f>
        <v/>
      </c>
      <c r="E42" s="104" t="str" cm="1">
        <f t="array" aca="1" ref="E42" ca="1">INDEX('Questions global'!$A:$YP,ROW(E41)-ROW($A$2)+4,COLUMN(E41)-COLUMN($A$2)+1+$B$1)</f>
        <v xml:space="preserve">   </v>
      </c>
      <c r="F42" s="105" t="str" cm="1">
        <f t="array" ref="F42">INDEX('Questions global'!$A:$YP,ROW(F41)-ROW($A$2)+4,COLUMN(F41)-COLUMN($A$2)+1+$B$1)</f>
        <v xml:space="preserve"> </v>
      </c>
      <c r="G42" s="112" t="str" cm="1">
        <f t="array" ref="G42">INDEX('Questions global'!$A:$YP,ROW(G41)-ROW($A$2)+4,COLUMN(G41)-COLUMN($A$2)+1+$B$1)</f>
        <v/>
      </c>
      <c r="H42" s="104" t="str" cm="1">
        <f t="array" aca="1" ref="H42" ca="1">INDEX('Questions global'!$A:$YP,ROW(H41)-ROW($A$2)+4,COLUMN(H41)-COLUMN($A$2)+1+$B$1)</f>
        <v/>
      </c>
      <c r="I42" s="119" t="str" cm="1">
        <f t="array" aca="1" ref="I42" ca="1">INDEX('Questions global'!$A:$YP,ROW(I41)-ROW($A$2)+4,COLUMN(I41)-COLUMN($A$2)+1+$B$1)</f>
        <v/>
      </c>
    </row>
    <row r="43" spans="1:9" ht="16.5" customHeight="1" x14ac:dyDescent="0.3">
      <c r="A43" s="118" cm="1">
        <f t="array" ref="A43">INDEX('Questions global'!$A:$YP,ROW(A42)-ROW($A$2)+4,COLUMN(A42)-COLUMN($A$2)+1+$B$1)</f>
        <v>42</v>
      </c>
      <c r="B43" s="106" t="str" cm="1">
        <f t="array" ref="B43">INDEX('Questions global'!$A:$YP,ROW(B42)-ROW($A$2)+4,COLUMN(B42)-COLUMN($A$2)+1+$B$1)</f>
        <v/>
      </c>
      <c r="C43" s="106" t="str" cm="1">
        <f t="array" ref="C43">INDEX('Questions global'!$A:$YP,ROW(C42)-ROW($A$2)+4,COLUMN(C42)-COLUMN($A$2)+1+$B$1)</f>
        <v/>
      </c>
      <c r="D43" s="126" t="str" cm="1">
        <f t="array" ref="D43">INDEX('Questions global'!$A:$YP,ROW(D42)-ROW($A$2)+4,COLUMN(D42)-COLUMN($A$2)+1+$B$1)</f>
        <v/>
      </c>
      <c r="E43" s="104" t="str" cm="1">
        <f t="array" aca="1" ref="E43" ca="1">INDEX('Questions global'!$A:$YP,ROW(E42)-ROW($A$2)+4,COLUMN(E42)-COLUMN($A$2)+1+$B$1)</f>
        <v xml:space="preserve">   </v>
      </c>
      <c r="F43" s="105" t="str" cm="1">
        <f t="array" ref="F43">INDEX('Questions global'!$A:$YP,ROW(F42)-ROW($A$2)+4,COLUMN(F42)-COLUMN($A$2)+1+$B$1)</f>
        <v xml:space="preserve"> </v>
      </c>
      <c r="G43" s="112" t="str" cm="1">
        <f t="array" ref="G43">INDEX('Questions global'!$A:$YP,ROW(G42)-ROW($A$2)+4,COLUMN(G42)-COLUMN($A$2)+1+$B$1)</f>
        <v/>
      </c>
      <c r="H43" s="104" t="str" cm="1">
        <f t="array" aca="1" ref="H43" ca="1">INDEX('Questions global'!$A:$YP,ROW(H42)-ROW($A$2)+4,COLUMN(H42)-COLUMN($A$2)+1+$B$1)</f>
        <v/>
      </c>
      <c r="I43" s="119" t="str" cm="1">
        <f t="array" aca="1" ref="I43" ca="1">INDEX('Questions global'!$A:$YP,ROW(I42)-ROW($A$2)+4,COLUMN(I42)-COLUMN($A$2)+1+$B$1)</f>
        <v/>
      </c>
    </row>
    <row r="44" spans="1:9" ht="16.5" customHeight="1" x14ac:dyDescent="0.3">
      <c r="A44" s="118" cm="1">
        <f t="array" ref="A44">INDEX('Questions global'!$A:$YP,ROW(A43)-ROW($A$2)+4,COLUMN(A43)-COLUMN($A$2)+1+$B$1)</f>
        <v>43</v>
      </c>
      <c r="B44" s="106" t="str" cm="1">
        <f t="array" ref="B44">INDEX('Questions global'!$A:$YP,ROW(B43)-ROW($A$2)+4,COLUMN(B43)-COLUMN($A$2)+1+$B$1)</f>
        <v/>
      </c>
      <c r="C44" s="106" t="str" cm="1">
        <f t="array" ref="C44">INDEX('Questions global'!$A:$YP,ROW(C43)-ROW($A$2)+4,COLUMN(C43)-COLUMN($A$2)+1+$B$1)</f>
        <v/>
      </c>
      <c r="D44" s="126" t="str" cm="1">
        <f t="array" ref="D44">INDEX('Questions global'!$A:$YP,ROW(D43)-ROW($A$2)+4,COLUMN(D43)-COLUMN($A$2)+1+$B$1)</f>
        <v/>
      </c>
      <c r="E44" s="104" t="str" cm="1">
        <f t="array" aca="1" ref="E44" ca="1">INDEX('Questions global'!$A:$YP,ROW(E43)-ROW($A$2)+4,COLUMN(E43)-COLUMN($A$2)+1+$B$1)</f>
        <v xml:space="preserve">   </v>
      </c>
      <c r="F44" s="105" t="str" cm="1">
        <f t="array" ref="F44">INDEX('Questions global'!$A:$YP,ROW(F43)-ROW($A$2)+4,COLUMN(F43)-COLUMN($A$2)+1+$B$1)</f>
        <v xml:space="preserve"> </v>
      </c>
      <c r="G44" s="112" t="str" cm="1">
        <f t="array" ref="G44">INDEX('Questions global'!$A:$YP,ROW(G43)-ROW($A$2)+4,COLUMN(G43)-COLUMN($A$2)+1+$B$1)</f>
        <v/>
      </c>
      <c r="H44" s="104" t="str" cm="1">
        <f t="array" aca="1" ref="H44" ca="1">INDEX('Questions global'!$A:$YP,ROW(H43)-ROW($A$2)+4,COLUMN(H43)-COLUMN($A$2)+1+$B$1)</f>
        <v/>
      </c>
      <c r="I44" s="119" t="str" cm="1">
        <f t="array" aca="1" ref="I44" ca="1">INDEX('Questions global'!$A:$YP,ROW(I43)-ROW($A$2)+4,COLUMN(I43)-COLUMN($A$2)+1+$B$1)</f>
        <v/>
      </c>
    </row>
    <row r="45" spans="1:9" ht="16.5" customHeight="1" x14ac:dyDescent="0.3">
      <c r="A45" s="118" cm="1">
        <f t="array" ref="A45">INDEX('Questions global'!$A:$YP,ROW(A44)-ROW($A$2)+4,COLUMN(A44)-COLUMN($A$2)+1+$B$1)</f>
        <v>44</v>
      </c>
      <c r="B45" s="106" t="str" cm="1">
        <f t="array" ref="B45">INDEX('Questions global'!$A:$YP,ROW(B44)-ROW($A$2)+4,COLUMN(B44)-COLUMN($A$2)+1+$B$1)</f>
        <v/>
      </c>
      <c r="C45" s="106" t="str" cm="1">
        <f t="array" ref="C45">INDEX('Questions global'!$A:$YP,ROW(C44)-ROW($A$2)+4,COLUMN(C44)-COLUMN($A$2)+1+$B$1)</f>
        <v/>
      </c>
      <c r="D45" s="126" t="str" cm="1">
        <f t="array" ref="D45">INDEX('Questions global'!$A:$YP,ROW(D44)-ROW($A$2)+4,COLUMN(D44)-COLUMN($A$2)+1+$B$1)</f>
        <v/>
      </c>
      <c r="E45" s="104" t="str" cm="1">
        <f t="array" aca="1" ref="E45" ca="1">INDEX('Questions global'!$A:$YP,ROW(E44)-ROW($A$2)+4,COLUMN(E44)-COLUMN($A$2)+1+$B$1)</f>
        <v xml:space="preserve">   </v>
      </c>
      <c r="F45" s="105" t="str" cm="1">
        <f t="array" ref="F45">INDEX('Questions global'!$A:$YP,ROW(F44)-ROW($A$2)+4,COLUMN(F44)-COLUMN($A$2)+1+$B$1)</f>
        <v xml:space="preserve"> </v>
      </c>
      <c r="G45" s="112" t="str" cm="1">
        <f t="array" ref="G45">INDEX('Questions global'!$A:$YP,ROW(G44)-ROW($A$2)+4,COLUMN(G44)-COLUMN($A$2)+1+$B$1)</f>
        <v/>
      </c>
      <c r="H45" s="104" t="str" cm="1">
        <f t="array" aca="1" ref="H45" ca="1">INDEX('Questions global'!$A:$YP,ROW(H44)-ROW($A$2)+4,COLUMN(H44)-COLUMN($A$2)+1+$B$1)</f>
        <v/>
      </c>
      <c r="I45" s="119" t="str" cm="1">
        <f t="array" aca="1" ref="I45" ca="1">INDEX('Questions global'!$A:$YP,ROW(I44)-ROW($A$2)+4,COLUMN(I44)-COLUMN($A$2)+1+$B$1)</f>
        <v/>
      </c>
    </row>
    <row r="46" spans="1:9" ht="16.5" customHeight="1" x14ac:dyDescent="0.3">
      <c r="A46" s="118" cm="1">
        <f t="array" ref="A46">INDEX('Questions global'!$A:$YP,ROW(A45)-ROW($A$2)+4,COLUMN(A45)-COLUMN($A$2)+1+$B$1)</f>
        <v>45</v>
      </c>
      <c r="B46" s="106" t="str" cm="1">
        <f t="array" ref="B46">INDEX('Questions global'!$A:$YP,ROW(B45)-ROW($A$2)+4,COLUMN(B45)-COLUMN($A$2)+1+$B$1)</f>
        <v/>
      </c>
      <c r="C46" s="106" t="str" cm="1">
        <f t="array" ref="C46">INDEX('Questions global'!$A:$YP,ROW(C45)-ROW($A$2)+4,COLUMN(C45)-COLUMN($A$2)+1+$B$1)</f>
        <v/>
      </c>
      <c r="D46" s="126" t="str" cm="1">
        <f t="array" ref="D46">INDEX('Questions global'!$A:$YP,ROW(D45)-ROW($A$2)+4,COLUMN(D45)-COLUMN($A$2)+1+$B$1)</f>
        <v/>
      </c>
      <c r="E46" s="104" t="str" cm="1">
        <f t="array" aca="1" ref="E46" ca="1">INDEX('Questions global'!$A:$YP,ROW(E45)-ROW($A$2)+4,COLUMN(E45)-COLUMN($A$2)+1+$B$1)</f>
        <v xml:space="preserve">   </v>
      </c>
      <c r="F46" s="105" t="str" cm="1">
        <f t="array" ref="F46">INDEX('Questions global'!$A:$YP,ROW(F45)-ROW($A$2)+4,COLUMN(F45)-COLUMN($A$2)+1+$B$1)</f>
        <v xml:space="preserve"> </v>
      </c>
      <c r="G46" s="112" t="str" cm="1">
        <f t="array" ref="G46">INDEX('Questions global'!$A:$YP,ROW(G45)-ROW($A$2)+4,COLUMN(G45)-COLUMN($A$2)+1+$B$1)</f>
        <v/>
      </c>
      <c r="H46" s="104" t="str" cm="1">
        <f t="array" aca="1" ref="H46" ca="1">INDEX('Questions global'!$A:$YP,ROW(H45)-ROW($A$2)+4,COLUMN(H45)-COLUMN($A$2)+1+$B$1)</f>
        <v/>
      </c>
      <c r="I46" s="119" t="str" cm="1">
        <f t="array" aca="1" ref="I46" ca="1">INDEX('Questions global'!$A:$YP,ROW(I45)-ROW($A$2)+4,COLUMN(I45)-COLUMN($A$2)+1+$B$1)</f>
        <v/>
      </c>
    </row>
    <row r="47" spans="1:9" ht="16.5" customHeight="1" x14ac:dyDescent="0.3">
      <c r="A47" s="118" cm="1">
        <f t="array" ref="A47">INDEX('Questions global'!$A:$YP,ROW(A46)-ROW($A$2)+4,COLUMN(A46)-COLUMN($A$2)+1+$B$1)</f>
        <v>46</v>
      </c>
      <c r="B47" s="106" t="str" cm="1">
        <f t="array" ref="B47">INDEX('Questions global'!$A:$YP,ROW(B46)-ROW($A$2)+4,COLUMN(B46)-COLUMN($A$2)+1+$B$1)</f>
        <v/>
      </c>
      <c r="C47" s="106" t="str" cm="1">
        <f t="array" ref="C47">INDEX('Questions global'!$A:$YP,ROW(C46)-ROW($A$2)+4,COLUMN(C46)-COLUMN($A$2)+1+$B$1)</f>
        <v/>
      </c>
      <c r="D47" s="126" t="str" cm="1">
        <f t="array" ref="D47">INDEX('Questions global'!$A:$YP,ROW(D46)-ROW($A$2)+4,COLUMN(D46)-COLUMN($A$2)+1+$B$1)</f>
        <v/>
      </c>
      <c r="E47" s="104" t="str" cm="1">
        <f t="array" aca="1" ref="E47" ca="1">INDEX('Questions global'!$A:$YP,ROW(E46)-ROW($A$2)+4,COLUMN(E46)-COLUMN($A$2)+1+$B$1)</f>
        <v xml:space="preserve">   </v>
      </c>
      <c r="F47" s="105" t="str" cm="1">
        <f t="array" ref="F47">INDEX('Questions global'!$A:$YP,ROW(F46)-ROW($A$2)+4,COLUMN(F46)-COLUMN($A$2)+1+$B$1)</f>
        <v xml:space="preserve"> </v>
      </c>
      <c r="G47" s="112" t="str" cm="1">
        <f t="array" ref="G47">INDEX('Questions global'!$A:$YP,ROW(G46)-ROW($A$2)+4,COLUMN(G46)-COLUMN($A$2)+1+$B$1)</f>
        <v/>
      </c>
      <c r="H47" s="104" t="str" cm="1">
        <f t="array" aca="1" ref="H47" ca="1">INDEX('Questions global'!$A:$YP,ROW(H46)-ROW($A$2)+4,COLUMN(H46)-COLUMN($A$2)+1+$B$1)</f>
        <v/>
      </c>
      <c r="I47" s="119" t="str" cm="1">
        <f t="array" aca="1" ref="I47" ca="1">INDEX('Questions global'!$A:$YP,ROW(I46)-ROW($A$2)+4,COLUMN(I46)-COLUMN($A$2)+1+$B$1)</f>
        <v/>
      </c>
    </row>
    <row r="48" spans="1:9" ht="16.5" customHeight="1" x14ac:dyDescent="0.3">
      <c r="A48" s="118" cm="1">
        <f t="array" ref="A48">INDEX('Questions global'!$A:$YP,ROW(A47)-ROW($A$2)+4,COLUMN(A47)-COLUMN($A$2)+1+$B$1)</f>
        <v>47</v>
      </c>
      <c r="B48" s="106" t="str" cm="1">
        <f t="array" ref="B48">INDEX('Questions global'!$A:$YP,ROW(B47)-ROW($A$2)+4,COLUMN(B47)-COLUMN($A$2)+1+$B$1)</f>
        <v/>
      </c>
      <c r="C48" s="106" t="str" cm="1">
        <f t="array" ref="C48">INDEX('Questions global'!$A:$YP,ROW(C47)-ROW($A$2)+4,COLUMN(C47)-COLUMN($A$2)+1+$B$1)</f>
        <v/>
      </c>
      <c r="D48" s="126" t="str" cm="1">
        <f t="array" ref="D48">INDEX('Questions global'!$A:$YP,ROW(D47)-ROW($A$2)+4,COLUMN(D47)-COLUMN($A$2)+1+$B$1)</f>
        <v/>
      </c>
      <c r="E48" s="104" t="str" cm="1">
        <f t="array" aca="1" ref="E48" ca="1">INDEX('Questions global'!$A:$YP,ROW(E47)-ROW($A$2)+4,COLUMN(E47)-COLUMN($A$2)+1+$B$1)</f>
        <v xml:space="preserve">   </v>
      </c>
      <c r="F48" s="105" t="str" cm="1">
        <f t="array" ref="F48">INDEX('Questions global'!$A:$YP,ROW(F47)-ROW($A$2)+4,COLUMN(F47)-COLUMN($A$2)+1+$B$1)</f>
        <v xml:space="preserve"> </v>
      </c>
      <c r="G48" s="112" t="str" cm="1">
        <f t="array" ref="G48">INDEX('Questions global'!$A:$YP,ROW(G47)-ROW($A$2)+4,COLUMN(G47)-COLUMN($A$2)+1+$B$1)</f>
        <v/>
      </c>
      <c r="H48" s="104" t="str" cm="1">
        <f t="array" aca="1" ref="H48" ca="1">INDEX('Questions global'!$A:$YP,ROW(H47)-ROW($A$2)+4,COLUMN(H47)-COLUMN($A$2)+1+$B$1)</f>
        <v/>
      </c>
      <c r="I48" s="119" t="str" cm="1">
        <f t="array" aca="1" ref="I48" ca="1">INDEX('Questions global'!$A:$YP,ROW(I47)-ROW($A$2)+4,COLUMN(I47)-COLUMN($A$2)+1+$B$1)</f>
        <v/>
      </c>
    </row>
    <row r="49" spans="1:9" ht="16.5" customHeight="1" x14ac:dyDescent="0.3">
      <c r="A49" s="118" cm="1">
        <f t="array" ref="A49">INDEX('Questions global'!$A:$YP,ROW(A48)-ROW($A$2)+4,COLUMN(A48)-COLUMN($A$2)+1+$B$1)</f>
        <v>48</v>
      </c>
      <c r="B49" s="106" t="str" cm="1">
        <f t="array" ref="B49">INDEX('Questions global'!$A:$YP,ROW(B48)-ROW($A$2)+4,COLUMN(B48)-COLUMN($A$2)+1+$B$1)</f>
        <v/>
      </c>
      <c r="C49" s="106" t="str" cm="1">
        <f t="array" ref="C49">INDEX('Questions global'!$A:$YP,ROW(C48)-ROW($A$2)+4,COLUMN(C48)-COLUMN($A$2)+1+$B$1)</f>
        <v/>
      </c>
      <c r="D49" s="126" t="str" cm="1">
        <f t="array" ref="D49">INDEX('Questions global'!$A:$YP,ROW(D48)-ROW($A$2)+4,COLUMN(D48)-COLUMN($A$2)+1+$B$1)</f>
        <v/>
      </c>
      <c r="E49" s="104" t="str" cm="1">
        <f t="array" aca="1" ref="E49" ca="1">INDEX('Questions global'!$A:$YP,ROW(E48)-ROW($A$2)+4,COLUMN(E48)-COLUMN($A$2)+1+$B$1)</f>
        <v xml:space="preserve">   </v>
      </c>
      <c r="F49" s="105" t="str" cm="1">
        <f t="array" ref="F49">INDEX('Questions global'!$A:$YP,ROW(F48)-ROW($A$2)+4,COLUMN(F48)-COLUMN($A$2)+1+$B$1)</f>
        <v xml:space="preserve"> </v>
      </c>
      <c r="G49" s="112" t="str" cm="1">
        <f t="array" ref="G49">INDEX('Questions global'!$A:$YP,ROW(G48)-ROW($A$2)+4,COLUMN(G48)-COLUMN($A$2)+1+$B$1)</f>
        <v/>
      </c>
      <c r="H49" s="104" t="str" cm="1">
        <f t="array" aca="1" ref="H49" ca="1">INDEX('Questions global'!$A:$YP,ROW(H48)-ROW($A$2)+4,COLUMN(H48)-COLUMN($A$2)+1+$B$1)</f>
        <v/>
      </c>
      <c r="I49" s="119" t="str" cm="1">
        <f t="array" aca="1" ref="I49" ca="1">INDEX('Questions global'!$A:$YP,ROW(I48)-ROW($A$2)+4,COLUMN(I48)-COLUMN($A$2)+1+$B$1)</f>
        <v/>
      </c>
    </row>
    <row r="50" spans="1:9" ht="16.5" customHeight="1" x14ac:dyDescent="0.3">
      <c r="A50" s="118" cm="1">
        <f t="array" ref="A50">INDEX('Questions global'!$A:$YP,ROW(A49)-ROW($A$2)+4,COLUMN(A49)-COLUMN($A$2)+1+$B$1)</f>
        <v>49</v>
      </c>
      <c r="B50" s="106" t="str" cm="1">
        <f t="array" ref="B50">INDEX('Questions global'!$A:$YP,ROW(B49)-ROW($A$2)+4,COLUMN(B49)-COLUMN($A$2)+1+$B$1)</f>
        <v/>
      </c>
      <c r="C50" s="106" t="str" cm="1">
        <f t="array" ref="C50">INDEX('Questions global'!$A:$YP,ROW(C49)-ROW($A$2)+4,COLUMN(C49)-COLUMN($A$2)+1+$B$1)</f>
        <v/>
      </c>
      <c r="D50" s="126" t="str" cm="1">
        <f t="array" ref="D50">INDEX('Questions global'!$A:$YP,ROW(D49)-ROW($A$2)+4,COLUMN(D49)-COLUMN($A$2)+1+$B$1)</f>
        <v/>
      </c>
      <c r="E50" s="104" t="str" cm="1">
        <f t="array" aca="1" ref="E50" ca="1">INDEX('Questions global'!$A:$YP,ROW(E49)-ROW($A$2)+4,COLUMN(E49)-COLUMN($A$2)+1+$B$1)</f>
        <v xml:space="preserve">   </v>
      </c>
      <c r="F50" s="105" t="str" cm="1">
        <f t="array" ref="F50">INDEX('Questions global'!$A:$YP,ROW(F49)-ROW($A$2)+4,COLUMN(F49)-COLUMN($A$2)+1+$B$1)</f>
        <v xml:space="preserve"> </v>
      </c>
      <c r="G50" s="112" t="str" cm="1">
        <f t="array" ref="G50">INDEX('Questions global'!$A:$YP,ROW(G49)-ROW($A$2)+4,COLUMN(G49)-COLUMN($A$2)+1+$B$1)</f>
        <v/>
      </c>
      <c r="H50" s="104" t="str" cm="1">
        <f t="array" aca="1" ref="H50" ca="1">INDEX('Questions global'!$A:$YP,ROW(H49)-ROW($A$2)+4,COLUMN(H49)-COLUMN($A$2)+1+$B$1)</f>
        <v/>
      </c>
      <c r="I50" s="119" t="str" cm="1">
        <f t="array" aca="1" ref="I50" ca="1">INDEX('Questions global'!$A:$YP,ROW(I49)-ROW($A$2)+4,COLUMN(I49)-COLUMN($A$2)+1+$B$1)</f>
        <v/>
      </c>
    </row>
    <row r="51" spans="1:9" ht="16.5" customHeight="1" x14ac:dyDescent="0.3">
      <c r="A51" s="118" cm="1">
        <f t="array" ref="A51">INDEX('Questions global'!$A:$YP,ROW(A50)-ROW($A$2)+4,COLUMN(A50)-COLUMN($A$2)+1+$B$1)</f>
        <v>50</v>
      </c>
      <c r="B51" s="106" t="str" cm="1">
        <f t="array" ref="B51">INDEX('Questions global'!$A:$YP,ROW(B50)-ROW($A$2)+4,COLUMN(B50)-COLUMN($A$2)+1+$B$1)</f>
        <v/>
      </c>
      <c r="C51" s="106" t="str" cm="1">
        <f t="array" ref="C51">INDEX('Questions global'!$A:$YP,ROW(C50)-ROW($A$2)+4,COLUMN(C50)-COLUMN($A$2)+1+$B$1)</f>
        <v/>
      </c>
      <c r="D51" s="126" t="str" cm="1">
        <f t="array" ref="D51">INDEX('Questions global'!$A:$YP,ROW(D50)-ROW($A$2)+4,COLUMN(D50)-COLUMN($A$2)+1+$B$1)</f>
        <v/>
      </c>
      <c r="E51" s="104" t="str" cm="1">
        <f t="array" aca="1" ref="E51" ca="1">INDEX('Questions global'!$A:$YP,ROW(E50)-ROW($A$2)+4,COLUMN(E50)-COLUMN($A$2)+1+$B$1)</f>
        <v xml:space="preserve">   </v>
      </c>
      <c r="F51" s="105" t="str" cm="1">
        <f t="array" ref="F51">INDEX('Questions global'!$A:$YP,ROW(F50)-ROW($A$2)+4,COLUMN(F50)-COLUMN($A$2)+1+$B$1)</f>
        <v xml:space="preserve"> </v>
      </c>
      <c r="G51" s="112" t="str" cm="1">
        <f t="array" ref="G51">INDEX('Questions global'!$A:$YP,ROW(G50)-ROW($A$2)+4,COLUMN(G50)-COLUMN($A$2)+1+$B$1)</f>
        <v/>
      </c>
      <c r="H51" s="104" t="str" cm="1">
        <f t="array" aca="1" ref="H51" ca="1">INDEX('Questions global'!$A:$YP,ROW(H50)-ROW($A$2)+4,COLUMN(H50)-COLUMN($A$2)+1+$B$1)</f>
        <v/>
      </c>
      <c r="I51" s="119" t="str" cm="1">
        <f t="array" aca="1" ref="I51" ca="1">INDEX('Questions global'!$A:$YP,ROW(I50)-ROW($A$2)+4,COLUMN(I50)-COLUMN($A$2)+1+$B$1)</f>
        <v/>
      </c>
    </row>
    <row r="52" spans="1:9" ht="16.5" customHeight="1" x14ac:dyDescent="0.3">
      <c r="A52" s="118" cm="1">
        <f t="array" ref="A52">INDEX('Questions global'!$A:$YP,ROW(A51)-ROW($A$2)+4,COLUMN(A51)-COLUMN($A$2)+1+$B$1)</f>
        <v>51</v>
      </c>
      <c r="B52" s="106" t="str" cm="1">
        <f t="array" ref="B52">INDEX('Questions global'!$A:$YP,ROW(B51)-ROW($A$2)+4,COLUMN(B51)-COLUMN($A$2)+1+$B$1)</f>
        <v/>
      </c>
      <c r="C52" s="106" t="str" cm="1">
        <f t="array" ref="C52">INDEX('Questions global'!$A:$YP,ROW(C51)-ROW($A$2)+4,COLUMN(C51)-COLUMN($A$2)+1+$B$1)</f>
        <v/>
      </c>
      <c r="D52" s="126" t="str" cm="1">
        <f t="array" ref="D52">INDEX('Questions global'!$A:$YP,ROW(D51)-ROW($A$2)+4,COLUMN(D51)-COLUMN($A$2)+1+$B$1)</f>
        <v/>
      </c>
      <c r="E52" s="104" t="str" cm="1">
        <f t="array" aca="1" ref="E52" ca="1">INDEX('Questions global'!$A:$YP,ROW(E51)-ROW($A$2)+4,COLUMN(E51)-COLUMN($A$2)+1+$B$1)</f>
        <v xml:space="preserve">   </v>
      </c>
      <c r="F52" s="105" t="str" cm="1">
        <f t="array" ref="F52">INDEX('Questions global'!$A:$YP,ROW(F51)-ROW($A$2)+4,COLUMN(F51)-COLUMN($A$2)+1+$B$1)</f>
        <v xml:space="preserve"> </v>
      </c>
      <c r="G52" s="112" t="str" cm="1">
        <f t="array" ref="G52">INDEX('Questions global'!$A:$YP,ROW(G51)-ROW($A$2)+4,COLUMN(G51)-COLUMN($A$2)+1+$B$1)</f>
        <v/>
      </c>
      <c r="H52" s="104" t="str" cm="1">
        <f t="array" aca="1" ref="H52" ca="1">INDEX('Questions global'!$A:$YP,ROW(H51)-ROW($A$2)+4,COLUMN(H51)-COLUMN($A$2)+1+$B$1)</f>
        <v/>
      </c>
      <c r="I52" s="119" t="str" cm="1">
        <f t="array" aca="1" ref="I52" ca="1">INDEX('Questions global'!$A:$YP,ROW(I51)-ROW($A$2)+4,COLUMN(I51)-COLUMN($A$2)+1+$B$1)</f>
        <v/>
      </c>
    </row>
    <row r="53" spans="1:9" ht="16.5" customHeight="1" x14ac:dyDescent="0.3">
      <c r="A53" s="118" cm="1">
        <f t="array" ref="A53">INDEX('Questions global'!$A:$YP,ROW(A52)-ROW($A$2)+4,COLUMN(A52)-COLUMN($A$2)+1+$B$1)</f>
        <v>52</v>
      </c>
      <c r="B53" s="106" t="str" cm="1">
        <f t="array" ref="B53">INDEX('Questions global'!$A:$YP,ROW(B52)-ROW($A$2)+4,COLUMN(B52)-COLUMN($A$2)+1+$B$1)</f>
        <v/>
      </c>
      <c r="C53" s="106" t="str" cm="1">
        <f t="array" ref="C53">INDEX('Questions global'!$A:$YP,ROW(C52)-ROW($A$2)+4,COLUMN(C52)-COLUMN($A$2)+1+$B$1)</f>
        <v/>
      </c>
      <c r="D53" s="126" t="str" cm="1">
        <f t="array" ref="D53">INDEX('Questions global'!$A:$YP,ROW(D52)-ROW($A$2)+4,COLUMN(D52)-COLUMN($A$2)+1+$B$1)</f>
        <v/>
      </c>
      <c r="E53" s="104" t="str" cm="1">
        <f t="array" aca="1" ref="E53" ca="1">INDEX('Questions global'!$A:$YP,ROW(E52)-ROW($A$2)+4,COLUMN(E52)-COLUMN($A$2)+1+$B$1)</f>
        <v xml:space="preserve">   </v>
      </c>
      <c r="F53" s="105" t="str" cm="1">
        <f t="array" ref="F53">INDEX('Questions global'!$A:$YP,ROW(F52)-ROW($A$2)+4,COLUMN(F52)-COLUMN($A$2)+1+$B$1)</f>
        <v xml:space="preserve"> </v>
      </c>
      <c r="G53" s="112" t="str" cm="1">
        <f t="array" ref="G53">INDEX('Questions global'!$A:$YP,ROW(G52)-ROW($A$2)+4,COLUMN(G52)-COLUMN($A$2)+1+$B$1)</f>
        <v/>
      </c>
      <c r="H53" s="104" t="str" cm="1">
        <f t="array" aca="1" ref="H53" ca="1">INDEX('Questions global'!$A:$YP,ROW(H52)-ROW($A$2)+4,COLUMN(H52)-COLUMN($A$2)+1+$B$1)</f>
        <v/>
      </c>
      <c r="I53" s="119" t="str" cm="1">
        <f t="array" aca="1" ref="I53" ca="1">INDEX('Questions global'!$A:$YP,ROW(I52)-ROW($A$2)+4,COLUMN(I52)-COLUMN($A$2)+1+$B$1)</f>
        <v/>
      </c>
    </row>
    <row r="54" spans="1:9" x14ac:dyDescent="0.3">
      <c r="A54" s="118" cm="1">
        <f t="array" ref="A54">INDEX('Questions global'!$A:$YP,ROW(A53)-ROW($A$2)+4,COLUMN(A53)-COLUMN($A$2)+1+$B$1)</f>
        <v>53</v>
      </c>
      <c r="B54" s="106" t="str" cm="1">
        <f t="array" ref="B54">INDEX('Questions global'!$A:$YP,ROW(B53)-ROW($A$2)+4,COLUMN(B53)-COLUMN($A$2)+1+$B$1)</f>
        <v/>
      </c>
      <c r="C54" s="106" t="str" cm="1">
        <f t="array" ref="C54">INDEX('Questions global'!$A:$YP,ROW(C53)-ROW($A$2)+4,COLUMN(C53)-COLUMN($A$2)+1+$B$1)</f>
        <v/>
      </c>
      <c r="D54" s="126" t="str" cm="1">
        <f t="array" ref="D54">INDEX('Questions global'!$A:$YP,ROW(D53)-ROW($A$2)+4,COLUMN(D53)-COLUMN($A$2)+1+$B$1)</f>
        <v/>
      </c>
      <c r="E54" s="104" t="str" cm="1">
        <f t="array" aca="1" ref="E54" ca="1">INDEX('Questions global'!$A:$YP,ROW(E53)-ROW($A$2)+4,COLUMN(E53)-COLUMN($A$2)+1+$B$1)</f>
        <v xml:space="preserve">   </v>
      </c>
      <c r="F54" s="105" t="str" cm="1">
        <f t="array" ref="F54">INDEX('Questions global'!$A:$YP,ROW(F53)-ROW($A$2)+4,COLUMN(F53)-COLUMN($A$2)+1+$B$1)</f>
        <v xml:space="preserve"> </v>
      </c>
      <c r="G54" s="112" t="str" cm="1">
        <f t="array" ref="G54">INDEX('Questions global'!$A:$YP,ROW(G53)-ROW($A$2)+4,COLUMN(G53)-COLUMN($A$2)+1+$B$1)</f>
        <v/>
      </c>
      <c r="H54" s="104" t="str" cm="1">
        <f t="array" aca="1" ref="H54" ca="1">INDEX('Questions global'!$A:$YP,ROW(H53)-ROW($A$2)+4,COLUMN(H53)-COLUMN($A$2)+1+$B$1)</f>
        <v/>
      </c>
      <c r="I54" s="119" t="str" cm="1">
        <f t="array" aca="1" ref="I54" ca="1">INDEX('Questions global'!$A:$YP,ROW(I53)-ROW($A$2)+4,COLUMN(I53)-COLUMN($A$2)+1+$B$1)</f>
        <v/>
      </c>
    </row>
    <row r="55" spans="1:9" x14ac:dyDescent="0.3">
      <c r="A55" s="118" cm="1">
        <f t="array" ref="A55">INDEX('Questions global'!$A:$YP,ROW(A54)-ROW($A$2)+4,COLUMN(A54)-COLUMN($A$2)+1+$B$1)</f>
        <v>54</v>
      </c>
      <c r="B55" s="106" t="str" cm="1">
        <f t="array" ref="B55">INDEX('Questions global'!$A:$YP,ROW(B54)-ROW($A$2)+4,COLUMN(B54)-COLUMN($A$2)+1+$B$1)</f>
        <v/>
      </c>
      <c r="C55" s="106" t="str" cm="1">
        <f t="array" ref="C55">INDEX('Questions global'!$A:$YP,ROW(C54)-ROW($A$2)+4,COLUMN(C54)-COLUMN($A$2)+1+$B$1)</f>
        <v/>
      </c>
      <c r="D55" s="126" t="str" cm="1">
        <f t="array" ref="D55">INDEX('Questions global'!$A:$YP,ROW(D54)-ROW($A$2)+4,COLUMN(D54)-COLUMN($A$2)+1+$B$1)</f>
        <v/>
      </c>
      <c r="E55" s="104" t="str" cm="1">
        <f t="array" aca="1" ref="E55" ca="1">INDEX('Questions global'!$A:$YP,ROW(E54)-ROW($A$2)+4,COLUMN(E54)-COLUMN($A$2)+1+$B$1)</f>
        <v xml:space="preserve">   </v>
      </c>
      <c r="F55" s="105" t="str" cm="1">
        <f t="array" ref="F55">INDEX('Questions global'!$A:$YP,ROW(F54)-ROW($A$2)+4,COLUMN(F54)-COLUMN($A$2)+1+$B$1)</f>
        <v xml:space="preserve"> </v>
      </c>
      <c r="G55" s="112" t="str" cm="1">
        <f t="array" ref="G55">INDEX('Questions global'!$A:$YP,ROW(G54)-ROW($A$2)+4,COLUMN(G54)-COLUMN($A$2)+1+$B$1)</f>
        <v/>
      </c>
      <c r="H55" s="104" t="str" cm="1">
        <f t="array" aca="1" ref="H55" ca="1">INDEX('Questions global'!$A:$YP,ROW(H54)-ROW($A$2)+4,COLUMN(H54)-COLUMN($A$2)+1+$B$1)</f>
        <v/>
      </c>
      <c r="I55" s="119" t="str" cm="1">
        <f t="array" aca="1" ref="I55" ca="1">INDEX('Questions global'!$A:$YP,ROW(I54)-ROW($A$2)+4,COLUMN(I54)-COLUMN($A$2)+1+$B$1)</f>
        <v/>
      </c>
    </row>
    <row r="56" spans="1:9" x14ac:dyDescent="0.3">
      <c r="A56" s="118" cm="1">
        <f t="array" ref="A56">INDEX('Questions global'!$A:$YP,ROW(A55)-ROW($A$2)+4,COLUMN(A55)-COLUMN($A$2)+1+$B$1)</f>
        <v>55</v>
      </c>
      <c r="B56" s="106" t="str" cm="1">
        <f t="array" ref="B56">INDEX('Questions global'!$A:$YP,ROW(B55)-ROW($A$2)+4,COLUMN(B55)-COLUMN($A$2)+1+$B$1)</f>
        <v/>
      </c>
      <c r="C56" s="106" t="str" cm="1">
        <f t="array" ref="C56">INDEX('Questions global'!$A:$YP,ROW(C55)-ROW($A$2)+4,COLUMN(C55)-COLUMN($A$2)+1+$B$1)</f>
        <v/>
      </c>
      <c r="D56" s="126" t="str" cm="1">
        <f t="array" ref="D56">INDEX('Questions global'!$A:$YP,ROW(D55)-ROW($A$2)+4,COLUMN(D55)-COLUMN($A$2)+1+$B$1)</f>
        <v/>
      </c>
      <c r="E56" s="104" t="str" cm="1">
        <f t="array" aca="1" ref="E56" ca="1">INDEX('Questions global'!$A:$YP,ROW(E55)-ROW($A$2)+4,COLUMN(E55)-COLUMN($A$2)+1+$B$1)</f>
        <v xml:space="preserve">   </v>
      </c>
      <c r="F56" s="105" t="str" cm="1">
        <f t="array" ref="F56">INDEX('Questions global'!$A:$YP,ROW(F55)-ROW($A$2)+4,COLUMN(F55)-COLUMN($A$2)+1+$B$1)</f>
        <v xml:space="preserve"> </v>
      </c>
      <c r="G56" s="112" t="str" cm="1">
        <f t="array" ref="G56">INDEX('Questions global'!$A:$YP,ROW(G55)-ROW($A$2)+4,COLUMN(G55)-COLUMN($A$2)+1+$B$1)</f>
        <v/>
      </c>
      <c r="H56" s="104" t="str" cm="1">
        <f t="array" aca="1" ref="H56" ca="1">INDEX('Questions global'!$A:$YP,ROW(H55)-ROW($A$2)+4,COLUMN(H55)-COLUMN($A$2)+1+$B$1)</f>
        <v/>
      </c>
      <c r="I56" s="119" t="str" cm="1">
        <f t="array" aca="1" ref="I56" ca="1">INDEX('Questions global'!$A:$YP,ROW(I55)-ROW($A$2)+4,COLUMN(I55)-COLUMN($A$2)+1+$B$1)</f>
        <v/>
      </c>
    </row>
    <row r="57" spans="1:9" x14ac:dyDescent="0.3">
      <c r="A57" s="118" cm="1">
        <f t="array" ref="A57">INDEX('Questions global'!$A:$YP,ROW(A56)-ROW($A$2)+4,COLUMN(A56)-COLUMN($A$2)+1+$B$1)</f>
        <v>56</v>
      </c>
      <c r="B57" s="106" t="str" cm="1">
        <f t="array" ref="B57">INDEX('Questions global'!$A:$YP,ROW(B56)-ROW($A$2)+4,COLUMN(B56)-COLUMN($A$2)+1+$B$1)</f>
        <v/>
      </c>
      <c r="C57" s="106" t="str" cm="1">
        <f t="array" ref="C57">INDEX('Questions global'!$A:$YP,ROW(C56)-ROW($A$2)+4,COLUMN(C56)-COLUMN($A$2)+1+$B$1)</f>
        <v/>
      </c>
      <c r="D57" s="126" t="str" cm="1">
        <f t="array" ref="D57">INDEX('Questions global'!$A:$YP,ROW(D56)-ROW($A$2)+4,COLUMN(D56)-COLUMN($A$2)+1+$B$1)</f>
        <v/>
      </c>
      <c r="E57" s="104" t="str" cm="1">
        <f t="array" aca="1" ref="E57" ca="1">INDEX('Questions global'!$A:$YP,ROW(E56)-ROW($A$2)+4,COLUMN(E56)-COLUMN($A$2)+1+$B$1)</f>
        <v xml:space="preserve">   </v>
      </c>
      <c r="F57" s="105" t="str" cm="1">
        <f t="array" ref="F57">INDEX('Questions global'!$A:$YP,ROW(F56)-ROW($A$2)+4,COLUMN(F56)-COLUMN($A$2)+1+$B$1)</f>
        <v xml:space="preserve"> </v>
      </c>
      <c r="G57" s="112" t="str" cm="1">
        <f t="array" ref="G57">INDEX('Questions global'!$A:$YP,ROW(G56)-ROW($A$2)+4,COLUMN(G56)-COLUMN($A$2)+1+$B$1)</f>
        <v/>
      </c>
      <c r="H57" s="104" t="str" cm="1">
        <f t="array" aca="1" ref="H57" ca="1">INDEX('Questions global'!$A:$YP,ROW(H56)-ROW($A$2)+4,COLUMN(H56)-COLUMN($A$2)+1+$B$1)</f>
        <v/>
      </c>
      <c r="I57" s="119" t="str" cm="1">
        <f t="array" aca="1" ref="I57" ca="1">INDEX('Questions global'!$A:$YP,ROW(I56)-ROW($A$2)+4,COLUMN(I56)-COLUMN($A$2)+1+$B$1)</f>
        <v/>
      </c>
    </row>
    <row r="58" spans="1:9" x14ac:dyDescent="0.3">
      <c r="A58" s="118" cm="1">
        <f t="array" ref="A58">INDEX('Questions global'!$A:$YP,ROW(A57)-ROW($A$2)+4,COLUMN(A57)-COLUMN($A$2)+1+$B$1)</f>
        <v>57</v>
      </c>
      <c r="B58" s="106" t="str" cm="1">
        <f t="array" ref="B58">INDEX('Questions global'!$A:$YP,ROW(B57)-ROW($A$2)+4,COLUMN(B57)-COLUMN($A$2)+1+$B$1)</f>
        <v/>
      </c>
      <c r="C58" s="106" t="str" cm="1">
        <f t="array" ref="C58">INDEX('Questions global'!$A:$YP,ROW(C57)-ROW($A$2)+4,COLUMN(C57)-COLUMN($A$2)+1+$B$1)</f>
        <v/>
      </c>
      <c r="D58" s="126" t="str" cm="1">
        <f t="array" ref="D58">INDEX('Questions global'!$A:$YP,ROW(D57)-ROW($A$2)+4,COLUMN(D57)-COLUMN($A$2)+1+$B$1)</f>
        <v/>
      </c>
      <c r="E58" s="104" t="str" cm="1">
        <f t="array" aca="1" ref="E58" ca="1">INDEX('Questions global'!$A:$YP,ROW(E57)-ROW($A$2)+4,COLUMN(E57)-COLUMN($A$2)+1+$B$1)</f>
        <v xml:space="preserve">   </v>
      </c>
      <c r="F58" s="105" t="str" cm="1">
        <f t="array" ref="F58">INDEX('Questions global'!$A:$YP,ROW(F57)-ROW($A$2)+4,COLUMN(F57)-COLUMN($A$2)+1+$B$1)</f>
        <v xml:space="preserve"> </v>
      </c>
      <c r="G58" s="112" t="str" cm="1">
        <f t="array" ref="G58">INDEX('Questions global'!$A:$YP,ROW(G57)-ROW($A$2)+4,COLUMN(G57)-COLUMN($A$2)+1+$B$1)</f>
        <v/>
      </c>
      <c r="H58" s="104" t="str" cm="1">
        <f t="array" aca="1" ref="H58" ca="1">INDEX('Questions global'!$A:$YP,ROW(H57)-ROW($A$2)+4,COLUMN(H57)-COLUMN($A$2)+1+$B$1)</f>
        <v/>
      </c>
      <c r="I58" s="119" t="str" cm="1">
        <f t="array" aca="1" ref="I58" ca="1">INDEX('Questions global'!$A:$YP,ROW(I57)-ROW($A$2)+4,COLUMN(I57)-COLUMN($A$2)+1+$B$1)</f>
        <v/>
      </c>
    </row>
    <row r="59" spans="1:9" x14ac:dyDescent="0.3">
      <c r="A59" s="118" cm="1">
        <f t="array" ref="A59">INDEX('Questions global'!$A:$YP,ROW(A58)-ROW($A$2)+4,COLUMN(A58)-COLUMN($A$2)+1+$B$1)</f>
        <v>58</v>
      </c>
      <c r="B59" s="106" t="str" cm="1">
        <f t="array" ref="B59">INDEX('Questions global'!$A:$YP,ROW(B58)-ROW($A$2)+4,COLUMN(B58)-COLUMN($A$2)+1+$B$1)</f>
        <v/>
      </c>
      <c r="C59" s="106" t="str" cm="1">
        <f t="array" ref="C59">INDEX('Questions global'!$A:$YP,ROW(C58)-ROW($A$2)+4,COLUMN(C58)-COLUMN($A$2)+1+$B$1)</f>
        <v/>
      </c>
      <c r="D59" s="126" t="str" cm="1">
        <f t="array" ref="D59">INDEX('Questions global'!$A:$YP,ROW(D58)-ROW($A$2)+4,COLUMN(D58)-COLUMN($A$2)+1+$B$1)</f>
        <v/>
      </c>
      <c r="E59" s="104" t="str" cm="1">
        <f t="array" aca="1" ref="E59" ca="1">INDEX('Questions global'!$A:$YP,ROW(E58)-ROW($A$2)+4,COLUMN(E58)-COLUMN($A$2)+1+$B$1)</f>
        <v xml:space="preserve">   </v>
      </c>
      <c r="F59" s="105" t="str" cm="1">
        <f t="array" ref="F59">INDEX('Questions global'!$A:$YP,ROW(F58)-ROW($A$2)+4,COLUMN(F58)-COLUMN($A$2)+1+$B$1)</f>
        <v xml:space="preserve"> </v>
      </c>
      <c r="G59" s="112" t="str" cm="1">
        <f t="array" ref="G59">INDEX('Questions global'!$A:$YP,ROW(G58)-ROW($A$2)+4,COLUMN(G58)-COLUMN($A$2)+1+$B$1)</f>
        <v/>
      </c>
      <c r="H59" s="104" t="str" cm="1">
        <f t="array" aca="1" ref="H59" ca="1">INDEX('Questions global'!$A:$YP,ROW(H58)-ROW($A$2)+4,COLUMN(H58)-COLUMN($A$2)+1+$B$1)</f>
        <v/>
      </c>
      <c r="I59" s="119" t="str" cm="1">
        <f t="array" aca="1" ref="I59" ca="1">INDEX('Questions global'!$A:$YP,ROW(I58)-ROW($A$2)+4,COLUMN(I58)-COLUMN($A$2)+1+$B$1)</f>
        <v/>
      </c>
    </row>
    <row r="60" spans="1:9" x14ac:dyDescent="0.3">
      <c r="A60" s="118" cm="1">
        <f t="array" ref="A60">INDEX('Questions global'!$A:$YP,ROW(A59)-ROW($A$2)+4,COLUMN(A59)-COLUMN($A$2)+1+$B$1)</f>
        <v>59</v>
      </c>
      <c r="B60" s="106" t="str" cm="1">
        <f t="array" ref="B60">INDEX('Questions global'!$A:$YP,ROW(B59)-ROW($A$2)+4,COLUMN(B59)-COLUMN($A$2)+1+$B$1)</f>
        <v/>
      </c>
      <c r="C60" s="106" t="str" cm="1">
        <f t="array" ref="C60">INDEX('Questions global'!$A:$YP,ROW(C59)-ROW($A$2)+4,COLUMN(C59)-COLUMN($A$2)+1+$B$1)</f>
        <v/>
      </c>
      <c r="D60" s="126" t="str" cm="1">
        <f t="array" ref="D60">INDEX('Questions global'!$A:$YP,ROW(D59)-ROW($A$2)+4,COLUMN(D59)-COLUMN($A$2)+1+$B$1)</f>
        <v/>
      </c>
      <c r="E60" s="104" t="str" cm="1">
        <f t="array" aca="1" ref="E60" ca="1">INDEX('Questions global'!$A:$YP,ROW(E59)-ROW($A$2)+4,COLUMN(E59)-COLUMN($A$2)+1+$B$1)</f>
        <v xml:space="preserve">   </v>
      </c>
      <c r="F60" s="105" t="str" cm="1">
        <f t="array" ref="F60">INDEX('Questions global'!$A:$YP,ROW(F59)-ROW($A$2)+4,COLUMN(F59)-COLUMN($A$2)+1+$B$1)</f>
        <v xml:space="preserve"> </v>
      </c>
      <c r="G60" s="112" t="str" cm="1">
        <f t="array" ref="G60">INDEX('Questions global'!$A:$YP,ROW(G59)-ROW($A$2)+4,COLUMN(G59)-COLUMN($A$2)+1+$B$1)</f>
        <v/>
      </c>
      <c r="H60" s="104" t="str" cm="1">
        <f t="array" aca="1" ref="H60" ca="1">INDEX('Questions global'!$A:$YP,ROW(H59)-ROW($A$2)+4,COLUMN(H59)-COLUMN($A$2)+1+$B$1)</f>
        <v/>
      </c>
      <c r="I60" s="119" t="str" cm="1">
        <f t="array" aca="1" ref="I60" ca="1">INDEX('Questions global'!$A:$YP,ROW(I59)-ROW($A$2)+4,COLUMN(I59)-COLUMN($A$2)+1+$B$1)</f>
        <v/>
      </c>
    </row>
    <row r="61" spans="1:9" x14ac:dyDescent="0.3">
      <c r="A61" s="118" cm="1">
        <f t="array" ref="A61">INDEX('Questions global'!$A:$YP,ROW(A60)-ROW($A$2)+4,COLUMN(A60)-COLUMN($A$2)+1+$B$1)</f>
        <v>60</v>
      </c>
      <c r="B61" s="106" t="str" cm="1">
        <f t="array" ref="B61">INDEX('Questions global'!$A:$YP,ROW(B60)-ROW($A$2)+4,COLUMN(B60)-COLUMN($A$2)+1+$B$1)</f>
        <v/>
      </c>
      <c r="C61" s="106" t="str" cm="1">
        <f t="array" ref="C61">INDEX('Questions global'!$A:$YP,ROW(C60)-ROW($A$2)+4,COLUMN(C60)-COLUMN($A$2)+1+$B$1)</f>
        <v/>
      </c>
      <c r="D61" s="126" t="str" cm="1">
        <f t="array" ref="D61">INDEX('Questions global'!$A:$YP,ROW(D60)-ROW($A$2)+4,COLUMN(D60)-COLUMN($A$2)+1+$B$1)</f>
        <v/>
      </c>
      <c r="E61" s="104" t="str" cm="1">
        <f t="array" aca="1" ref="E61" ca="1">INDEX('Questions global'!$A:$YP,ROW(E60)-ROW($A$2)+4,COLUMN(E60)-COLUMN($A$2)+1+$B$1)</f>
        <v xml:space="preserve">   </v>
      </c>
      <c r="F61" s="105" t="str" cm="1">
        <f t="array" ref="F61">INDEX('Questions global'!$A:$YP,ROW(F60)-ROW($A$2)+4,COLUMN(F60)-COLUMN($A$2)+1+$B$1)</f>
        <v xml:space="preserve"> </v>
      </c>
      <c r="G61" s="112" t="str" cm="1">
        <f t="array" ref="G61">INDEX('Questions global'!$A:$YP,ROW(G60)-ROW($A$2)+4,COLUMN(G60)-COLUMN($A$2)+1+$B$1)</f>
        <v/>
      </c>
      <c r="H61" s="104" t="str" cm="1">
        <f t="array" aca="1" ref="H61" ca="1">INDEX('Questions global'!$A:$YP,ROW(H60)-ROW($A$2)+4,COLUMN(H60)-COLUMN($A$2)+1+$B$1)</f>
        <v/>
      </c>
      <c r="I61" s="119" t="str" cm="1">
        <f t="array" aca="1" ref="I61" ca="1">INDEX('Questions global'!$A:$YP,ROW(I60)-ROW($A$2)+4,COLUMN(I60)-COLUMN($A$2)+1+$B$1)</f>
        <v/>
      </c>
    </row>
    <row r="62" spans="1:9" x14ac:dyDescent="0.3">
      <c r="A62" s="118" cm="1">
        <f t="array" ref="A62">INDEX('Questions global'!$A:$YP,ROW(A61)-ROW($A$2)+4,COLUMN(A61)-COLUMN($A$2)+1+$B$1)</f>
        <v>61</v>
      </c>
      <c r="B62" s="106" t="str" cm="1">
        <f t="array" ref="B62">INDEX('Questions global'!$A:$YP,ROW(B61)-ROW($A$2)+4,COLUMN(B61)-COLUMN($A$2)+1+$B$1)</f>
        <v/>
      </c>
      <c r="C62" s="106" t="str" cm="1">
        <f t="array" ref="C62">INDEX('Questions global'!$A:$YP,ROW(C61)-ROW($A$2)+4,COLUMN(C61)-COLUMN($A$2)+1+$B$1)</f>
        <v/>
      </c>
      <c r="D62" s="126" t="str" cm="1">
        <f t="array" ref="D62">INDEX('Questions global'!$A:$YP,ROW(D61)-ROW($A$2)+4,COLUMN(D61)-COLUMN($A$2)+1+$B$1)</f>
        <v/>
      </c>
      <c r="E62" s="104" t="str" cm="1">
        <f t="array" aca="1" ref="E62" ca="1">INDEX('Questions global'!$A:$YP,ROW(E61)-ROW($A$2)+4,COLUMN(E61)-COLUMN($A$2)+1+$B$1)</f>
        <v xml:space="preserve">   </v>
      </c>
      <c r="F62" s="105" t="str" cm="1">
        <f t="array" ref="F62">INDEX('Questions global'!$A:$YP,ROW(F61)-ROW($A$2)+4,COLUMN(F61)-COLUMN($A$2)+1+$B$1)</f>
        <v xml:space="preserve"> </v>
      </c>
      <c r="G62" s="112" t="str" cm="1">
        <f t="array" ref="G62">INDEX('Questions global'!$A:$YP,ROW(G61)-ROW($A$2)+4,COLUMN(G61)-COLUMN($A$2)+1+$B$1)</f>
        <v/>
      </c>
      <c r="H62" s="104" t="str" cm="1">
        <f t="array" aca="1" ref="H62" ca="1">INDEX('Questions global'!$A:$YP,ROW(H61)-ROW($A$2)+4,COLUMN(H61)-COLUMN($A$2)+1+$B$1)</f>
        <v/>
      </c>
      <c r="I62" s="119" t="str" cm="1">
        <f t="array" aca="1" ref="I62" ca="1">INDEX('Questions global'!$A:$YP,ROW(I61)-ROW($A$2)+4,COLUMN(I61)-COLUMN($A$2)+1+$B$1)</f>
        <v/>
      </c>
    </row>
    <row r="63" spans="1:9" x14ac:dyDescent="0.3">
      <c r="A63" s="118" cm="1">
        <f t="array" ref="A63">INDEX('Questions global'!$A:$YP,ROW(A62)-ROW($A$2)+4,COLUMN(A62)-COLUMN($A$2)+1+$B$1)</f>
        <v>62</v>
      </c>
      <c r="B63" s="106" t="str" cm="1">
        <f t="array" ref="B63">INDEX('Questions global'!$A:$YP,ROW(B62)-ROW($A$2)+4,COLUMN(B62)-COLUMN($A$2)+1+$B$1)</f>
        <v/>
      </c>
      <c r="C63" s="106" t="str" cm="1">
        <f t="array" ref="C63">INDEX('Questions global'!$A:$YP,ROW(C62)-ROW($A$2)+4,COLUMN(C62)-COLUMN($A$2)+1+$B$1)</f>
        <v/>
      </c>
      <c r="D63" s="126" t="str" cm="1">
        <f t="array" ref="D63">INDEX('Questions global'!$A:$YP,ROW(D62)-ROW($A$2)+4,COLUMN(D62)-COLUMN($A$2)+1+$B$1)</f>
        <v/>
      </c>
      <c r="E63" s="104" t="str" cm="1">
        <f t="array" aca="1" ref="E63" ca="1">INDEX('Questions global'!$A:$YP,ROW(E62)-ROW($A$2)+4,COLUMN(E62)-COLUMN($A$2)+1+$B$1)</f>
        <v xml:space="preserve">   </v>
      </c>
      <c r="F63" s="105" t="str" cm="1">
        <f t="array" ref="F63">INDEX('Questions global'!$A:$YP,ROW(F62)-ROW($A$2)+4,COLUMN(F62)-COLUMN($A$2)+1+$B$1)</f>
        <v xml:space="preserve"> </v>
      </c>
      <c r="G63" s="112" t="str" cm="1">
        <f t="array" ref="G63">INDEX('Questions global'!$A:$YP,ROW(G62)-ROW($A$2)+4,COLUMN(G62)-COLUMN($A$2)+1+$B$1)</f>
        <v/>
      </c>
      <c r="H63" s="104" t="str" cm="1">
        <f t="array" aca="1" ref="H63" ca="1">INDEX('Questions global'!$A:$YP,ROW(H62)-ROW($A$2)+4,COLUMN(H62)-COLUMN($A$2)+1+$B$1)</f>
        <v/>
      </c>
      <c r="I63" s="119" t="str" cm="1">
        <f t="array" aca="1" ref="I63" ca="1">INDEX('Questions global'!$A:$YP,ROW(I62)-ROW($A$2)+4,COLUMN(I62)-COLUMN($A$2)+1+$B$1)</f>
        <v/>
      </c>
    </row>
    <row r="64" spans="1:9" x14ac:dyDescent="0.3">
      <c r="A64" s="118" cm="1">
        <f t="array" ref="A64">INDEX('Questions global'!$A:$YP,ROW(A63)-ROW($A$2)+4,COLUMN(A63)-COLUMN($A$2)+1+$B$1)</f>
        <v>63</v>
      </c>
      <c r="B64" s="106" t="str" cm="1">
        <f t="array" ref="B64">INDEX('Questions global'!$A:$YP,ROW(B63)-ROW($A$2)+4,COLUMN(B63)-COLUMN($A$2)+1+$B$1)</f>
        <v/>
      </c>
      <c r="C64" s="106" t="str" cm="1">
        <f t="array" ref="C64">INDEX('Questions global'!$A:$YP,ROW(C63)-ROW($A$2)+4,COLUMN(C63)-COLUMN($A$2)+1+$B$1)</f>
        <v/>
      </c>
      <c r="D64" s="126" t="str" cm="1">
        <f t="array" ref="D64">INDEX('Questions global'!$A:$YP,ROW(D63)-ROW($A$2)+4,COLUMN(D63)-COLUMN($A$2)+1+$B$1)</f>
        <v/>
      </c>
      <c r="E64" s="104" t="str" cm="1">
        <f t="array" aca="1" ref="E64" ca="1">INDEX('Questions global'!$A:$YP,ROW(E63)-ROW($A$2)+4,COLUMN(E63)-COLUMN($A$2)+1+$B$1)</f>
        <v xml:space="preserve">   </v>
      </c>
      <c r="F64" s="105" t="str" cm="1">
        <f t="array" ref="F64">INDEX('Questions global'!$A:$YP,ROW(F63)-ROW($A$2)+4,COLUMN(F63)-COLUMN($A$2)+1+$B$1)</f>
        <v xml:space="preserve"> </v>
      </c>
      <c r="G64" s="112" t="str" cm="1">
        <f t="array" ref="G64">INDEX('Questions global'!$A:$YP,ROW(G63)-ROW($A$2)+4,COLUMN(G63)-COLUMN($A$2)+1+$B$1)</f>
        <v/>
      </c>
      <c r="H64" s="104" t="str" cm="1">
        <f t="array" aca="1" ref="H64" ca="1">INDEX('Questions global'!$A:$YP,ROW(H63)-ROW($A$2)+4,COLUMN(H63)-COLUMN($A$2)+1+$B$1)</f>
        <v/>
      </c>
      <c r="I64" s="119" t="str" cm="1">
        <f t="array" aca="1" ref="I64" ca="1">INDEX('Questions global'!$A:$YP,ROW(I63)-ROW($A$2)+4,COLUMN(I63)-COLUMN($A$2)+1+$B$1)</f>
        <v/>
      </c>
    </row>
    <row r="65" spans="1:9" x14ac:dyDescent="0.3">
      <c r="A65" s="118" cm="1">
        <f t="array" ref="A65">INDEX('Questions global'!$A:$YP,ROW(A64)-ROW($A$2)+4,COLUMN(A64)-COLUMN($A$2)+1+$B$1)</f>
        <v>64</v>
      </c>
      <c r="B65" s="106" t="str" cm="1">
        <f t="array" ref="B65">INDEX('Questions global'!$A:$YP,ROW(B64)-ROW($A$2)+4,COLUMN(B64)-COLUMN($A$2)+1+$B$1)</f>
        <v/>
      </c>
      <c r="C65" s="106" t="str" cm="1">
        <f t="array" ref="C65">INDEX('Questions global'!$A:$YP,ROW(C64)-ROW($A$2)+4,COLUMN(C64)-COLUMN($A$2)+1+$B$1)</f>
        <v/>
      </c>
      <c r="D65" s="126" t="str" cm="1">
        <f t="array" ref="D65">INDEX('Questions global'!$A:$YP,ROW(D64)-ROW($A$2)+4,COLUMN(D64)-COLUMN($A$2)+1+$B$1)</f>
        <v/>
      </c>
      <c r="E65" s="104" t="str" cm="1">
        <f t="array" aca="1" ref="E65" ca="1">INDEX('Questions global'!$A:$YP,ROW(E64)-ROW($A$2)+4,COLUMN(E64)-COLUMN($A$2)+1+$B$1)</f>
        <v xml:space="preserve">   </v>
      </c>
      <c r="F65" s="105" t="str" cm="1">
        <f t="array" ref="F65">INDEX('Questions global'!$A:$YP,ROW(F64)-ROW($A$2)+4,COLUMN(F64)-COLUMN($A$2)+1+$B$1)</f>
        <v xml:space="preserve"> </v>
      </c>
      <c r="G65" s="112" t="str" cm="1">
        <f t="array" ref="G65">INDEX('Questions global'!$A:$YP,ROW(G64)-ROW($A$2)+4,COLUMN(G64)-COLUMN($A$2)+1+$B$1)</f>
        <v/>
      </c>
      <c r="H65" s="104" t="str" cm="1">
        <f t="array" aca="1" ref="H65" ca="1">INDEX('Questions global'!$A:$YP,ROW(H64)-ROW($A$2)+4,COLUMN(H64)-COLUMN($A$2)+1+$B$1)</f>
        <v/>
      </c>
      <c r="I65" s="119" t="str" cm="1">
        <f t="array" aca="1" ref="I65" ca="1">INDEX('Questions global'!$A:$YP,ROW(I64)-ROW($A$2)+4,COLUMN(I64)-COLUMN($A$2)+1+$B$1)</f>
        <v/>
      </c>
    </row>
    <row r="66" spans="1:9" x14ac:dyDescent="0.3">
      <c r="A66" s="118" cm="1">
        <f t="array" ref="A66">INDEX('Questions global'!$A:$YP,ROW(A65)-ROW($A$2)+4,COLUMN(A65)-COLUMN($A$2)+1+$B$1)</f>
        <v>65</v>
      </c>
      <c r="B66" s="106" t="str" cm="1">
        <f t="array" ref="B66">INDEX('Questions global'!$A:$YP,ROW(B65)-ROW($A$2)+4,COLUMN(B65)-COLUMN($A$2)+1+$B$1)</f>
        <v/>
      </c>
      <c r="C66" s="106" t="str" cm="1">
        <f t="array" ref="C66">INDEX('Questions global'!$A:$YP,ROW(C65)-ROW($A$2)+4,COLUMN(C65)-COLUMN($A$2)+1+$B$1)</f>
        <v/>
      </c>
      <c r="D66" s="126" t="str" cm="1">
        <f t="array" ref="D66">INDEX('Questions global'!$A:$YP,ROW(D65)-ROW($A$2)+4,COLUMN(D65)-COLUMN($A$2)+1+$B$1)</f>
        <v/>
      </c>
      <c r="E66" s="104" t="str" cm="1">
        <f t="array" aca="1" ref="E66" ca="1">INDEX('Questions global'!$A:$YP,ROW(E65)-ROW($A$2)+4,COLUMN(E65)-COLUMN($A$2)+1+$B$1)</f>
        <v xml:space="preserve">   </v>
      </c>
      <c r="F66" s="105" t="str" cm="1">
        <f t="array" ref="F66">INDEX('Questions global'!$A:$YP,ROW(F65)-ROW($A$2)+4,COLUMN(F65)-COLUMN($A$2)+1+$B$1)</f>
        <v xml:space="preserve"> </v>
      </c>
      <c r="G66" s="112" t="str" cm="1">
        <f t="array" ref="G66">INDEX('Questions global'!$A:$YP,ROW(G65)-ROW($A$2)+4,COLUMN(G65)-COLUMN($A$2)+1+$B$1)</f>
        <v/>
      </c>
      <c r="H66" s="104" t="str" cm="1">
        <f t="array" aca="1" ref="H66" ca="1">INDEX('Questions global'!$A:$YP,ROW(H65)-ROW($A$2)+4,COLUMN(H65)-COLUMN($A$2)+1+$B$1)</f>
        <v/>
      </c>
      <c r="I66" s="119" t="str" cm="1">
        <f t="array" aca="1" ref="I66" ca="1">INDEX('Questions global'!$A:$YP,ROW(I65)-ROW($A$2)+4,COLUMN(I65)-COLUMN($A$2)+1+$B$1)</f>
        <v/>
      </c>
    </row>
    <row r="67" spans="1:9" x14ac:dyDescent="0.3">
      <c r="A67" s="118" cm="1">
        <f t="array" ref="A67">INDEX('Questions global'!$A:$YP,ROW(A66)-ROW($A$2)+4,COLUMN(A66)-COLUMN($A$2)+1+$B$1)</f>
        <v>66</v>
      </c>
      <c r="B67" s="106" t="str" cm="1">
        <f t="array" ref="B67">INDEX('Questions global'!$A:$YP,ROW(B66)-ROW($A$2)+4,COLUMN(B66)-COLUMN($A$2)+1+$B$1)</f>
        <v/>
      </c>
      <c r="C67" s="106" t="str" cm="1">
        <f t="array" ref="C67">INDEX('Questions global'!$A:$YP,ROW(C66)-ROW($A$2)+4,COLUMN(C66)-COLUMN($A$2)+1+$B$1)</f>
        <v/>
      </c>
      <c r="D67" s="126" t="str" cm="1">
        <f t="array" ref="D67">INDEX('Questions global'!$A:$YP,ROW(D66)-ROW($A$2)+4,COLUMN(D66)-COLUMN($A$2)+1+$B$1)</f>
        <v/>
      </c>
      <c r="E67" s="104" t="str" cm="1">
        <f t="array" aca="1" ref="E67" ca="1">INDEX('Questions global'!$A:$YP,ROW(E66)-ROW($A$2)+4,COLUMN(E66)-COLUMN($A$2)+1+$B$1)</f>
        <v xml:space="preserve">   </v>
      </c>
      <c r="F67" s="105" t="str" cm="1">
        <f t="array" ref="F67">INDEX('Questions global'!$A:$YP,ROW(F66)-ROW($A$2)+4,COLUMN(F66)-COLUMN($A$2)+1+$B$1)</f>
        <v xml:space="preserve"> </v>
      </c>
      <c r="G67" s="112" t="str" cm="1">
        <f t="array" ref="G67">INDEX('Questions global'!$A:$YP,ROW(G66)-ROW($A$2)+4,COLUMN(G66)-COLUMN($A$2)+1+$B$1)</f>
        <v/>
      </c>
      <c r="H67" s="104" t="str" cm="1">
        <f t="array" aca="1" ref="H67" ca="1">INDEX('Questions global'!$A:$YP,ROW(H66)-ROW($A$2)+4,COLUMN(H66)-COLUMN($A$2)+1+$B$1)</f>
        <v/>
      </c>
      <c r="I67" s="119" t="str" cm="1">
        <f t="array" aca="1" ref="I67" ca="1">INDEX('Questions global'!$A:$YP,ROW(I66)-ROW($A$2)+4,COLUMN(I66)-COLUMN($A$2)+1+$B$1)</f>
        <v/>
      </c>
    </row>
    <row r="68" spans="1:9" x14ac:dyDescent="0.3">
      <c r="A68" s="118" cm="1">
        <f t="array" ref="A68">INDEX('Questions global'!$A:$YP,ROW(A67)-ROW($A$2)+4,COLUMN(A67)-COLUMN($A$2)+1+$B$1)</f>
        <v>67</v>
      </c>
      <c r="B68" s="106" t="str" cm="1">
        <f t="array" ref="B68">INDEX('Questions global'!$A:$YP,ROW(B67)-ROW($A$2)+4,COLUMN(B67)-COLUMN($A$2)+1+$B$1)</f>
        <v/>
      </c>
      <c r="C68" s="106" t="str" cm="1">
        <f t="array" ref="C68">INDEX('Questions global'!$A:$YP,ROW(C67)-ROW($A$2)+4,COLUMN(C67)-COLUMN($A$2)+1+$B$1)</f>
        <v/>
      </c>
      <c r="D68" s="126" t="str" cm="1">
        <f t="array" ref="D68">INDEX('Questions global'!$A:$YP,ROW(D67)-ROW($A$2)+4,COLUMN(D67)-COLUMN($A$2)+1+$B$1)</f>
        <v/>
      </c>
      <c r="E68" s="104" t="str" cm="1">
        <f t="array" aca="1" ref="E68" ca="1">INDEX('Questions global'!$A:$YP,ROW(E67)-ROW($A$2)+4,COLUMN(E67)-COLUMN($A$2)+1+$B$1)</f>
        <v xml:space="preserve">   </v>
      </c>
      <c r="F68" s="105" t="str" cm="1">
        <f t="array" ref="F68">INDEX('Questions global'!$A:$YP,ROW(F67)-ROW($A$2)+4,COLUMN(F67)-COLUMN($A$2)+1+$B$1)</f>
        <v xml:space="preserve"> </v>
      </c>
      <c r="G68" s="112" t="str" cm="1">
        <f t="array" ref="G68">INDEX('Questions global'!$A:$YP,ROW(G67)-ROW($A$2)+4,COLUMN(G67)-COLUMN($A$2)+1+$B$1)</f>
        <v/>
      </c>
      <c r="H68" s="104" t="str" cm="1">
        <f t="array" aca="1" ref="H68" ca="1">INDEX('Questions global'!$A:$YP,ROW(H67)-ROW($A$2)+4,COLUMN(H67)-COLUMN($A$2)+1+$B$1)</f>
        <v/>
      </c>
      <c r="I68" s="119" t="str" cm="1">
        <f t="array" aca="1" ref="I68" ca="1">INDEX('Questions global'!$A:$YP,ROW(I67)-ROW($A$2)+4,COLUMN(I67)-COLUMN($A$2)+1+$B$1)</f>
        <v/>
      </c>
    </row>
    <row r="69" spans="1:9" x14ac:dyDescent="0.3">
      <c r="A69" s="118" cm="1">
        <f t="array" ref="A69">INDEX('Questions global'!$A:$YP,ROW(A68)-ROW($A$2)+4,COLUMN(A68)-COLUMN($A$2)+1+$B$1)</f>
        <v>68</v>
      </c>
      <c r="B69" s="106" t="str" cm="1">
        <f t="array" ref="B69">INDEX('Questions global'!$A:$YP,ROW(B68)-ROW($A$2)+4,COLUMN(B68)-COLUMN($A$2)+1+$B$1)</f>
        <v/>
      </c>
      <c r="C69" s="106" t="str" cm="1">
        <f t="array" ref="C69">INDEX('Questions global'!$A:$YP,ROW(C68)-ROW($A$2)+4,COLUMN(C68)-COLUMN($A$2)+1+$B$1)</f>
        <v/>
      </c>
      <c r="D69" s="126" t="str" cm="1">
        <f t="array" ref="D69">INDEX('Questions global'!$A:$YP,ROW(D68)-ROW($A$2)+4,COLUMN(D68)-COLUMN($A$2)+1+$B$1)</f>
        <v/>
      </c>
      <c r="E69" s="104" t="str" cm="1">
        <f t="array" aca="1" ref="E69" ca="1">INDEX('Questions global'!$A:$YP,ROW(E68)-ROW($A$2)+4,COLUMN(E68)-COLUMN($A$2)+1+$B$1)</f>
        <v xml:space="preserve">   </v>
      </c>
      <c r="F69" s="105" t="str" cm="1">
        <f t="array" ref="F69">INDEX('Questions global'!$A:$YP,ROW(F68)-ROW($A$2)+4,COLUMN(F68)-COLUMN($A$2)+1+$B$1)</f>
        <v xml:space="preserve"> </v>
      </c>
      <c r="G69" s="112" t="str" cm="1">
        <f t="array" ref="G69">INDEX('Questions global'!$A:$YP,ROW(G68)-ROW($A$2)+4,COLUMN(G68)-COLUMN($A$2)+1+$B$1)</f>
        <v/>
      </c>
      <c r="H69" s="104" t="str" cm="1">
        <f t="array" aca="1" ref="H69" ca="1">INDEX('Questions global'!$A:$YP,ROW(H68)-ROW($A$2)+4,COLUMN(H68)-COLUMN($A$2)+1+$B$1)</f>
        <v/>
      </c>
      <c r="I69" s="119" t="str" cm="1">
        <f t="array" aca="1" ref="I69" ca="1">INDEX('Questions global'!$A:$YP,ROW(I68)-ROW($A$2)+4,COLUMN(I68)-COLUMN($A$2)+1+$B$1)</f>
        <v/>
      </c>
    </row>
    <row r="70" spans="1:9" x14ac:dyDescent="0.3">
      <c r="A70" s="118" cm="1">
        <f t="array" ref="A70">INDEX('Questions global'!$A:$YP,ROW(A69)-ROW($A$2)+4,COLUMN(A69)-COLUMN($A$2)+1+$B$1)</f>
        <v>69</v>
      </c>
      <c r="B70" s="106" t="str" cm="1">
        <f t="array" ref="B70">INDEX('Questions global'!$A:$YP,ROW(B69)-ROW($A$2)+4,COLUMN(B69)-COLUMN($A$2)+1+$B$1)</f>
        <v/>
      </c>
      <c r="C70" s="106" t="str" cm="1">
        <f t="array" ref="C70">INDEX('Questions global'!$A:$YP,ROW(C69)-ROW($A$2)+4,COLUMN(C69)-COLUMN($A$2)+1+$B$1)</f>
        <v/>
      </c>
      <c r="D70" s="126" t="str" cm="1">
        <f t="array" ref="D70">INDEX('Questions global'!$A:$YP,ROW(D69)-ROW($A$2)+4,COLUMN(D69)-COLUMN($A$2)+1+$B$1)</f>
        <v/>
      </c>
      <c r="E70" s="104" t="str" cm="1">
        <f t="array" aca="1" ref="E70" ca="1">INDEX('Questions global'!$A:$YP,ROW(E69)-ROW($A$2)+4,COLUMN(E69)-COLUMN($A$2)+1+$B$1)</f>
        <v xml:space="preserve">   </v>
      </c>
      <c r="F70" s="105" t="str" cm="1">
        <f t="array" ref="F70">INDEX('Questions global'!$A:$YP,ROW(F69)-ROW($A$2)+4,COLUMN(F69)-COLUMN($A$2)+1+$B$1)</f>
        <v xml:space="preserve"> </v>
      </c>
      <c r="G70" s="112" t="str" cm="1">
        <f t="array" ref="G70">INDEX('Questions global'!$A:$YP,ROW(G69)-ROW($A$2)+4,COLUMN(G69)-COLUMN($A$2)+1+$B$1)</f>
        <v/>
      </c>
      <c r="H70" s="104" t="str" cm="1">
        <f t="array" aca="1" ref="H70" ca="1">INDEX('Questions global'!$A:$YP,ROW(H69)-ROW($A$2)+4,COLUMN(H69)-COLUMN($A$2)+1+$B$1)</f>
        <v/>
      </c>
      <c r="I70" s="119" t="str" cm="1">
        <f t="array" aca="1" ref="I70" ca="1">INDEX('Questions global'!$A:$YP,ROW(I69)-ROW($A$2)+4,COLUMN(I69)-COLUMN($A$2)+1+$B$1)</f>
        <v/>
      </c>
    </row>
    <row r="71" spans="1:9" x14ac:dyDescent="0.3">
      <c r="A71" s="118" cm="1">
        <f t="array" ref="A71">INDEX('Questions global'!$A:$YP,ROW(A70)-ROW($A$2)+4,COLUMN(A70)-COLUMN($A$2)+1+$B$1)</f>
        <v>70</v>
      </c>
      <c r="B71" s="106" t="str" cm="1">
        <f t="array" ref="B71">INDEX('Questions global'!$A:$YP,ROW(B70)-ROW($A$2)+4,COLUMN(B70)-COLUMN($A$2)+1+$B$1)</f>
        <v/>
      </c>
      <c r="C71" s="106" t="str" cm="1">
        <f t="array" ref="C71">INDEX('Questions global'!$A:$YP,ROW(C70)-ROW($A$2)+4,COLUMN(C70)-COLUMN($A$2)+1+$B$1)</f>
        <v/>
      </c>
      <c r="D71" s="126" t="str" cm="1">
        <f t="array" ref="D71">INDEX('Questions global'!$A:$YP,ROW(D70)-ROW($A$2)+4,COLUMN(D70)-COLUMN($A$2)+1+$B$1)</f>
        <v/>
      </c>
      <c r="E71" s="104" t="str" cm="1">
        <f t="array" aca="1" ref="E71" ca="1">INDEX('Questions global'!$A:$YP,ROW(E70)-ROW($A$2)+4,COLUMN(E70)-COLUMN($A$2)+1+$B$1)</f>
        <v xml:space="preserve">   </v>
      </c>
      <c r="F71" s="105" t="str" cm="1">
        <f t="array" ref="F71">INDEX('Questions global'!$A:$YP,ROW(F70)-ROW($A$2)+4,COLUMN(F70)-COLUMN($A$2)+1+$B$1)</f>
        <v xml:space="preserve"> </v>
      </c>
      <c r="G71" s="112" t="str" cm="1">
        <f t="array" ref="G71">INDEX('Questions global'!$A:$YP,ROW(G70)-ROW($A$2)+4,COLUMN(G70)-COLUMN($A$2)+1+$B$1)</f>
        <v/>
      </c>
      <c r="H71" s="104" t="str" cm="1">
        <f t="array" aca="1" ref="H71" ca="1">INDEX('Questions global'!$A:$YP,ROW(H70)-ROW($A$2)+4,COLUMN(H70)-COLUMN($A$2)+1+$B$1)</f>
        <v/>
      </c>
      <c r="I71" s="119" t="str" cm="1">
        <f t="array" aca="1" ref="I71" ca="1">INDEX('Questions global'!$A:$YP,ROW(I70)-ROW($A$2)+4,COLUMN(I70)-COLUMN($A$2)+1+$B$1)</f>
        <v/>
      </c>
    </row>
    <row r="72" spans="1:9" ht="15" thickBot="1" x14ac:dyDescent="0.35">
      <c r="A72" s="120" cm="1">
        <f t="array" ref="A72">INDEX('Questions global'!$A:$YP,ROW(A71)-ROW($A$2)+4,COLUMN(A71)-COLUMN($A$2)+1+$B$1)</f>
        <v>0</v>
      </c>
      <c r="B72" s="106" cm="1">
        <f t="array" ref="B72">INDEX('Questions global'!$A:$YP,ROW(B71)-ROW($A$2)+4,COLUMN(B71)-COLUMN($A$2)+1+$B$1)</f>
        <v>0</v>
      </c>
      <c r="C72" s="121" cm="1">
        <f t="array" ref="C72">INDEX('Questions global'!$A:$YP,ROW(C71)-ROW($A$2)+4,COLUMN(C71)-COLUMN($A$2)+1+$B$1)</f>
        <v>0</v>
      </c>
      <c r="D72" s="127" cm="1">
        <f t="array" ref="D72">INDEX('Questions global'!$A:$YP,ROW(D71)-ROW($A$2)+4,COLUMN(D71)-COLUMN($A$2)+1+$B$1)</f>
        <v>0</v>
      </c>
      <c r="E72" s="124" cm="1">
        <f t="array" ref="E72">INDEX('Questions global'!$A:$YP,ROW(E71)-ROW($A$2)+4,COLUMN(E71)-COLUMN($A$2)+1+$B$1)</f>
        <v>0</v>
      </c>
      <c r="F72" s="122" cm="1">
        <f t="array" ref="F72">INDEX('Questions global'!$A:$YP,ROW(F71)-ROW($A$2)+4,COLUMN(F71)-COLUMN($A$2)+1+$B$1)</f>
        <v>0</v>
      </c>
      <c r="G72" s="123" cm="1">
        <f t="array" ref="G72">INDEX('Questions global'!$A:$YP,ROW(G71)-ROW($A$2)+4,COLUMN(G71)-COLUMN($A$2)+1+$B$1)</f>
        <v>0</v>
      </c>
      <c r="H72" s="124" cm="1">
        <f t="array" ref="H72">INDEX('Questions global'!$A:$YP,ROW(H71)-ROW($A$2)+4,COLUMN(H71)-COLUMN($A$2)+1+$B$1)</f>
        <v>0</v>
      </c>
      <c r="I72" s="125" cm="1">
        <f t="array" ref="I72">INDEX('Questions global'!$A:$YP,ROW(I71)-ROW($A$2)+4,COLUMN(I71)-COLUMN($A$2)+1+$B$1)</f>
        <v>0</v>
      </c>
    </row>
    <row r="73" spans="1:9" ht="15" thickTop="1" x14ac:dyDescent="0.3"/>
  </sheetData>
  <conditionalFormatting sqref="G3:G72">
    <cfRule type="cellIs" dxfId="13" priority="3" operator="equal">
      <formula>"NON"</formula>
    </cfRule>
    <cfRule type="cellIs" dxfId="12" priority="4" operator="equal">
      <formula>"OUI"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4E5A6-4F5E-460B-B1BB-F968255C3E99}">
  <sheetPr>
    <tabColor rgb="FFFFFF00"/>
  </sheetPr>
  <dimension ref="A1:I73"/>
  <sheetViews>
    <sheetView zoomScale="70" zoomScaleNormal="70" workbookViewId="0">
      <selection activeCell="H28" sqref="H28"/>
    </sheetView>
  </sheetViews>
  <sheetFormatPr baseColWidth="10" defaultRowHeight="14.4" outlineLevelCol="1" x14ac:dyDescent="0.3"/>
  <cols>
    <col min="1" max="1" width="20.44140625" bestFit="1" customWidth="1"/>
    <col min="2" max="2" width="9.44140625" bestFit="1" customWidth="1"/>
    <col min="3" max="3" width="27.6640625" customWidth="1"/>
    <col min="4" max="4" width="14.5546875" bestFit="1" customWidth="1" outlineLevel="1"/>
    <col min="5" max="5" width="11.109375" bestFit="1" customWidth="1"/>
    <col min="6" max="6" width="54.33203125" bestFit="1" customWidth="1"/>
    <col min="7" max="7" width="11.6640625" bestFit="1" customWidth="1"/>
    <col min="8" max="8" width="29.5546875" customWidth="1"/>
    <col min="9" max="9" width="11.21875" bestFit="1" customWidth="1"/>
  </cols>
  <sheetData>
    <row r="1" spans="1:9" ht="24.6" thickTop="1" thickBot="1" x14ac:dyDescent="0.35">
      <c r="A1" s="173" t="s">
        <v>98</v>
      </c>
      <c r="B1" s="173">
        <v>9</v>
      </c>
      <c r="C1" s="174"/>
      <c r="D1" s="174"/>
      <c r="E1" s="174"/>
      <c r="F1" s="174" t="str" cm="1">
        <f t="array" ref="F1">IFERROR(INDEX('Questions global'!$A:$YP,1,1+$B$1), "")</f>
        <v>Entreprise 2</v>
      </c>
      <c r="G1" s="174"/>
      <c r="H1" s="174"/>
      <c r="I1" s="174"/>
    </row>
    <row r="2" spans="1:9" ht="16.5" customHeight="1" thickTop="1" x14ac:dyDescent="0.3">
      <c r="A2" s="113" t="s">
        <v>77</v>
      </c>
      <c r="B2" s="114" t="s">
        <v>80</v>
      </c>
      <c r="C2" s="115" t="s">
        <v>81</v>
      </c>
      <c r="D2" s="142" t="s">
        <v>88</v>
      </c>
      <c r="E2" s="142" t="s">
        <v>83</v>
      </c>
      <c r="F2" s="116" t="s">
        <v>78</v>
      </c>
      <c r="G2" s="117" t="s">
        <v>1</v>
      </c>
      <c r="H2" s="144" t="s">
        <v>104</v>
      </c>
      <c r="I2" s="145" t="s">
        <v>105</v>
      </c>
    </row>
    <row r="3" spans="1:9" ht="16.5" customHeight="1" x14ac:dyDescent="0.3">
      <c r="A3" s="118" cm="1">
        <f t="array" ref="A3">INDEX('Questions global'!$A:$YP,ROW(A2)-ROW($A$2)+4,COLUMN(A2)-COLUMN($A$2)+1+$B$1)</f>
        <v>2</v>
      </c>
      <c r="B3" s="106" t="str" cm="1">
        <f t="array" ref="B3">INDEX('Questions global'!$A:$YP,ROW(B2)-ROW($A$2)+4,COLUMN(B2)-COLUMN($A$2)+1+$B$1)</f>
        <v/>
      </c>
      <c r="C3" s="106" t="str" cm="1">
        <f t="array" ref="C3">INDEX('Questions global'!$A:$YP,ROW(C2)-ROW($A$2)+4,COLUMN(C2)-COLUMN($A$2)+1+$B$1)</f>
        <v/>
      </c>
      <c r="D3" s="126" t="str" cm="1">
        <f t="array" ref="D3">INDEX('Questions global'!$A:$YP,ROW(D2)-ROW($A$2)+4,COLUMN(D2)-COLUMN($A$2)+1+$B$1)</f>
        <v/>
      </c>
      <c r="E3" s="104" t="str" cm="1">
        <f t="array" aca="1" ref="E3" ca="1">INDEX('Questions global'!$A:$YP,ROW(E2)-ROW($A$2)+4,COLUMN(E2)-COLUMN($A$2)+1+$B$1)</f>
        <v xml:space="preserve">   </v>
      </c>
      <c r="F3" s="105" t="str" cm="1">
        <f t="array" ref="F3">INDEX('Questions global'!$A:$YP,ROW(F2)-ROW($A$2)+4,COLUMN(F2)-COLUMN($A$2)+1+$B$1)</f>
        <v xml:space="preserve"> </v>
      </c>
      <c r="G3" s="112" t="str" cm="1">
        <f t="array" ref="G3">INDEX('Questions global'!$A:$YP,ROW(G2)-ROW($A$2)+4,COLUMN(G2)-COLUMN($A$2)+1+$B$1)</f>
        <v/>
      </c>
      <c r="H3" s="104" t="str" cm="1">
        <f t="array" aca="1" ref="H3" ca="1">INDEX('Questions global'!$A:$YP,ROW(H2)-ROW($A$2)+4,COLUMN(H2)-COLUMN($A$2)+1+$B$1)</f>
        <v/>
      </c>
      <c r="I3" s="119" t="str" cm="1">
        <f t="array" aca="1" ref="I3" ca="1">INDEX('Questions global'!$A:$YP,ROW(I2)-ROW($A$2)+4,COLUMN(I2)-COLUMN($A$2)+1+$B$1)</f>
        <v/>
      </c>
    </row>
    <row r="4" spans="1:9" ht="15" customHeight="1" x14ac:dyDescent="0.3">
      <c r="A4" s="118" cm="1">
        <f t="array" ref="A4">INDEX('Questions global'!$A:$YP,ROW(A3)-ROW($A$2)+4,COLUMN(A3)-COLUMN($A$2)+1+$B$1)</f>
        <v>3</v>
      </c>
      <c r="B4" s="106" t="str" cm="1">
        <f t="array" ref="B4">INDEX('Questions global'!$A:$YP,ROW(B3)-ROW($A$2)+4,COLUMN(B3)-COLUMN($A$2)+1+$B$1)</f>
        <v/>
      </c>
      <c r="C4" s="106" t="str" cm="1">
        <f t="array" ref="C4">INDEX('Questions global'!$A:$YP,ROW(C3)-ROW($A$2)+4,COLUMN(C3)-COLUMN($A$2)+1+$B$1)</f>
        <v/>
      </c>
      <c r="D4" s="126" t="str" cm="1">
        <f t="array" ref="D4">INDEX('Questions global'!$A:$YP,ROW(D3)-ROW($A$2)+4,COLUMN(D3)-COLUMN($A$2)+1+$B$1)</f>
        <v/>
      </c>
      <c r="E4" s="104" t="str" cm="1">
        <f t="array" aca="1" ref="E4" ca="1">INDEX('Questions global'!$A:$YP,ROW(E3)-ROW($A$2)+4,COLUMN(E3)-COLUMN($A$2)+1+$B$1)</f>
        <v xml:space="preserve">   </v>
      </c>
      <c r="F4" s="105" t="str" cm="1">
        <f t="array" ref="F4">INDEX('Questions global'!$A:$YP,ROW(F3)-ROW($A$2)+4,COLUMN(F3)-COLUMN($A$2)+1+$B$1)</f>
        <v xml:space="preserve"> </v>
      </c>
      <c r="G4" s="112" t="str" cm="1">
        <f t="array" ref="G4">INDEX('Questions global'!$A:$YP,ROW(G3)-ROW($A$2)+4,COLUMN(G3)-COLUMN($A$2)+1+$B$1)</f>
        <v/>
      </c>
      <c r="H4" s="104" t="str" cm="1">
        <f t="array" aca="1" ref="H4" ca="1">INDEX('Questions global'!$A:$YP,ROW(H3)-ROW($A$2)+4,COLUMN(H3)-COLUMN($A$2)+1+$B$1)</f>
        <v/>
      </c>
      <c r="I4" s="119" t="str" cm="1">
        <f t="array" aca="1" ref="I4" ca="1">INDEX('Questions global'!$A:$YP,ROW(I3)-ROW($A$2)+4,COLUMN(I3)-COLUMN($A$2)+1+$B$1)</f>
        <v/>
      </c>
    </row>
    <row r="5" spans="1:9" ht="15" customHeight="1" x14ac:dyDescent="0.3">
      <c r="A5" s="118" cm="1">
        <f t="array" ref="A5">INDEX('Questions global'!$A:$YP,ROW(A4)-ROW($A$2)+4,COLUMN(A4)-COLUMN($A$2)+1+$B$1)</f>
        <v>4</v>
      </c>
      <c r="B5" s="106" t="str" cm="1">
        <f t="array" ref="B5">INDEX('Questions global'!$A:$YP,ROW(B4)-ROW($A$2)+4,COLUMN(B4)-COLUMN($A$2)+1+$B$1)</f>
        <v/>
      </c>
      <c r="C5" s="106" t="str" cm="1">
        <f t="array" ref="C5">INDEX('Questions global'!$A:$YP,ROW(C4)-ROW($A$2)+4,COLUMN(C4)-COLUMN($A$2)+1+$B$1)</f>
        <v/>
      </c>
      <c r="D5" s="126" t="str" cm="1">
        <f t="array" ref="D5">INDEX('Questions global'!$A:$YP,ROW(D4)-ROW($A$2)+4,COLUMN(D4)-COLUMN($A$2)+1+$B$1)</f>
        <v/>
      </c>
      <c r="E5" s="104" t="str" cm="1">
        <f t="array" aca="1" ref="E5" ca="1">INDEX('Questions global'!$A:$YP,ROW(E4)-ROW($A$2)+4,COLUMN(E4)-COLUMN($A$2)+1+$B$1)</f>
        <v xml:space="preserve">   </v>
      </c>
      <c r="F5" s="105" t="str" cm="1">
        <f t="array" ref="F5">INDEX('Questions global'!$A:$YP,ROW(F4)-ROW($A$2)+4,COLUMN(F4)-COLUMN($A$2)+1+$B$1)</f>
        <v xml:space="preserve"> </v>
      </c>
      <c r="G5" s="112" t="str" cm="1">
        <f t="array" ref="G5">INDEX('Questions global'!$A:$YP,ROW(G4)-ROW($A$2)+4,COLUMN(G4)-COLUMN($A$2)+1+$B$1)</f>
        <v/>
      </c>
      <c r="H5" s="104" t="str" cm="1">
        <f t="array" aca="1" ref="H5" ca="1">INDEX('Questions global'!$A:$YP,ROW(H4)-ROW($A$2)+4,COLUMN(H4)-COLUMN($A$2)+1+$B$1)</f>
        <v/>
      </c>
      <c r="I5" s="119" t="str" cm="1">
        <f t="array" aca="1" ref="I5" ca="1">INDEX('Questions global'!$A:$YP,ROW(I4)-ROW($A$2)+4,COLUMN(I4)-COLUMN($A$2)+1+$B$1)</f>
        <v/>
      </c>
    </row>
    <row r="6" spans="1:9" ht="15" customHeight="1" x14ac:dyDescent="0.3">
      <c r="A6" s="118" cm="1">
        <f t="array" ref="A6">INDEX('Questions global'!$A:$YP,ROW(A5)-ROW($A$2)+4,COLUMN(A5)-COLUMN($A$2)+1+$B$1)</f>
        <v>5</v>
      </c>
      <c r="B6" s="106" t="str" cm="1">
        <f t="array" ref="B6">INDEX('Questions global'!$A:$YP,ROW(B5)-ROW($A$2)+4,COLUMN(B5)-COLUMN($A$2)+1+$B$1)</f>
        <v/>
      </c>
      <c r="C6" s="106" t="str" cm="1">
        <f t="array" ref="C6">INDEX('Questions global'!$A:$YP,ROW(C5)-ROW($A$2)+4,COLUMN(C5)-COLUMN($A$2)+1+$B$1)</f>
        <v/>
      </c>
      <c r="D6" s="126" t="str" cm="1">
        <f t="array" ref="D6">INDEX('Questions global'!$A:$YP,ROW(D5)-ROW($A$2)+4,COLUMN(D5)-COLUMN($A$2)+1+$B$1)</f>
        <v/>
      </c>
      <c r="E6" s="104" t="str" cm="1">
        <f t="array" aca="1" ref="E6" ca="1">INDEX('Questions global'!$A:$YP,ROW(E5)-ROW($A$2)+4,COLUMN(E5)-COLUMN($A$2)+1+$B$1)</f>
        <v xml:space="preserve">   </v>
      </c>
      <c r="F6" s="105" t="str" cm="1">
        <f t="array" ref="F6">INDEX('Questions global'!$A:$YP,ROW(F5)-ROW($A$2)+4,COLUMN(F5)-COLUMN($A$2)+1+$B$1)</f>
        <v xml:space="preserve"> </v>
      </c>
      <c r="G6" s="112" t="str" cm="1">
        <f t="array" ref="G6">INDEX('Questions global'!$A:$YP,ROW(G5)-ROW($A$2)+4,COLUMN(G5)-COLUMN($A$2)+1+$B$1)</f>
        <v/>
      </c>
      <c r="H6" s="104" t="str" cm="1">
        <f t="array" aca="1" ref="H6" ca="1">INDEX('Questions global'!$A:$YP,ROW(H5)-ROW($A$2)+4,COLUMN(H5)-COLUMN($A$2)+1+$B$1)</f>
        <v/>
      </c>
      <c r="I6" s="119" t="str" cm="1">
        <f t="array" aca="1" ref="I6" ca="1">INDEX('Questions global'!$A:$YP,ROW(I5)-ROW($A$2)+4,COLUMN(I5)-COLUMN($A$2)+1+$B$1)</f>
        <v/>
      </c>
    </row>
    <row r="7" spans="1:9" ht="15" customHeight="1" x14ac:dyDescent="0.3">
      <c r="A7" s="118" cm="1">
        <f t="array" ref="A7">INDEX('Questions global'!$A:$YP,ROW(A6)-ROW($A$2)+4,COLUMN(A6)-COLUMN($A$2)+1+$B$1)</f>
        <v>6</v>
      </c>
      <c r="B7" s="106" t="str" cm="1">
        <f t="array" ref="B7">INDEX('Questions global'!$A:$YP,ROW(B6)-ROW($A$2)+4,COLUMN(B6)-COLUMN($A$2)+1+$B$1)</f>
        <v/>
      </c>
      <c r="C7" s="106" t="str" cm="1">
        <f t="array" ref="C7">INDEX('Questions global'!$A:$YP,ROW(C6)-ROW($A$2)+4,COLUMN(C6)-COLUMN($A$2)+1+$B$1)</f>
        <v/>
      </c>
      <c r="D7" s="126" t="str" cm="1">
        <f t="array" ref="D7">INDEX('Questions global'!$A:$YP,ROW(D6)-ROW($A$2)+4,COLUMN(D6)-COLUMN($A$2)+1+$B$1)</f>
        <v/>
      </c>
      <c r="E7" s="104" t="str" cm="1">
        <f t="array" aca="1" ref="E7" ca="1">INDEX('Questions global'!$A:$YP,ROW(E6)-ROW($A$2)+4,COLUMN(E6)-COLUMN($A$2)+1+$B$1)</f>
        <v xml:space="preserve">   </v>
      </c>
      <c r="F7" s="105" t="str" cm="1">
        <f t="array" ref="F7">INDEX('Questions global'!$A:$YP,ROW(F6)-ROW($A$2)+4,COLUMN(F6)-COLUMN($A$2)+1+$B$1)</f>
        <v xml:space="preserve"> </v>
      </c>
      <c r="G7" s="112" t="str" cm="1">
        <f t="array" ref="G7">INDEX('Questions global'!$A:$YP,ROW(G6)-ROW($A$2)+4,COLUMN(G6)-COLUMN($A$2)+1+$B$1)</f>
        <v/>
      </c>
      <c r="H7" s="104" t="str" cm="1">
        <f t="array" aca="1" ref="H7" ca="1">INDEX('Questions global'!$A:$YP,ROW(H6)-ROW($A$2)+4,COLUMN(H6)-COLUMN($A$2)+1+$B$1)</f>
        <v/>
      </c>
      <c r="I7" s="119" t="str" cm="1">
        <f t="array" aca="1" ref="I7" ca="1">INDEX('Questions global'!$A:$YP,ROW(I6)-ROW($A$2)+4,COLUMN(I6)-COLUMN($A$2)+1+$B$1)</f>
        <v/>
      </c>
    </row>
    <row r="8" spans="1:9" ht="15" customHeight="1" x14ac:dyDescent="0.3">
      <c r="A8" s="118" cm="1">
        <f t="array" ref="A8">INDEX('Questions global'!$A:$YP,ROW(A7)-ROW($A$2)+4,COLUMN(A7)-COLUMN($A$2)+1+$B$1)</f>
        <v>7</v>
      </c>
      <c r="B8" s="106" t="str" cm="1">
        <f t="array" ref="B8">INDEX('Questions global'!$A:$YP,ROW(B7)-ROW($A$2)+4,COLUMN(B7)-COLUMN($A$2)+1+$B$1)</f>
        <v/>
      </c>
      <c r="C8" s="106" t="str" cm="1">
        <f t="array" ref="C8">INDEX('Questions global'!$A:$YP,ROW(C7)-ROW($A$2)+4,COLUMN(C7)-COLUMN($A$2)+1+$B$1)</f>
        <v/>
      </c>
      <c r="D8" s="126" t="str" cm="1">
        <f t="array" ref="D8">INDEX('Questions global'!$A:$YP,ROW(D7)-ROW($A$2)+4,COLUMN(D7)-COLUMN($A$2)+1+$B$1)</f>
        <v/>
      </c>
      <c r="E8" s="104" t="str" cm="1">
        <f t="array" aca="1" ref="E8" ca="1">INDEX('Questions global'!$A:$YP,ROW(E7)-ROW($A$2)+4,COLUMN(E7)-COLUMN($A$2)+1+$B$1)</f>
        <v xml:space="preserve">   </v>
      </c>
      <c r="F8" s="105" t="str" cm="1">
        <f t="array" ref="F8">INDEX('Questions global'!$A:$YP,ROW(F7)-ROW($A$2)+4,COLUMN(F7)-COLUMN($A$2)+1+$B$1)</f>
        <v xml:space="preserve"> </v>
      </c>
      <c r="G8" s="112" t="str" cm="1">
        <f t="array" ref="G8">INDEX('Questions global'!$A:$YP,ROW(G7)-ROW($A$2)+4,COLUMN(G7)-COLUMN($A$2)+1+$B$1)</f>
        <v/>
      </c>
      <c r="H8" s="104" t="str" cm="1">
        <f t="array" aca="1" ref="H8" ca="1">INDEX('Questions global'!$A:$YP,ROW(H7)-ROW($A$2)+4,COLUMN(H7)-COLUMN($A$2)+1+$B$1)</f>
        <v/>
      </c>
      <c r="I8" s="119" t="str" cm="1">
        <f t="array" aca="1" ref="I8" ca="1">INDEX('Questions global'!$A:$YP,ROW(I7)-ROW($A$2)+4,COLUMN(I7)-COLUMN($A$2)+1+$B$1)</f>
        <v/>
      </c>
    </row>
    <row r="9" spans="1:9" ht="15" customHeight="1" x14ac:dyDescent="0.3">
      <c r="A9" s="118" cm="1">
        <f t="array" ref="A9">INDEX('Questions global'!$A:$YP,ROW(A8)-ROW($A$2)+4,COLUMN(A8)-COLUMN($A$2)+1+$B$1)</f>
        <v>8</v>
      </c>
      <c r="B9" s="106" t="str" cm="1">
        <f t="array" ref="B9">INDEX('Questions global'!$A:$YP,ROW(B8)-ROW($A$2)+4,COLUMN(B8)-COLUMN($A$2)+1+$B$1)</f>
        <v/>
      </c>
      <c r="C9" s="106" t="str" cm="1">
        <f t="array" ref="C9">INDEX('Questions global'!$A:$YP,ROW(C8)-ROW($A$2)+4,COLUMN(C8)-COLUMN($A$2)+1+$B$1)</f>
        <v/>
      </c>
      <c r="D9" s="126" t="str" cm="1">
        <f t="array" ref="D9">INDEX('Questions global'!$A:$YP,ROW(D8)-ROW($A$2)+4,COLUMN(D8)-COLUMN($A$2)+1+$B$1)</f>
        <v/>
      </c>
      <c r="E9" s="104" t="str" cm="1">
        <f t="array" aca="1" ref="E9" ca="1">INDEX('Questions global'!$A:$YP,ROW(E8)-ROW($A$2)+4,COLUMN(E8)-COLUMN($A$2)+1+$B$1)</f>
        <v xml:space="preserve">   </v>
      </c>
      <c r="F9" s="105" t="str" cm="1">
        <f t="array" ref="F9">INDEX('Questions global'!$A:$YP,ROW(F8)-ROW($A$2)+4,COLUMN(F8)-COLUMN($A$2)+1+$B$1)</f>
        <v xml:space="preserve"> </v>
      </c>
      <c r="G9" s="112" t="str" cm="1">
        <f t="array" ref="G9">INDEX('Questions global'!$A:$YP,ROW(G8)-ROW($A$2)+4,COLUMN(G8)-COLUMN($A$2)+1+$B$1)</f>
        <v/>
      </c>
      <c r="H9" s="104" t="str" cm="1">
        <f t="array" aca="1" ref="H9" ca="1">INDEX('Questions global'!$A:$YP,ROW(H8)-ROW($A$2)+4,COLUMN(H8)-COLUMN($A$2)+1+$B$1)</f>
        <v/>
      </c>
      <c r="I9" s="119" t="str" cm="1">
        <f t="array" aca="1" ref="I9" ca="1">INDEX('Questions global'!$A:$YP,ROW(I8)-ROW($A$2)+4,COLUMN(I8)-COLUMN($A$2)+1+$B$1)</f>
        <v/>
      </c>
    </row>
    <row r="10" spans="1:9" ht="15" customHeight="1" x14ac:dyDescent="0.3">
      <c r="A10" s="118" cm="1">
        <f t="array" ref="A10">INDEX('Questions global'!$A:$YP,ROW(A9)-ROW($A$2)+4,COLUMN(A9)-COLUMN($A$2)+1+$B$1)</f>
        <v>9</v>
      </c>
      <c r="B10" s="106" t="str" cm="1">
        <f t="array" ref="B10">INDEX('Questions global'!$A:$YP,ROW(B9)-ROW($A$2)+4,COLUMN(B9)-COLUMN($A$2)+1+$B$1)</f>
        <v/>
      </c>
      <c r="C10" s="106" t="str" cm="1">
        <f t="array" ref="C10">INDEX('Questions global'!$A:$YP,ROW(C9)-ROW($A$2)+4,COLUMN(C9)-COLUMN($A$2)+1+$B$1)</f>
        <v/>
      </c>
      <c r="D10" s="126" t="str" cm="1">
        <f t="array" ref="D10">INDEX('Questions global'!$A:$YP,ROW(D9)-ROW($A$2)+4,COLUMN(D9)-COLUMN($A$2)+1+$B$1)</f>
        <v/>
      </c>
      <c r="E10" s="104" t="str" cm="1">
        <f t="array" aca="1" ref="E10" ca="1">INDEX('Questions global'!$A:$YP,ROW(E9)-ROW($A$2)+4,COLUMN(E9)-COLUMN($A$2)+1+$B$1)</f>
        <v xml:space="preserve">   </v>
      </c>
      <c r="F10" s="105" t="str" cm="1">
        <f t="array" ref="F10">INDEX('Questions global'!$A:$YP,ROW(F9)-ROW($A$2)+4,COLUMN(F9)-COLUMN($A$2)+1+$B$1)</f>
        <v xml:space="preserve"> </v>
      </c>
      <c r="G10" s="112" t="str" cm="1">
        <f t="array" ref="G10">INDEX('Questions global'!$A:$YP,ROW(G9)-ROW($A$2)+4,COLUMN(G9)-COLUMN($A$2)+1+$B$1)</f>
        <v/>
      </c>
      <c r="H10" s="104" t="str" cm="1">
        <f t="array" aca="1" ref="H10" ca="1">INDEX('Questions global'!$A:$YP,ROW(H9)-ROW($A$2)+4,COLUMN(H9)-COLUMN($A$2)+1+$B$1)</f>
        <v/>
      </c>
      <c r="I10" s="119" t="str" cm="1">
        <f t="array" aca="1" ref="I10" ca="1">INDEX('Questions global'!$A:$YP,ROW(I9)-ROW($A$2)+4,COLUMN(I9)-COLUMN($A$2)+1+$B$1)</f>
        <v/>
      </c>
    </row>
    <row r="11" spans="1:9" ht="15" customHeight="1" x14ac:dyDescent="0.3">
      <c r="A11" s="118" cm="1">
        <f t="array" ref="A11">INDEX('Questions global'!$A:$YP,ROW(A10)-ROW($A$2)+4,COLUMN(A10)-COLUMN($A$2)+1+$B$1)</f>
        <v>10</v>
      </c>
      <c r="B11" s="106" t="str" cm="1">
        <f t="array" ref="B11">INDEX('Questions global'!$A:$YP,ROW(B10)-ROW($A$2)+4,COLUMN(B10)-COLUMN($A$2)+1+$B$1)</f>
        <v/>
      </c>
      <c r="C11" s="106" t="str" cm="1">
        <f t="array" ref="C11">INDEX('Questions global'!$A:$YP,ROW(C10)-ROW($A$2)+4,COLUMN(C10)-COLUMN($A$2)+1+$B$1)</f>
        <v/>
      </c>
      <c r="D11" s="126" t="str" cm="1">
        <f t="array" ref="D11">INDEX('Questions global'!$A:$YP,ROW(D10)-ROW($A$2)+4,COLUMN(D10)-COLUMN($A$2)+1+$B$1)</f>
        <v/>
      </c>
      <c r="E11" s="104" t="str" cm="1">
        <f t="array" aca="1" ref="E11" ca="1">INDEX('Questions global'!$A:$YP,ROW(E10)-ROW($A$2)+4,COLUMN(E10)-COLUMN($A$2)+1+$B$1)</f>
        <v xml:space="preserve">   </v>
      </c>
      <c r="F11" s="105" t="str" cm="1">
        <f t="array" ref="F11">INDEX('Questions global'!$A:$YP,ROW(F10)-ROW($A$2)+4,COLUMN(F10)-COLUMN($A$2)+1+$B$1)</f>
        <v xml:space="preserve"> </v>
      </c>
      <c r="G11" s="112" t="str" cm="1">
        <f t="array" ref="G11">INDEX('Questions global'!$A:$YP,ROW(G10)-ROW($A$2)+4,COLUMN(G10)-COLUMN($A$2)+1+$B$1)</f>
        <v/>
      </c>
      <c r="H11" s="104" t="str" cm="1">
        <f t="array" aca="1" ref="H11" ca="1">INDEX('Questions global'!$A:$YP,ROW(H10)-ROW($A$2)+4,COLUMN(H10)-COLUMN($A$2)+1+$B$1)</f>
        <v/>
      </c>
      <c r="I11" s="119" t="str" cm="1">
        <f t="array" aca="1" ref="I11" ca="1">INDEX('Questions global'!$A:$YP,ROW(I10)-ROW($A$2)+4,COLUMN(I10)-COLUMN($A$2)+1+$B$1)</f>
        <v/>
      </c>
    </row>
    <row r="12" spans="1:9" ht="15" customHeight="1" x14ac:dyDescent="0.3">
      <c r="A12" s="118" cm="1">
        <f t="array" ref="A12">INDEX('Questions global'!$A:$YP,ROW(A11)-ROW($A$2)+4,COLUMN(A11)-COLUMN($A$2)+1+$B$1)</f>
        <v>11</v>
      </c>
      <c r="B12" s="106" t="str" cm="1">
        <f t="array" ref="B12">INDEX('Questions global'!$A:$YP,ROW(B11)-ROW($A$2)+4,COLUMN(B11)-COLUMN($A$2)+1+$B$1)</f>
        <v/>
      </c>
      <c r="C12" s="106" t="str" cm="1">
        <f t="array" ref="C12">INDEX('Questions global'!$A:$YP,ROW(C11)-ROW($A$2)+4,COLUMN(C11)-COLUMN($A$2)+1+$B$1)</f>
        <v/>
      </c>
      <c r="D12" s="126" t="str" cm="1">
        <f t="array" ref="D12">INDEX('Questions global'!$A:$YP,ROW(D11)-ROW($A$2)+4,COLUMN(D11)-COLUMN($A$2)+1+$B$1)</f>
        <v/>
      </c>
      <c r="E12" s="104" t="str" cm="1">
        <f t="array" aca="1" ref="E12" ca="1">INDEX('Questions global'!$A:$YP,ROW(E11)-ROW($A$2)+4,COLUMN(E11)-COLUMN($A$2)+1+$B$1)</f>
        <v xml:space="preserve">   </v>
      </c>
      <c r="F12" s="105" t="str" cm="1">
        <f t="array" ref="F12">INDEX('Questions global'!$A:$YP,ROW(F11)-ROW($A$2)+4,COLUMN(F11)-COLUMN($A$2)+1+$B$1)</f>
        <v xml:space="preserve"> </v>
      </c>
      <c r="G12" s="112" t="str" cm="1">
        <f t="array" ref="G12">INDEX('Questions global'!$A:$YP,ROW(G11)-ROW($A$2)+4,COLUMN(G11)-COLUMN($A$2)+1+$B$1)</f>
        <v/>
      </c>
      <c r="H12" s="104" t="str" cm="1">
        <f t="array" aca="1" ref="H12" ca="1">INDEX('Questions global'!$A:$YP,ROW(H11)-ROW($A$2)+4,COLUMN(H11)-COLUMN($A$2)+1+$B$1)</f>
        <v/>
      </c>
      <c r="I12" s="119" t="str" cm="1">
        <f t="array" aca="1" ref="I12" ca="1">INDEX('Questions global'!$A:$YP,ROW(I11)-ROW($A$2)+4,COLUMN(I11)-COLUMN($A$2)+1+$B$1)</f>
        <v/>
      </c>
    </row>
    <row r="13" spans="1:9" ht="15" customHeight="1" x14ac:dyDescent="0.3">
      <c r="A13" s="118" cm="1">
        <f t="array" ref="A13">INDEX('Questions global'!$A:$YP,ROW(A12)-ROW($A$2)+4,COLUMN(A12)-COLUMN($A$2)+1+$B$1)</f>
        <v>12</v>
      </c>
      <c r="B13" s="106" t="str" cm="1">
        <f t="array" ref="B13">INDEX('Questions global'!$A:$YP,ROW(B12)-ROW($A$2)+4,COLUMN(B12)-COLUMN($A$2)+1+$B$1)</f>
        <v/>
      </c>
      <c r="C13" s="106" t="str" cm="1">
        <f t="array" ref="C13">INDEX('Questions global'!$A:$YP,ROW(C12)-ROW($A$2)+4,COLUMN(C12)-COLUMN($A$2)+1+$B$1)</f>
        <v/>
      </c>
      <c r="D13" s="126" t="str" cm="1">
        <f t="array" ref="D13">INDEX('Questions global'!$A:$YP,ROW(D12)-ROW($A$2)+4,COLUMN(D12)-COLUMN($A$2)+1+$B$1)</f>
        <v/>
      </c>
      <c r="E13" s="104" t="str" cm="1">
        <f t="array" aca="1" ref="E13" ca="1">INDEX('Questions global'!$A:$YP,ROW(E12)-ROW($A$2)+4,COLUMN(E12)-COLUMN($A$2)+1+$B$1)</f>
        <v xml:space="preserve">   </v>
      </c>
      <c r="F13" s="105" t="str" cm="1">
        <f t="array" ref="F13">INDEX('Questions global'!$A:$YP,ROW(F12)-ROW($A$2)+4,COLUMN(F12)-COLUMN($A$2)+1+$B$1)</f>
        <v xml:space="preserve"> </v>
      </c>
      <c r="G13" s="112" t="str" cm="1">
        <f t="array" ref="G13">INDEX('Questions global'!$A:$YP,ROW(G12)-ROW($A$2)+4,COLUMN(G12)-COLUMN($A$2)+1+$B$1)</f>
        <v/>
      </c>
      <c r="H13" s="104" t="str" cm="1">
        <f t="array" aca="1" ref="H13" ca="1">INDEX('Questions global'!$A:$YP,ROW(H12)-ROW($A$2)+4,COLUMN(H12)-COLUMN($A$2)+1+$B$1)</f>
        <v/>
      </c>
      <c r="I13" s="119" t="str" cm="1">
        <f t="array" aca="1" ref="I13" ca="1">INDEX('Questions global'!$A:$YP,ROW(I12)-ROW($A$2)+4,COLUMN(I12)-COLUMN($A$2)+1+$B$1)</f>
        <v/>
      </c>
    </row>
    <row r="14" spans="1:9" ht="15" customHeight="1" x14ac:dyDescent="0.3">
      <c r="A14" s="118" cm="1">
        <f t="array" ref="A14">INDEX('Questions global'!$A:$YP,ROW(A13)-ROW($A$2)+4,COLUMN(A13)-COLUMN($A$2)+1+$B$1)</f>
        <v>13</v>
      </c>
      <c r="B14" s="106" t="str" cm="1">
        <f t="array" ref="B14">INDEX('Questions global'!$A:$YP,ROW(B13)-ROW($A$2)+4,COLUMN(B13)-COLUMN($A$2)+1+$B$1)</f>
        <v/>
      </c>
      <c r="C14" s="106" t="str" cm="1">
        <f t="array" ref="C14">INDEX('Questions global'!$A:$YP,ROW(C13)-ROW($A$2)+4,COLUMN(C13)-COLUMN($A$2)+1+$B$1)</f>
        <v/>
      </c>
      <c r="D14" s="126" t="str" cm="1">
        <f t="array" ref="D14">INDEX('Questions global'!$A:$YP,ROW(D13)-ROW($A$2)+4,COLUMN(D13)-COLUMN($A$2)+1+$B$1)</f>
        <v/>
      </c>
      <c r="E14" s="104" t="str" cm="1">
        <f t="array" aca="1" ref="E14" ca="1">INDEX('Questions global'!$A:$YP,ROW(E13)-ROW($A$2)+4,COLUMN(E13)-COLUMN($A$2)+1+$B$1)</f>
        <v xml:space="preserve">   </v>
      </c>
      <c r="F14" s="105" t="str" cm="1">
        <f t="array" ref="F14">INDEX('Questions global'!$A:$YP,ROW(F13)-ROW($A$2)+4,COLUMN(F13)-COLUMN($A$2)+1+$B$1)</f>
        <v xml:space="preserve"> </v>
      </c>
      <c r="G14" s="112" t="str" cm="1">
        <f t="array" ref="G14">INDEX('Questions global'!$A:$YP,ROW(G13)-ROW($A$2)+4,COLUMN(G13)-COLUMN($A$2)+1+$B$1)</f>
        <v/>
      </c>
      <c r="H14" s="104" t="str" cm="1">
        <f t="array" aca="1" ref="H14" ca="1">INDEX('Questions global'!$A:$YP,ROW(H13)-ROW($A$2)+4,COLUMN(H13)-COLUMN($A$2)+1+$B$1)</f>
        <v/>
      </c>
      <c r="I14" s="119" t="str" cm="1">
        <f t="array" aca="1" ref="I14" ca="1">INDEX('Questions global'!$A:$YP,ROW(I13)-ROW($A$2)+4,COLUMN(I13)-COLUMN($A$2)+1+$B$1)</f>
        <v/>
      </c>
    </row>
    <row r="15" spans="1:9" ht="15" customHeight="1" x14ac:dyDescent="0.3">
      <c r="A15" s="118" cm="1">
        <f t="array" ref="A15">INDEX('Questions global'!$A:$YP,ROW(A14)-ROW($A$2)+4,COLUMN(A14)-COLUMN($A$2)+1+$B$1)</f>
        <v>14</v>
      </c>
      <c r="B15" s="106" t="str" cm="1">
        <f t="array" ref="B15">INDEX('Questions global'!$A:$YP,ROW(B14)-ROW($A$2)+4,COLUMN(B14)-COLUMN($A$2)+1+$B$1)</f>
        <v/>
      </c>
      <c r="C15" s="106" t="str" cm="1">
        <f t="array" ref="C15">INDEX('Questions global'!$A:$YP,ROW(C14)-ROW($A$2)+4,COLUMN(C14)-COLUMN($A$2)+1+$B$1)</f>
        <v/>
      </c>
      <c r="D15" s="126" t="str" cm="1">
        <f t="array" ref="D15">INDEX('Questions global'!$A:$YP,ROW(D14)-ROW($A$2)+4,COLUMN(D14)-COLUMN($A$2)+1+$B$1)</f>
        <v/>
      </c>
      <c r="E15" s="104" t="str" cm="1">
        <f t="array" aca="1" ref="E15" ca="1">INDEX('Questions global'!$A:$YP,ROW(E14)-ROW($A$2)+4,COLUMN(E14)-COLUMN($A$2)+1+$B$1)</f>
        <v xml:space="preserve">   </v>
      </c>
      <c r="F15" s="105" t="str" cm="1">
        <f t="array" ref="F15">INDEX('Questions global'!$A:$YP,ROW(F14)-ROW($A$2)+4,COLUMN(F14)-COLUMN($A$2)+1+$B$1)</f>
        <v xml:space="preserve"> </v>
      </c>
      <c r="G15" s="112" t="str" cm="1">
        <f t="array" ref="G15">INDEX('Questions global'!$A:$YP,ROW(G14)-ROW($A$2)+4,COLUMN(G14)-COLUMN($A$2)+1+$B$1)</f>
        <v/>
      </c>
      <c r="H15" s="104" t="str" cm="1">
        <f t="array" aca="1" ref="H15" ca="1">INDEX('Questions global'!$A:$YP,ROW(H14)-ROW($A$2)+4,COLUMN(H14)-COLUMN($A$2)+1+$B$1)</f>
        <v/>
      </c>
      <c r="I15" s="119" t="str" cm="1">
        <f t="array" aca="1" ref="I15" ca="1">INDEX('Questions global'!$A:$YP,ROW(I14)-ROW($A$2)+4,COLUMN(I14)-COLUMN($A$2)+1+$B$1)</f>
        <v/>
      </c>
    </row>
    <row r="16" spans="1:9" ht="15" customHeight="1" x14ac:dyDescent="0.3">
      <c r="A16" s="118" cm="1">
        <f t="array" ref="A16">INDEX('Questions global'!$A:$YP,ROW(A15)-ROW($A$2)+4,COLUMN(A15)-COLUMN($A$2)+1+$B$1)</f>
        <v>15</v>
      </c>
      <c r="B16" s="106" t="str" cm="1">
        <f t="array" ref="B16">INDEX('Questions global'!$A:$YP,ROW(B15)-ROW($A$2)+4,COLUMN(B15)-COLUMN($A$2)+1+$B$1)</f>
        <v/>
      </c>
      <c r="C16" s="106" t="str" cm="1">
        <f t="array" ref="C16">INDEX('Questions global'!$A:$YP,ROW(C15)-ROW($A$2)+4,COLUMN(C15)-COLUMN($A$2)+1+$B$1)</f>
        <v/>
      </c>
      <c r="D16" s="126" t="str" cm="1">
        <f t="array" ref="D16">INDEX('Questions global'!$A:$YP,ROW(D15)-ROW($A$2)+4,COLUMN(D15)-COLUMN($A$2)+1+$B$1)</f>
        <v/>
      </c>
      <c r="E16" s="104" t="str" cm="1">
        <f t="array" aca="1" ref="E16" ca="1">INDEX('Questions global'!$A:$YP,ROW(E15)-ROW($A$2)+4,COLUMN(E15)-COLUMN($A$2)+1+$B$1)</f>
        <v xml:space="preserve">   </v>
      </c>
      <c r="F16" s="105" t="str" cm="1">
        <f t="array" ref="F16">INDEX('Questions global'!$A:$YP,ROW(F15)-ROW($A$2)+4,COLUMN(F15)-COLUMN($A$2)+1+$B$1)</f>
        <v xml:space="preserve"> </v>
      </c>
      <c r="G16" s="112" t="str" cm="1">
        <f t="array" ref="G16">INDEX('Questions global'!$A:$YP,ROW(G15)-ROW($A$2)+4,COLUMN(G15)-COLUMN($A$2)+1+$B$1)</f>
        <v/>
      </c>
      <c r="H16" s="104" t="str" cm="1">
        <f t="array" aca="1" ref="H16" ca="1">INDEX('Questions global'!$A:$YP,ROW(H15)-ROW($A$2)+4,COLUMN(H15)-COLUMN($A$2)+1+$B$1)</f>
        <v/>
      </c>
      <c r="I16" s="119" t="str" cm="1">
        <f t="array" aca="1" ref="I16" ca="1">INDEX('Questions global'!$A:$YP,ROW(I15)-ROW($A$2)+4,COLUMN(I15)-COLUMN($A$2)+1+$B$1)</f>
        <v/>
      </c>
    </row>
    <row r="17" spans="1:9" ht="15" customHeight="1" x14ac:dyDescent="0.3">
      <c r="A17" s="118" cm="1">
        <f t="array" ref="A17">INDEX('Questions global'!$A:$YP,ROW(A16)-ROW($A$2)+4,COLUMN(A16)-COLUMN($A$2)+1+$B$1)</f>
        <v>16</v>
      </c>
      <c r="B17" s="106" t="str" cm="1">
        <f t="array" ref="B17">INDEX('Questions global'!$A:$YP,ROW(B16)-ROW($A$2)+4,COLUMN(B16)-COLUMN($A$2)+1+$B$1)</f>
        <v/>
      </c>
      <c r="C17" s="106" t="str" cm="1">
        <f t="array" ref="C17">INDEX('Questions global'!$A:$YP,ROW(C16)-ROW($A$2)+4,COLUMN(C16)-COLUMN($A$2)+1+$B$1)</f>
        <v/>
      </c>
      <c r="D17" s="126" t="str" cm="1">
        <f t="array" ref="D17">INDEX('Questions global'!$A:$YP,ROW(D16)-ROW($A$2)+4,COLUMN(D16)-COLUMN($A$2)+1+$B$1)</f>
        <v/>
      </c>
      <c r="E17" s="104" t="str" cm="1">
        <f t="array" aca="1" ref="E17" ca="1">INDEX('Questions global'!$A:$YP,ROW(E16)-ROW($A$2)+4,COLUMN(E16)-COLUMN($A$2)+1+$B$1)</f>
        <v xml:space="preserve">   </v>
      </c>
      <c r="F17" s="105" t="str" cm="1">
        <f t="array" ref="F17">INDEX('Questions global'!$A:$YP,ROW(F16)-ROW($A$2)+4,COLUMN(F16)-COLUMN($A$2)+1+$B$1)</f>
        <v xml:space="preserve"> </v>
      </c>
      <c r="G17" s="112" t="str" cm="1">
        <f t="array" ref="G17">INDEX('Questions global'!$A:$YP,ROW(G16)-ROW($A$2)+4,COLUMN(G16)-COLUMN($A$2)+1+$B$1)</f>
        <v/>
      </c>
      <c r="H17" s="104" t="str" cm="1">
        <f t="array" aca="1" ref="H17" ca="1">INDEX('Questions global'!$A:$YP,ROW(H16)-ROW($A$2)+4,COLUMN(H16)-COLUMN($A$2)+1+$B$1)</f>
        <v/>
      </c>
      <c r="I17" s="119" t="str" cm="1">
        <f t="array" aca="1" ref="I17" ca="1">INDEX('Questions global'!$A:$YP,ROW(I16)-ROW($A$2)+4,COLUMN(I16)-COLUMN($A$2)+1+$B$1)</f>
        <v/>
      </c>
    </row>
    <row r="18" spans="1:9" ht="15" customHeight="1" x14ac:dyDescent="0.3">
      <c r="A18" s="118" cm="1">
        <f t="array" ref="A18">INDEX('Questions global'!$A:$YP,ROW(A17)-ROW($A$2)+4,COLUMN(A17)-COLUMN($A$2)+1+$B$1)</f>
        <v>17</v>
      </c>
      <c r="B18" s="106" t="str" cm="1">
        <f t="array" ref="B18">INDEX('Questions global'!$A:$YP,ROW(B17)-ROW($A$2)+4,COLUMN(B17)-COLUMN($A$2)+1+$B$1)</f>
        <v/>
      </c>
      <c r="C18" s="106" t="str" cm="1">
        <f t="array" ref="C18">INDEX('Questions global'!$A:$YP,ROW(C17)-ROW($A$2)+4,COLUMN(C17)-COLUMN($A$2)+1+$B$1)</f>
        <v/>
      </c>
      <c r="D18" s="126" t="str" cm="1">
        <f t="array" ref="D18">INDEX('Questions global'!$A:$YP,ROW(D17)-ROW($A$2)+4,COLUMN(D17)-COLUMN($A$2)+1+$B$1)</f>
        <v/>
      </c>
      <c r="E18" s="104" t="str" cm="1">
        <f t="array" aca="1" ref="E18" ca="1">INDEX('Questions global'!$A:$YP,ROW(E17)-ROW($A$2)+4,COLUMN(E17)-COLUMN($A$2)+1+$B$1)</f>
        <v xml:space="preserve">   </v>
      </c>
      <c r="F18" s="105" t="str" cm="1">
        <f t="array" ref="F18">INDEX('Questions global'!$A:$YP,ROW(F17)-ROW($A$2)+4,COLUMN(F17)-COLUMN($A$2)+1+$B$1)</f>
        <v xml:space="preserve"> </v>
      </c>
      <c r="G18" s="112" t="str" cm="1">
        <f t="array" ref="G18">INDEX('Questions global'!$A:$YP,ROW(G17)-ROW($A$2)+4,COLUMN(G17)-COLUMN($A$2)+1+$B$1)</f>
        <v/>
      </c>
      <c r="H18" s="104" t="str" cm="1">
        <f t="array" aca="1" ref="H18" ca="1">INDEX('Questions global'!$A:$YP,ROW(H17)-ROW($A$2)+4,COLUMN(H17)-COLUMN($A$2)+1+$B$1)</f>
        <v/>
      </c>
      <c r="I18" s="119" t="str" cm="1">
        <f t="array" aca="1" ref="I18" ca="1">INDEX('Questions global'!$A:$YP,ROW(I17)-ROW($A$2)+4,COLUMN(I17)-COLUMN($A$2)+1+$B$1)</f>
        <v/>
      </c>
    </row>
    <row r="19" spans="1:9" ht="15" customHeight="1" x14ac:dyDescent="0.3">
      <c r="A19" s="118" cm="1">
        <f t="array" ref="A19">INDEX('Questions global'!$A:$YP,ROW(A18)-ROW($A$2)+4,COLUMN(A18)-COLUMN($A$2)+1+$B$1)</f>
        <v>18</v>
      </c>
      <c r="B19" s="106" t="str" cm="1">
        <f t="array" ref="B19">INDEX('Questions global'!$A:$YP,ROW(B18)-ROW($A$2)+4,COLUMN(B18)-COLUMN($A$2)+1+$B$1)</f>
        <v/>
      </c>
      <c r="C19" s="106" t="str" cm="1">
        <f t="array" ref="C19">INDEX('Questions global'!$A:$YP,ROW(C18)-ROW($A$2)+4,COLUMN(C18)-COLUMN($A$2)+1+$B$1)</f>
        <v/>
      </c>
      <c r="D19" s="126" t="str" cm="1">
        <f t="array" ref="D19">INDEX('Questions global'!$A:$YP,ROW(D18)-ROW($A$2)+4,COLUMN(D18)-COLUMN($A$2)+1+$B$1)</f>
        <v/>
      </c>
      <c r="E19" s="104" t="str" cm="1">
        <f t="array" aca="1" ref="E19" ca="1">INDEX('Questions global'!$A:$YP,ROW(E18)-ROW($A$2)+4,COLUMN(E18)-COLUMN($A$2)+1+$B$1)</f>
        <v xml:space="preserve">   </v>
      </c>
      <c r="F19" s="105" t="str" cm="1">
        <f t="array" ref="F19">INDEX('Questions global'!$A:$YP,ROW(F18)-ROW($A$2)+4,COLUMN(F18)-COLUMN($A$2)+1+$B$1)</f>
        <v xml:space="preserve"> </v>
      </c>
      <c r="G19" s="112" t="str" cm="1">
        <f t="array" ref="G19">INDEX('Questions global'!$A:$YP,ROW(G18)-ROW($A$2)+4,COLUMN(G18)-COLUMN($A$2)+1+$B$1)</f>
        <v/>
      </c>
      <c r="H19" s="104" t="str" cm="1">
        <f t="array" aca="1" ref="H19" ca="1">INDEX('Questions global'!$A:$YP,ROW(H18)-ROW($A$2)+4,COLUMN(H18)-COLUMN($A$2)+1+$B$1)</f>
        <v/>
      </c>
      <c r="I19" s="119" t="str" cm="1">
        <f t="array" aca="1" ref="I19" ca="1">INDEX('Questions global'!$A:$YP,ROW(I18)-ROW($A$2)+4,COLUMN(I18)-COLUMN($A$2)+1+$B$1)</f>
        <v/>
      </c>
    </row>
    <row r="20" spans="1:9" ht="15" customHeight="1" x14ac:dyDescent="0.3">
      <c r="A20" s="118" cm="1">
        <f t="array" ref="A20">INDEX('Questions global'!$A:$YP,ROW(A19)-ROW($A$2)+4,COLUMN(A19)-COLUMN($A$2)+1+$B$1)</f>
        <v>19</v>
      </c>
      <c r="B20" s="106" t="str" cm="1">
        <f t="array" ref="B20">INDEX('Questions global'!$A:$YP,ROW(B19)-ROW($A$2)+4,COLUMN(B19)-COLUMN($A$2)+1+$B$1)</f>
        <v/>
      </c>
      <c r="C20" s="106" t="str" cm="1">
        <f t="array" ref="C20">INDEX('Questions global'!$A:$YP,ROW(C19)-ROW($A$2)+4,COLUMN(C19)-COLUMN($A$2)+1+$B$1)</f>
        <v/>
      </c>
      <c r="D20" s="126" t="str" cm="1">
        <f t="array" ref="D20">INDEX('Questions global'!$A:$YP,ROW(D19)-ROW($A$2)+4,COLUMN(D19)-COLUMN($A$2)+1+$B$1)</f>
        <v/>
      </c>
      <c r="E20" s="104" t="str" cm="1">
        <f t="array" aca="1" ref="E20" ca="1">INDEX('Questions global'!$A:$YP,ROW(E19)-ROW($A$2)+4,COLUMN(E19)-COLUMN($A$2)+1+$B$1)</f>
        <v xml:space="preserve">   </v>
      </c>
      <c r="F20" s="105" t="str" cm="1">
        <f t="array" ref="F20">INDEX('Questions global'!$A:$YP,ROW(F19)-ROW($A$2)+4,COLUMN(F19)-COLUMN($A$2)+1+$B$1)</f>
        <v xml:space="preserve"> </v>
      </c>
      <c r="G20" s="112" t="str" cm="1">
        <f t="array" ref="G20">INDEX('Questions global'!$A:$YP,ROW(G19)-ROW($A$2)+4,COLUMN(G19)-COLUMN($A$2)+1+$B$1)</f>
        <v/>
      </c>
      <c r="H20" s="104" t="str" cm="1">
        <f t="array" aca="1" ref="H20" ca="1">INDEX('Questions global'!$A:$YP,ROW(H19)-ROW($A$2)+4,COLUMN(H19)-COLUMN($A$2)+1+$B$1)</f>
        <v/>
      </c>
      <c r="I20" s="119" t="str" cm="1">
        <f t="array" aca="1" ref="I20" ca="1">INDEX('Questions global'!$A:$YP,ROW(I19)-ROW($A$2)+4,COLUMN(I19)-COLUMN($A$2)+1+$B$1)</f>
        <v/>
      </c>
    </row>
    <row r="21" spans="1:9" ht="15" customHeight="1" x14ac:dyDescent="0.3">
      <c r="A21" s="118" cm="1">
        <f t="array" ref="A21">INDEX('Questions global'!$A:$YP,ROW(A20)-ROW($A$2)+4,COLUMN(A20)-COLUMN($A$2)+1+$B$1)</f>
        <v>20</v>
      </c>
      <c r="B21" s="106" t="str" cm="1">
        <f t="array" ref="B21">INDEX('Questions global'!$A:$YP,ROW(B20)-ROW($A$2)+4,COLUMN(B20)-COLUMN($A$2)+1+$B$1)</f>
        <v/>
      </c>
      <c r="C21" s="106" t="str" cm="1">
        <f t="array" ref="C21">INDEX('Questions global'!$A:$YP,ROW(C20)-ROW($A$2)+4,COLUMN(C20)-COLUMN($A$2)+1+$B$1)</f>
        <v/>
      </c>
      <c r="D21" s="126" t="str" cm="1">
        <f t="array" ref="D21">INDEX('Questions global'!$A:$YP,ROW(D20)-ROW($A$2)+4,COLUMN(D20)-COLUMN($A$2)+1+$B$1)</f>
        <v/>
      </c>
      <c r="E21" s="104" t="str" cm="1">
        <f t="array" aca="1" ref="E21" ca="1">INDEX('Questions global'!$A:$YP,ROW(E20)-ROW($A$2)+4,COLUMN(E20)-COLUMN($A$2)+1+$B$1)</f>
        <v xml:space="preserve">   </v>
      </c>
      <c r="F21" s="105" t="str" cm="1">
        <f t="array" ref="F21">INDEX('Questions global'!$A:$YP,ROW(F20)-ROW($A$2)+4,COLUMN(F20)-COLUMN($A$2)+1+$B$1)</f>
        <v xml:space="preserve"> </v>
      </c>
      <c r="G21" s="112" t="str" cm="1">
        <f t="array" ref="G21">INDEX('Questions global'!$A:$YP,ROW(G20)-ROW($A$2)+4,COLUMN(G20)-COLUMN($A$2)+1+$B$1)</f>
        <v/>
      </c>
      <c r="H21" s="104" t="str" cm="1">
        <f t="array" aca="1" ref="H21" ca="1">INDEX('Questions global'!$A:$YP,ROW(H20)-ROW($A$2)+4,COLUMN(H20)-COLUMN($A$2)+1+$B$1)</f>
        <v/>
      </c>
      <c r="I21" s="119" t="str" cm="1">
        <f t="array" aca="1" ref="I21" ca="1">INDEX('Questions global'!$A:$YP,ROW(I20)-ROW($A$2)+4,COLUMN(I20)-COLUMN($A$2)+1+$B$1)</f>
        <v/>
      </c>
    </row>
    <row r="22" spans="1:9" ht="15" customHeight="1" x14ac:dyDescent="0.3">
      <c r="A22" s="118" cm="1">
        <f t="array" ref="A22">INDEX('Questions global'!$A:$YP,ROW(A21)-ROW($A$2)+4,COLUMN(A21)-COLUMN($A$2)+1+$B$1)</f>
        <v>21</v>
      </c>
      <c r="B22" s="106" t="str" cm="1">
        <f t="array" ref="B22">INDEX('Questions global'!$A:$YP,ROW(B21)-ROW($A$2)+4,COLUMN(B21)-COLUMN($A$2)+1+$B$1)</f>
        <v/>
      </c>
      <c r="C22" s="106" t="str" cm="1">
        <f t="array" ref="C22">INDEX('Questions global'!$A:$YP,ROW(C21)-ROW($A$2)+4,COLUMN(C21)-COLUMN($A$2)+1+$B$1)</f>
        <v/>
      </c>
      <c r="D22" s="126" t="str" cm="1">
        <f t="array" ref="D22">INDEX('Questions global'!$A:$YP,ROW(D21)-ROW($A$2)+4,COLUMN(D21)-COLUMN($A$2)+1+$B$1)</f>
        <v/>
      </c>
      <c r="E22" s="104" t="str" cm="1">
        <f t="array" aca="1" ref="E22" ca="1">INDEX('Questions global'!$A:$YP,ROW(E21)-ROW($A$2)+4,COLUMN(E21)-COLUMN($A$2)+1+$B$1)</f>
        <v xml:space="preserve">   </v>
      </c>
      <c r="F22" s="105" t="str" cm="1">
        <f t="array" ref="F22">INDEX('Questions global'!$A:$YP,ROW(F21)-ROW($A$2)+4,COLUMN(F21)-COLUMN($A$2)+1+$B$1)</f>
        <v xml:space="preserve"> </v>
      </c>
      <c r="G22" s="112" t="str" cm="1">
        <f t="array" ref="G22">INDEX('Questions global'!$A:$YP,ROW(G21)-ROW($A$2)+4,COLUMN(G21)-COLUMN($A$2)+1+$B$1)</f>
        <v/>
      </c>
      <c r="H22" s="104" t="str" cm="1">
        <f t="array" aca="1" ref="H22" ca="1">INDEX('Questions global'!$A:$YP,ROW(H21)-ROW($A$2)+4,COLUMN(H21)-COLUMN($A$2)+1+$B$1)</f>
        <v/>
      </c>
      <c r="I22" s="119" t="str" cm="1">
        <f t="array" aca="1" ref="I22" ca="1">INDEX('Questions global'!$A:$YP,ROW(I21)-ROW($A$2)+4,COLUMN(I21)-COLUMN($A$2)+1+$B$1)</f>
        <v/>
      </c>
    </row>
    <row r="23" spans="1:9" ht="15" customHeight="1" x14ac:dyDescent="0.3">
      <c r="A23" s="118" cm="1">
        <f t="array" ref="A23">INDEX('Questions global'!$A:$YP,ROW(A22)-ROW($A$2)+4,COLUMN(A22)-COLUMN($A$2)+1+$B$1)</f>
        <v>22</v>
      </c>
      <c r="B23" s="106" t="str" cm="1">
        <f t="array" ref="B23">INDEX('Questions global'!$A:$YP,ROW(B22)-ROW($A$2)+4,COLUMN(B22)-COLUMN($A$2)+1+$B$1)</f>
        <v/>
      </c>
      <c r="C23" s="106" t="str" cm="1">
        <f t="array" ref="C23">INDEX('Questions global'!$A:$YP,ROW(C22)-ROW($A$2)+4,COLUMN(C22)-COLUMN($A$2)+1+$B$1)</f>
        <v/>
      </c>
      <c r="D23" s="126" t="str" cm="1">
        <f t="array" ref="D23">INDEX('Questions global'!$A:$YP,ROW(D22)-ROW($A$2)+4,COLUMN(D22)-COLUMN($A$2)+1+$B$1)</f>
        <v/>
      </c>
      <c r="E23" s="104" t="str" cm="1">
        <f t="array" aca="1" ref="E23" ca="1">INDEX('Questions global'!$A:$YP,ROW(E22)-ROW($A$2)+4,COLUMN(E22)-COLUMN($A$2)+1+$B$1)</f>
        <v xml:space="preserve">   </v>
      </c>
      <c r="F23" s="105" t="str" cm="1">
        <f t="array" ref="F23">INDEX('Questions global'!$A:$YP,ROW(F22)-ROW($A$2)+4,COLUMN(F22)-COLUMN($A$2)+1+$B$1)</f>
        <v xml:space="preserve"> </v>
      </c>
      <c r="G23" s="112" t="str" cm="1">
        <f t="array" ref="G23">INDEX('Questions global'!$A:$YP,ROW(G22)-ROW($A$2)+4,COLUMN(G22)-COLUMN($A$2)+1+$B$1)</f>
        <v/>
      </c>
      <c r="H23" s="104" t="str" cm="1">
        <f t="array" aca="1" ref="H23" ca="1">INDEX('Questions global'!$A:$YP,ROW(H22)-ROW($A$2)+4,COLUMN(H22)-COLUMN($A$2)+1+$B$1)</f>
        <v/>
      </c>
      <c r="I23" s="119" t="str" cm="1">
        <f t="array" aca="1" ref="I23" ca="1">INDEX('Questions global'!$A:$YP,ROW(I22)-ROW($A$2)+4,COLUMN(I22)-COLUMN($A$2)+1+$B$1)</f>
        <v/>
      </c>
    </row>
    <row r="24" spans="1:9" ht="15" customHeight="1" x14ac:dyDescent="0.3">
      <c r="A24" s="118" cm="1">
        <f t="array" ref="A24">INDEX('Questions global'!$A:$YP,ROW(A23)-ROW($A$2)+4,COLUMN(A23)-COLUMN($A$2)+1+$B$1)</f>
        <v>23</v>
      </c>
      <c r="B24" s="106" t="str" cm="1">
        <f t="array" ref="B24">INDEX('Questions global'!$A:$YP,ROW(B23)-ROW($A$2)+4,COLUMN(B23)-COLUMN($A$2)+1+$B$1)</f>
        <v/>
      </c>
      <c r="C24" s="106" t="str" cm="1">
        <f t="array" ref="C24">INDEX('Questions global'!$A:$YP,ROW(C23)-ROW($A$2)+4,COLUMN(C23)-COLUMN($A$2)+1+$B$1)</f>
        <v/>
      </c>
      <c r="D24" s="126" t="str" cm="1">
        <f t="array" ref="D24">INDEX('Questions global'!$A:$YP,ROW(D23)-ROW($A$2)+4,COLUMN(D23)-COLUMN($A$2)+1+$B$1)</f>
        <v/>
      </c>
      <c r="E24" s="104" t="str" cm="1">
        <f t="array" aca="1" ref="E24" ca="1">INDEX('Questions global'!$A:$YP,ROW(E23)-ROW($A$2)+4,COLUMN(E23)-COLUMN($A$2)+1+$B$1)</f>
        <v xml:space="preserve">   </v>
      </c>
      <c r="F24" s="105" t="str" cm="1">
        <f t="array" ref="F24">INDEX('Questions global'!$A:$YP,ROW(F23)-ROW($A$2)+4,COLUMN(F23)-COLUMN($A$2)+1+$B$1)</f>
        <v xml:space="preserve"> </v>
      </c>
      <c r="G24" s="112" t="str" cm="1">
        <f t="array" ref="G24">INDEX('Questions global'!$A:$YP,ROW(G23)-ROW($A$2)+4,COLUMN(G23)-COLUMN($A$2)+1+$B$1)</f>
        <v/>
      </c>
      <c r="H24" s="104" t="str" cm="1">
        <f t="array" aca="1" ref="H24" ca="1">INDEX('Questions global'!$A:$YP,ROW(H23)-ROW($A$2)+4,COLUMN(H23)-COLUMN($A$2)+1+$B$1)</f>
        <v/>
      </c>
      <c r="I24" s="119" t="str" cm="1">
        <f t="array" aca="1" ref="I24" ca="1">INDEX('Questions global'!$A:$YP,ROW(I23)-ROW($A$2)+4,COLUMN(I23)-COLUMN($A$2)+1+$B$1)</f>
        <v/>
      </c>
    </row>
    <row r="25" spans="1:9" ht="15" customHeight="1" x14ac:dyDescent="0.3">
      <c r="A25" s="118" cm="1">
        <f t="array" ref="A25">INDEX('Questions global'!$A:$YP,ROW(A24)-ROW($A$2)+4,COLUMN(A24)-COLUMN($A$2)+1+$B$1)</f>
        <v>24</v>
      </c>
      <c r="B25" s="106" t="str" cm="1">
        <f t="array" ref="B25">INDEX('Questions global'!$A:$YP,ROW(B24)-ROW($A$2)+4,COLUMN(B24)-COLUMN($A$2)+1+$B$1)</f>
        <v/>
      </c>
      <c r="C25" s="106" t="str" cm="1">
        <f t="array" ref="C25">INDEX('Questions global'!$A:$YP,ROW(C24)-ROW($A$2)+4,COLUMN(C24)-COLUMN($A$2)+1+$B$1)</f>
        <v/>
      </c>
      <c r="D25" s="126" t="str" cm="1">
        <f t="array" ref="D25">INDEX('Questions global'!$A:$YP,ROW(D24)-ROW($A$2)+4,COLUMN(D24)-COLUMN($A$2)+1+$B$1)</f>
        <v/>
      </c>
      <c r="E25" s="104" t="str" cm="1">
        <f t="array" aca="1" ref="E25" ca="1">INDEX('Questions global'!$A:$YP,ROW(E24)-ROW($A$2)+4,COLUMN(E24)-COLUMN($A$2)+1+$B$1)</f>
        <v xml:space="preserve">   </v>
      </c>
      <c r="F25" s="105" t="str" cm="1">
        <f t="array" ref="F25">INDEX('Questions global'!$A:$YP,ROW(F24)-ROW($A$2)+4,COLUMN(F24)-COLUMN($A$2)+1+$B$1)</f>
        <v xml:space="preserve"> </v>
      </c>
      <c r="G25" s="112" t="str" cm="1">
        <f t="array" ref="G25">INDEX('Questions global'!$A:$YP,ROW(G24)-ROW($A$2)+4,COLUMN(G24)-COLUMN($A$2)+1+$B$1)</f>
        <v/>
      </c>
      <c r="H25" s="104" t="str" cm="1">
        <f t="array" aca="1" ref="H25" ca="1">INDEX('Questions global'!$A:$YP,ROW(H24)-ROW($A$2)+4,COLUMN(H24)-COLUMN($A$2)+1+$B$1)</f>
        <v/>
      </c>
      <c r="I25" s="119" t="str" cm="1">
        <f t="array" aca="1" ref="I25" ca="1">INDEX('Questions global'!$A:$YP,ROW(I24)-ROW($A$2)+4,COLUMN(I24)-COLUMN($A$2)+1+$B$1)</f>
        <v/>
      </c>
    </row>
    <row r="26" spans="1:9" ht="15" customHeight="1" x14ac:dyDescent="0.3">
      <c r="A26" s="118" cm="1">
        <f t="array" ref="A26">INDEX('Questions global'!$A:$YP,ROW(A25)-ROW($A$2)+4,COLUMN(A25)-COLUMN($A$2)+1+$B$1)</f>
        <v>25</v>
      </c>
      <c r="B26" s="106" t="str" cm="1">
        <f t="array" ref="B26">INDEX('Questions global'!$A:$YP,ROW(B25)-ROW($A$2)+4,COLUMN(B25)-COLUMN($A$2)+1+$B$1)</f>
        <v/>
      </c>
      <c r="C26" s="106" t="str" cm="1">
        <f t="array" ref="C26">INDEX('Questions global'!$A:$YP,ROW(C25)-ROW($A$2)+4,COLUMN(C25)-COLUMN($A$2)+1+$B$1)</f>
        <v/>
      </c>
      <c r="D26" s="126" t="str" cm="1">
        <f t="array" ref="D26">INDEX('Questions global'!$A:$YP,ROW(D25)-ROW($A$2)+4,COLUMN(D25)-COLUMN($A$2)+1+$B$1)</f>
        <v/>
      </c>
      <c r="E26" s="104" t="str" cm="1">
        <f t="array" aca="1" ref="E26" ca="1">INDEX('Questions global'!$A:$YP,ROW(E25)-ROW($A$2)+4,COLUMN(E25)-COLUMN($A$2)+1+$B$1)</f>
        <v xml:space="preserve">   </v>
      </c>
      <c r="F26" s="105" t="str" cm="1">
        <f t="array" ref="F26">INDEX('Questions global'!$A:$YP,ROW(F25)-ROW($A$2)+4,COLUMN(F25)-COLUMN($A$2)+1+$B$1)</f>
        <v xml:space="preserve"> </v>
      </c>
      <c r="G26" s="112" t="str" cm="1">
        <f t="array" ref="G26">INDEX('Questions global'!$A:$YP,ROW(G25)-ROW($A$2)+4,COLUMN(G25)-COLUMN($A$2)+1+$B$1)</f>
        <v/>
      </c>
      <c r="H26" s="104" t="str" cm="1">
        <f t="array" aca="1" ref="H26" ca="1">INDEX('Questions global'!$A:$YP,ROW(H25)-ROW($A$2)+4,COLUMN(H25)-COLUMN($A$2)+1+$B$1)</f>
        <v/>
      </c>
      <c r="I26" s="119" t="str" cm="1">
        <f t="array" aca="1" ref="I26" ca="1">INDEX('Questions global'!$A:$YP,ROW(I25)-ROW($A$2)+4,COLUMN(I25)-COLUMN($A$2)+1+$B$1)</f>
        <v/>
      </c>
    </row>
    <row r="27" spans="1:9" ht="15" customHeight="1" x14ac:dyDescent="0.3">
      <c r="A27" s="118" cm="1">
        <f t="array" ref="A27">INDEX('Questions global'!$A:$YP,ROW(A26)-ROW($A$2)+4,COLUMN(A26)-COLUMN($A$2)+1+$B$1)</f>
        <v>26</v>
      </c>
      <c r="B27" s="106" t="str" cm="1">
        <f t="array" ref="B27">INDEX('Questions global'!$A:$YP,ROW(B26)-ROW($A$2)+4,COLUMN(B26)-COLUMN($A$2)+1+$B$1)</f>
        <v/>
      </c>
      <c r="C27" s="106" t="str" cm="1">
        <f t="array" ref="C27">INDEX('Questions global'!$A:$YP,ROW(C26)-ROW($A$2)+4,COLUMN(C26)-COLUMN($A$2)+1+$B$1)</f>
        <v/>
      </c>
      <c r="D27" s="126" t="str" cm="1">
        <f t="array" ref="D27">INDEX('Questions global'!$A:$YP,ROW(D26)-ROW($A$2)+4,COLUMN(D26)-COLUMN($A$2)+1+$B$1)</f>
        <v/>
      </c>
      <c r="E27" s="104" t="str" cm="1">
        <f t="array" aca="1" ref="E27" ca="1">INDEX('Questions global'!$A:$YP,ROW(E26)-ROW($A$2)+4,COLUMN(E26)-COLUMN($A$2)+1+$B$1)</f>
        <v xml:space="preserve">   </v>
      </c>
      <c r="F27" s="105" t="str" cm="1">
        <f t="array" ref="F27">INDEX('Questions global'!$A:$YP,ROW(F26)-ROW($A$2)+4,COLUMN(F26)-COLUMN($A$2)+1+$B$1)</f>
        <v xml:space="preserve"> </v>
      </c>
      <c r="G27" s="112" t="str" cm="1">
        <f t="array" ref="G27">INDEX('Questions global'!$A:$YP,ROW(G26)-ROW($A$2)+4,COLUMN(G26)-COLUMN($A$2)+1+$B$1)</f>
        <v/>
      </c>
      <c r="H27" s="104" t="str" cm="1">
        <f t="array" aca="1" ref="H27" ca="1">INDEX('Questions global'!$A:$YP,ROW(H26)-ROW($A$2)+4,COLUMN(H26)-COLUMN($A$2)+1+$B$1)</f>
        <v/>
      </c>
      <c r="I27" s="119" t="str" cm="1">
        <f t="array" aca="1" ref="I27" ca="1">INDEX('Questions global'!$A:$YP,ROW(I26)-ROW($A$2)+4,COLUMN(I26)-COLUMN($A$2)+1+$B$1)</f>
        <v/>
      </c>
    </row>
    <row r="28" spans="1:9" ht="15" customHeight="1" x14ac:dyDescent="0.3">
      <c r="A28" s="118" cm="1">
        <f t="array" ref="A28">INDEX('Questions global'!$A:$YP,ROW(A27)-ROW($A$2)+4,COLUMN(A27)-COLUMN($A$2)+1+$B$1)</f>
        <v>27</v>
      </c>
      <c r="B28" s="106" t="str" cm="1">
        <f t="array" ref="B28">INDEX('Questions global'!$A:$YP,ROW(B27)-ROW($A$2)+4,COLUMN(B27)-COLUMN($A$2)+1+$B$1)</f>
        <v/>
      </c>
      <c r="C28" s="106" t="str" cm="1">
        <f t="array" ref="C28">INDEX('Questions global'!$A:$YP,ROW(C27)-ROW($A$2)+4,COLUMN(C27)-COLUMN($A$2)+1+$B$1)</f>
        <v/>
      </c>
      <c r="D28" s="126" t="str" cm="1">
        <f t="array" ref="D28">INDEX('Questions global'!$A:$YP,ROW(D27)-ROW($A$2)+4,COLUMN(D27)-COLUMN($A$2)+1+$B$1)</f>
        <v/>
      </c>
      <c r="E28" s="104" t="str" cm="1">
        <f t="array" aca="1" ref="E28" ca="1">INDEX('Questions global'!$A:$YP,ROW(E27)-ROW($A$2)+4,COLUMN(E27)-COLUMN($A$2)+1+$B$1)</f>
        <v xml:space="preserve">   </v>
      </c>
      <c r="F28" s="105" t="str" cm="1">
        <f t="array" ref="F28">INDEX('Questions global'!$A:$YP,ROW(F27)-ROW($A$2)+4,COLUMN(F27)-COLUMN($A$2)+1+$B$1)</f>
        <v xml:space="preserve"> </v>
      </c>
      <c r="G28" s="112" t="str" cm="1">
        <f t="array" ref="G28">INDEX('Questions global'!$A:$YP,ROW(G27)-ROW($A$2)+4,COLUMN(G27)-COLUMN($A$2)+1+$B$1)</f>
        <v/>
      </c>
      <c r="H28" s="104" t="str" cm="1">
        <f t="array" aca="1" ref="H28" ca="1">INDEX('Questions global'!$A:$YP,ROW(H27)-ROW($A$2)+4,COLUMN(H27)-COLUMN($A$2)+1+$B$1)</f>
        <v/>
      </c>
      <c r="I28" s="119" t="str" cm="1">
        <f t="array" aca="1" ref="I28" ca="1">INDEX('Questions global'!$A:$YP,ROW(I27)-ROW($A$2)+4,COLUMN(I27)-COLUMN($A$2)+1+$B$1)</f>
        <v/>
      </c>
    </row>
    <row r="29" spans="1:9" ht="15" customHeight="1" x14ac:dyDescent="0.3">
      <c r="A29" s="118" cm="1">
        <f t="array" ref="A29">INDEX('Questions global'!$A:$YP,ROW(A28)-ROW($A$2)+4,COLUMN(A28)-COLUMN($A$2)+1+$B$1)</f>
        <v>28</v>
      </c>
      <c r="B29" s="106" t="str" cm="1">
        <f t="array" ref="B29">INDEX('Questions global'!$A:$YP,ROW(B28)-ROW($A$2)+4,COLUMN(B28)-COLUMN($A$2)+1+$B$1)</f>
        <v/>
      </c>
      <c r="C29" s="106" t="str" cm="1">
        <f t="array" ref="C29">INDEX('Questions global'!$A:$YP,ROW(C28)-ROW($A$2)+4,COLUMN(C28)-COLUMN($A$2)+1+$B$1)</f>
        <v/>
      </c>
      <c r="D29" s="126" t="str" cm="1">
        <f t="array" ref="D29">INDEX('Questions global'!$A:$YP,ROW(D28)-ROW($A$2)+4,COLUMN(D28)-COLUMN($A$2)+1+$B$1)</f>
        <v/>
      </c>
      <c r="E29" s="104" t="str" cm="1">
        <f t="array" aca="1" ref="E29" ca="1">INDEX('Questions global'!$A:$YP,ROW(E28)-ROW($A$2)+4,COLUMN(E28)-COLUMN($A$2)+1+$B$1)</f>
        <v xml:space="preserve">   </v>
      </c>
      <c r="F29" s="105" t="str" cm="1">
        <f t="array" ref="F29">INDEX('Questions global'!$A:$YP,ROW(F28)-ROW($A$2)+4,COLUMN(F28)-COLUMN($A$2)+1+$B$1)</f>
        <v xml:space="preserve"> </v>
      </c>
      <c r="G29" s="112" t="str" cm="1">
        <f t="array" ref="G29">INDEX('Questions global'!$A:$YP,ROW(G28)-ROW($A$2)+4,COLUMN(G28)-COLUMN($A$2)+1+$B$1)</f>
        <v/>
      </c>
      <c r="H29" s="104" t="str" cm="1">
        <f t="array" aca="1" ref="H29" ca="1">INDEX('Questions global'!$A:$YP,ROW(H28)-ROW($A$2)+4,COLUMN(H28)-COLUMN($A$2)+1+$B$1)</f>
        <v/>
      </c>
      <c r="I29" s="119" t="str" cm="1">
        <f t="array" aca="1" ref="I29" ca="1">INDEX('Questions global'!$A:$YP,ROW(I28)-ROW($A$2)+4,COLUMN(I28)-COLUMN($A$2)+1+$B$1)</f>
        <v/>
      </c>
    </row>
    <row r="30" spans="1:9" ht="15" customHeight="1" x14ac:dyDescent="0.3">
      <c r="A30" s="118" cm="1">
        <f t="array" ref="A30">INDEX('Questions global'!$A:$YP,ROW(A29)-ROW($A$2)+4,COLUMN(A29)-COLUMN($A$2)+1+$B$1)</f>
        <v>29</v>
      </c>
      <c r="B30" s="106" t="str" cm="1">
        <f t="array" ref="B30">INDEX('Questions global'!$A:$YP,ROW(B29)-ROW($A$2)+4,COLUMN(B29)-COLUMN($A$2)+1+$B$1)</f>
        <v/>
      </c>
      <c r="C30" s="106" t="str" cm="1">
        <f t="array" ref="C30">INDEX('Questions global'!$A:$YP,ROW(C29)-ROW($A$2)+4,COLUMN(C29)-COLUMN($A$2)+1+$B$1)</f>
        <v/>
      </c>
      <c r="D30" s="126" t="str" cm="1">
        <f t="array" ref="D30">INDEX('Questions global'!$A:$YP,ROW(D29)-ROW($A$2)+4,COLUMN(D29)-COLUMN($A$2)+1+$B$1)</f>
        <v/>
      </c>
      <c r="E30" s="104" t="str" cm="1">
        <f t="array" aca="1" ref="E30" ca="1">INDEX('Questions global'!$A:$YP,ROW(E29)-ROW($A$2)+4,COLUMN(E29)-COLUMN($A$2)+1+$B$1)</f>
        <v xml:space="preserve">   </v>
      </c>
      <c r="F30" s="105" t="str" cm="1">
        <f t="array" ref="F30">INDEX('Questions global'!$A:$YP,ROW(F29)-ROW($A$2)+4,COLUMN(F29)-COLUMN($A$2)+1+$B$1)</f>
        <v xml:space="preserve"> </v>
      </c>
      <c r="G30" s="112" t="str" cm="1">
        <f t="array" ref="G30">INDEX('Questions global'!$A:$YP,ROW(G29)-ROW($A$2)+4,COLUMN(G29)-COLUMN($A$2)+1+$B$1)</f>
        <v/>
      </c>
      <c r="H30" s="104" t="str" cm="1">
        <f t="array" aca="1" ref="H30" ca="1">INDEX('Questions global'!$A:$YP,ROW(H29)-ROW($A$2)+4,COLUMN(H29)-COLUMN($A$2)+1+$B$1)</f>
        <v/>
      </c>
      <c r="I30" s="119" t="str" cm="1">
        <f t="array" aca="1" ref="I30" ca="1">INDEX('Questions global'!$A:$YP,ROW(I29)-ROW($A$2)+4,COLUMN(I29)-COLUMN($A$2)+1+$B$1)</f>
        <v/>
      </c>
    </row>
    <row r="31" spans="1:9" ht="15" customHeight="1" x14ac:dyDescent="0.3">
      <c r="A31" s="118" cm="1">
        <f t="array" ref="A31">INDEX('Questions global'!$A:$YP,ROW(A30)-ROW($A$2)+4,COLUMN(A30)-COLUMN($A$2)+1+$B$1)</f>
        <v>30</v>
      </c>
      <c r="B31" s="106" t="str" cm="1">
        <f t="array" ref="B31">INDEX('Questions global'!$A:$YP,ROW(B30)-ROW($A$2)+4,COLUMN(B30)-COLUMN($A$2)+1+$B$1)</f>
        <v/>
      </c>
      <c r="C31" s="106" t="str" cm="1">
        <f t="array" ref="C31">INDEX('Questions global'!$A:$YP,ROW(C30)-ROW($A$2)+4,COLUMN(C30)-COLUMN($A$2)+1+$B$1)</f>
        <v/>
      </c>
      <c r="D31" s="126" t="str" cm="1">
        <f t="array" ref="D31">INDEX('Questions global'!$A:$YP,ROW(D30)-ROW($A$2)+4,COLUMN(D30)-COLUMN($A$2)+1+$B$1)</f>
        <v/>
      </c>
      <c r="E31" s="104" t="str" cm="1">
        <f t="array" aca="1" ref="E31" ca="1">INDEX('Questions global'!$A:$YP,ROW(E30)-ROW($A$2)+4,COLUMN(E30)-COLUMN($A$2)+1+$B$1)</f>
        <v xml:space="preserve">   </v>
      </c>
      <c r="F31" s="105" t="str" cm="1">
        <f t="array" ref="F31">INDEX('Questions global'!$A:$YP,ROW(F30)-ROW($A$2)+4,COLUMN(F30)-COLUMN($A$2)+1+$B$1)</f>
        <v xml:space="preserve"> </v>
      </c>
      <c r="G31" s="112" t="str" cm="1">
        <f t="array" ref="G31">INDEX('Questions global'!$A:$YP,ROW(G30)-ROW($A$2)+4,COLUMN(G30)-COLUMN($A$2)+1+$B$1)</f>
        <v/>
      </c>
      <c r="H31" s="104" t="str" cm="1">
        <f t="array" aca="1" ref="H31" ca="1">INDEX('Questions global'!$A:$YP,ROW(H30)-ROW($A$2)+4,COLUMN(H30)-COLUMN($A$2)+1+$B$1)</f>
        <v/>
      </c>
      <c r="I31" s="119" t="str" cm="1">
        <f t="array" aca="1" ref="I31" ca="1">INDEX('Questions global'!$A:$YP,ROW(I30)-ROW($A$2)+4,COLUMN(I30)-COLUMN($A$2)+1+$B$1)</f>
        <v/>
      </c>
    </row>
    <row r="32" spans="1:9" ht="15" customHeight="1" x14ac:dyDescent="0.3">
      <c r="A32" s="118" cm="1">
        <f t="array" ref="A32">INDEX('Questions global'!$A:$YP,ROW(A31)-ROW($A$2)+4,COLUMN(A31)-COLUMN($A$2)+1+$B$1)</f>
        <v>31</v>
      </c>
      <c r="B32" s="106" t="str" cm="1">
        <f t="array" ref="B32">INDEX('Questions global'!$A:$YP,ROW(B31)-ROW($A$2)+4,COLUMN(B31)-COLUMN($A$2)+1+$B$1)</f>
        <v/>
      </c>
      <c r="C32" s="106" t="str" cm="1">
        <f t="array" ref="C32">INDEX('Questions global'!$A:$YP,ROW(C31)-ROW($A$2)+4,COLUMN(C31)-COLUMN($A$2)+1+$B$1)</f>
        <v/>
      </c>
      <c r="D32" s="126" t="str" cm="1">
        <f t="array" ref="D32">INDEX('Questions global'!$A:$YP,ROW(D31)-ROW($A$2)+4,COLUMN(D31)-COLUMN($A$2)+1+$B$1)</f>
        <v/>
      </c>
      <c r="E32" s="104" t="str" cm="1">
        <f t="array" aca="1" ref="E32" ca="1">INDEX('Questions global'!$A:$YP,ROW(E31)-ROW($A$2)+4,COLUMN(E31)-COLUMN($A$2)+1+$B$1)</f>
        <v xml:space="preserve">   </v>
      </c>
      <c r="F32" s="105" t="str" cm="1">
        <f t="array" ref="F32">INDEX('Questions global'!$A:$YP,ROW(F31)-ROW($A$2)+4,COLUMN(F31)-COLUMN($A$2)+1+$B$1)</f>
        <v xml:space="preserve"> </v>
      </c>
      <c r="G32" s="112" t="str" cm="1">
        <f t="array" ref="G32">INDEX('Questions global'!$A:$YP,ROW(G31)-ROW($A$2)+4,COLUMN(G31)-COLUMN($A$2)+1+$B$1)</f>
        <v/>
      </c>
      <c r="H32" s="104" t="str" cm="1">
        <f t="array" aca="1" ref="H32" ca="1">INDEX('Questions global'!$A:$YP,ROW(H31)-ROW($A$2)+4,COLUMN(H31)-COLUMN($A$2)+1+$B$1)</f>
        <v/>
      </c>
      <c r="I32" s="119" t="str" cm="1">
        <f t="array" aca="1" ref="I32" ca="1">INDEX('Questions global'!$A:$YP,ROW(I31)-ROW($A$2)+4,COLUMN(I31)-COLUMN($A$2)+1+$B$1)</f>
        <v/>
      </c>
    </row>
    <row r="33" spans="1:9" ht="15" customHeight="1" x14ac:dyDescent="0.3">
      <c r="A33" s="118" cm="1">
        <f t="array" ref="A33">INDEX('Questions global'!$A:$YP,ROW(A32)-ROW($A$2)+4,COLUMN(A32)-COLUMN($A$2)+1+$B$1)</f>
        <v>32</v>
      </c>
      <c r="B33" s="106" t="str" cm="1">
        <f t="array" ref="B33">INDEX('Questions global'!$A:$YP,ROW(B32)-ROW($A$2)+4,COLUMN(B32)-COLUMN($A$2)+1+$B$1)</f>
        <v/>
      </c>
      <c r="C33" s="106" t="str" cm="1">
        <f t="array" ref="C33">INDEX('Questions global'!$A:$YP,ROW(C32)-ROW($A$2)+4,COLUMN(C32)-COLUMN($A$2)+1+$B$1)</f>
        <v/>
      </c>
      <c r="D33" s="126" t="str" cm="1">
        <f t="array" ref="D33">INDEX('Questions global'!$A:$YP,ROW(D32)-ROW($A$2)+4,COLUMN(D32)-COLUMN($A$2)+1+$B$1)</f>
        <v/>
      </c>
      <c r="E33" s="104" t="str" cm="1">
        <f t="array" aca="1" ref="E33" ca="1">INDEX('Questions global'!$A:$YP,ROW(E32)-ROW($A$2)+4,COLUMN(E32)-COLUMN($A$2)+1+$B$1)</f>
        <v xml:space="preserve">   </v>
      </c>
      <c r="F33" s="105" t="str" cm="1">
        <f t="array" ref="F33">INDEX('Questions global'!$A:$YP,ROW(F32)-ROW($A$2)+4,COLUMN(F32)-COLUMN($A$2)+1+$B$1)</f>
        <v xml:space="preserve"> </v>
      </c>
      <c r="G33" s="112" t="str" cm="1">
        <f t="array" ref="G33">INDEX('Questions global'!$A:$YP,ROW(G32)-ROW($A$2)+4,COLUMN(G32)-COLUMN($A$2)+1+$B$1)</f>
        <v/>
      </c>
      <c r="H33" s="104" t="str" cm="1">
        <f t="array" aca="1" ref="H33" ca="1">INDEX('Questions global'!$A:$YP,ROW(H32)-ROW($A$2)+4,COLUMN(H32)-COLUMN($A$2)+1+$B$1)</f>
        <v/>
      </c>
      <c r="I33" s="119" t="str" cm="1">
        <f t="array" aca="1" ref="I33" ca="1">INDEX('Questions global'!$A:$YP,ROW(I32)-ROW($A$2)+4,COLUMN(I32)-COLUMN($A$2)+1+$B$1)</f>
        <v/>
      </c>
    </row>
    <row r="34" spans="1:9" ht="15" customHeight="1" x14ac:dyDescent="0.3">
      <c r="A34" s="118" cm="1">
        <f t="array" ref="A34">INDEX('Questions global'!$A:$YP,ROW(A33)-ROW($A$2)+4,COLUMN(A33)-COLUMN($A$2)+1+$B$1)</f>
        <v>33</v>
      </c>
      <c r="B34" s="106" t="str" cm="1">
        <f t="array" ref="B34">INDEX('Questions global'!$A:$YP,ROW(B33)-ROW($A$2)+4,COLUMN(B33)-COLUMN($A$2)+1+$B$1)</f>
        <v/>
      </c>
      <c r="C34" s="106" t="str" cm="1">
        <f t="array" ref="C34">INDEX('Questions global'!$A:$YP,ROW(C33)-ROW($A$2)+4,COLUMN(C33)-COLUMN($A$2)+1+$B$1)</f>
        <v/>
      </c>
      <c r="D34" s="126" t="str" cm="1">
        <f t="array" ref="D34">INDEX('Questions global'!$A:$YP,ROW(D33)-ROW($A$2)+4,COLUMN(D33)-COLUMN($A$2)+1+$B$1)</f>
        <v/>
      </c>
      <c r="E34" s="104" t="str" cm="1">
        <f t="array" aca="1" ref="E34" ca="1">INDEX('Questions global'!$A:$YP,ROW(E33)-ROW($A$2)+4,COLUMN(E33)-COLUMN($A$2)+1+$B$1)</f>
        <v xml:space="preserve">   </v>
      </c>
      <c r="F34" s="105" t="str" cm="1">
        <f t="array" ref="F34">INDEX('Questions global'!$A:$YP,ROW(F33)-ROW($A$2)+4,COLUMN(F33)-COLUMN($A$2)+1+$B$1)</f>
        <v xml:space="preserve"> </v>
      </c>
      <c r="G34" s="112" t="str" cm="1">
        <f t="array" ref="G34">INDEX('Questions global'!$A:$YP,ROW(G33)-ROW($A$2)+4,COLUMN(G33)-COLUMN($A$2)+1+$B$1)</f>
        <v/>
      </c>
      <c r="H34" s="104" t="str" cm="1">
        <f t="array" aca="1" ref="H34" ca="1">INDEX('Questions global'!$A:$YP,ROW(H33)-ROW($A$2)+4,COLUMN(H33)-COLUMN($A$2)+1+$B$1)</f>
        <v/>
      </c>
      <c r="I34" s="119" t="str" cm="1">
        <f t="array" aca="1" ref="I34" ca="1">INDEX('Questions global'!$A:$YP,ROW(I33)-ROW($A$2)+4,COLUMN(I33)-COLUMN($A$2)+1+$B$1)</f>
        <v/>
      </c>
    </row>
    <row r="35" spans="1:9" ht="15" customHeight="1" x14ac:dyDescent="0.3">
      <c r="A35" s="118" cm="1">
        <f t="array" ref="A35">INDEX('Questions global'!$A:$YP,ROW(A34)-ROW($A$2)+4,COLUMN(A34)-COLUMN($A$2)+1+$B$1)</f>
        <v>34</v>
      </c>
      <c r="B35" s="106" t="str" cm="1">
        <f t="array" ref="B35">INDEX('Questions global'!$A:$YP,ROW(B34)-ROW($A$2)+4,COLUMN(B34)-COLUMN($A$2)+1+$B$1)</f>
        <v/>
      </c>
      <c r="C35" s="106" t="str" cm="1">
        <f t="array" ref="C35">INDEX('Questions global'!$A:$YP,ROW(C34)-ROW($A$2)+4,COLUMN(C34)-COLUMN($A$2)+1+$B$1)</f>
        <v/>
      </c>
      <c r="D35" s="126" t="str" cm="1">
        <f t="array" ref="D35">INDEX('Questions global'!$A:$YP,ROW(D34)-ROW($A$2)+4,COLUMN(D34)-COLUMN($A$2)+1+$B$1)</f>
        <v/>
      </c>
      <c r="E35" s="104" t="str" cm="1">
        <f t="array" aca="1" ref="E35" ca="1">INDEX('Questions global'!$A:$YP,ROW(E34)-ROW($A$2)+4,COLUMN(E34)-COLUMN($A$2)+1+$B$1)</f>
        <v xml:space="preserve">   </v>
      </c>
      <c r="F35" s="105" t="str" cm="1">
        <f t="array" ref="F35">INDEX('Questions global'!$A:$YP,ROW(F34)-ROW($A$2)+4,COLUMN(F34)-COLUMN($A$2)+1+$B$1)</f>
        <v xml:space="preserve"> </v>
      </c>
      <c r="G35" s="112" t="str" cm="1">
        <f t="array" ref="G35">INDEX('Questions global'!$A:$YP,ROW(G34)-ROW($A$2)+4,COLUMN(G34)-COLUMN($A$2)+1+$B$1)</f>
        <v/>
      </c>
      <c r="H35" s="104" t="str" cm="1">
        <f t="array" aca="1" ref="H35" ca="1">INDEX('Questions global'!$A:$YP,ROW(H34)-ROW($A$2)+4,COLUMN(H34)-COLUMN($A$2)+1+$B$1)</f>
        <v/>
      </c>
      <c r="I35" s="119" t="str" cm="1">
        <f t="array" aca="1" ref="I35" ca="1">INDEX('Questions global'!$A:$YP,ROW(I34)-ROW($A$2)+4,COLUMN(I34)-COLUMN($A$2)+1+$B$1)</f>
        <v/>
      </c>
    </row>
    <row r="36" spans="1:9" ht="15" customHeight="1" x14ac:dyDescent="0.3">
      <c r="A36" s="118" cm="1">
        <f t="array" ref="A36">INDEX('Questions global'!$A:$YP,ROW(A35)-ROW($A$2)+4,COLUMN(A35)-COLUMN($A$2)+1+$B$1)</f>
        <v>35</v>
      </c>
      <c r="B36" s="106" t="str" cm="1">
        <f t="array" ref="B36">INDEX('Questions global'!$A:$YP,ROW(B35)-ROW($A$2)+4,COLUMN(B35)-COLUMN($A$2)+1+$B$1)</f>
        <v/>
      </c>
      <c r="C36" s="106" t="str" cm="1">
        <f t="array" ref="C36">INDEX('Questions global'!$A:$YP,ROW(C35)-ROW($A$2)+4,COLUMN(C35)-COLUMN($A$2)+1+$B$1)</f>
        <v/>
      </c>
      <c r="D36" s="126" t="str" cm="1">
        <f t="array" ref="D36">INDEX('Questions global'!$A:$YP,ROW(D35)-ROW($A$2)+4,COLUMN(D35)-COLUMN($A$2)+1+$B$1)</f>
        <v/>
      </c>
      <c r="E36" s="104" t="str" cm="1">
        <f t="array" aca="1" ref="E36" ca="1">INDEX('Questions global'!$A:$YP,ROW(E35)-ROW($A$2)+4,COLUMN(E35)-COLUMN($A$2)+1+$B$1)</f>
        <v xml:space="preserve">   </v>
      </c>
      <c r="F36" s="105" t="str" cm="1">
        <f t="array" ref="F36">INDEX('Questions global'!$A:$YP,ROW(F35)-ROW($A$2)+4,COLUMN(F35)-COLUMN($A$2)+1+$B$1)</f>
        <v xml:space="preserve"> </v>
      </c>
      <c r="G36" s="112" t="str" cm="1">
        <f t="array" ref="G36">INDEX('Questions global'!$A:$YP,ROW(G35)-ROW($A$2)+4,COLUMN(G35)-COLUMN($A$2)+1+$B$1)</f>
        <v/>
      </c>
      <c r="H36" s="104" t="str" cm="1">
        <f t="array" aca="1" ref="H36" ca="1">INDEX('Questions global'!$A:$YP,ROW(H35)-ROW($A$2)+4,COLUMN(H35)-COLUMN($A$2)+1+$B$1)</f>
        <v/>
      </c>
      <c r="I36" s="119" t="str" cm="1">
        <f t="array" aca="1" ref="I36" ca="1">INDEX('Questions global'!$A:$YP,ROW(I35)-ROW($A$2)+4,COLUMN(I35)-COLUMN($A$2)+1+$B$1)</f>
        <v/>
      </c>
    </row>
    <row r="37" spans="1:9" ht="16.5" customHeight="1" x14ac:dyDescent="0.3">
      <c r="A37" s="118" cm="1">
        <f t="array" ref="A37">INDEX('Questions global'!$A:$YP,ROW(A36)-ROW($A$2)+4,COLUMN(A36)-COLUMN($A$2)+1+$B$1)</f>
        <v>36</v>
      </c>
      <c r="B37" s="106" t="str" cm="1">
        <f t="array" ref="B37">INDEX('Questions global'!$A:$YP,ROW(B36)-ROW($A$2)+4,COLUMN(B36)-COLUMN($A$2)+1+$B$1)</f>
        <v/>
      </c>
      <c r="C37" s="106" t="str" cm="1">
        <f t="array" ref="C37">INDEX('Questions global'!$A:$YP,ROW(C36)-ROW($A$2)+4,COLUMN(C36)-COLUMN($A$2)+1+$B$1)</f>
        <v/>
      </c>
      <c r="D37" s="126" t="str" cm="1">
        <f t="array" ref="D37">INDEX('Questions global'!$A:$YP,ROW(D36)-ROW($A$2)+4,COLUMN(D36)-COLUMN($A$2)+1+$B$1)</f>
        <v/>
      </c>
      <c r="E37" s="104" t="str" cm="1">
        <f t="array" aca="1" ref="E37" ca="1">INDEX('Questions global'!$A:$YP,ROW(E36)-ROW($A$2)+4,COLUMN(E36)-COLUMN($A$2)+1+$B$1)</f>
        <v xml:space="preserve">   </v>
      </c>
      <c r="F37" s="105" t="str" cm="1">
        <f t="array" ref="F37">INDEX('Questions global'!$A:$YP,ROW(F36)-ROW($A$2)+4,COLUMN(F36)-COLUMN($A$2)+1+$B$1)</f>
        <v xml:space="preserve"> </v>
      </c>
      <c r="G37" s="112" t="str" cm="1">
        <f t="array" ref="G37">INDEX('Questions global'!$A:$YP,ROW(G36)-ROW($A$2)+4,COLUMN(G36)-COLUMN($A$2)+1+$B$1)</f>
        <v/>
      </c>
      <c r="H37" s="104" t="str" cm="1">
        <f t="array" aca="1" ref="H37" ca="1">INDEX('Questions global'!$A:$YP,ROW(H36)-ROW($A$2)+4,COLUMN(H36)-COLUMN($A$2)+1+$B$1)</f>
        <v/>
      </c>
      <c r="I37" s="119" t="str" cm="1">
        <f t="array" aca="1" ref="I37" ca="1">INDEX('Questions global'!$A:$YP,ROW(I36)-ROW($A$2)+4,COLUMN(I36)-COLUMN($A$2)+1+$B$1)</f>
        <v/>
      </c>
    </row>
    <row r="38" spans="1:9" ht="16.5" customHeight="1" x14ac:dyDescent="0.3">
      <c r="A38" s="118" cm="1">
        <f t="array" ref="A38">INDEX('Questions global'!$A:$YP,ROW(A37)-ROW($A$2)+4,COLUMN(A37)-COLUMN($A$2)+1+$B$1)</f>
        <v>37</v>
      </c>
      <c r="B38" s="106" t="str" cm="1">
        <f t="array" ref="B38">INDEX('Questions global'!$A:$YP,ROW(B37)-ROW($A$2)+4,COLUMN(B37)-COLUMN($A$2)+1+$B$1)</f>
        <v/>
      </c>
      <c r="C38" s="106" t="str" cm="1">
        <f t="array" ref="C38">INDEX('Questions global'!$A:$YP,ROW(C37)-ROW($A$2)+4,COLUMN(C37)-COLUMN($A$2)+1+$B$1)</f>
        <v/>
      </c>
      <c r="D38" s="126" t="str" cm="1">
        <f t="array" ref="D38">INDEX('Questions global'!$A:$YP,ROW(D37)-ROW($A$2)+4,COLUMN(D37)-COLUMN($A$2)+1+$B$1)</f>
        <v/>
      </c>
      <c r="E38" s="104" t="str" cm="1">
        <f t="array" aca="1" ref="E38" ca="1">INDEX('Questions global'!$A:$YP,ROW(E37)-ROW($A$2)+4,COLUMN(E37)-COLUMN($A$2)+1+$B$1)</f>
        <v xml:space="preserve">   </v>
      </c>
      <c r="F38" s="105" t="str" cm="1">
        <f t="array" ref="F38">INDEX('Questions global'!$A:$YP,ROW(F37)-ROW($A$2)+4,COLUMN(F37)-COLUMN($A$2)+1+$B$1)</f>
        <v xml:space="preserve"> </v>
      </c>
      <c r="G38" s="112" t="str" cm="1">
        <f t="array" ref="G38">INDEX('Questions global'!$A:$YP,ROW(G37)-ROW($A$2)+4,COLUMN(G37)-COLUMN($A$2)+1+$B$1)</f>
        <v/>
      </c>
      <c r="H38" s="104" t="str" cm="1">
        <f t="array" aca="1" ref="H38" ca="1">INDEX('Questions global'!$A:$YP,ROW(H37)-ROW($A$2)+4,COLUMN(H37)-COLUMN($A$2)+1+$B$1)</f>
        <v/>
      </c>
      <c r="I38" s="119" t="str" cm="1">
        <f t="array" aca="1" ref="I38" ca="1">INDEX('Questions global'!$A:$YP,ROW(I37)-ROW($A$2)+4,COLUMN(I37)-COLUMN($A$2)+1+$B$1)</f>
        <v/>
      </c>
    </row>
    <row r="39" spans="1:9" ht="16.5" customHeight="1" x14ac:dyDescent="0.3">
      <c r="A39" s="118" cm="1">
        <f t="array" ref="A39">INDEX('Questions global'!$A:$YP,ROW(A38)-ROW($A$2)+4,COLUMN(A38)-COLUMN($A$2)+1+$B$1)</f>
        <v>38</v>
      </c>
      <c r="B39" s="106" t="str" cm="1">
        <f t="array" ref="B39">INDEX('Questions global'!$A:$YP,ROW(B38)-ROW($A$2)+4,COLUMN(B38)-COLUMN($A$2)+1+$B$1)</f>
        <v/>
      </c>
      <c r="C39" s="106" t="str" cm="1">
        <f t="array" ref="C39">INDEX('Questions global'!$A:$YP,ROW(C38)-ROW($A$2)+4,COLUMN(C38)-COLUMN($A$2)+1+$B$1)</f>
        <v/>
      </c>
      <c r="D39" s="126" t="str" cm="1">
        <f t="array" ref="D39">INDEX('Questions global'!$A:$YP,ROW(D38)-ROW($A$2)+4,COLUMN(D38)-COLUMN($A$2)+1+$B$1)</f>
        <v/>
      </c>
      <c r="E39" s="104" t="str" cm="1">
        <f t="array" aca="1" ref="E39" ca="1">INDEX('Questions global'!$A:$YP,ROW(E38)-ROW($A$2)+4,COLUMN(E38)-COLUMN($A$2)+1+$B$1)</f>
        <v xml:space="preserve">   </v>
      </c>
      <c r="F39" s="105" t="str" cm="1">
        <f t="array" ref="F39">INDEX('Questions global'!$A:$YP,ROW(F38)-ROW($A$2)+4,COLUMN(F38)-COLUMN($A$2)+1+$B$1)</f>
        <v xml:space="preserve"> </v>
      </c>
      <c r="G39" s="112" t="str" cm="1">
        <f t="array" ref="G39">INDEX('Questions global'!$A:$YP,ROW(G38)-ROW($A$2)+4,COLUMN(G38)-COLUMN($A$2)+1+$B$1)</f>
        <v/>
      </c>
      <c r="H39" s="104" t="str" cm="1">
        <f t="array" aca="1" ref="H39" ca="1">INDEX('Questions global'!$A:$YP,ROW(H38)-ROW($A$2)+4,COLUMN(H38)-COLUMN($A$2)+1+$B$1)</f>
        <v/>
      </c>
      <c r="I39" s="119" t="str" cm="1">
        <f t="array" aca="1" ref="I39" ca="1">INDEX('Questions global'!$A:$YP,ROW(I38)-ROW($A$2)+4,COLUMN(I38)-COLUMN($A$2)+1+$B$1)</f>
        <v/>
      </c>
    </row>
    <row r="40" spans="1:9" ht="16.5" customHeight="1" x14ac:dyDescent="0.3">
      <c r="A40" s="118" cm="1">
        <f t="array" ref="A40">INDEX('Questions global'!$A:$YP,ROW(A39)-ROW($A$2)+4,COLUMN(A39)-COLUMN($A$2)+1+$B$1)</f>
        <v>39</v>
      </c>
      <c r="B40" s="106" t="str" cm="1">
        <f t="array" ref="B40">INDEX('Questions global'!$A:$YP,ROW(B39)-ROW($A$2)+4,COLUMN(B39)-COLUMN($A$2)+1+$B$1)</f>
        <v/>
      </c>
      <c r="C40" s="106" t="str" cm="1">
        <f t="array" ref="C40">INDEX('Questions global'!$A:$YP,ROW(C39)-ROW($A$2)+4,COLUMN(C39)-COLUMN($A$2)+1+$B$1)</f>
        <v/>
      </c>
      <c r="D40" s="126" t="str" cm="1">
        <f t="array" ref="D40">INDEX('Questions global'!$A:$YP,ROW(D39)-ROW($A$2)+4,COLUMN(D39)-COLUMN($A$2)+1+$B$1)</f>
        <v/>
      </c>
      <c r="E40" s="104" t="str" cm="1">
        <f t="array" aca="1" ref="E40" ca="1">INDEX('Questions global'!$A:$YP,ROW(E39)-ROW($A$2)+4,COLUMN(E39)-COLUMN($A$2)+1+$B$1)</f>
        <v xml:space="preserve">   </v>
      </c>
      <c r="F40" s="105" t="str" cm="1">
        <f t="array" ref="F40">INDEX('Questions global'!$A:$YP,ROW(F39)-ROW($A$2)+4,COLUMN(F39)-COLUMN($A$2)+1+$B$1)</f>
        <v xml:space="preserve"> </v>
      </c>
      <c r="G40" s="112" t="str" cm="1">
        <f t="array" ref="G40">INDEX('Questions global'!$A:$YP,ROW(G39)-ROW($A$2)+4,COLUMN(G39)-COLUMN($A$2)+1+$B$1)</f>
        <v/>
      </c>
      <c r="H40" s="104" t="str" cm="1">
        <f t="array" aca="1" ref="H40" ca="1">INDEX('Questions global'!$A:$YP,ROW(H39)-ROW($A$2)+4,COLUMN(H39)-COLUMN($A$2)+1+$B$1)</f>
        <v/>
      </c>
      <c r="I40" s="119" t="str" cm="1">
        <f t="array" aca="1" ref="I40" ca="1">INDEX('Questions global'!$A:$YP,ROW(I39)-ROW($A$2)+4,COLUMN(I39)-COLUMN($A$2)+1+$B$1)</f>
        <v/>
      </c>
    </row>
    <row r="41" spans="1:9" ht="16.5" customHeight="1" x14ac:dyDescent="0.3">
      <c r="A41" s="118" cm="1">
        <f t="array" ref="A41">INDEX('Questions global'!$A:$YP,ROW(A40)-ROW($A$2)+4,COLUMN(A40)-COLUMN($A$2)+1+$B$1)</f>
        <v>40</v>
      </c>
      <c r="B41" s="106" t="str" cm="1">
        <f t="array" ref="B41">INDEX('Questions global'!$A:$YP,ROW(B40)-ROW($A$2)+4,COLUMN(B40)-COLUMN($A$2)+1+$B$1)</f>
        <v/>
      </c>
      <c r="C41" s="106" t="str" cm="1">
        <f t="array" ref="C41">INDEX('Questions global'!$A:$YP,ROW(C40)-ROW($A$2)+4,COLUMN(C40)-COLUMN($A$2)+1+$B$1)</f>
        <v/>
      </c>
      <c r="D41" s="126" t="str" cm="1">
        <f t="array" ref="D41">INDEX('Questions global'!$A:$YP,ROW(D40)-ROW($A$2)+4,COLUMN(D40)-COLUMN($A$2)+1+$B$1)</f>
        <v/>
      </c>
      <c r="E41" s="104" t="str" cm="1">
        <f t="array" aca="1" ref="E41" ca="1">INDEX('Questions global'!$A:$YP,ROW(E40)-ROW($A$2)+4,COLUMN(E40)-COLUMN($A$2)+1+$B$1)</f>
        <v xml:space="preserve">   </v>
      </c>
      <c r="F41" s="105" t="str" cm="1">
        <f t="array" ref="F41">INDEX('Questions global'!$A:$YP,ROW(F40)-ROW($A$2)+4,COLUMN(F40)-COLUMN($A$2)+1+$B$1)</f>
        <v xml:space="preserve"> </v>
      </c>
      <c r="G41" s="112" t="str" cm="1">
        <f t="array" ref="G41">INDEX('Questions global'!$A:$YP,ROW(G40)-ROW($A$2)+4,COLUMN(G40)-COLUMN($A$2)+1+$B$1)</f>
        <v/>
      </c>
      <c r="H41" s="104" t="str" cm="1">
        <f t="array" aca="1" ref="H41" ca="1">INDEX('Questions global'!$A:$YP,ROW(H40)-ROW($A$2)+4,COLUMN(H40)-COLUMN($A$2)+1+$B$1)</f>
        <v/>
      </c>
      <c r="I41" s="119" t="str" cm="1">
        <f t="array" aca="1" ref="I41" ca="1">INDEX('Questions global'!$A:$YP,ROW(I40)-ROW($A$2)+4,COLUMN(I40)-COLUMN($A$2)+1+$B$1)</f>
        <v/>
      </c>
    </row>
    <row r="42" spans="1:9" ht="16.5" customHeight="1" x14ac:dyDescent="0.3">
      <c r="A42" s="118" cm="1">
        <f t="array" ref="A42">INDEX('Questions global'!$A:$YP,ROW(A41)-ROW($A$2)+4,COLUMN(A41)-COLUMN($A$2)+1+$B$1)</f>
        <v>41</v>
      </c>
      <c r="B42" s="106" t="str" cm="1">
        <f t="array" ref="B42">INDEX('Questions global'!$A:$YP,ROW(B41)-ROW($A$2)+4,COLUMN(B41)-COLUMN($A$2)+1+$B$1)</f>
        <v/>
      </c>
      <c r="C42" s="106" t="str" cm="1">
        <f t="array" ref="C42">INDEX('Questions global'!$A:$YP,ROW(C41)-ROW($A$2)+4,COLUMN(C41)-COLUMN($A$2)+1+$B$1)</f>
        <v/>
      </c>
      <c r="D42" s="126" t="str" cm="1">
        <f t="array" ref="D42">INDEX('Questions global'!$A:$YP,ROW(D41)-ROW($A$2)+4,COLUMN(D41)-COLUMN($A$2)+1+$B$1)</f>
        <v/>
      </c>
      <c r="E42" s="104" t="str" cm="1">
        <f t="array" aca="1" ref="E42" ca="1">INDEX('Questions global'!$A:$YP,ROW(E41)-ROW($A$2)+4,COLUMN(E41)-COLUMN($A$2)+1+$B$1)</f>
        <v xml:space="preserve">   </v>
      </c>
      <c r="F42" s="105" t="str" cm="1">
        <f t="array" ref="F42">INDEX('Questions global'!$A:$YP,ROW(F41)-ROW($A$2)+4,COLUMN(F41)-COLUMN($A$2)+1+$B$1)</f>
        <v xml:space="preserve"> </v>
      </c>
      <c r="G42" s="112" t="str" cm="1">
        <f t="array" ref="G42">INDEX('Questions global'!$A:$YP,ROW(G41)-ROW($A$2)+4,COLUMN(G41)-COLUMN($A$2)+1+$B$1)</f>
        <v/>
      </c>
      <c r="H42" s="104" t="str" cm="1">
        <f t="array" aca="1" ref="H42" ca="1">INDEX('Questions global'!$A:$YP,ROW(H41)-ROW($A$2)+4,COLUMN(H41)-COLUMN($A$2)+1+$B$1)</f>
        <v/>
      </c>
      <c r="I42" s="119" t="str" cm="1">
        <f t="array" aca="1" ref="I42" ca="1">INDEX('Questions global'!$A:$YP,ROW(I41)-ROW($A$2)+4,COLUMN(I41)-COLUMN($A$2)+1+$B$1)</f>
        <v/>
      </c>
    </row>
    <row r="43" spans="1:9" ht="16.5" customHeight="1" x14ac:dyDescent="0.3">
      <c r="A43" s="118" cm="1">
        <f t="array" ref="A43">INDEX('Questions global'!$A:$YP,ROW(A42)-ROW($A$2)+4,COLUMN(A42)-COLUMN($A$2)+1+$B$1)</f>
        <v>42</v>
      </c>
      <c r="B43" s="106" t="str" cm="1">
        <f t="array" ref="B43">INDEX('Questions global'!$A:$YP,ROW(B42)-ROW($A$2)+4,COLUMN(B42)-COLUMN($A$2)+1+$B$1)</f>
        <v/>
      </c>
      <c r="C43" s="106" t="str" cm="1">
        <f t="array" ref="C43">INDEX('Questions global'!$A:$YP,ROW(C42)-ROW($A$2)+4,COLUMN(C42)-COLUMN($A$2)+1+$B$1)</f>
        <v/>
      </c>
      <c r="D43" s="126" t="str" cm="1">
        <f t="array" ref="D43">INDEX('Questions global'!$A:$YP,ROW(D42)-ROW($A$2)+4,COLUMN(D42)-COLUMN($A$2)+1+$B$1)</f>
        <v/>
      </c>
      <c r="E43" s="104" t="str" cm="1">
        <f t="array" aca="1" ref="E43" ca="1">INDEX('Questions global'!$A:$YP,ROW(E42)-ROW($A$2)+4,COLUMN(E42)-COLUMN($A$2)+1+$B$1)</f>
        <v xml:space="preserve">   </v>
      </c>
      <c r="F43" s="105" t="str" cm="1">
        <f t="array" ref="F43">INDEX('Questions global'!$A:$YP,ROW(F42)-ROW($A$2)+4,COLUMN(F42)-COLUMN($A$2)+1+$B$1)</f>
        <v xml:space="preserve"> </v>
      </c>
      <c r="G43" s="112" t="str" cm="1">
        <f t="array" ref="G43">INDEX('Questions global'!$A:$YP,ROW(G42)-ROW($A$2)+4,COLUMN(G42)-COLUMN($A$2)+1+$B$1)</f>
        <v/>
      </c>
      <c r="H43" s="104" t="str" cm="1">
        <f t="array" aca="1" ref="H43" ca="1">INDEX('Questions global'!$A:$YP,ROW(H42)-ROW($A$2)+4,COLUMN(H42)-COLUMN($A$2)+1+$B$1)</f>
        <v/>
      </c>
      <c r="I43" s="119" t="str" cm="1">
        <f t="array" aca="1" ref="I43" ca="1">INDEX('Questions global'!$A:$YP,ROW(I42)-ROW($A$2)+4,COLUMN(I42)-COLUMN($A$2)+1+$B$1)</f>
        <v/>
      </c>
    </row>
    <row r="44" spans="1:9" ht="16.5" customHeight="1" x14ac:dyDescent="0.3">
      <c r="A44" s="118" cm="1">
        <f t="array" ref="A44">INDEX('Questions global'!$A:$YP,ROW(A43)-ROW($A$2)+4,COLUMN(A43)-COLUMN($A$2)+1+$B$1)</f>
        <v>43</v>
      </c>
      <c r="B44" s="106" t="str" cm="1">
        <f t="array" ref="B44">INDEX('Questions global'!$A:$YP,ROW(B43)-ROW($A$2)+4,COLUMN(B43)-COLUMN($A$2)+1+$B$1)</f>
        <v/>
      </c>
      <c r="C44" s="106" t="str" cm="1">
        <f t="array" ref="C44">INDEX('Questions global'!$A:$YP,ROW(C43)-ROW($A$2)+4,COLUMN(C43)-COLUMN($A$2)+1+$B$1)</f>
        <v/>
      </c>
      <c r="D44" s="126" t="str" cm="1">
        <f t="array" ref="D44">INDEX('Questions global'!$A:$YP,ROW(D43)-ROW($A$2)+4,COLUMN(D43)-COLUMN($A$2)+1+$B$1)</f>
        <v/>
      </c>
      <c r="E44" s="104" t="str" cm="1">
        <f t="array" aca="1" ref="E44" ca="1">INDEX('Questions global'!$A:$YP,ROW(E43)-ROW($A$2)+4,COLUMN(E43)-COLUMN($A$2)+1+$B$1)</f>
        <v xml:space="preserve">   </v>
      </c>
      <c r="F44" s="105" t="str" cm="1">
        <f t="array" ref="F44">INDEX('Questions global'!$A:$YP,ROW(F43)-ROW($A$2)+4,COLUMN(F43)-COLUMN($A$2)+1+$B$1)</f>
        <v xml:space="preserve"> </v>
      </c>
      <c r="G44" s="112" t="str" cm="1">
        <f t="array" ref="G44">INDEX('Questions global'!$A:$YP,ROW(G43)-ROW($A$2)+4,COLUMN(G43)-COLUMN($A$2)+1+$B$1)</f>
        <v/>
      </c>
      <c r="H44" s="104" t="str" cm="1">
        <f t="array" aca="1" ref="H44" ca="1">INDEX('Questions global'!$A:$YP,ROW(H43)-ROW($A$2)+4,COLUMN(H43)-COLUMN($A$2)+1+$B$1)</f>
        <v/>
      </c>
      <c r="I44" s="119" t="str" cm="1">
        <f t="array" aca="1" ref="I44" ca="1">INDEX('Questions global'!$A:$YP,ROW(I43)-ROW($A$2)+4,COLUMN(I43)-COLUMN($A$2)+1+$B$1)</f>
        <v/>
      </c>
    </row>
    <row r="45" spans="1:9" ht="16.5" customHeight="1" x14ac:dyDescent="0.3">
      <c r="A45" s="118" cm="1">
        <f t="array" ref="A45">INDEX('Questions global'!$A:$YP,ROW(A44)-ROW($A$2)+4,COLUMN(A44)-COLUMN($A$2)+1+$B$1)</f>
        <v>44</v>
      </c>
      <c r="B45" s="106" t="str" cm="1">
        <f t="array" ref="B45">INDEX('Questions global'!$A:$YP,ROW(B44)-ROW($A$2)+4,COLUMN(B44)-COLUMN($A$2)+1+$B$1)</f>
        <v/>
      </c>
      <c r="C45" s="106" t="str" cm="1">
        <f t="array" ref="C45">INDEX('Questions global'!$A:$YP,ROW(C44)-ROW($A$2)+4,COLUMN(C44)-COLUMN($A$2)+1+$B$1)</f>
        <v/>
      </c>
      <c r="D45" s="126" t="str" cm="1">
        <f t="array" ref="D45">INDEX('Questions global'!$A:$YP,ROW(D44)-ROW($A$2)+4,COLUMN(D44)-COLUMN($A$2)+1+$B$1)</f>
        <v/>
      </c>
      <c r="E45" s="104" t="str" cm="1">
        <f t="array" aca="1" ref="E45" ca="1">INDEX('Questions global'!$A:$YP,ROW(E44)-ROW($A$2)+4,COLUMN(E44)-COLUMN($A$2)+1+$B$1)</f>
        <v xml:space="preserve">   </v>
      </c>
      <c r="F45" s="105" t="str" cm="1">
        <f t="array" ref="F45">INDEX('Questions global'!$A:$YP,ROW(F44)-ROW($A$2)+4,COLUMN(F44)-COLUMN($A$2)+1+$B$1)</f>
        <v xml:space="preserve"> </v>
      </c>
      <c r="G45" s="112" t="str" cm="1">
        <f t="array" ref="G45">INDEX('Questions global'!$A:$YP,ROW(G44)-ROW($A$2)+4,COLUMN(G44)-COLUMN($A$2)+1+$B$1)</f>
        <v/>
      </c>
      <c r="H45" s="104" t="str" cm="1">
        <f t="array" aca="1" ref="H45" ca="1">INDEX('Questions global'!$A:$YP,ROW(H44)-ROW($A$2)+4,COLUMN(H44)-COLUMN($A$2)+1+$B$1)</f>
        <v/>
      </c>
      <c r="I45" s="119" t="str" cm="1">
        <f t="array" aca="1" ref="I45" ca="1">INDEX('Questions global'!$A:$YP,ROW(I44)-ROW($A$2)+4,COLUMN(I44)-COLUMN($A$2)+1+$B$1)</f>
        <v/>
      </c>
    </row>
    <row r="46" spans="1:9" ht="16.5" customHeight="1" x14ac:dyDescent="0.3">
      <c r="A46" s="118" cm="1">
        <f t="array" ref="A46">INDEX('Questions global'!$A:$YP,ROW(A45)-ROW($A$2)+4,COLUMN(A45)-COLUMN($A$2)+1+$B$1)</f>
        <v>45</v>
      </c>
      <c r="B46" s="106" t="str" cm="1">
        <f t="array" ref="B46">INDEX('Questions global'!$A:$YP,ROW(B45)-ROW($A$2)+4,COLUMN(B45)-COLUMN($A$2)+1+$B$1)</f>
        <v/>
      </c>
      <c r="C46" s="106" t="str" cm="1">
        <f t="array" ref="C46">INDEX('Questions global'!$A:$YP,ROW(C45)-ROW($A$2)+4,COLUMN(C45)-COLUMN($A$2)+1+$B$1)</f>
        <v/>
      </c>
      <c r="D46" s="126" t="str" cm="1">
        <f t="array" ref="D46">INDEX('Questions global'!$A:$YP,ROW(D45)-ROW($A$2)+4,COLUMN(D45)-COLUMN($A$2)+1+$B$1)</f>
        <v/>
      </c>
      <c r="E46" s="104" t="str" cm="1">
        <f t="array" aca="1" ref="E46" ca="1">INDEX('Questions global'!$A:$YP,ROW(E45)-ROW($A$2)+4,COLUMN(E45)-COLUMN($A$2)+1+$B$1)</f>
        <v xml:space="preserve">   </v>
      </c>
      <c r="F46" s="105" t="str" cm="1">
        <f t="array" ref="F46">INDEX('Questions global'!$A:$YP,ROW(F45)-ROW($A$2)+4,COLUMN(F45)-COLUMN($A$2)+1+$B$1)</f>
        <v xml:space="preserve"> </v>
      </c>
      <c r="G46" s="112" t="str" cm="1">
        <f t="array" ref="G46">INDEX('Questions global'!$A:$YP,ROW(G45)-ROW($A$2)+4,COLUMN(G45)-COLUMN($A$2)+1+$B$1)</f>
        <v/>
      </c>
      <c r="H46" s="104" t="str" cm="1">
        <f t="array" aca="1" ref="H46" ca="1">INDEX('Questions global'!$A:$YP,ROW(H45)-ROW($A$2)+4,COLUMN(H45)-COLUMN($A$2)+1+$B$1)</f>
        <v/>
      </c>
      <c r="I46" s="119" t="str" cm="1">
        <f t="array" aca="1" ref="I46" ca="1">INDEX('Questions global'!$A:$YP,ROW(I45)-ROW($A$2)+4,COLUMN(I45)-COLUMN($A$2)+1+$B$1)</f>
        <v/>
      </c>
    </row>
    <row r="47" spans="1:9" ht="16.5" customHeight="1" x14ac:dyDescent="0.3">
      <c r="A47" s="118" cm="1">
        <f t="array" ref="A47">INDEX('Questions global'!$A:$YP,ROW(A46)-ROW($A$2)+4,COLUMN(A46)-COLUMN($A$2)+1+$B$1)</f>
        <v>46</v>
      </c>
      <c r="B47" s="106" t="str" cm="1">
        <f t="array" ref="B47">INDEX('Questions global'!$A:$YP,ROW(B46)-ROW($A$2)+4,COLUMN(B46)-COLUMN($A$2)+1+$B$1)</f>
        <v/>
      </c>
      <c r="C47" s="106" t="str" cm="1">
        <f t="array" ref="C47">INDEX('Questions global'!$A:$YP,ROW(C46)-ROW($A$2)+4,COLUMN(C46)-COLUMN($A$2)+1+$B$1)</f>
        <v/>
      </c>
      <c r="D47" s="126" t="str" cm="1">
        <f t="array" ref="D47">INDEX('Questions global'!$A:$YP,ROW(D46)-ROW($A$2)+4,COLUMN(D46)-COLUMN($A$2)+1+$B$1)</f>
        <v/>
      </c>
      <c r="E47" s="104" t="str" cm="1">
        <f t="array" aca="1" ref="E47" ca="1">INDEX('Questions global'!$A:$YP,ROW(E46)-ROW($A$2)+4,COLUMN(E46)-COLUMN($A$2)+1+$B$1)</f>
        <v xml:space="preserve">   </v>
      </c>
      <c r="F47" s="105" t="str" cm="1">
        <f t="array" ref="F47">INDEX('Questions global'!$A:$YP,ROW(F46)-ROW($A$2)+4,COLUMN(F46)-COLUMN($A$2)+1+$B$1)</f>
        <v xml:space="preserve"> </v>
      </c>
      <c r="G47" s="112" t="str" cm="1">
        <f t="array" ref="G47">INDEX('Questions global'!$A:$YP,ROW(G46)-ROW($A$2)+4,COLUMN(G46)-COLUMN($A$2)+1+$B$1)</f>
        <v/>
      </c>
      <c r="H47" s="104" t="str" cm="1">
        <f t="array" aca="1" ref="H47" ca="1">INDEX('Questions global'!$A:$YP,ROW(H46)-ROW($A$2)+4,COLUMN(H46)-COLUMN($A$2)+1+$B$1)</f>
        <v/>
      </c>
      <c r="I47" s="119" t="str" cm="1">
        <f t="array" aca="1" ref="I47" ca="1">INDEX('Questions global'!$A:$YP,ROW(I46)-ROW($A$2)+4,COLUMN(I46)-COLUMN($A$2)+1+$B$1)</f>
        <v/>
      </c>
    </row>
    <row r="48" spans="1:9" ht="16.5" customHeight="1" x14ac:dyDescent="0.3">
      <c r="A48" s="118" cm="1">
        <f t="array" ref="A48">INDEX('Questions global'!$A:$YP,ROW(A47)-ROW($A$2)+4,COLUMN(A47)-COLUMN($A$2)+1+$B$1)</f>
        <v>47</v>
      </c>
      <c r="B48" s="106" t="str" cm="1">
        <f t="array" ref="B48">INDEX('Questions global'!$A:$YP,ROW(B47)-ROW($A$2)+4,COLUMN(B47)-COLUMN($A$2)+1+$B$1)</f>
        <v/>
      </c>
      <c r="C48" s="106" t="str" cm="1">
        <f t="array" ref="C48">INDEX('Questions global'!$A:$YP,ROW(C47)-ROW($A$2)+4,COLUMN(C47)-COLUMN($A$2)+1+$B$1)</f>
        <v/>
      </c>
      <c r="D48" s="126" t="str" cm="1">
        <f t="array" ref="D48">INDEX('Questions global'!$A:$YP,ROW(D47)-ROW($A$2)+4,COLUMN(D47)-COLUMN($A$2)+1+$B$1)</f>
        <v/>
      </c>
      <c r="E48" s="104" t="str" cm="1">
        <f t="array" aca="1" ref="E48" ca="1">INDEX('Questions global'!$A:$YP,ROW(E47)-ROW($A$2)+4,COLUMN(E47)-COLUMN($A$2)+1+$B$1)</f>
        <v xml:space="preserve">   </v>
      </c>
      <c r="F48" s="105" t="str" cm="1">
        <f t="array" ref="F48">INDEX('Questions global'!$A:$YP,ROW(F47)-ROW($A$2)+4,COLUMN(F47)-COLUMN($A$2)+1+$B$1)</f>
        <v xml:space="preserve"> </v>
      </c>
      <c r="G48" s="112" t="str" cm="1">
        <f t="array" ref="G48">INDEX('Questions global'!$A:$YP,ROW(G47)-ROW($A$2)+4,COLUMN(G47)-COLUMN($A$2)+1+$B$1)</f>
        <v/>
      </c>
      <c r="H48" s="104" t="str" cm="1">
        <f t="array" aca="1" ref="H48" ca="1">INDEX('Questions global'!$A:$YP,ROW(H47)-ROW($A$2)+4,COLUMN(H47)-COLUMN($A$2)+1+$B$1)</f>
        <v/>
      </c>
      <c r="I48" s="119" t="str" cm="1">
        <f t="array" aca="1" ref="I48" ca="1">INDEX('Questions global'!$A:$YP,ROW(I47)-ROW($A$2)+4,COLUMN(I47)-COLUMN($A$2)+1+$B$1)</f>
        <v/>
      </c>
    </row>
    <row r="49" spans="1:9" ht="16.5" customHeight="1" x14ac:dyDescent="0.3">
      <c r="A49" s="118" cm="1">
        <f t="array" ref="A49">INDEX('Questions global'!$A:$YP,ROW(A48)-ROW($A$2)+4,COLUMN(A48)-COLUMN($A$2)+1+$B$1)</f>
        <v>48</v>
      </c>
      <c r="B49" s="106" t="str" cm="1">
        <f t="array" ref="B49">INDEX('Questions global'!$A:$YP,ROW(B48)-ROW($A$2)+4,COLUMN(B48)-COLUMN($A$2)+1+$B$1)</f>
        <v/>
      </c>
      <c r="C49" s="106" t="str" cm="1">
        <f t="array" ref="C49">INDEX('Questions global'!$A:$YP,ROW(C48)-ROW($A$2)+4,COLUMN(C48)-COLUMN($A$2)+1+$B$1)</f>
        <v/>
      </c>
      <c r="D49" s="126" t="str" cm="1">
        <f t="array" ref="D49">INDEX('Questions global'!$A:$YP,ROW(D48)-ROW($A$2)+4,COLUMN(D48)-COLUMN($A$2)+1+$B$1)</f>
        <v/>
      </c>
      <c r="E49" s="104" t="str" cm="1">
        <f t="array" aca="1" ref="E49" ca="1">INDEX('Questions global'!$A:$YP,ROW(E48)-ROW($A$2)+4,COLUMN(E48)-COLUMN($A$2)+1+$B$1)</f>
        <v xml:space="preserve">   </v>
      </c>
      <c r="F49" s="105" t="str" cm="1">
        <f t="array" ref="F49">INDEX('Questions global'!$A:$YP,ROW(F48)-ROW($A$2)+4,COLUMN(F48)-COLUMN($A$2)+1+$B$1)</f>
        <v xml:space="preserve"> </v>
      </c>
      <c r="G49" s="112" t="str" cm="1">
        <f t="array" ref="G49">INDEX('Questions global'!$A:$YP,ROW(G48)-ROW($A$2)+4,COLUMN(G48)-COLUMN($A$2)+1+$B$1)</f>
        <v/>
      </c>
      <c r="H49" s="104" t="str" cm="1">
        <f t="array" aca="1" ref="H49" ca="1">INDEX('Questions global'!$A:$YP,ROW(H48)-ROW($A$2)+4,COLUMN(H48)-COLUMN($A$2)+1+$B$1)</f>
        <v/>
      </c>
      <c r="I49" s="119" t="str" cm="1">
        <f t="array" aca="1" ref="I49" ca="1">INDEX('Questions global'!$A:$YP,ROW(I48)-ROW($A$2)+4,COLUMN(I48)-COLUMN($A$2)+1+$B$1)</f>
        <v/>
      </c>
    </row>
    <row r="50" spans="1:9" ht="16.5" customHeight="1" x14ac:dyDescent="0.3">
      <c r="A50" s="118" cm="1">
        <f t="array" ref="A50">INDEX('Questions global'!$A:$YP,ROW(A49)-ROW($A$2)+4,COLUMN(A49)-COLUMN($A$2)+1+$B$1)</f>
        <v>49</v>
      </c>
      <c r="B50" s="106" t="str" cm="1">
        <f t="array" ref="B50">INDEX('Questions global'!$A:$YP,ROW(B49)-ROW($A$2)+4,COLUMN(B49)-COLUMN($A$2)+1+$B$1)</f>
        <v/>
      </c>
      <c r="C50" s="106" t="str" cm="1">
        <f t="array" ref="C50">INDEX('Questions global'!$A:$YP,ROW(C49)-ROW($A$2)+4,COLUMN(C49)-COLUMN($A$2)+1+$B$1)</f>
        <v/>
      </c>
      <c r="D50" s="126" t="str" cm="1">
        <f t="array" ref="D50">INDEX('Questions global'!$A:$YP,ROW(D49)-ROW($A$2)+4,COLUMN(D49)-COLUMN($A$2)+1+$B$1)</f>
        <v/>
      </c>
      <c r="E50" s="104" t="str" cm="1">
        <f t="array" aca="1" ref="E50" ca="1">INDEX('Questions global'!$A:$YP,ROW(E49)-ROW($A$2)+4,COLUMN(E49)-COLUMN($A$2)+1+$B$1)</f>
        <v xml:space="preserve">   </v>
      </c>
      <c r="F50" s="105" t="str" cm="1">
        <f t="array" ref="F50">INDEX('Questions global'!$A:$YP,ROW(F49)-ROW($A$2)+4,COLUMN(F49)-COLUMN($A$2)+1+$B$1)</f>
        <v xml:space="preserve"> </v>
      </c>
      <c r="G50" s="112" t="str" cm="1">
        <f t="array" ref="G50">INDEX('Questions global'!$A:$YP,ROW(G49)-ROW($A$2)+4,COLUMN(G49)-COLUMN($A$2)+1+$B$1)</f>
        <v/>
      </c>
      <c r="H50" s="104" t="str" cm="1">
        <f t="array" aca="1" ref="H50" ca="1">INDEX('Questions global'!$A:$YP,ROW(H49)-ROW($A$2)+4,COLUMN(H49)-COLUMN($A$2)+1+$B$1)</f>
        <v/>
      </c>
      <c r="I50" s="119" t="str" cm="1">
        <f t="array" aca="1" ref="I50" ca="1">INDEX('Questions global'!$A:$YP,ROW(I49)-ROW($A$2)+4,COLUMN(I49)-COLUMN($A$2)+1+$B$1)</f>
        <v/>
      </c>
    </row>
    <row r="51" spans="1:9" ht="16.5" customHeight="1" x14ac:dyDescent="0.3">
      <c r="A51" s="118" cm="1">
        <f t="array" ref="A51">INDEX('Questions global'!$A:$YP,ROW(A50)-ROW($A$2)+4,COLUMN(A50)-COLUMN($A$2)+1+$B$1)</f>
        <v>50</v>
      </c>
      <c r="B51" s="106" t="str" cm="1">
        <f t="array" ref="B51">INDEX('Questions global'!$A:$YP,ROW(B50)-ROW($A$2)+4,COLUMN(B50)-COLUMN($A$2)+1+$B$1)</f>
        <v/>
      </c>
      <c r="C51" s="106" t="str" cm="1">
        <f t="array" ref="C51">INDEX('Questions global'!$A:$YP,ROW(C50)-ROW($A$2)+4,COLUMN(C50)-COLUMN($A$2)+1+$B$1)</f>
        <v/>
      </c>
      <c r="D51" s="126" t="str" cm="1">
        <f t="array" ref="D51">INDEX('Questions global'!$A:$YP,ROW(D50)-ROW($A$2)+4,COLUMN(D50)-COLUMN($A$2)+1+$B$1)</f>
        <v/>
      </c>
      <c r="E51" s="104" t="str" cm="1">
        <f t="array" aca="1" ref="E51" ca="1">INDEX('Questions global'!$A:$YP,ROW(E50)-ROW($A$2)+4,COLUMN(E50)-COLUMN($A$2)+1+$B$1)</f>
        <v xml:space="preserve">   </v>
      </c>
      <c r="F51" s="105" t="str" cm="1">
        <f t="array" ref="F51">INDEX('Questions global'!$A:$YP,ROW(F50)-ROW($A$2)+4,COLUMN(F50)-COLUMN($A$2)+1+$B$1)</f>
        <v xml:space="preserve"> </v>
      </c>
      <c r="G51" s="112" t="str" cm="1">
        <f t="array" ref="G51">INDEX('Questions global'!$A:$YP,ROW(G50)-ROW($A$2)+4,COLUMN(G50)-COLUMN($A$2)+1+$B$1)</f>
        <v/>
      </c>
      <c r="H51" s="104" t="str" cm="1">
        <f t="array" aca="1" ref="H51" ca="1">INDEX('Questions global'!$A:$YP,ROW(H50)-ROW($A$2)+4,COLUMN(H50)-COLUMN($A$2)+1+$B$1)</f>
        <v/>
      </c>
      <c r="I51" s="119" t="str" cm="1">
        <f t="array" aca="1" ref="I51" ca="1">INDEX('Questions global'!$A:$YP,ROW(I50)-ROW($A$2)+4,COLUMN(I50)-COLUMN($A$2)+1+$B$1)</f>
        <v/>
      </c>
    </row>
    <row r="52" spans="1:9" ht="16.5" customHeight="1" x14ac:dyDescent="0.3">
      <c r="A52" s="118" cm="1">
        <f t="array" ref="A52">INDEX('Questions global'!$A:$YP,ROW(A51)-ROW($A$2)+4,COLUMN(A51)-COLUMN($A$2)+1+$B$1)</f>
        <v>51</v>
      </c>
      <c r="B52" s="106" t="str" cm="1">
        <f t="array" ref="B52">INDEX('Questions global'!$A:$YP,ROW(B51)-ROW($A$2)+4,COLUMN(B51)-COLUMN($A$2)+1+$B$1)</f>
        <v/>
      </c>
      <c r="C52" s="106" t="str" cm="1">
        <f t="array" ref="C52">INDEX('Questions global'!$A:$YP,ROW(C51)-ROW($A$2)+4,COLUMN(C51)-COLUMN($A$2)+1+$B$1)</f>
        <v/>
      </c>
      <c r="D52" s="126" t="str" cm="1">
        <f t="array" ref="D52">INDEX('Questions global'!$A:$YP,ROW(D51)-ROW($A$2)+4,COLUMN(D51)-COLUMN($A$2)+1+$B$1)</f>
        <v/>
      </c>
      <c r="E52" s="104" t="str" cm="1">
        <f t="array" aca="1" ref="E52" ca="1">INDEX('Questions global'!$A:$YP,ROW(E51)-ROW($A$2)+4,COLUMN(E51)-COLUMN($A$2)+1+$B$1)</f>
        <v xml:space="preserve">   </v>
      </c>
      <c r="F52" s="105" t="str" cm="1">
        <f t="array" ref="F52">INDEX('Questions global'!$A:$YP,ROW(F51)-ROW($A$2)+4,COLUMN(F51)-COLUMN($A$2)+1+$B$1)</f>
        <v xml:space="preserve"> </v>
      </c>
      <c r="G52" s="112" t="str" cm="1">
        <f t="array" ref="G52">INDEX('Questions global'!$A:$YP,ROW(G51)-ROW($A$2)+4,COLUMN(G51)-COLUMN($A$2)+1+$B$1)</f>
        <v/>
      </c>
      <c r="H52" s="104" t="str" cm="1">
        <f t="array" aca="1" ref="H52" ca="1">INDEX('Questions global'!$A:$YP,ROW(H51)-ROW($A$2)+4,COLUMN(H51)-COLUMN($A$2)+1+$B$1)</f>
        <v/>
      </c>
      <c r="I52" s="119" t="str" cm="1">
        <f t="array" aca="1" ref="I52" ca="1">INDEX('Questions global'!$A:$YP,ROW(I51)-ROW($A$2)+4,COLUMN(I51)-COLUMN($A$2)+1+$B$1)</f>
        <v/>
      </c>
    </row>
    <row r="53" spans="1:9" ht="16.5" customHeight="1" x14ac:dyDescent="0.3">
      <c r="A53" s="118" cm="1">
        <f t="array" ref="A53">INDEX('Questions global'!$A:$YP,ROW(A52)-ROW($A$2)+4,COLUMN(A52)-COLUMN($A$2)+1+$B$1)</f>
        <v>52</v>
      </c>
      <c r="B53" s="106" t="str" cm="1">
        <f t="array" ref="B53">INDEX('Questions global'!$A:$YP,ROW(B52)-ROW($A$2)+4,COLUMN(B52)-COLUMN($A$2)+1+$B$1)</f>
        <v/>
      </c>
      <c r="C53" s="106" t="str" cm="1">
        <f t="array" ref="C53">INDEX('Questions global'!$A:$YP,ROW(C52)-ROW($A$2)+4,COLUMN(C52)-COLUMN($A$2)+1+$B$1)</f>
        <v/>
      </c>
      <c r="D53" s="126" t="str" cm="1">
        <f t="array" ref="D53">INDEX('Questions global'!$A:$YP,ROW(D52)-ROW($A$2)+4,COLUMN(D52)-COLUMN($A$2)+1+$B$1)</f>
        <v/>
      </c>
      <c r="E53" s="104" t="str" cm="1">
        <f t="array" aca="1" ref="E53" ca="1">INDEX('Questions global'!$A:$YP,ROW(E52)-ROW($A$2)+4,COLUMN(E52)-COLUMN($A$2)+1+$B$1)</f>
        <v xml:space="preserve">   </v>
      </c>
      <c r="F53" s="105" t="str" cm="1">
        <f t="array" ref="F53">INDEX('Questions global'!$A:$YP,ROW(F52)-ROW($A$2)+4,COLUMN(F52)-COLUMN($A$2)+1+$B$1)</f>
        <v xml:space="preserve"> </v>
      </c>
      <c r="G53" s="112" t="str" cm="1">
        <f t="array" ref="G53">INDEX('Questions global'!$A:$YP,ROW(G52)-ROW($A$2)+4,COLUMN(G52)-COLUMN($A$2)+1+$B$1)</f>
        <v/>
      </c>
      <c r="H53" s="104" t="str" cm="1">
        <f t="array" aca="1" ref="H53" ca="1">INDEX('Questions global'!$A:$YP,ROW(H52)-ROW($A$2)+4,COLUMN(H52)-COLUMN($A$2)+1+$B$1)</f>
        <v/>
      </c>
      <c r="I53" s="119" t="str" cm="1">
        <f t="array" aca="1" ref="I53" ca="1">INDEX('Questions global'!$A:$YP,ROW(I52)-ROW($A$2)+4,COLUMN(I52)-COLUMN($A$2)+1+$B$1)</f>
        <v/>
      </c>
    </row>
    <row r="54" spans="1:9" x14ac:dyDescent="0.3">
      <c r="A54" s="118" cm="1">
        <f t="array" ref="A54">INDEX('Questions global'!$A:$YP,ROW(A53)-ROW($A$2)+4,COLUMN(A53)-COLUMN($A$2)+1+$B$1)</f>
        <v>53</v>
      </c>
      <c r="B54" s="106" t="str" cm="1">
        <f t="array" ref="B54">INDEX('Questions global'!$A:$YP,ROW(B53)-ROW($A$2)+4,COLUMN(B53)-COLUMN($A$2)+1+$B$1)</f>
        <v/>
      </c>
      <c r="C54" s="106" t="str" cm="1">
        <f t="array" ref="C54">INDEX('Questions global'!$A:$YP,ROW(C53)-ROW($A$2)+4,COLUMN(C53)-COLUMN($A$2)+1+$B$1)</f>
        <v/>
      </c>
      <c r="D54" s="126" t="str" cm="1">
        <f t="array" ref="D54">INDEX('Questions global'!$A:$YP,ROW(D53)-ROW($A$2)+4,COLUMN(D53)-COLUMN($A$2)+1+$B$1)</f>
        <v/>
      </c>
      <c r="E54" s="104" t="str" cm="1">
        <f t="array" aca="1" ref="E54" ca="1">INDEX('Questions global'!$A:$YP,ROW(E53)-ROW($A$2)+4,COLUMN(E53)-COLUMN($A$2)+1+$B$1)</f>
        <v xml:space="preserve">   </v>
      </c>
      <c r="F54" s="105" t="str" cm="1">
        <f t="array" ref="F54">INDEX('Questions global'!$A:$YP,ROW(F53)-ROW($A$2)+4,COLUMN(F53)-COLUMN($A$2)+1+$B$1)</f>
        <v xml:space="preserve"> </v>
      </c>
      <c r="G54" s="112" t="str" cm="1">
        <f t="array" ref="G54">INDEX('Questions global'!$A:$YP,ROW(G53)-ROW($A$2)+4,COLUMN(G53)-COLUMN($A$2)+1+$B$1)</f>
        <v/>
      </c>
      <c r="H54" s="104" t="str" cm="1">
        <f t="array" aca="1" ref="H54" ca="1">INDEX('Questions global'!$A:$YP,ROW(H53)-ROW($A$2)+4,COLUMN(H53)-COLUMN($A$2)+1+$B$1)</f>
        <v/>
      </c>
      <c r="I54" s="119" t="str" cm="1">
        <f t="array" aca="1" ref="I54" ca="1">INDEX('Questions global'!$A:$YP,ROW(I53)-ROW($A$2)+4,COLUMN(I53)-COLUMN($A$2)+1+$B$1)</f>
        <v/>
      </c>
    </row>
    <row r="55" spans="1:9" x14ac:dyDescent="0.3">
      <c r="A55" s="118" cm="1">
        <f t="array" ref="A55">INDEX('Questions global'!$A:$YP,ROW(A54)-ROW($A$2)+4,COLUMN(A54)-COLUMN($A$2)+1+$B$1)</f>
        <v>54</v>
      </c>
      <c r="B55" s="106" t="str" cm="1">
        <f t="array" ref="B55">INDEX('Questions global'!$A:$YP,ROW(B54)-ROW($A$2)+4,COLUMN(B54)-COLUMN($A$2)+1+$B$1)</f>
        <v/>
      </c>
      <c r="C55" s="106" t="str" cm="1">
        <f t="array" ref="C55">INDEX('Questions global'!$A:$YP,ROW(C54)-ROW($A$2)+4,COLUMN(C54)-COLUMN($A$2)+1+$B$1)</f>
        <v/>
      </c>
      <c r="D55" s="126" t="str" cm="1">
        <f t="array" ref="D55">INDEX('Questions global'!$A:$YP,ROW(D54)-ROW($A$2)+4,COLUMN(D54)-COLUMN($A$2)+1+$B$1)</f>
        <v/>
      </c>
      <c r="E55" s="104" t="str" cm="1">
        <f t="array" aca="1" ref="E55" ca="1">INDEX('Questions global'!$A:$YP,ROW(E54)-ROW($A$2)+4,COLUMN(E54)-COLUMN($A$2)+1+$B$1)</f>
        <v xml:space="preserve">   </v>
      </c>
      <c r="F55" s="105" t="str" cm="1">
        <f t="array" ref="F55">INDEX('Questions global'!$A:$YP,ROW(F54)-ROW($A$2)+4,COLUMN(F54)-COLUMN($A$2)+1+$B$1)</f>
        <v xml:space="preserve"> </v>
      </c>
      <c r="G55" s="112" t="str" cm="1">
        <f t="array" ref="G55">INDEX('Questions global'!$A:$YP,ROW(G54)-ROW($A$2)+4,COLUMN(G54)-COLUMN($A$2)+1+$B$1)</f>
        <v/>
      </c>
      <c r="H55" s="104" t="str" cm="1">
        <f t="array" aca="1" ref="H55" ca="1">INDEX('Questions global'!$A:$YP,ROW(H54)-ROW($A$2)+4,COLUMN(H54)-COLUMN($A$2)+1+$B$1)</f>
        <v/>
      </c>
      <c r="I55" s="119" t="str" cm="1">
        <f t="array" aca="1" ref="I55" ca="1">INDEX('Questions global'!$A:$YP,ROW(I54)-ROW($A$2)+4,COLUMN(I54)-COLUMN($A$2)+1+$B$1)</f>
        <v/>
      </c>
    </row>
    <row r="56" spans="1:9" x14ac:dyDescent="0.3">
      <c r="A56" s="118" cm="1">
        <f t="array" ref="A56">INDEX('Questions global'!$A:$YP,ROW(A55)-ROW($A$2)+4,COLUMN(A55)-COLUMN($A$2)+1+$B$1)</f>
        <v>55</v>
      </c>
      <c r="B56" s="106" t="str" cm="1">
        <f t="array" ref="B56">INDEX('Questions global'!$A:$YP,ROW(B55)-ROW($A$2)+4,COLUMN(B55)-COLUMN($A$2)+1+$B$1)</f>
        <v/>
      </c>
      <c r="C56" s="106" t="str" cm="1">
        <f t="array" ref="C56">INDEX('Questions global'!$A:$YP,ROW(C55)-ROW($A$2)+4,COLUMN(C55)-COLUMN($A$2)+1+$B$1)</f>
        <v/>
      </c>
      <c r="D56" s="126" t="str" cm="1">
        <f t="array" ref="D56">INDEX('Questions global'!$A:$YP,ROW(D55)-ROW($A$2)+4,COLUMN(D55)-COLUMN($A$2)+1+$B$1)</f>
        <v/>
      </c>
      <c r="E56" s="104" t="str" cm="1">
        <f t="array" aca="1" ref="E56" ca="1">INDEX('Questions global'!$A:$YP,ROW(E55)-ROW($A$2)+4,COLUMN(E55)-COLUMN($A$2)+1+$B$1)</f>
        <v xml:space="preserve">   </v>
      </c>
      <c r="F56" s="105" t="str" cm="1">
        <f t="array" ref="F56">INDEX('Questions global'!$A:$YP,ROW(F55)-ROW($A$2)+4,COLUMN(F55)-COLUMN($A$2)+1+$B$1)</f>
        <v xml:space="preserve"> </v>
      </c>
      <c r="G56" s="112" t="str" cm="1">
        <f t="array" ref="G56">INDEX('Questions global'!$A:$YP,ROW(G55)-ROW($A$2)+4,COLUMN(G55)-COLUMN($A$2)+1+$B$1)</f>
        <v/>
      </c>
      <c r="H56" s="104" t="str" cm="1">
        <f t="array" aca="1" ref="H56" ca="1">INDEX('Questions global'!$A:$YP,ROW(H55)-ROW($A$2)+4,COLUMN(H55)-COLUMN($A$2)+1+$B$1)</f>
        <v/>
      </c>
      <c r="I56" s="119" t="str" cm="1">
        <f t="array" aca="1" ref="I56" ca="1">INDEX('Questions global'!$A:$YP,ROW(I55)-ROW($A$2)+4,COLUMN(I55)-COLUMN($A$2)+1+$B$1)</f>
        <v/>
      </c>
    </row>
    <row r="57" spans="1:9" x14ac:dyDescent="0.3">
      <c r="A57" s="118" cm="1">
        <f t="array" ref="A57">INDEX('Questions global'!$A:$YP,ROW(A56)-ROW($A$2)+4,COLUMN(A56)-COLUMN($A$2)+1+$B$1)</f>
        <v>56</v>
      </c>
      <c r="B57" s="106" t="str" cm="1">
        <f t="array" ref="B57">INDEX('Questions global'!$A:$YP,ROW(B56)-ROW($A$2)+4,COLUMN(B56)-COLUMN($A$2)+1+$B$1)</f>
        <v/>
      </c>
      <c r="C57" s="106" t="str" cm="1">
        <f t="array" ref="C57">INDEX('Questions global'!$A:$YP,ROW(C56)-ROW($A$2)+4,COLUMN(C56)-COLUMN($A$2)+1+$B$1)</f>
        <v/>
      </c>
      <c r="D57" s="126" t="str" cm="1">
        <f t="array" ref="D57">INDEX('Questions global'!$A:$YP,ROW(D56)-ROW($A$2)+4,COLUMN(D56)-COLUMN($A$2)+1+$B$1)</f>
        <v/>
      </c>
      <c r="E57" s="104" t="str" cm="1">
        <f t="array" aca="1" ref="E57" ca="1">INDEX('Questions global'!$A:$YP,ROW(E56)-ROW($A$2)+4,COLUMN(E56)-COLUMN($A$2)+1+$B$1)</f>
        <v xml:space="preserve">   </v>
      </c>
      <c r="F57" s="105" t="str" cm="1">
        <f t="array" ref="F57">INDEX('Questions global'!$A:$YP,ROW(F56)-ROW($A$2)+4,COLUMN(F56)-COLUMN($A$2)+1+$B$1)</f>
        <v xml:space="preserve"> </v>
      </c>
      <c r="G57" s="112" t="str" cm="1">
        <f t="array" ref="G57">INDEX('Questions global'!$A:$YP,ROW(G56)-ROW($A$2)+4,COLUMN(G56)-COLUMN($A$2)+1+$B$1)</f>
        <v/>
      </c>
      <c r="H57" s="104" t="str" cm="1">
        <f t="array" aca="1" ref="H57" ca="1">INDEX('Questions global'!$A:$YP,ROW(H56)-ROW($A$2)+4,COLUMN(H56)-COLUMN($A$2)+1+$B$1)</f>
        <v/>
      </c>
      <c r="I57" s="119" t="str" cm="1">
        <f t="array" aca="1" ref="I57" ca="1">INDEX('Questions global'!$A:$YP,ROW(I56)-ROW($A$2)+4,COLUMN(I56)-COLUMN($A$2)+1+$B$1)</f>
        <v/>
      </c>
    </row>
    <row r="58" spans="1:9" x14ac:dyDescent="0.3">
      <c r="A58" s="118" cm="1">
        <f t="array" ref="A58">INDEX('Questions global'!$A:$YP,ROW(A57)-ROW($A$2)+4,COLUMN(A57)-COLUMN($A$2)+1+$B$1)</f>
        <v>57</v>
      </c>
      <c r="B58" s="106" t="str" cm="1">
        <f t="array" ref="B58">INDEX('Questions global'!$A:$YP,ROW(B57)-ROW($A$2)+4,COLUMN(B57)-COLUMN($A$2)+1+$B$1)</f>
        <v/>
      </c>
      <c r="C58" s="106" t="str" cm="1">
        <f t="array" ref="C58">INDEX('Questions global'!$A:$YP,ROW(C57)-ROW($A$2)+4,COLUMN(C57)-COLUMN($A$2)+1+$B$1)</f>
        <v/>
      </c>
      <c r="D58" s="126" t="str" cm="1">
        <f t="array" ref="D58">INDEX('Questions global'!$A:$YP,ROW(D57)-ROW($A$2)+4,COLUMN(D57)-COLUMN($A$2)+1+$B$1)</f>
        <v/>
      </c>
      <c r="E58" s="104" t="str" cm="1">
        <f t="array" aca="1" ref="E58" ca="1">INDEX('Questions global'!$A:$YP,ROW(E57)-ROW($A$2)+4,COLUMN(E57)-COLUMN($A$2)+1+$B$1)</f>
        <v xml:space="preserve">   </v>
      </c>
      <c r="F58" s="105" t="str" cm="1">
        <f t="array" ref="F58">INDEX('Questions global'!$A:$YP,ROW(F57)-ROW($A$2)+4,COLUMN(F57)-COLUMN($A$2)+1+$B$1)</f>
        <v xml:space="preserve"> </v>
      </c>
      <c r="G58" s="112" t="str" cm="1">
        <f t="array" ref="G58">INDEX('Questions global'!$A:$YP,ROW(G57)-ROW($A$2)+4,COLUMN(G57)-COLUMN($A$2)+1+$B$1)</f>
        <v/>
      </c>
      <c r="H58" s="104" t="str" cm="1">
        <f t="array" aca="1" ref="H58" ca="1">INDEX('Questions global'!$A:$YP,ROW(H57)-ROW($A$2)+4,COLUMN(H57)-COLUMN($A$2)+1+$B$1)</f>
        <v/>
      </c>
      <c r="I58" s="119" t="str" cm="1">
        <f t="array" aca="1" ref="I58" ca="1">INDEX('Questions global'!$A:$YP,ROW(I57)-ROW($A$2)+4,COLUMN(I57)-COLUMN($A$2)+1+$B$1)</f>
        <v/>
      </c>
    </row>
    <row r="59" spans="1:9" x14ac:dyDescent="0.3">
      <c r="A59" s="118" cm="1">
        <f t="array" ref="A59">INDEX('Questions global'!$A:$YP,ROW(A58)-ROW($A$2)+4,COLUMN(A58)-COLUMN($A$2)+1+$B$1)</f>
        <v>58</v>
      </c>
      <c r="B59" s="106" t="str" cm="1">
        <f t="array" ref="B59">INDEX('Questions global'!$A:$YP,ROW(B58)-ROW($A$2)+4,COLUMN(B58)-COLUMN($A$2)+1+$B$1)</f>
        <v/>
      </c>
      <c r="C59" s="106" t="str" cm="1">
        <f t="array" ref="C59">INDEX('Questions global'!$A:$YP,ROW(C58)-ROW($A$2)+4,COLUMN(C58)-COLUMN($A$2)+1+$B$1)</f>
        <v/>
      </c>
      <c r="D59" s="126" t="str" cm="1">
        <f t="array" ref="D59">INDEX('Questions global'!$A:$YP,ROW(D58)-ROW($A$2)+4,COLUMN(D58)-COLUMN($A$2)+1+$B$1)</f>
        <v/>
      </c>
      <c r="E59" s="104" t="str" cm="1">
        <f t="array" aca="1" ref="E59" ca="1">INDEX('Questions global'!$A:$YP,ROW(E58)-ROW($A$2)+4,COLUMN(E58)-COLUMN($A$2)+1+$B$1)</f>
        <v xml:space="preserve">   </v>
      </c>
      <c r="F59" s="105" t="str" cm="1">
        <f t="array" ref="F59">INDEX('Questions global'!$A:$YP,ROW(F58)-ROW($A$2)+4,COLUMN(F58)-COLUMN($A$2)+1+$B$1)</f>
        <v xml:space="preserve"> </v>
      </c>
      <c r="G59" s="112" t="str" cm="1">
        <f t="array" ref="G59">INDEX('Questions global'!$A:$YP,ROW(G58)-ROW($A$2)+4,COLUMN(G58)-COLUMN($A$2)+1+$B$1)</f>
        <v/>
      </c>
      <c r="H59" s="104" t="str" cm="1">
        <f t="array" aca="1" ref="H59" ca="1">INDEX('Questions global'!$A:$YP,ROW(H58)-ROW($A$2)+4,COLUMN(H58)-COLUMN($A$2)+1+$B$1)</f>
        <v/>
      </c>
      <c r="I59" s="119" t="str" cm="1">
        <f t="array" aca="1" ref="I59" ca="1">INDEX('Questions global'!$A:$YP,ROW(I58)-ROW($A$2)+4,COLUMN(I58)-COLUMN($A$2)+1+$B$1)</f>
        <v/>
      </c>
    </row>
    <row r="60" spans="1:9" x14ac:dyDescent="0.3">
      <c r="A60" s="118" cm="1">
        <f t="array" ref="A60">INDEX('Questions global'!$A:$YP,ROW(A59)-ROW($A$2)+4,COLUMN(A59)-COLUMN($A$2)+1+$B$1)</f>
        <v>59</v>
      </c>
      <c r="B60" s="106" t="str" cm="1">
        <f t="array" ref="B60">INDEX('Questions global'!$A:$YP,ROW(B59)-ROW($A$2)+4,COLUMN(B59)-COLUMN($A$2)+1+$B$1)</f>
        <v/>
      </c>
      <c r="C60" s="106" t="str" cm="1">
        <f t="array" ref="C60">INDEX('Questions global'!$A:$YP,ROW(C59)-ROW($A$2)+4,COLUMN(C59)-COLUMN($A$2)+1+$B$1)</f>
        <v/>
      </c>
      <c r="D60" s="126" t="str" cm="1">
        <f t="array" ref="D60">INDEX('Questions global'!$A:$YP,ROW(D59)-ROW($A$2)+4,COLUMN(D59)-COLUMN($A$2)+1+$B$1)</f>
        <v/>
      </c>
      <c r="E60" s="104" t="str" cm="1">
        <f t="array" aca="1" ref="E60" ca="1">INDEX('Questions global'!$A:$YP,ROW(E59)-ROW($A$2)+4,COLUMN(E59)-COLUMN($A$2)+1+$B$1)</f>
        <v xml:space="preserve">   </v>
      </c>
      <c r="F60" s="105" t="str" cm="1">
        <f t="array" ref="F60">INDEX('Questions global'!$A:$YP,ROW(F59)-ROW($A$2)+4,COLUMN(F59)-COLUMN($A$2)+1+$B$1)</f>
        <v xml:space="preserve"> </v>
      </c>
      <c r="G60" s="112" t="str" cm="1">
        <f t="array" ref="G60">INDEX('Questions global'!$A:$YP,ROW(G59)-ROW($A$2)+4,COLUMN(G59)-COLUMN($A$2)+1+$B$1)</f>
        <v/>
      </c>
      <c r="H60" s="104" t="str" cm="1">
        <f t="array" aca="1" ref="H60" ca="1">INDEX('Questions global'!$A:$YP,ROW(H59)-ROW($A$2)+4,COLUMN(H59)-COLUMN($A$2)+1+$B$1)</f>
        <v/>
      </c>
      <c r="I60" s="119" t="str" cm="1">
        <f t="array" aca="1" ref="I60" ca="1">INDEX('Questions global'!$A:$YP,ROW(I59)-ROW($A$2)+4,COLUMN(I59)-COLUMN($A$2)+1+$B$1)</f>
        <v/>
      </c>
    </row>
    <row r="61" spans="1:9" x14ac:dyDescent="0.3">
      <c r="A61" s="118" cm="1">
        <f t="array" ref="A61">INDEX('Questions global'!$A:$YP,ROW(A60)-ROW($A$2)+4,COLUMN(A60)-COLUMN($A$2)+1+$B$1)</f>
        <v>60</v>
      </c>
      <c r="B61" s="106" t="str" cm="1">
        <f t="array" ref="B61">INDEX('Questions global'!$A:$YP,ROW(B60)-ROW($A$2)+4,COLUMN(B60)-COLUMN($A$2)+1+$B$1)</f>
        <v/>
      </c>
      <c r="C61" s="106" t="str" cm="1">
        <f t="array" ref="C61">INDEX('Questions global'!$A:$YP,ROW(C60)-ROW($A$2)+4,COLUMN(C60)-COLUMN($A$2)+1+$B$1)</f>
        <v/>
      </c>
      <c r="D61" s="126" t="str" cm="1">
        <f t="array" ref="D61">INDEX('Questions global'!$A:$YP,ROW(D60)-ROW($A$2)+4,COLUMN(D60)-COLUMN($A$2)+1+$B$1)</f>
        <v/>
      </c>
      <c r="E61" s="104" t="str" cm="1">
        <f t="array" aca="1" ref="E61" ca="1">INDEX('Questions global'!$A:$YP,ROW(E60)-ROW($A$2)+4,COLUMN(E60)-COLUMN($A$2)+1+$B$1)</f>
        <v xml:space="preserve">   </v>
      </c>
      <c r="F61" s="105" t="str" cm="1">
        <f t="array" ref="F61">INDEX('Questions global'!$A:$YP,ROW(F60)-ROW($A$2)+4,COLUMN(F60)-COLUMN($A$2)+1+$B$1)</f>
        <v xml:space="preserve"> </v>
      </c>
      <c r="G61" s="112" t="str" cm="1">
        <f t="array" ref="G61">INDEX('Questions global'!$A:$YP,ROW(G60)-ROW($A$2)+4,COLUMN(G60)-COLUMN($A$2)+1+$B$1)</f>
        <v/>
      </c>
      <c r="H61" s="104" t="str" cm="1">
        <f t="array" aca="1" ref="H61" ca="1">INDEX('Questions global'!$A:$YP,ROW(H60)-ROW($A$2)+4,COLUMN(H60)-COLUMN($A$2)+1+$B$1)</f>
        <v/>
      </c>
      <c r="I61" s="119" t="str" cm="1">
        <f t="array" aca="1" ref="I61" ca="1">INDEX('Questions global'!$A:$YP,ROW(I60)-ROW($A$2)+4,COLUMN(I60)-COLUMN($A$2)+1+$B$1)</f>
        <v/>
      </c>
    </row>
    <row r="62" spans="1:9" x14ac:dyDescent="0.3">
      <c r="A62" s="118" cm="1">
        <f t="array" ref="A62">INDEX('Questions global'!$A:$YP,ROW(A61)-ROW($A$2)+4,COLUMN(A61)-COLUMN($A$2)+1+$B$1)</f>
        <v>61</v>
      </c>
      <c r="B62" s="106" t="str" cm="1">
        <f t="array" ref="B62">INDEX('Questions global'!$A:$YP,ROW(B61)-ROW($A$2)+4,COLUMN(B61)-COLUMN($A$2)+1+$B$1)</f>
        <v/>
      </c>
      <c r="C62" s="106" t="str" cm="1">
        <f t="array" ref="C62">INDEX('Questions global'!$A:$YP,ROW(C61)-ROW($A$2)+4,COLUMN(C61)-COLUMN($A$2)+1+$B$1)</f>
        <v/>
      </c>
      <c r="D62" s="126" t="str" cm="1">
        <f t="array" ref="D62">INDEX('Questions global'!$A:$YP,ROW(D61)-ROW($A$2)+4,COLUMN(D61)-COLUMN($A$2)+1+$B$1)</f>
        <v/>
      </c>
      <c r="E62" s="104" t="str" cm="1">
        <f t="array" aca="1" ref="E62" ca="1">INDEX('Questions global'!$A:$YP,ROW(E61)-ROW($A$2)+4,COLUMN(E61)-COLUMN($A$2)+1+$B$1)</f>
        <v xml:space="preserve">   </v>
      </c>
      <c r="F62" s="105" t="str" cm="1">
        <f t="array" ref="F62">INDEX('Questions global'!$A:$YP,ROW(F61)-ROW($A$2)+4,COLUMN(F61)-COLUMN($A$2)+1+$B$1)</f>
        <v xml:space="preserve"> </v>
      </c>
      <c r="G62" s="112" t="str" cm="1">
        <f t="array" ref="G62">INDEX('Questions global'!$A:$YP,ROW(G61)-ROW($A$2)+4,COLUMN(G61)-COLUMN($A$2)+1+$B$1)</f>
        <v/>
      </c>
      <c r="H62" s="104" t="str" cm="1">
        <f t="array" aca="1" ref="H62" ca="1">INDEX('Questions global'!$A:$YP,ROW(H61)-ROW($A$2)+4,COLUMN(H61)-COLUMN($A$2)+1+$B$1)</f>
        <v/>
      </c>
      <c r="I62" s="119" t="str" cm="1">
        <f t="array" aca="1" ref="I62" ca="1">INDEX('Questions global'!$A:$YP,ROW(I61)-ROW($A$2)+4,COLUMN(I61)-COLUMN($A$2)+1+$B$1)</f>
        <v/>
      </c>
    </row>
    <row r="63" spans="1:9" x14ac:dyDescent="0.3">
      <c r="A63" s="118" cm="1">
        <f t="array" ref="A63">INDEX('Questions global'!$A:$YP,ROW(A62)-ROW($A$2)+4,COLUMN(A62)-COLUMN($A$2)+1+$B$1)</f>
        <v>62</v>
      </c>
      <c r="B63" s="106" t="str" cm="1">
        <f t="array" ref="B63">INDEX('Questions global'!$A:$YP,ROW(B62)-ROW($A$2)+4,COLUMN(B62)-COLUMN($A$2)+1+$B$1)</f>
        <v/>
      </c>
      <c r="C63" s="106" t="str" cm="1">
        <f t="array" ref="C63">INDEX('Questions global'!$A:$YP,ROW(C62)-ROW($A$2)+4,COLUMN(C62)-COLUMN($A$2)+1+$B$1)</f>
        <v/>
      </c>
      <c r="D63" s="126" t="str" cm="1">
        <f t="array" ref="D63">INDEX('Questions global'!$A:$YP,ROW(D62)-ROW($A$2)+4,COLUMN(D62)-COLUMN($A$2)+1+$B$1)</f>
        <v/>
      </c>
      <c r="E63" s="104" t="str" cm="1">
        <f t="array" aca="1" ref="E63" ca="1">INDEX('Questions global'!$A:$YP,ROW(E62)-ROW($A$2)+4,COLUMN(E62)-COLUMN($A$2)+1+$B$1)</f>
        <v xml:space="preserve">   </v>
      </c>
      <c r="F63" s="105" t="str" cm="1">
        <f t="array" ref="F63">INDEX('Questions global'!$A:$YP,ROW(F62)-ROW($A$2)+4,COLUMN(F62)-COLUMN($A$2)+1+$B$1)</f>
        <v xml:space="preserve"> </v>
      </c>
      <c r="G63" s="112" t="str" cm="1">
        <f t="array" ref="G63">INDEX('Questions global'!$A:$YP,ROW(G62)-ROW($A$2)+4,COLUMN(G62)-COLUMN($A$2)+1+$B$1)</f>
        <v/>
      </c>
      <c r="H63" s="104" t="str" cm="1">
        <f t="array" aca="1" ref="H63" ca="1">INDEX('Questions global'!$A:$YP,ROW(H62)-ROW($A$2)+4,COLUMN(H62)-COLUMN($A$2)+1+$B$1)</f>
        <v/>
      </c>
      <c r="I63" s="119" t="str" cm="1">
        <f t="array" aca="1" ref="I63" ca="1">INDEX('Questions global'!$A:$YP,ROW(I62)-ROW($A$2)+4,COLUMN(I62)-COLUMN($A$2)+1+$B$1)</f>
        <v/>
      </c>
    </row>
    <row r="64" spans="1:9" x14ac:dyDescent="0.3">
      <c r="A64" s="118" cm="1">
        <f t="array" ref="A64">INDEX('Questions global'!$A:$YP,ROW(A63)-ROW($A$2)+4,COLUMN(A63)-COLUMN($A$2)+1+$B$1)</f>
        <v>63</v>
      </c>
      <c r="B64" s="106" t="str" cm="1">
        <f t="array" ref="B64">INDEX('Questions global'!$A:$YP,ROW(B63)-ROW($A$2)+4,COLUMN(B63)-COLUMN($A$2)+1+$B$1)</f>
        <v/>
      </c>
      <c r="C64" s="106" t="str" cm="1">
        <f t="array" ref="C64">INDEX('Questions global'!$A:$YP,ROW(C63)-ROW($A$2)+4,COLUMN(C63)-COLUMN($A$2)+1+$B$1)</f>
        <v/>
      </c>
      <c r="D64" s="126" t="str" cm="1">
        <f t="array" ref="D64">INDEX('Questions global'!$A:$YP,ROW(D63)-ROW($A$2)+4,COLUMN(D63)-COLUMN($A$2)+1+$B$1)</f>
        <v/>
      </c>
      <c r="E64" s="104" t="str" cm="1">
        <f t="array" aca="1" ref="E64" ca="1">INDEX('Questions global'!$A:$YP,ROW(E63)-ROW($A$2)+4,COLUMN(E63)-COLUMN($A$2)+1+$B$1)</f>
        <v xml:space="preserve">   </v>
      </c>
      <c r="F64" s="105" t="str" cm="1">
        <f t="array" ref="F64">INDEX('Questions global'!$A:$YP,ROW(F63)-ROW($A$2)+4,COLUMN(F63)-COLUMN($A$2)+1+$B$1)</f>
        <v xml:space="preserve"> </v>
      </c>
      <c r="G64" s="112" t="str" cm="1">
        <f t="array" ref="G64">INDEX('Questions global'!$A:$YP,ROW(G63)-ROW($A$2)+4,COLUMN(G63)-COLUMN($A$2)+1+$B$1)</f>
        <v/>
      </c>
      <c r="H64" s="104" t="str" cm="1">
        <f t="array" aca="1" ref="H64" ca="1">INDEX('Questions global'!$A:$YP,ROW(H63)-ROW($A$2)+4,COLUMN(H63)-COLUMN($A$2)+1+$B$1)</f>
        <v/>
      </c>
      <c r="I64" s="119" t="str" cm="1">
        <f t="array" aca="1" ref="I64" ca="1">INDEX('Questions global'!$A:$YP,ROW(I63)-ROW($A$2)+4,COLUMN(I63)-COLUMN($A$2)+1+$B$1)</f>
        <v/>
      </c>
    </row>
    <row r="65" spans="1:9" x14ac:dyDescent="0.3">
      <c r="A65" s="118" cm="1">
        <f t="array" ref="A65">INDEX('Questions global'!$A:$YP,ROW(A64)-ROW($A$2)+4,COLUMN(A64)-COLUMN($A$2)+1+$B$1)</f>
        <v>64</v>
      </c>
      <c r="B65" s="106" t="str" cm="1">
        <f t="array" ref="B65">INDEX('Questions global'!$A:$YP,ROW(B64)-ROW($A$2)+4,COLUMN(B64)-COLUMN($A$2)+1+$B$1)</f>
        <v/>
      </c>
      <c r="C65" s="106" t="str" cm="1">
        <f t="array" ref="C65">INDEX('Questions global'!$A:$YP,ROW(C64)-ROW($A$2)+4,COLUMN(C64)-COLUMN($A$2)+1+$B$1)</f>
        <v/>
      </c>
      <c r="D65" s="126" t="str" cm="1">
        <f t="array" ref="D65">INDEX('Questions global'!$A:$YP,ROW(D64)-ROW($A$2)+4,COLUMN(D64)-COLUMN($A$2)+1+$B$1)</f>
        <v/>
      </c>
      <c r="E65" s="104" t="str" cm="1">
        <f t="array" aca="1" ref="E65" ca="1">INDEX('Questions global'!$A:$YP,ROW(E64)-ROW($A$2)+4,COLUMN(E64)-COLUMN($A$2)+1+$B$1)</f>
        <v xml:space="preserve">   </v>
      </c>
      <c r="F65" s="105" t="str" cm="1">
        <f t="array" ref="F65">INDEX('Questions global'!$A:$YP,ROW(F64)-ROW($A$2)+4,COLUMN(F64)-COLUMN($A$2)+1+$B$1)</f>
        <v xml:space="preserve"> </v>
      </c>
      <c r="G65" s="112" t="str" cm="1">
        <f t="array" ref="G65">INDEX('Questions global'!$A:$YP,ROW(G64)-ROW($A$2)+4,COLUMN(G64)-COLUMN($A$2)+1+$B$1)</f>
        <v/>
      </c>
      <c r="H65" s="104" t="str" cm="1">
        <f t="array" aca="1" ref="H65" ca="1">INDEX('Questions global'!$A:$YP,ROW(H64)-ROW($A$2)+4,COLUMN(H64)-COLUMN($A$2)+1+$B$1)</f>
        <v/>
      </c>
      <c r="I65" s="119" t="str" cm="1">
        <f t="array" aca="1" ref="I65" ca="1">INDEX('Questions global'!$A:$YP,ROW(I64)-ROW($A$2)+4,COLUMN(I64)-COLUMN($A$2)+1+$B$1)</f>
        <v/>
      </c>
    </row>
    <row r="66" spans="1:9" x14ac:dyDescent="0.3">
      <c r="A66" s="118" cm="1">
        <f t="array" ref="A66">INDEX('Questions global'!$A:$YP,ROW(A65)-ROW($A$2)+4,COLUMN(A65)-COLUMN($A$2)+1+$B$1)</f>
        <v>65</v>
      </c>
      <c r="B66" s="106" t="str" cm="1">
        <f t="array" ref="B66">INDEX('Questions global'!$A:$YP,ROW(B65)-ROW($A$2)+4,COLUMN(B65)-COLUMN($A$2)+1+$B$1)</f>
        <v/>
      </c>
      <c r="C66" s="106" t="str" cm="1">
        <f t="array" ref="C66">INDEX('Questions global'!$A:$YP,ROW(C65)-ROW($A$2)+4,COLUMN(C65)-COLUMN($A$2)+1+$B$1)</f>
        <v/>
      </c>
      <c r="D66" s="126" t="str" cm="1">
        <f t="array" ref="D66">INDEX('Questions global'!$A:$YP,ROW(D65)-ROW($A$2)+4,COLUMN(D65)-COLUMN($A$2)+1+$B$1)</f>
        <v/>
      </c>
      <c r="E66" s="104" t="str" cm="1">
        <f t="array" aca="1" ref="E66" ca="1">INDEX('Questions global'!$A:$YP,ROW(E65)-ROW($A$2)+4,COLUMN(E65)-COLUMN($A$2)+1+$B$1)</f>
        <v xml:space="preserve">   </v>
      </c>
      <c r="F66" s="105" t="str" cm="1">
        <f t="array" ref="F66">INDEX('Questions global'!$A:$YP,ROW(F65)-ROW($A$2)+4,COLUMN(F65)-COLUMN($A$2)+1+$B$1)</f>
        <v xml:space="preserve"> </v>
      </c>
      <c r="G66" s="112" t="str" cm="1">
        <f t="array" ref="G66">INDEX('Questions global'!$A:$YP,ROW(G65)-ROW($A$2)+4,COLUMN(G65)-COLUMN($A$2)+1+$B$1)</f>
        <v/>
      </c>
      <c r="H66" s="104" t="str" cm="1">
        <f t="array" aca="1" ref="H66" ca="1">INDEX('Questions global'!$A:$YP,ROW(H65)-ROW($A$2)+4,COLUMN(H65)-COLUMN($A$2)+1+$B$1)</f>
        <v/>
      </c>
      <c r="I66" s="119" t="str" cm="1">
        <f t="array" aca="1" ref="I66" ca="1">INDEX('Questions global'!$A:$YP,ROW(I65)-ROW($A$2)+4,COLUMN(I65)-COLUMN($A$2)+1+$B$1)</f>
        <v/>
      </c>
    </row>
    <row r="67" spans="1:9" x14ac:dyDescent="0.3">
      <c r="A67" s="118" cm="1">
        <f t="array" ref="A67">INDEX('Questions global'!$A:$YP,ROW(A66)-ROW($A$2)+4,COLUMN(A66)-COLUMN($A$2)+1+$B$1)</f>
        <v>66</v>
      </c>
      <c r="B67" s="106" t="str" cm="1">
        <f t="array" ref="B67">INDEX('Questions global'!$A:$YP,ROW(B66)-ROW($A$2)+4,COLUMN(B66)-COLUMN($A$2)+1+$B$1)</f>
        <v/>
      </c>
      <c r="C67" s="106" t="str" cm="1">
        <f t="array" ref="C67">INDEX('Questions global'!$A:$YP,ROW(C66)-ROW($A$2)+4,COLUMN(C66)-COLUMN($A$2)+1+$B$1)</f>
        <v/>
      </c>
      <c r="D67" s="126" t="str" cm="1">
        <f t="array" ref="D67">INDEX('Questions global'!$A:$YP,ROW(D66)-ROW($A$2)+4,COLUMN(D66)-COLUMN($A$2)+1+$B$1)</f>
        <v/>
      </c>
      <c r="E67" s="104" t="str" cm="1">
        <f t="array" aca="1" ref="E67" ca="1">INDEX('Questions global'!$A:$YP,ROW(E66)-ROW($A$2)+4,COLUMN(E66)-COLUMN($A$2)+1+$B$1)</f>
        <v xml:space="preserve">   </v>
      </c>
      <c r="F67" s="105" t="str" cm="1">
        <f t="array" ref="F67">INDEX('Questions global'!$A:$YP,ROW(F66)-ROW($A$2)+4,COLUMN(F66)-COLUMN($A$2)+1+$B$1)</f>
        <v xml:space="preserve"> </v>
      </c>
      <c r="G67" s="112" t="str" cm="1">
        <f t="array" ref="G67">INDEX('Questions global'!$A:$YP,ROW(G66)-ROW($A$2)+4,COLUMN(G66)-COLUMN($A$2)+1+$B$1)</f>
        <v/>
      </c>
      <c r="H67" s="104" t="str" cm="1">
        <f t="array" aca="1" ref="H67" ca="1">INDEX('Questions global'!$A:$YP,ROW(H66)-ROW($A$2)+4,COLUMN(H66)-COLUMN($A$2)+1+$B$1)</f>
        <v/>
      </c>
      <c r="I67" s="119" t="str" cm="1">
        <f t="array" aca="1" ref="I67" ca="1">INDEX('Questions global'!$A:$YP,ROW(I66)-ROW($A$2)+4,COLUMN(I66)-COLUMN($A$2)+1+$B$1)</f>
        <v/>
      </c>
    </row>
    <row r="68" spans="1:9" x14ac:dyDescent="0.3">
      <c r="A68" s="118" cm="1">
        <f t="array" ref="A68">INDEX('Questions global'!$A:$YP,ROW(A67)-ROW($A$2)+4,COLUMN(A67)-COLUMN($A$2)+1+$B$1)</f>
        <v>67</v>
      </c>
      <c r="B68" s="106" t="str" cm="1">
        <f t="array" ref="B68">INDEX('Questions global'!$A:$YP,ROW(B67)-ROW($A$2)+4,COLUMN(B67)-COLUMN($A$2)+1+$B$1)</f>
        <v/>
      </c>
      <c r="C68" s="106" t="str" cm="1">
        <f t="array" ref="C68">INDEX('Questions global'!$A:$YP,ROW(C67)-ROW($A$2)+4,COLUMN(C67)-COLUMN($A$2)+1+$B$1)</f>
        <v/>
      </c>
      <c r="D68" s="126" t="str" cm="1">
        <f t="array" ref="D68">INDEX('Questions global'!$A:$YP,ROW(D67)-ROW($A$2)+4,COLUMN(D67)-COLUMN($A$2)+1+$B$1)</f>
        <v/>
      </c>
      <c r="E68" s="104" t="str" cm="1">
        <f t="array" aca="1" ref="E68" ca="1">INDEX('Questions global'!$A:$YP,ROW(E67)-ROW($A$2)+4,COLUMN(E67)-COLUMN($A$2)+1+$B$1)</f>
        <v xml:space="preserve">   </v>
      </c>
      <c r="F68" s="105" t="str" cm="1">
        <f t="array" ref="F68">INDEX('Questions global'!$A:$YP,ROW(F67)-ROW($A$2)+4,COLUMN(F67)-COLUMN($A$2)+1+$B$1)</f>
        <v xml:space="preserve"> </v>
      </c>
      <c r="G68" s="112" t="str" cm="1">
        <f t="array" ref="G68">INDEX('Questions global'!$A:$YP,ROW(G67)-ROW($A$2)+4,COLUMN(G67)-COLUMN($A$2)+1+$B$1)</f>
        <v/>
      </c>
      <c r="H68" s="104" t="str" cm="1">
        <f t="array" aca="1" ref="H68" ca="1">INDEX('Questions global'!$A:$YP,ROW(H67)-ROW($A$2)+4,COLUMN(H67)-COLUMN($A$2)+1+$B$1)</f>
        <v/>
      </c>
      <c r="I68" s="119" t="str" cm="1">
        <f t="array" aca="1" ref="I68" ca="1">INDEX('Questions global'!$A:$YP,ROW(I67)-ROW($A$2)+4,COLUMN(I67)-COLUMN($A$2)+1+$B$1)</f>
        <v/>
      </c>
    </row>
    <row r="69" spans="1:9" x14ac:dyDescent="0.3">
      <c r="A69" s="118" cm="1">
        <f t="array" ref="A69">INDEX('Questions global'!$A:$YP,ROW(A68)-ROW($A$2)+4,COLUMN(A68)-COLUMN($A$2)+1+$B$1)</f>
        <v>68</v>
      </c>
      <c r="B69" s="106" t="str" cm="1">
        <f t="array" ref="B69">INDEX('Questions global'!$A:$YP,ROW(B68)-ROW($A$2)+4,COLUMN(B68)-COLUMN($A$2)+1+$B$1)</f>
        <v/>
      </c>
      <c r="C69" s="106" t="str" cm="1">
        <f t="array" ref="C69">INDEX('Questions global'!$A:$YP,ROW(C68)-ROW($A$2)+4,COLUMN(C68)-COLUMN($A$2)+1+$B$1)</f>
        <v/>
      </c>
      <c r="D69" s="126" t="str" cm="1">
        <f t="array" ref="D69">INDEX('Questions global'!$A:$YP,ROW(D68)-ROW($A$2)+4,COLUMN(D68)-COLUMN($A$2)+1+$B$1)</f>
        <v/>
      </c>
      <c r="E69" s="104" t="str" cm="1">
        <f t="array" aca="1" ref="E69" ca="1">INDEX('Questions global'!$A:$YP,ROW(E68)-ROW($A$2)+4,COLUMN(E68)-COLUMN($A$2)+1+$B$1)</f>
        <v xml:space="preserve">   </v>
      </c>
      <c r="F69" s="105" t="str" cm="1">
        <f t="array" ref="F69">INDEX('Questions global'!$A:$YP,ROW(F68)-ROW($A$2)+4,COLUMN(F68)-COLUMN($A$2)+1+$B$1)</f>
        <v xml:space="preserve"> </v>
      </c>
      <c r="G69" s="112" t="str" cm="1">
        <f t="array" ref="G69">INDEX('Questions global'!$A:$YP,ROW(G68)-ROW($A$2)+4,COLUMN(G68)-COLUMN($A$2)+1+$B$1)</f>
        <v/>
      </c>
      <c r="H69" s="104" t="str" cm="1">
        <f t="array" aca="1" ref="H69" ca="1">INDEX('Questions global'!$A:$YP,ROW(H68)-ROW($A$2)+4,COLUMN(H68)-COLUMN($A$2)+1+$B$1)</f>
        <v/>
      </c>
      <c r="I69" s="119" t="str" cm="1">
        <f t="array" aca="1" ref="I69" ca="1">INDEX('Questions global'!$A:$YP,ROW(I68)-ROW($A$2)+4,COLUMN(I68)-COLUMN($A$2)+1+$B$1)</f>
        <v/>
      </c>
    </row>
    <row r="70" spans="1:9" x14ac:dyDescent="0.3">
      <c r="A70" s="118" cm="1">
        <f t="array" ref="A70">INDEX('Questions global'!$A:$YP,ROW(A69)-ROW($A$2)+4,COLUMN(A69)-COLUMN($A$2)+1+$B$1)</f>
        <v>69</v>
      </c>
      <c r="B70" s="106" t="str" cm="1">
        <f t="array" ref="B70">INDEX('Questions global'!$A:$YP,ROW(B69)-ROW($A$2)+4,COLUMN(B69)-COLUMN($A$2)+1+$B$1)</f>
        <v/>
      </c>
      <c r="C70" s="106" t="str" cm="1">
        <f t="array" ref="C70">INDEX('Questions global'!$A:$YP,ROW(C69)-ROW($A$2)+4,COLUMN(C69)-COLUMN($A$2)+1+$B$1)</f>
        <v/>
      </c>
      <c r="D70" s="126" t="str" cm="1">
        <f t="array" ref="D70">INDEX('Questions global'!$A:$YP,ROW(D69)-ROW($A$2)+4,COLUMN(D69)-COLUMN($A$2)+1+$B$1)</f>
        <v/>
      </c>
      <c r="E70" s="104" t="str" cm="1">
        <f t="array" aca="1" ref="E70" ca="1">INDEX('Questions global'!$A:$YP,ROW(E69)-ROW($A$2)+4,COLUMN(E69)-COLUMN($A$2)+1+$B$1)</f>
        <v xml:space="preserve">   </v>
      </c>
      <c r="F70" s="105" t="str" cm="1">
        <f t="array" ref="F70">INDEX('Questions global'!$A:$YP,ROW(F69)-ROW($A$2)+4,COLUMN(F69)-COLUMN($A$2)+1+$B$1)</f>
        <v xml:space="preserve"> </v>
      </c>
      <c r="G70" s="112" t="str" cm="1">
        <f t="array" ref="G70">INDEX('Questions global'!$A:$YP,ROW(G69)-ROW($A$2)+4,COLUMN(G69)-COLUMN($A$2)+1+$B$1)</f>
        <v/>
      </c>
      <c r="H70" s="104" t="str" cm="1">
        <f t="array" aca="1" ref="H70" ca="1">INDEX('Questions global'!$A:$YP,ROW(H69)-ROW($A$2)+4,COLUMN(H69)-COLUMN($A$2)+1+$B$1)</f>
        <v/>
      </c>
      <c r="I70" s="119" t="str" cm="1">
        <f t="array" aca="1" ref="I70" ca="1">INDEX('Questions global'!$A:$YP,ROW(I69)-ROW($A$2)+4,COLUMN(I69)-COLUMN($A$2)+1+$B$1)</f>
        <v/>
      </c>
    </row>
    <row r="71" spans="1:9" x14ac:dyDescent="0.3">
      <c r="A71" s="118" cm="1">
        <f t="array" ref="A71">INDEX('Questions global'!$A:$YP,ROW(A70)-ROW($A$2)+4,COLUMN(A70)-COLUMN($A$2)+1+$B$1)</f>
        <v>70</v>
      </c>
      <c r="B71" s="106" t="str" cm="1">
        <f t="array" ref="B71">INDEX('Questions global'!$A:$YP,ROW(B70)-ROW($A$2)+4,COLUMN(B70)-COLUMN($A$2)+1+$B$1)</f>
        <v/>
      </c>
      <c r="C71" s="106" t="str" cm="1">
        <f t="array" ref="C71">INDEX('Questions global'!$A:$YP,ROW(C70)-ROW($A$2)+4,COLUMN(C70)-COLUMN($A$2)+1+$B$1)</f>
        <v/>
      </c>
      <c r="D71" s="126" t="str" cm="1">
        <f t="array" ref="D71">INDEX('Questions global'!$A:$YP,ROW(D70)-ROW($A$2)+4,COLUMN(D70)-COLUMN($A$2)+1+$B$1)</f>
        <v/>
      </c>
      <c r="E71" s="104" t="str" cm="1">
        <f t="array" aca="1" ref="E71" ca="1">INDEX('Questions global'!$A:$YP,ROW(E70)-ROW($A$2)+4,COLUMN(E70)-COLUMN($A$2)+1+$B$1)</f>
        <v xml:space="preserve">   </v>
      </c>
      <c r="F71" s="105" t="str" cm="1">
        <f t="array" ref="F71">INDEX('Questions global'!$A:$YP,ROW(F70)-ROW($A$2)+4,COLUMN(F70)-COLUMN($A$2)+1+$B$1)</f>
        <v xml:space="preserve"> </v>
      </c>
      <c r="G71" s="112" t="str" cm="1">
        <f t="array" ref="G71">INDEX('Questions global'!$A:$YP,ROW(G70)-ROW($A$2)+4,COLUMN(G70)-COLUMN($A$2)+1+$B$1)</f>
        <v/>
      </c>
      <c r="H71" s="104" cm="1">
        <f t="array" ref="H71">INDEX('Questions global'!$A:$YP,ROW(H70)-ROW($A$2)+4,COLUMN(H70)-COLUMN($A$2)+1+$B$1)</f>
        <v>0</v>
      </c>
      <c r="I71" s="119" cm="1">
        <f t="array" ref="I71">INDEX('Questions global'!$A:$YP,ROW(I70)-ROW($A$2)+4,COLUMN(I70)-COLUMN($A$2)+1+$B$1)</f>
        <v>0</v>
      </c>
    </row>
    <row r="72" spans="1:9" ht="15" thickBot="1" x14ac:dyDescent="0.35">
      <c r="A72" s="120" cm="1">
        <f t="array" ref="A72">INDEX('Questions global'!$A:$YP,ROW(A71)-ROW($A$2)+4,COLUMN(A71)-COLUMN($A$2)+1+$B$1)</f>
        <v>0</v>
      </c>
      <c r="B72" s="106" cm="1">
        <f t="array" ref="B72">INDEX('Questions global'!$A:$YP,ROW(B71)-ROW($A$2)+4,COLUMN(B71)-COLUMN($A$2)+1+$B$1)</f>
        <v>0</v>
      </c>
      <c r="C72" s="121" cm="1">
        <f t="array" ref="C72">INDEX('Questions global'!$A:$YP,ROW(C71)-ROW($A$2)+4,COLUMN(C71)-COLUMN($A$2)+1+$B$1)</f>
        <v>0</v>
      </c>
      <c r="D72" s="127" cm="1">
        <f t="array" ref="D72">INDEX('Questions global'!$A:$YP,ROW(D71)-ROW($A$2)+4,COLUMN(D71)-COLUMN($A$2)+1+$B$1)</f>
        <v>0</v>
      </c>
      <c r="E72" s="124" cm="1">
        <f t="array" ref="E72">INDEX('Questions global'!$A:$YP,ROW(E71)-ROW($A$2)+4,COLUMN(E71)-COLUMN($A$2)+1+$B$1)</f>
        <v>0</v>
      </c>
      <c r="F72" s="122" cm="1">
        <f t="array" ref="F72">INDEX('Questions global'!$A:$YP,ROW(F71)-ROW($A$2)+4,COLUMN(F71)-COLUMN($A$2)+1+$B$1)</f>
        <v>0</v>
      </c>
      <c r="G72" s="123" cm="1">
        <f t="array" ref="G72">INDEX('Questions global'!$A:$YP,ROW(G71)-ROW($A$2)+4,COLUMN(G71)-COLUMN($A$2)+1+$B$1)</f>
        <v>0</v>
      </c>
      <c r="H72" s="124" cm="1">
        <f t="array" ref="H72">INDEX('Questions global'!$A:$YP,ROW(H71)-ROW($A$2)+4,COLUMN(H71)-COLUMN($A$2)+1+$B$1)</f>
        <v>0</v>
      </c>
      <c r="I72" s="125" cm="1">
        <f t="array" ref="I72">INDEX('Questions global'!$A:$YP,ROW(I71)-ROW($A$2)+4,COLUMN(I71)-COLUMN($A$2)+1+$B$1)</f>
        <v>0</v>
      </c>
    </row>
    <row r="73" spans="1:9" ht="15" thickTop="1" x14ac:dyDescent="0.3"/>
  </sheetData>
  <conditionalFormatting sqref="G3:G72">
    <cfRule type="cellIs" dxfId="11" priority="3" operator="equal">
      <formula>"NON"</formula>
    </cfRule>
    <cfRule type="cellIs" dxfId="10" priority="4" operator="equal">
      <formula>"OUI"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9CB4C-2F4D-429A-B88C-58E63366E212}">
  <sheetPr>
    <tabColor rgb="FFFFFF00"/>
  </sheetPr>
  <dimension ref="A1:I73"/>
  <sheetViews>
    <sheetView zoomScale="70" zoomScaleNormal="70" workbookViewId="0">
      <selection activeCell="K7" sqref="K7:K8"/>
    </sheetView>
  </sheetViews>
  <sheetFormatPr baseColWidth="10" defaultRowHeight="14.4" outlineLevelCol="1" x14ac:dyDescent="0.3"/>
  <cols>
    <col min="1" max="1" width="20.44140625" bestFit="1" customWidth="1"/>
    <col min="2" max="2" width="9.44140625" bestFit="1" customWidth="1"/>
    <col min="3" max="3" width="27.6640625" customWidth="1"/>
    <col min="4" max="4" width="8.5546875" customWidth="1" outlineLevel="1"/>
    <col min="5" max="5" width="11.109375" bestFit="1" customWidth="1"/>
    <col min="6" max="6" width="54.33203125" bestFit="1" customWidth="1"/>
    <col min="7" max="7" width="11.6640625" bestFit="1" customWidth="1"/>
    <col min="8" max="8" width="29.5546875" customWidth="1"/>
    <col min="9" max="9" width="11.21875" bestFit="1" customWidth="1"/>
  </cols>
  <sheetData>
    <row r="1" spans="1:9" ht="24.6" thickTop="1" thickBot="1" x14ac:dyDescent="0.35">
      <c r="A1" s="173" t="s">
        <v>98</v>
      </c>
      <c r="B1" s="173">
        <f>18</f>
        <v>18</v>
      </c>
      <c r="C1" s="174"/>
      <c r="D1" s="174"/>
      <c r="E1" s="174"/>
      <c r="F1" s="174" t="str" cm="1">
        <f t="array" ref="F1">IFERROR(INDEX('Questions global'!$A:$YP,1,1+$B$1), "")</f>
        <v>Entreprise 3</v>
      </c>
      <c r="G1" s="174"/>
      <c r="H1" s="174"/>
      <c r="I1" s="174"/>
    </row>
    <row r="2" spans="1:9" ht="16.5" customHeight="1" thickTop="1" x14ac:dyDescent="0.3">
      <c r="A2" s="113" t="s">
        <v>77</v>
      </c>
      <c r="B2" s="114" t="s">
        <v>80</v>
      </c>
      <c r="C2" s="115" t="s">
        <v>81</v>
      </c>
      <c r="D2" s="142" t="s">
        <v>88</v>
      </c>
      <c r="E2" s="142" t="s">
        <v>83</v>
      </c>
      <c r="F2" s="116" t="s">
        <v>78</v>
      </c>
      <c r="G2" s="117" t="s">
        <v>1</v>
      </c>
      <c r="H2" s="144" t="s">
        <v>104</v>
      </c>
      <c r="I2" s="145" t="s">
        <v>105</v>
      </c>
    </row>
    <row r="3" spans="1:9" ht="16.5" customHeight="1" x14ac:dyDescent="0.3">
      <c r="A3" s="118" cm="1">
        <f t="array" ref="A3">INDEX('Questions global'!$A:$YP,ROW(A2)-ROW($A$2)+4,COLUMN(A2)-COLUMN($A$2)+1+$B$1)</f>
        <v>2</v>
      </c>
      <c r="B3" s="106" t="str" cm="1">
        <f t="array" ref="B3">INDEX('Questions global'!$A:$YP,ROW(B2)-ROW($A$2)+4,COLUMN(B2)-COLUMN($A$2)+1+$B$1)</f>
        <v/>
      </c>
      <c r="C3" s="106" t="str" cm="1">
        <f t="array" ref="C3">INDEX('Questions global'!$A:$YP,ROW(C2)-ROW($A$2)+4,COLUMN(C2)-COLUMN($A$2)+1+$B$1)</f>
        <v/>
      </c>
      <c r="D3" s="126" t="str" cm="1">
        <f t="array" ref="D3">INDEX('Questions global'!$A:$YP,ROW(D2)-ROW($A$2)+4,COLUMN(D2)-COLUMN($A$2)+1+$B$1)</f>
        <v/>
      </c>
      <c r="E3" s="104" t="str" cm="1">
        <f t="array" aca="1" ref="E3" ca="1">INDEX('Questions global'!$A:$YP,ROW(E2)-ROW($A$2)+4,COLUMN(E2)-COLUMN($A$2)+1+$B$1)</f>
        <v xml:space="preserve">   </v>
      </c>
      <c r="F3" s="105" t="str" cm="1">
        <f t="array" ref="F3">INDEX('Questions global'!$A:$YP,ROW(F2)-ROW($A$2)+4,COLUMN(F2)-COLUMN($A$2)+1+$B$1)</f>
        <v xml:space="preserve"> </v>
      </c>
      <c r="G3" s="112" t="str" cm="1">
        <f t="array" ref="G3">INDEX('Questions global'!$A:$YP,ROW(G2)-ROW($A$2)+4,COLUMN(G2)-COLUMN($A$2)+1+$B$1)</f>
        <v/>
      </c>
      <c r="H3" s="104" t="str" cm="1">
        <f t="array" aca="1" ref="H3" ca="1">INDEX('Questions global'!$A:$YP,ROW(H2)-ROW($A$2)+4,COLUMN(H2)-COLUMN($A$2)+1+$B$1)</f>
        <v/>
      </c>
      <c r="I3" s="119" t="str" cm="1">
        <f t="array" aca="1" ref="I3" ca="1">INDEX('Questions global'!$A:$YP,ROW(I2)-ROW($A$2)+4,COLUMN(I2)-COLUMN($A$2)+1+$B$1)</f>
        <v/>
      </c>
    </row>
    <row r="4" spans="1:9" ht="15" customHeight="1" x14ac:dyDescent="0.3">
      <c r="A4" s="118" cm="1">
        <f t="array" ref="A4">INDEX('Questions global'!$A:$YP,ROW(A3)-ROW($A$2)+4,COLUMN(A3)-COLUMN($A$2)+1+$B$1)</f>
        <v>3</v>
      </c>
      <c r="B4" s="106" t="str" cm="1">
        <f t="array" ref="B4">INDEX('Questions global'!$A:$YP,ROW(B3)-ROW($A$2)+4,COLUMN(B3)-COLUMN($A$2)+1+$B$1)</f>
        <v/>
      </c>
      <c r="C4" s="106" t="str" cm="1">
        <f t="array" ref="C4">INDEX('Questions global'!$A:$YP,ROW(C3)-ROW($A$2)+4,COLUMN(C3)-COLUMN($A$2)+1+$B$1)</f>
        <v/>
      </c>
      <c r="D4" s="126" t="str" cm="1">
        <f t="array" ref="D4">INDEX('Questions global'!$A:$YP,ROW(D3)-ROW($A$2)+4,COLUMN(D3)-COLUMN($A$2)+1+$B$1)</f>
        <v/>
      </c>
      <c r="E4" s="104" t="str" cm="1">
        <f t="array" aca="1" ref="E4" ca="1">INDEX('Questions global'!$A:$YP,ROW(E3)-ROW($A$2)+4,COLUMN(E3)-COLUMN($A$2)+1+$B$1)</f>
        <v xml:space="preserve">   </v>
      </c>
      <c r="F4" s="105" t="str" cm="1">
        <f t="array" ref="F4">INDEX('Questions global'!$A:$YP,ROW(F3)-ROW($A$2)+4,COLUMN(F3)-COLUMN($A$2)+1+$B$1)</f>
        <v xml:space="preserve"> </v>
      </c>
      <c r="G4" s="112" t="str" cm="1">
        <f t="array" ref="G4">INDEX('Questions global'!$A:$YP,ROW(G3)-ROW($A$2)+4,COLUMN(G3)-COLUMN($A$2)+1+$B$1)</f>
        <v/>
      </c>
      <c r="H4" s="104" t="str" cm="1">
        <f t="array" aca="1" ref="H4" ca="1">INDEX('Questions global'!$A:$YP,ROW(H3)-ROW($A$2)+4,COLUMN(H3)-COLUMN($A$2)+1+$B$1)</f>
        <v/>
      </c>
      <c r="I4" s="119" t="str" cm="1">
        <f t="array" aca="1" ref="I4" ca="1">INDEX('Questions global'!$A:$YP,ROW(I3)-ROW($A$2)+4,COLUMN(I3)-COLUMN($A$2)+1+$B$1)</f>
        <v/>
      </c>
    </row>
    <row r="5" spans="1:9" ht="15" customHeight="1" x14ac:dyDescent="0.3">
      <c r="A5" s="118" cm="1">
        <f t="array" ref="A5">INDEX('Questions global'!$A:$YP,ROW(A4)-ROW($A$2)+4,COLUMN(A4)-COLUMN($A$2)+1+$B$1)</f>
        <v>4</v>
      </c>
      <c r="B5" s="106" t="str" cm="1">
        <f t="array" ref="B5">INDEX('Questions global'!$A:$YP,ROW(B4)-ROW($A$2)+4,COLUMN(B4)-COLUMN($A$2)+1+$B$1)</f>
        <v/>
      </c>
      <c r="C5" s="106" t="str" cm="1">
        <f t="array" ref="C5">INDEX('Questions global'!$A:$YP,ROW(C4)-ROW($A$2)+4,COLUMN(C4)-COLUMN($A$2)+1+$B$1)</f>
        <v/>
      </c>
      <c r="D5" s="126" t="str" cm="1">
        <f t="array" ref="D5">INDEX('Questions global'!$A:$YP,ROW(D4)-ROW($A$2)+4,COLUMN(D4)-COLUMN($A$2)+1+$B$1)</f>
        <v/>
      </c>
      <c r="E5" s="104" t="str" cm="1">
        <f t="array" aca="1" ref="E5" ca="1">INDEX('Questions global'!$A:$YP,ROW(E4)-ROW($A$2)+4,COLUMN(E4)-COLUMN($A$2)+1+$B$1)</f>
        <v xml:space="preserve">   </v>
      </c>
      <c r="F5" s="105" t="str" cm="1">
        <f t="array" ref="F5">INDEX('Questions global'!$A:$YP,ROW(F4)-ROW($A$2)+4,COLUMN(F4)-COLUMN($A$2)+1+$B$1)</f>
        <v xml:space="preserve"> </v>
      </c>
      <c r="G5" s="112" t="str" cm="1">
        <f t="array" ref="G5">INDEX('Questions global'!$A:$YP,ROW(G4)-ROW($A$2)+4,COLUMN(G4)-COLUMN($A$2)+1+$B$1)</f>
        <v/>
      </c>
      <c r="H5" s="104" t="str" cm="1">
        <f t="array" aca="1" ref="H5" ca="1">INDEX('Questions global'!$A:$YP,ROW(H4)-ROW($A$2)+4,COLUMN(H4)-COLUMN($A$2)+1+$B$1)</f>
        <v/>
      </c>
      <c r="I5" s="119" t="str" cm="1">
        <f t="array" aca="1" ref="I5" ca="1">INDEX('Questions global'!$A:$YP,ROW(I4)-ROW($A$2)+4,COLUMN(I4)-COLUMN($A$2)+1+$B$1)</f>
        <v/>
      </c>
    </row>
    <row r="6" spans="1:9" ht="15" customHeight="1" x14ac:dyDescent="0.3">
      <c r="A6" s="118" cm="1">
        <f t="array" ref="A6">INDEX('Questions global'!$A:$YP,ROW(A5)-ROW($A$2)+4,COLUMN(A5)-COLUMN($A$2)+1+$B$1)</f>
        <v>5</v>
      </c>
      <c r="B6" s="106" t="str" cm="1">
        <f t="array" ref="B6">INDEX('Questions global'!$A:$YP,ROW(B5)-ROW($A$2)+4,COLUMN(B5)-COLUMN($A$2)+1+$B$1)</f>
        <v/>
      </c>
      <c r="C6" s="106" t="str" cm="1">
        <f t="array" ref="C6">INDEX('Questions global'!$A:$YP,ROW(C5)-ROW($A$2)+4,COLUMN(C5)-COLUMN($A$2)+1+$B$1)</f>
        <v/>
      </c>
      <c r="D6" s="126" t="str" cm="1">
        <f t="array" ref="D6">INDEX('Questions global'!$A:$YP,ROW(D5)-ROW($A$2)+4,COLUMN(D5)-COLUMN($A$2)+1+$B$1)</f>
        <v/>
      </c>
      <c r="E6" s="104" t="str" cm="1">
        <f t="array" aca="1" ref="E6" ca="1">INDEX('Questions global'!$A:$YP,ROW(E5)-ROW($A$2)+4,COLUMN(E5)-COLUMN($A$2)+1+$B$1)</f>
        <v xml:space="preserve">   </v>
      </c>
      <c r="F6" s="105" t="str" cm="1">
        <f t="array" ref="F6">INDEX('Questions global'!$A:$YP,ROW(F5)-ROW($A$2)+4,COLUMN(F5)-COLUMN($A$2)+1+$B$1)</f>
        <v xml:space="preserve"> </v>
      </c>
      <c r="G6" s="112" t="str" cm="1">
        <f t="array" ref="G6">INDEX('Questions global'!$A:$YP,ROW(G5)-ROW($A$2)+4,COLUMN(G5)-COLUMN($A$2)+1+$B$1)</f>
        <v/>
      </c>
      <c r="H6" s="104" t="str" cm="1">
        <f t="array" aca="1" ref="H6" ca="1">INDEX('Questions global'!$A:$YP,ROW(H5)-ROW($A$2)+4,COLUMN(H5)-COLUMN($A$2)+1+$B$1)</f>
        <v/>
      </c>
      <c r="I6" s="119" t="str" cm="1">
        <f t="array" aca="1" ref="I6" ca="1">INDEX('Questions global'!$A:$YP,ROW(I5)-ROW($A$2)+4,COLUMN(I5)-COLUMN($A$2)+1+$B$1)</f>
        <v/>
      </c>
    </row>
    <row r="7" spans="1:9" ht="15" customHeight="1" x14ac:dyDescent="0.3">
      <c r="A7" s="118" cm="1">
        <f t="array" ref="A7">INDEX('Questions global'!$A:$YP,ROW(A6)-ROW($A$2)+4,COLUMN(A6)-COLUMN($A$2)+1+$B$1)</f>
        <v>6</v>
      </c>
      <c r="B7" s="106" t="str" cm="1">
        <f t="array" ref="B7">INDEX('Questions global'!$A:$YP,ROW(B6)-ROW($A$2)+4,COLUMN(B6)-COLUMN($A$2)+1+$B$1)</f>
        <v/>
      </c>
      <c r="C7" s="106" t="str" cm="1">
        <f t="array" ref="C7">INDEX('Questions global'!$A:$YP,ROW(C6)-ROW($A$2)+4,COLUMN(C6)-COLUMN($A$2)+1+$B$1)</f>
        <v/>
      </c>
      <c r="D7" s="126" t="str" cm="1">
        <f t="array" ref="D7">INDEX('Questions global'!$A:$YP,ROW(D6)-ROW($A$2)+4,COLUMN(D6)-COLUMN($A$2)+1+$B$1)</f>
        <v/>
      </c>
      <c r="E7" s="104" t="str" cm="1">
        <f t="array" aca="1" ref="E7" ca="1">INDEX('Questions global'!$A:$YP,ROW(E6)-ROW($A$2)+4,COLUMN(E6)-COLUMN($A$2)+1+$B$1)</f>
        <v xml:space="preserve">   </v>
      </c>
      <c r="F7" s="105" t="str" cm="1">
        <f t="array" ref="F7">INDEX('Questions global'!$A:$YP,ROW(F6)-ROW($A$2)+4,COLUMN(F6)-COLUMN($A$2)+1+$B$1)</f>
        <v xml:space="preserve"> </v>
      </c>
      <c r="G7" s="112" t="str" cm="1">
        <f t="array" ref="G7">INDEX('Questions global'!$A:$YP,ROW(G6)-ROW($A$2)+4,COLUMN(G6)-COLUMN($A$2)+1+$B$1)</f>
        <v/>
      </c>
      <c r="H7" s="104" t="str" cm="1">
        <f t="array" aca="1" ref="H7" ca="1">INDEX('Questions global'!$A:$YP,ROW(H6)-ROW($A$2)+4,COLUMN(H6)-COLUMN($A$2)+1+$B$1)</f>
        <v/>
      </c>
      <c r="I7" s="119" t="str" cm="1">
        <f t="array" aca="1" ref="I7" ca="1">INDEX('Questions global'!$A:$YP,ROW(I6)-ROW($A$2)+4,COLUMN(I6)-COLUMN($A$2)+1+$B$1)</f>
        <v/>
      </c>
    </row>
    <row r="8" spans="1:9" ht="15" customHeight="1" x14ac:dyDescent="0.3">
      <c r="A8" s="118" cm="1">
        <f t="array" ref="A8">INDEX('Questions global'!$A:$YP,ROW(A7)-ROW($A$2)+4,COLUMN(A7)-COLUMN($A$2)+1+$B$1)</f>
        <v>7</v>
      </c>
      <c r="B8" s="106" t="str" cm="1">
        <f t="array" ref="B8">INDEX('Questions global'!$A:$YP,ROW(B7)-ROW($A$2)+4,COLUMN(B7)-COLUMN($A$2)+1+$B$1)</f>
        <v/>
      </c>
      <c r="C8" s="106" t="str" cm="1">
        <f t="array" ref="C8">INDEX('Questions global'!$A:$YP,ROW(C7)-ROW($A$2)+4,COLUMN(C7)-COLUMN($A$2)+1+$B$1)</f>
        <v/>
      </c>
      <c r="D8" s="126" t="str" cm="1">
        <f t="array" ref="D8">INDEX('Questions global'!$A:$YP,ROW(D7)-ROW($A$2)+4,COLUMN(D7)-COLUMN($A$2)+1+$B$1)</f>
        <v/>
      </c>
      <c r="E8" s="104" t="str" cm="1">
        <f t="array" aca="1" ref="E8" ca="1">INDEX('Questions global'!$A:$YP,ROW(E7)-ROW($A$2)+4,COLUMN(E7)-COLUMN($A$2)+1+$B$1)</f>
        <v xml:space="preserve">   </v>
      </c>
      <c r="F8" s="105" t="str" cm="1">
        <f t="array" ref="F8">INDEX('Questions global'!$A:$YP,ROW(F7)-ROW($A$2)+4,COLUMN(F7)-COLUMN($A$2)+1+$B$1)</f>
        <v xml:space="preserve"> </v>
      </c>
      <c r="G8" s="112" t="str" cm="1">
        <f t="array" ref="G8">INDEX('Questions global'!$A:$YP,ROW(G7)-ROW($A$2)+4,COLUMN(G7)-COLUMN($A$2)+1+$B$1)</f>
        <v/>
      </c>
      <c r="H8" s="104" t="str" cm="1">
        <f t="array" aca="1" ref="H8" ca="1">INDEX('Questions global'!$A:$YP,ROW(H7)-ROW($A$2)+4,COLUMN(H7)-COLUMN($A$2)+1+$B$1)</f>
        <v/>
      </c>
      <c r="I8" s="119" t="str" cm="1">
        <f t="array" aca="1" ref="I8" ca="1">INDEX('Questions global'!$A:$YP,ROW(I7)-ROW($A$2)+4,COLUMN(I7)-COLUMN($A$2)+1+$B$1)</f>
        <v/>
      </c>
    </row>
    <row r="9" spans="1:9" ht="15" customHeight="1" x14ac:dyDescent="0.3">
      <c r="A9" s="118" cm="1">
        <f t="array" ref="A9">INDEX('Questions global'!$A:$YP,ROW(A8)-ROW($A$2)+4,COLUMN(A8)-COLUMN($A$2)+1+$B$1)</f>
        <v>8</v>
      </c>
      <c r="B9" s="106" t="str" cm="1">
        <f t="array" ref="B9">INDEX('Questions global'!$A:$YP,ROW(B8)-ROW($A$2)+4,COLUMN(B8)-COLUMN($A$2)+1+$B$1)</f>
        <v/>
      </c>
      <c r="C9" s="106" t="str" cm="1">
        <f t="array" ref="C9">INDEX('Questions global'!$A:$YP,ROW(C8)-ROW($A$2)+4,COLUMN(C8)-COLUMN($A$2)+1+$B$1)</f>
        <v/>
      </c>
      <c r="D9" s="126" t="str" cm="1">
        <f t="array" ref="D9">INDEX('Questions global'!$A:$YP,ROW(D8)-ROW($A$2)+4,COLUMN(D8)-COLUMN($A$2)+1+$B$1)</f>
        <v/>
      </c>
      <c r="E9" s="104" t="str" cm="1">
        <f t="array" aca="1" ref="E9" ca="1">INDEX('Questions global'!$A:$YP,ROW(E8)-ROW($A$2)+4,COLUMN(E8)-COLUMN($A$2)+1+$B$1)</f>
        <v xml:space="preserve">   </v>
      </c>
      <c r="F9" s="105" t="str" cm="1">
        <f t="array" ref="F9">INDEX('Questions global'!$A:$YP,ROW(F8)-ROW($A$2)+4,COLUMN(F8)-COLUMN($A$2)+1+$B$1)</f>
        <v xml:space="preserve"> </v>
      </c>
      <c r="G9" s="112" t="str" cm="1">
        <f t="array" ref="G9">INDEX('Questions global'!$A:$YP,ROW(G8)-ROW($A$2)+4,COLUMN(G8)-COLUMN($A$2)+1+$B$1)</f>
        <v/>
      </c>
      <c r="H9" s="104" t="str" cm="1">
        <f t="array" aca="1" ref="H9" ca="1">INDEX('Questions global'!$A:$YP,ROW(H8)-ROW($A$2)+4,COLUMN(H8)-COLUMN($A$2)+1+$B$1)</f>
        <v/>
      </c>
      <c r="I9" s="119" t="str" cm="1">
        <f t="array" aca="1" ref="I9" ca="1">INDEX('Questions global'!$A:$YP,ROW(I8)-ROW($A$2)+4,COLUMN(I8)-COLUMN($A$2)+1+$B$1)</f>
        <v/>
      </c>
    </row>
    <row r="10" spans="1:9" ht="15" customHeight="1" x14ac:dyDescent="0.3">
      <c r="A10" s="118" cm="1">
        <f t="array" ref="A10">INDEX('Questions global'!$A:$YP,ROW(A9)-ROW($A$2)+4,COLUMN(A9)-COLUMN($A$2)+1+$B$1)</f>
        <v>9</v>
      </c>
      <c r="B10" s="106" t="str" cm="1">
        <f t="array" ref="B10">INDEX('Questions global'!$A:$YP,ROW(B9)-ROW($A$2)+4,COLUMN(B9)-COLUMN($A$2)+1+$B$1)</f>
        <v/>
      </c>
      <c r="C10" s="106" t="str" cm="1">
        <f t="array" ref="C10">INDEX('Questions global'!$A:$YP,ROW(C9)-ROW($A$2)+4,COLUMN(C9)-COLUMN($A$2)+1+$B$1)</f>
        <v/>
      </c>
      <c r="D10" s="126" t="str" cm="1">
        <f t="array" ref="D10">INDEX('Questions global'!$A:$YP,ROW(D9)-ROW($A$2)+4,COLUMN(D9)-COLUMN($A$2)+1+$B$1)</f>
        <v/>
      </c>
      <c r="E10" s="104" t="str" cm="1">
        <f t="array" aca="1" ref="E10" ca="1">INDEX('Questions global'!$A:$YP,ROW(E9)-ROW($A$2)+4,COLUMN(E9)-COLUMN($A$2)+1+$B$1)</f>
        <v xml:space="preserve">   </v>
      </c>
      <c r="F10" s="105" t="str" cm="1">
        <f t="array" ref="F10">INDEX('Questions global'!$A:$YP,ROW(F9)-ROW($A$2)+4,COLUMN(F9)-COLUMN($A$2)+1+$B$1)</f>
        <v xml:space="preserve"> </v>
      </c>
      <c r="G10" s="112" t="str" cm="1">
        <f t="array" ref="G10">INDEX('Questions global'!$A:$YP,ROW(G9)-ROW($A$2)+4,COLUMN(G9)-COLUMN($A$2)+1+$B$1)</f>
        <v/>
      </c>
      <c r="H10" s="104" t="str" cm="1">
        <f t="array" aca="1" ref="H10" ca="1">INDEX('Questions global'!$A:$YP,ROW(H9)-ROW($A$2)+4,COLUMN(H9)-COLUMN($A$2)+1+$B$1)</f>
        <v/>
      </c>
      <c r="I10" s="119" t="str" cm="1">
        <f t="array" aca="1" ref="I10" ca="1">INDEX('Questions global'!$A:$YP,ROW(I9)-ROW($A$2)+4,COLUMN(I9)-COLUMN($A$2)+1+$B$1)</f>
        <v/>
      </c>
    </row>
    <row r="11" spans="1:9" ht="15" customHeight="1" x14ac:dyDescent="0.3">
      <c r="A11" s="118" cm="1">
        <f t="array" ref="A11">INDEX('Questions global'!$A:$YP,ROW(A10)-ROW($A$2)+4,COLUMN(A10)-COLUMN($A$2)+1+$B$1)</f>
        <v>10</v>
      </c>
      <c r="B11" s="106" t="str" cm="1">
        <f t="array" ref="B11">INDEX('Questions global'!$A:$YP,ROW(B10)-ROW($A$2)+4,COLUMN(B10)-COLUMN($A$2)+1+$B$1)</f>
        <v/>
      </c>
      <c r="C11" s="106" t="str" cm="1">
        <f t="array" ref="C11">INDEX('Questions global'!$A:$YP,ROW(C10)-ROW($A$2)+4,COLUMN(C10)-COLUMN($A$2)+1+$B$1)</f>
        <v/>
      </c>
      <c r="D11" s="126" t="str" cm="1">
        <f t="array" ref="D11">INDEX('Questions global'!$A:$YP,ROW(D10)-ROW($A$2)+4,COLUMN(D10)-COLUMN($A$2)+1+$B$1)</f>
        <v/>
      </c>
      <c r="E11" s="104" t="str" cm="1">
        <f t="array" aca="1" ref="E11" ca="1">INDEX('Questions global'!$A:$YP,ROW(E10)-ROW($A$2)+4,COLUMN(E10)-COLUMN($A$2)+1+$B$1)</f>
        <v xml:space="preserve">   </v>
      </c>
      <c r="F11" s="105" t="str" cm="1">
        <f t="array" ref="F11">INDEX('Questions global'!$A:$YP,ROW(F10)-ROW($A$2)+4,COLUMN(F10)-COLUMN($A$2)+1+$B$1)</f>
        <v xml:space="preserve"> </v>
      </c>
      <c r="G11" s="112" t="str" cm="1">
        <f t="array" ref="G11">INDEX('Questions global'!$A:$YP,ROW(G10)-ROW($A$2)+4,COLUMN(G10)-COLUMN($A$2)+1+$B$1)</f>
        <v/>
      </c>
      <c r="H11" s="104" t="str" cm="1">
        <f t="array" aca="1" ref="H11" ca="1">INDEX('Questions global'!$A:$YP,ROW(H10)-ROW($A$2)+4,COLUMN(H10)-COLUMN($A$2)+1+$B$1)</f>
        <v/>
      </c>
      <c r="I11" s="119" t="str" cm="1">
        <f t="array" aca="1" ref="I11" ca="1">INDEX('Questions global'!$A:$YP,ROW(I10)-ROW($A$2)+4,COLUMN(I10)-COLUMN($A$2)+1+$B$1)</f>
        <v/>
      </c>
    </row>
    <row r="12" spans="1:9" ht="15" customHeight="1" x14ac:dyDescent="0.3">
      <c r="A12" s="118" cm="1">
        <f t="array" ref="A12">INDEX('Questions global'!$A:$YP,ROW(A11)-ROW($A$2)+4,COLUMN(A11)-COLUMN($A$2)+1+$B$1)</f>
        <v>11</v>
      </c>
      <c r="B12" s="106" t="str" cm="1">
        <f t="array" ref="B12">INDEX('Questions global'!$A:$YP,ROW(B11)-ROW($A$2)+4,COLUMN(B11)-COLUMN($A$2)+1+$B$1)</f>
        <v/>
      </c>
      <c r="C12" s="106" t="str" cm="1">
        <f t="array" ref="C12">INDEX('Questions global'!$A:$YP,ROW(C11)-ROW($A$2)+4,COLUMN(C11)-COLUMN($A$2)+1+$B$1)</f>
        <v/>
      </c>
      <c r="D12" s="126" t="str" cm="1">
        <f t="array" ref="D12">INDEX('Questions global'!$A:$YP,ROW(D11)-ROW($A$2)+4,COLUMN(D11)-COLUMN($A$2)+1+$B$1)</f>
        <v/>
      </c>
      <c r="E12" s="104" t="str" cm="1">
        <f t="array" aca="1" ref="E12" ca="1">INDEX('Questions global'!$A:$YP,ROW(E11)-ROW($A$2)+4,COLUMN(E11)-COLUMN($A$2)+1+$B$1)</f>
        <v xml:space="preserve">   </v>
      </c>
      <c r="F12" s="105" t="str" cm="1">
        <f t="array" ref="F12">INDEX('Questions global'!$A:$YP,ROW(F11)-ROW($A$2)+4,COLUMN(F11)-COLUMN($A$2)+1+$B$1)</f>
        <v xml:space="preserve"> </v>
      </c>
      <c r="G12" s="112" t="str" cm="1">
        <f t="array" ref="G12">INDEX('Questions global'!$A:$YP,ROW(G11)-ROW($A$2)+4,COLUMN(G11)-COLUMN($A$2)+1+$B$1)</f>
        <v/>
      </c>
      <c r="H12" s="104" t="str" cm="1">
        <f t="array" aca="1" ref="H12" ca="1">INDEX('Questions global'!$A:$YP,ROW(H11)-ROW($A$2)+4,COLUMN(H11)-COLUMN($A$2)+1+$B$1)</f>
        <v/>
      </c>
      <c r="I12" s="119" t="str" cm="1">
        <f t="array" aca="1" ref="I12" ca="1">INDEX('Questions global'!$A:$YP,ROW(I11)-ROW($A$2)+4,COLUMN(I11)-COLUMN($A$2)+1+$B$1)</f>
        <v/>
      </c>
    </row>
    <row r="13" spans="1:9" ht="15" customHeight="1" x14ac:dyDescent="0.3">
      <c r="A13" s="118" cm="1">
        <f t="array" ref="A13">INDEX('Questions global'!$A:$YP,ROW(A12)-ROW($A$2)+4,COLUMN(A12)-COLUMN($A$2)+1+$B$1)</f>
        <v>12</v>
      </c>
      <c r="B13" s="106" t="str" cm="1">
        <f t="array" ref="B13">INDEX('Questions global'!$A:$YP,ROW(B12)-ROW($A$2)+4,COLUMN(B12)-COLUMN($A$2)+1+$B$1)</f>
        <v/>
      </c>
      <c r="C13" s="106" t="str" cm="1">
        <f t="array" ref="C13">INDEX('Questions global'!$A:$YP,ROW(C12)-ROW($A$2)+4,COLUMN(C12)-COLUMN($A$2)+1+$B$1)</f>
        <v/>
      </c>
      <c r="D13" s="126" t="str" cm="1">
        <f t="array" ref="D13">INDEX('Questions global'!$A:$YP,ROW(D12)-ROW($A$2)+4,COLUMN(D12)-COLUMN($A$2)+1+$B$1)</f>
        <v/>
      </c>
      <c r="E13" s="104" t="str" cm="1">
        <f t="array" aca="1" ref="E13" ca="1">INDEX('Questions global'!$A:$YP,ROW(E12)-ROW($A$2)+4,COLUMN(E12)-COLUMN($A$2)+1+$B$1)</f>
        <v xml:space="preserve">   </v>
      </c>
      <c r="F13" s="105" t="str" cm="1">
        <f t="array" ref="F13">INDEX('Questions global'!$A:$YP,ROW(F12)-ROW($A$2)+4,COLUMN(F12)-COLUMN($A$2)+1+$B$1)</f>
        <v xml:space="preserve"> </v>
      </c>
      <c r="G13" s="112" t="str" cm="1">
        <f t="array" ref="G13">INDEX('Questions global'!$A:$YP,ROW(G12)-ROW($A$2)+4,COLUMN(G12)-COLUMN($A$2)+1+$B$1)</f>
        <v/>
      </c>
      <c r="H13" s="104" t="str" cm="1">
        <f t="array" aca="1" ref="H13" ca="1">INDEX('Questions global'!$A:$YP,ROW(H12)-ROW($A$2)+4,COLUMN(H12)-COLUMN($A$2)+1+$B$1)</f>
        <v/>
      </c>
      <c r="I13" s="119" t="str" cm="1">
        <f t="array" aca="1" ref="I13" ca="1">INDEX('Questions global'!$A:$YP,ROW(I12)-ROW($A$2)+4,COLUMN(I12)-COLUMN($A$2)+1+$B$1)</f>
        <v/>
      </c>
    </row>
    <row r="14" spans="1:9" ht="15" customHeight="1" x14ac:dyDescent="0.3">
      <c r="A14" s="118" cm="1">
        <f t="array" ref="A14">INDEX('Questions global'!$A:$YP,ROW(A13)-ROW($A$2)+4,COLUMN(A13)-COLUMN($A$2)+1+$B$1)</f>
        <v>13</v>
      </c>
      <c r="B14" s="106" t="str" cm="1">
        <f t="array" ref="B14">INDEX('Questions global'!$A:$YP,ROW(B13)-ROW($A$2)+4,COLUMN(B13)-COLUMN($A$2)+1+$B$1)</f>
        <v/>
      </c>
      <c r="C14" s="106" t="str" cm="1">
        <f t="array" ref="C14">INDEX('Questions global'!$A:$YP,ROW(C13)-ROW($A$2)+4,COLUMN(C13)-COLUMN($A$2)+1+$B$1)</f>
        <v/>
      </c>
      <c r="D14" s="126" t="str" cm="1">
        <f t="array" ref="D14">INDEX('Questions global'!$A:$YP,ROW(D13)-ROW($A$2)+4,COLUMN(D13)-COLUMN($A$2)+1+$B$1)</f>
        <v/>
      </c>
      <c r="E14" s="104" t="str" cm="1">
        <f t="array" aca="1" ref="E14" ca="1">INDEX('Questions global'!$A:$YP,ROW(E13)-ROW($A$2)+4,COLUMN(E13)-COLUMN($A$2)+1+$B$1)</f>
        <v xml:space="preserve">   </v>
      </c>
      <c r="F14" s="105" t="str" cm="1">
        <f t="array" ref="F14">INDEX('Questions global'!$A:$YP,ROW(F13)-ROW($A$2)+4,COLUMN(F13)-COLUMN($A$2)+1+$B$1)</f>
        <v xml:space="preserve"> </v>
      </c>
      <c r="G14" s="112" t="str" cm="1">
        <f t="array" ref="G14">INDEX('Questions global'!$A:$YP,ROW(G13)-ROW($A$2)+4,COLUMN(G13)-COLUMN($A$2)+1+$B$1)</f>
        <v/>
      </c>
      <c r="H14" s="104" t="str" cm="1">
        <f t="array" aca="1" ref="H14" ca="1">INDEX('Questions global'!$A:$YP,ROW(H13)-ROW($A$2)+4,COLUMN(H13)-COLUMN($A$2)+1+$B$1)</f>
        <v/>
      </c>
      <c r="I14" s="119" t="str" cm="1">
        <f t="array" aca="1" ref="I14" ca="1">INDEX('Questions global'!$A:$YP,ROW(I13)-ROW($A$2)+4,COLUMN(I13)-COLUMN($A$2)+1+$B$1)</f>
        <v/>
      </c>
    </row>
    <row r="15" spans="1:9" ht="15" customHeight="1" x14ac:dyDescent="0.3">
      <c r="A15" s="118" cm="1">
        <f t="array" ref="A15">INDEX('Questions global'!$A:$YP,ROW(A14)-ROW($A$2)+4,COLUMN(A14)-COLUMN($A$2)+1+$B$1)</f>
        <v>14</v>
      </c>
      <c r="B15" s="106" t="str" cm="1">
        <f t="array" ref="B15">INDEX('Questions global'!$A:$YP,ROW(B14)-ROW($A$2)+4,COLUMN(B14)-COLUMN($A$2)+1+$B$1)</f>
        <v/>
      </c>
      <c r="C15" s="106" t="str" cm="1">
        <f t="array" ref="C15">INDEX('Questions global'!$A:$YP,ROW(C14)-ROW($A$2)+4,COLUMN(C14)-COLUMN($A$2)+1+$B$1)</f>
        <v/>
      </c>
      <c r="D15" s="126" t="str" cm="1">
        <f t="array" ref="D15">INDEX('Questions global'!$A:$YP,ROW(D14)-ROW($A$2)+4,COLUMN(D14)-COLUMN($A$2)+1+$B$1)</f>
        <v/>
      </c>
      <c r="E15" s="104" t="str" cm="1">
        <f t="array" aca="1" ref="E15" ca="1">INDEX('Questions global'!$A:$YP,ROW(E14)-ROW($A$2)+4,COLUMN(E14)-COLUMN($A$2)+1+$B$1)</f>
        <v xml:space="preserve">   </v>
      </c>
      <c r="F15" s="105" t="str" cm="1">
        <f t="array" ref="F15">INDEX('Questions global'!$A:$YP,ROW(F14)-ROW($A$2)+4,COLUMN(F14)-COLUMN($A$2)+1+$B$1)</f>
        <v xml:space="preserve"> </v>
      </c>
      <c r="G15" s="112" t="str" cm="1">
        <f t="array" ref="G15">INDEX('Questions global'!$A:$YP,ROW(G14)-ROW($A$2)+4,COLUMN(G14)-COLUMN($A$2)+1+$B$1)</f>
        <v/>
      </c>
      <c r="H15" s="104" t="str" cm="1">
        <f t="array" aca="1" ref="H15" ca="1">INDEX('Questions global'!$A:$YP,ROW(H14)-ROW($A$2)+4,COLUMN(H14)-COLUMN($A$2)+1+$B$1)</f>
        <v/>
      </c>
      <c r="I15" s="119" t="str" cm="1">
        <f t="array" aca="1" ref="I15" ca="1">INDEX('Questions global'!$A:$YP,ROW(I14)-ROW($A$2)+4,COLUMN(I14)-COLUMN($A$2)+1+$B$1)</f>
        <v/>
      </c>
    </row>
    <row r="16" spans="1:9" ht="15" customHeight="1" x14ac:dyDescent="0.3">
      <c r="A16" s="118" cm="1">
        <f t="array" ref="A16">INDEX('Questions global'!$A:$YP,ROW(A15)-ROW($A$2)+4,COLUMN(A15)-COLUMN($A$2)+1+$B$1)</f>
        <v>15</v>
      </c>
      <c r="B16" s="106" t="str" cm="1">
        <f t="array" ref="B16">INDEX('Questions global'!$A:$YP,ROW(B15)-ROW($A$2)+4,COLUMN(B15)-COLUMN($A$2)+1+$B$1)</f>
        <v/>
      </c>
      <c r="C16" s="106" t="str" cm="1">
        <f t="array" ref="C16">INDEX('Questions global'!$A:$YP,ROW(C15)-ROW($A$2)+4,COLUMN(C15)-COLUMN($A$2)+1+$B$1)</f>
        <v/>
      </c>
      <c r="D16" s="126" t="str" cm="1">
        <f t="array" ref="D16">INDEX('Questions global'!$A:$YP,ROW(D15)-ROW($A$2)+4,COLUMN(D15)-COLUMN($A$2)+1+$B$1)</f>
        <v/>
      </c>
      <c r="E16" s="104" t="str" cm="1">
        <f t="array" aca="1" ref="E16" ca="1">INDEX('Questions global'!$A:$YP,ROW(E15)-ROW($A$2)+4,COLUMN(E15)-COLUMN($A$2)+1+$B$1)</f>
        <v xml:space="preserve">   </v>
      </c>
      <c r="F16" s="105" t="str" cm="1">
        <f t="array" ref="F16">INDEX('Questions global'!$A:$YP,ROW(F15)-ROW($A$2)+4,COLUMN(F15)-COLUMN($A$2)+1+$B$1)</f>
        <v xml:space="preserve"> </v>
      </c>
      <c r="G16" s="112" t="str" cm="1">
        <f t="array" ref="G16">INDEX('Questions global'!$A:$YP,ROW(G15)-ROW($A$2)+4,COLUMN(G15)-COLUMN($A$2)+1+$B$1)</f>
        <v/>
      </c>
      <c r="H16" s="104" t="str" cm="1">
        <f t="array" aca="1" ref="H16" ca="1">INDEX('Questions global'!$A:$YP,ROW(H15)-ROW($A$2)+4,COLUMN(H15)-COLUMN($A$2)+1+$B$1)</f>
        <v/>
      </c>
      <c r="I16" s="119" t="str" cm="1">
        <f t="array" aca="1" ref="I16" ca="1">INDEX('Questions global'!$A:$YP,ROW(I15)-ROW($A$2)+4,COLUMN(I15)-COLUMN($A$2)+1+$B$1)</f>
        <v/>
      </c>
    </row>
    <row r="17" spans="1:9" ht="15" customHeight="1" x14ac:dyDescent="0.3">
      <c r="A17" s="118" cm="1">
        <f t="array" ref="A17">INDEX('Questions global'!$A:$YP,ROW(A16)-ROW($A$2)+4,COLUMN(A16)-COLUMN($A$2)+1+$B$1)</f>
        <v>16</v>
      </c>
      <c r="B17" s="106" t="str" cm="1">
        <f t="array" ref="B17">INDEX('Questions global'!$A:$YP,ROW(B16)-ROW($A$2)+4,COLUMN(B16)-COLUMN($A$2)+1+$B$1)</f>
        <v/>
      </c>
      <c r="C17" s="106" t="str" cm="1">
        <f t="array" ref="C17">INDEX('Questions global'!$A:$YP,ROW(C16)-ROW($A$2)+4,COLUMN(C16)-COLUMN($A$2)+1+$B$1)</f>
        <v/>
      </c>
      <c r="D17" s="126" t="str" cm="1">
        <f t="array" ref="D17">INDEX('Questions global'!$A:$YP,ROW(D16)-ROW($A$2)+4,COLUMN(D16)-COLUMN($A$2)+1+$B$1)</f>
        <v/>
      </c>
      <c r="E17" s="104" t="str" cm="1">
        <f t="array" aca="1" ref="E17" ca="1">INDEX('Questions global'!$A:$YP,ROW(E16)-ROW($A$2)+4,COLUMN(E16)-COLUMN($A$2)+1+$B$1)</f>
        <v xml:space="preserve">   </v>
      </c>
      <c r="F17" s="105" t="str" cm="1">
        <f t="array" ref="F17">INDEX('Questions global'!$A:$YP,ROW(F16)-ROW($A$2)+4,COLUMN(F16)-COLUMN($A$2)+1+$B$1)</f>
        <v xml:space="preserve"> </v>
      </c>
      <c r="G17" s="112" t="str" cm="1">
        <f t="array" ref="G17">INDEX('Questions global'!$A:$YP,ROW(G16)-ROW($A$2)+4,COLUMN(G16)-COLUMN($A$2)+1+$B$1)</f>
        <v/>
      </c>
      <c r="H17" s="104" t="str" cm="1">
        <f t="array" aca="1" ref="H17" ca="1">INDEX('Questions global'!$A:$YP,ROW(H16)-ROW($A$2)+4,COLUMN(H16)-COLUMN($A$2)+1+$B$1)</f>
        <v/>
      </c>
      <c r="I17" s="119" t="str" cm="1">
        <f t="array" aca="1" ref="I17" ca="1">INDEX('Questions global'!$A:$YP,ROW(I16)-ROW($A$2)+4,COLUMN(I16)-COLUMN($A$2)+1+$B$1)</f>
        <v/>
      </c>
    </row>
    <row r="18" spans="1:9" ht="15" customHeight="1" x14ac:dyDescent="0.3">
      <c r="A18" s="118" cm="1">
        <f t="array" ref="A18">INDEX('Questions global'!$A:$YP,ROW(A17)-ROW($A$2)+4,COLUMN(A17)-COLUMN($A$2)+1+$B$1)</f>
        <v>17</v>
      </c>
      <c r="B18" s="106" t="str" cm="1">
        <f t="array" ref="B18">INDEX('Questions global'!$A:$YP,ROW(B17)-ROW($A$2)+4,COLUMN(B17)-COLUMN($A$2)+1+$B$1)</f>
        <v/>
      </c>
      <c r="C18" s="106" t="str" cm="1">
        <f t="array" ref="C18">INDEX('Questions global'!$A:$YP,ROW(C17)-ROW($A$2)+4,COLUMN(C17)-COLUMN($A$2)+1+$B$1)</f>
        <v/>
      </c>
      <c r="D18" s="126" t="str" cm="1">
        <f t="array" ref="D18">INDEX('Questions global'!$A:$YP,ROW(D17)-ROW($A$2)+4,COLUMN(D17)-COLUMN($A$2)+1+$B$1)</f>
        <v/>
      </c>
      <c r="E18" s="104" t="str" cm="1">
        <f t="array" aca="1" ref="E18" ca="1">INDEX('Questions global'!$A:$YP,ROW(E17)-ROW($A$2)+4,COLUMN(E17)-COLUMN($A$2)+1+$B$1)</f>
        <v xml:space="preserve">   </v>
      </c>
      <c r="F18" s="105" t="str" cm="1">
        <f t="array" ref="F18">INDEX('Questions global'!$A:$YP,ROW(F17)-ROW($A$2)+4,COLUMN(F17)-COLUMN($A$2)+1+$B$1)</f>
        <v xml:space="preserve"> </v>
      </c>
      <c r="G18" s="112" t="str" cm="1">
        <f t="array" ref="G18">INDEX('Questions global'!$A:$YP,ROW(G17)-ROW($A$2)+4,COLUMN(G17)-COLUMN($A$2)+1+$B$1)</f>
        <v/>
      </c>
      <c r="H18" s="104" t="str" cm="1">
        <f t="array" aca="1" ref="H18" ca="1">INDEX('Questions global'!$A:$YP,ROW(H17)-ROW($A$2)+4,COLUMN(H17)-COLUMN($A$2)+1+$B$1)</f>
        <v/>
      </c>
      <c r="I18" s="119" t="str" cm="1">
        <f t="array" aca="1" ref="I18" ca="1">INDEX('Questions global'!$A:$YP,ROW(I17)-ROW($A$2)+4,COLUMN(I17)-COLUMN($A$2)+1+$B$1)</f>
        <v/>
      </c>
    </row>
    <row r="19" spans="1:9" ht="15" customHeight="1" x14ac:dyDescent="0.3">
      <c r="A19" s="118" cm="1">
        <f t="array" ref="A19">INDEX('Questions global'!$A:$YP,ROW(A18)-ROW($A$2)+4,COLUMN(A18)-COLUMN($A$2)+1+$B$1)</f>
        <v>18</v>
      </c>
      <c r="B19" s="106" t="str" cm="1">
        <f t="array" ref="B19">INDEX('Questions global'!$A:$YP,ROW(B18)-ROW($A$2)+4,COLUMN(B18)-COLUMN($A$2)+1+$B$1)</f>
        <v/>
      </c>
      <c r="C19" s="106" t="str" cm="1">
        <f t="array" ref="C19">INDEX('Questions global'!$A:$YP,ROW(C18)-ROW($A$2)+4,COLUMN(C18)-COLUMN($A$2)+1+$B$1)</f>
        <v/>
      </c>
      <c r="D19" s="126" t="str" cm="1">
        <f t="array" ref="D19">INDEX('Questions global'!$A:$YP,ROW(D18)-ROW($A$2)+4,COLUMN(D18)-COLUMN($A$2)+1+$B$1)</f>
        <v/>
      </c>
      <c r="E19" s="104" t="str" cm="1">
        <f t="array" aca="1" ref="E19" ca="1">INDEX('Questions global'!$A:$YP,ROW(E18)-ROW($A$2)+4,COLUMN(E18)-COLUMN($A$2)+1+$B$1)</f>
        <v xml:space="preserve">   </v>
      </c>
      <c r="F19" s="105" t="str" cm="1">
        <f t="array" ref="F19">INDEX('Questions global'!$A:$YP,ROW(F18)-ROW($A$2)+4,COLUMN(F18)-COLUMN($A$2)+1+$B$1)</f>
        <v xml:space="preserve"> </v>
      </c>
      <c r="G19" s="112" t="str" cm="1">
        <f t="array" ref="G19">INDEX('Questions global'!$A:$YP,ROW(G18)-ROW($A$2)+4,COLUMN(G18)-COLUMN($A$2)+1+$B$1)</f>
        <v/>
      </c>
      <c r="H19" s="104" t="str" cm="1">
        <f t="array" aca="1" ref="H19" ca="1">INDEX('Questions global'!$A:$YP,ROW(H18)-ROW($A$2)+4,COLUMN(H18)-COLUMN($A$2)+1+$B$1)</f>
        <v/>
      </c>
      <c r="I19" s="119" t="str" cm="1">
        <f t="array" aca="1" ref="I19" ca="1">INDEX('Questions global'!$A:$YP,ROW(I18)-ROW($A$2)+4,COLUMN(I18)-COLUMN($A$2)+1+$B$1)</f>
        <v/>
      </c>
    </row>
    <row r="20" spans="1:9" ht="15" customHeight="1" x14ac:dyDescent="0.3">
      <c r="A20" s="118" cm="1">
        <f t="array" ref="A20">INDEX('Questions global'!$A:$YP,ROW(A19)-ROW($A$2)+4,COLUMN(A19)-COLUMN($A$2)+1+$B$1)</f>
        <v>19</v>
      </c>
      <c r="B20" s="106" t="str" cm="1">
        <f t="array" ref="B20">INDEX('Questions global'!$A:$YP,ROW(B19)-ROW($A$2)+4,COLUMN(B19)-COLUMN($A$2)+1+$B$1)</f>
        <v/>
      </c>
      <c r="C20" s="106" t="str" cm="1">
        <f t="array" ref="C20">INDEX('Questions global'!$A:$YP,ROW(C19)-ROW($A$2)+4,COLUMN(C19)-COLUMN($A$2)+1+$B$1)</f>
        <v/>
      </c>
      <c r="D20" s="126" t="str" cm="1">
        <f t="array" ref="D20">INDEX('Questions global'!$A:$YP,ROW(D19)-ROW($A$2)+4,COLUMN(D19)-COLUMN($A$2)+1+$B$1)</f>
        <v/>
      </c>
      <c r="E20" s="104" t="str" cm="1">
        <f t="array" aca="1" ref="E20" ca="1">INDEX('Questions global'!$A:$YP,ROW(E19)-ROW($A$2)+4,COLUMN(E19)-COLUMN($A$2)+1+$B$1)</f>
        <v xml:space="preserve">   </v>
      </c>
      <c r="F20" s="105" t="str" cm="1">
        <f t="array" ref="F20">INDEX('Questions global'!$A:$YP,ROW(F19)-ROW($A$2)+4,COLUMN(F19)-COLUMN($A$2)+1+$B$1)</f>
        <v xml:space="preserve"> </v>
      </c>
      <c r="G20" s="112" t="str" cm="1">
        <f t="array" ref="G20">INDEX('Questions global'!$A:$YP,ROW(G19)-ROW($A$2)+4,COLUMN(G19)-COLUMN($A$2)+1+$B$1)</f>
        <v/>
      </c>
      <c r="H20" s="104" t="str" cm="1">
        <f t="array" aca="1" ref="H20" ca="1">INDEX('Questions global'!$A:$YP,ROW(H19)-ROW($A$2)+4,COLUMN(H19)-COLUMN($A$2)+1+$B$1)</f>
        <v/>
      </c>
      <c r="I20" s="119" t="str" cm="1">
        <f t="array" aca="1" ref="I20" ca="1">INDEX('Questions global'!$A:$YP,ROW(I19)-ROW($A$2)+4,COLUMN(I19)-COLUMN($A$2)+1+$B$1)</f>
        <v/>
      </c>
    </row>
    <row r="21" spans="1:9" ht="15" customHeight="1" x14ac:dyDescent="0.3">
      <c r="A21" s="118" cm="1">
        <f t="array" ref="A21">INDEX('Questions global'!$A:$YP,ROW(A20)-ROW($A$2)+4,COLUMN(A20)-COLUMN($A$2)+1+$B$1)</f>
        <v>20</v>
      </c>
      <c r="B21" s="106" t="str" cm="1">
        <f t="array" ref="B21">INDEX('Questions global'!$A:$YP,ROW(B20)-ROW($A$2)+4,COLUMN(B20)-COLUMN($A$2)+1+$B$1)</f>
        <v/>
      </c>
      <c r="C21" s="106" t="str" cm="1">
        <f t="array" ref="C21">INDEX('Questions global'!$A:$YP,ROW(C20)-ROW($A$2)+4,COLUMN(C20)-COLUMN($A$2)+1+$B$1)</f>
        <v/>
      </c>
      <c r="D21" s="126" t="str" cm="1">
        <f t="array" ref="D21">INDEX('Questions global'!$A:$YP,ROW(D20)-ROW($A$2)+4,COLUMN(D20)-COLUMN($A$2)+1+$B$1)</f>
        <v/>
      </c>
      <c r="E21" s="104" t="str" cm="1">
        <f t="array" aca="1" ref="E21" ca="1">INDEX('Questions global'!$A:$YP,ROW(E20)-ROW($A$2)+4,COLUMN(E20)-COLUMN($A$2)+1+$B$1)</f>
        <v xml:space="preserve">   </v>
      </c>
      <c r="F21" s="105" t="str" cm="1">
        <f t="array" ref="F21">INDEX('Questions global'!$A:$YP,ROW(F20)-ROW($A$2)+4,COLUMN(F20)-COLUMN($A$2)+1+$B$1)</f>
        <v xml:space="preserve"> </v>
      </c>
      <c r="G21" s="112" t="str" cm="1">
        <f t="array" ref="G21">INDEX('Questions global'!$A:$YP,ROW(G20)-ROW($A$2)+4,COLUMN(G20)-COLUMN($A$2)+1+$B$1)</f>
        <v/>
      </c>
      <c r="H21" s="104" t="str" cm="1">
        <f t="array" aca="1" ref="H21" ca="1">INDEX('Questions global'!$A:$YP,ROW(H20)-ROW($A$2)+4,COLUMN(H20)-COLUMN($A$2)+1+$B$1)</f>
        <v/>
      </c>
      <c r="I21" s="119" t="str" cm="1">
        <f t="array" aca="1" ref="I21" ca="1">INDEX('Questions global'!$A:$YP,ROW(I20)-ROW($A$2)+4,COLUMN(I20)-COLUMN($A$2)+1+$B$1)</f>
        <v/>
      </c>
    </row>
    <row r="22" spans="1:9" ht="15" customHeight="1" x14ac:dyDescent="0.3">
      <c r="A22" s="118" cm="1">
        <f t="array" ref="A22">INDEX('Questions global'!$A:$YP,ROW(A21)-ROW($A$2)+4,COLUMN(A21)-COLUMN($A$2)+1+$B$1)</f>
        <v>21</v>
      </c>
      <c r="B22" s="106" t="str" cm="1">
        <f t="array" ref="B22">INDEX('Questions global'!$A:$YP,ROW(B21)-ROW($A$2)+4,COLUMN(B21)-COLUMN($A$2)+1+$B$1)</f>
        <v/>
      </c>
      <c r="C22" s="106" t="str" cm="1">
        <f t="array" ref="C22">INDEX('Questions global'!$A:$YP,ROW(C21)-ROW($A$2)+4,COLUMN(C21)-COLUMN($A$2)+1+$B$1)</f>
        <v/>
      </c>
      <c r="D22" s="126" t="str" cm="1">
        <f t="array" ref="D22">INDEX('Questions global'!$A:$YP,ROW(D21)-ROW($A$2)+4,COLUMN(D21)-COLUMN($A$2)+1+$B$1)</f>
        <v/>
      </c>
      <c r="E22" s="104" t="str" cm="1">
        <f t="array" aca="1" ref="E22" ca="1">INDEX('Questions global'!$A:$YP,ROW(E21)-ROW($A$2)+4,COLUMN(E21)-COLUMN($A$2)+1+$B$1)</f>
        <v xml:space="preserve">   </v>
      </c>
      <c r="F22" s="105" t="str" cm="1">
        <f t="array" ref="F22">INDEX('Questions global'!$A:$YP,ROW(F21)-ROW($A$2)+4,COLUMN(F21)-COLUMN($A$2)+1+$B$1)</f>
        <v xml:space="preserve"> </v>
      </c>
      <c r="G22" s="112" t="str" cm="1">
        <f t="array" ref="G22">INDEX('Questions global'!$A:$YP,ROW(G21)-ROW($A$2)+4,COLUMN(G21)-COLUMN($A$2)+1+$B$1)</f>
        <v/>
      </c>
      <c r="H22" s="104" t="str" cm="1">
        <f t="array" aca="1" ref="H22" ca="1">INDEX('Questions global'!$A:$YP,ROW(H21)-ROW($A$2)+4,COLUMN(H21)-COLUMN($A$2)+1+$B$1)</f>
        <v/>
      </c>
      <c r="I22" s="119" t="str" cm="1">
        <f t="array" aca="1" ref="I22" ca="1">INDEX('Questions global'!$A:$YP,ROW(I21)-ROW($A$2)+4,COLUMN(I21)-COLUMN($A$2)+1+$B$1)</f>
        <v/>
      </c>
    </row>
    <row r="23" spans="1:9" ht="15" customHeight="1" x14ac:dyDescent="0.3">
      <c r="A23" s="118" cm="1">
        <f t="array" ref="A23">INDEX('Questions global'!$A:$YP,ROW(A22)-ROW($A$2)+4,COLUMN(A22)-COLUMN($A$2)+1+$B$1)</f>
        <v>22</v>
      </c>
      <c r="B23" s="106" t="str" cm="1">
        <f t="array" ref="B23">INDEX('Questions global'!$A:$YP,ROW(B22)-ROW($A$2)+4,COLUMN(B22)-COLUMN($A$2)+1+$B$1)</f>
        <v/>
      </c>
      <c r="C23" s="106" t="str" cm="1">
        <f t="array" ref="C23">INDEX('Questions global'!$A:$YP,ROW(C22)-ROW($A$2)+4,COLUMN(C22)-COLUMN($A$2)+1+$B$1)</f>
        <v/>
      </c>
      <c r="D23" s="126" t="str" cm="1">
        <f t="array" ref="D23">INDEX('Questions global'!$A:$YP,ROW(D22)-ROW($A$2)+4,COLUMN(D22)-COLUMN($A$2)+1+$B$1)</f>
        <v/>
      </c>
      <c r="E23" s="104" t="str" cm="1">
        <f t="array" aca="1" ref="E23" ca="1">INDEX('Questions global'!$A:$YP,ROW(E22)-ROW($A$2)+4,COLUMN(E22)-COLUMN($A$2)+1+$B$1)</f>
        <v xml:space="preserve">   </v>
      </c>
      <c r="F23" s="105" t="str" cm="1">
        <f t="array" ref="F23">INDEX('Questions global'!$A:$YP,ROW(F22)-ROW($A$2)+4,COLUMN(F22)-COLUMN($A$2)+1+$B$1)</f>
        <v xml:space="preserve"> </v>
      </c>
      <c r="G23" s="112" t="str" cm="1">
        <f t="array" ref="G23">INDEX('Questions global'!$A:$YP,ROW(G22)-ROW($A$2)+4,COLUMN(G22)-COLUMN($A$2)+1+$B$1)</f>
        <v/>
      </c>
      <c r="H23" s="104" t="str" cm="1">
        <f t="array" aca="1" ref="H23" ca="1">INDEX('Questions global'!$A:$YP,ROW(H22)-ROW($A$2)+4,COLUMN(H22)-COLUMN($A$2)+1+$B$1)</f>
        <v/>
      </c>
      <c r="I23" s="119" t="str" cm="1">
        <f t="array" aca="1" ref="I23" ca="1">INDEX('Questions global'!$A:$YP,ROW(I22)-ROW($A$2)+4,COLUMN(I22)-COLUMN($A$2)+1+$B$1)</f>
        <v/>
      </c>
    </row>
    <row r="24" spans="1:9" ht="15" customHeight="1" x14ac:dyDescent="0.3">
      <c r="A24" s="118" cm="1">
        <f t="array" ref="A24">INDEX('Questions global'!$A:$YP,ROW(A23)-ROW($A$2)+4,COLUMN(A23)-COLUMN($A$2)+1+$B$1)</f>
        <v>23</v>
      </c>
      <c r="B24" s="106" t="str" cm="1">
        <f t="array" ref="B24">INDEX('Questions global'!$A:$YP,ROW(B23)-ROW($A$2)+4,COLUMN(B23)-COLUMN($A$2)+1+$B$1)</f>
        <v/>
      </c>
      <c r="C24" s="106" t="str" cm="1">
        <f t="array" ref="C24">INDEX('Questions global'!$A:$YP,ROW(C23)-ROW($A$2)+4,COLUMN(C23)-COLUMN($A$2)+1+$B$1)</f>
        <v/>
      </c>
      <c r="D24" s="126" t="str" cm="1">
        <f t="array" ref="D24">INDEX('Questions global'!$A:$YP,ROW(D23)-ROW($A$2)+4,COLUMN(D23)-COLUMN($A$2)+1+$B$1)</f>
        <v/>
      </c>
      <c r="E24" s="104" t="str" cm="1">
        <f t="array" aca="1" ref="E24" ca="1">INDEX('Questions global'!$A:$YP,ROW(E23)-ROW($A$2)+4,COLUMN(E23)-COLUMN($A$2)+1+$B$1)</f>
        <v xml:space="preserve">   </v>
      </c>
      <c r="F24" s="105" t="str" cm="1">
        <f t="array" ref="F24">INDEX('Questions global'!$A:$YP,ROW(F23)-ROW($A$2)+4,COLUMN(F23)-COLUMN($A$2)+1+$B$1)</f>
        <v xml:space="preserve"> </v>
      </c>
      <c r="G24" s="112" t="str" cm="1">
        <f t="array" ref="G24">INDEX('Questions global'!$A:$YP,ROW(G23)-ROW($A$2)+4,COLUMN(G23)-COLUMN($A$2)+1+$B$1)</f>
        <v/>
      </c>
      <c r="H24" s="104" t="str" cm="1">
        <f t="array" aca="1" ref="H24" ca="1">INDEX('Questions global'!$A:$YP,ROW(H23)-ROW($A$2)+4,COLUMN(H23)-COLUMN($A$2)+1+$B$1)</f>
        <v/>
      </c>
      <c r="I24" s="119" t="str" cm="1">
        <f t="array" aca="1" ref="I24" ca="1">INDEX('Questions global'!$A:$YP,ROW(I23)-ROW($A$2)+4,COLUMN(I23)-COLUMN($A$2)+1+$B$1)</f>
        <v/>
      </c>
    </row>
    <row r="25" spans="1:9" ht="15" customHeight="1" x14ac:dyDescent="0.3">
      <c r="A25" s="118" cm="1">
        <f t="array" ref="A25">INDEX('Questions global'!$A:$YP,ROW(A24)-ROW($A$2)+4,COLUMN(A24)-COLUMN($A$2)+1+$B$1)</f>
        <v>24</v>
      </c>
      <c r="B25" s="106" t="str" cm="1">
        <f t="array" ref="B25">INDEX('Questions global'!$A:$YP,ROW(B24)-ROW($A$2)+4,COLUMN(B24)-COLUMN($A$2)+1+$B$1)</f>
        <v/>
      </c>
      <c r="C25" s="106" t="str" cm="1">
        <f t="array" ref="C25">INDEX('Questions global'!$A:$YP,ROW(C24)-ROW($A$2)+4,COLUMN(C24)-COLUMN($A$2)+1+$B$1)</f>
        <v/>
      </c>
      <c r="D25" s="126" t="str" cm="1">
        <f t="array" ref="D25">INDEX('Questions global'!$A:$YP,ROW(D24)-ROW($A$2)+4,COLUMN(D24)-COLUMN($A$2)+1+$B$1)</f>
        <v/>
      </c>
      <c r="E25" s="104" t="str" cm="1">
        <f t="array" aca="1" ref="E25" ca="1">INDEX('Questions global'!$A:$YP,ROW(E24)-ROW($A$2)+4,COLUMN(E24)-COLUMN($A$2)+1+$B$1)</f>
        <v xml:space="preserve">   </v>
      </c>
      <c r="F25" s="105" t="str" cm="1">
        <f t="array" ref="F25">INDEX('Questions global'!$A:$YP,ROW(F24)-ROW($A$2)+4,COLUMN(F24)-COLUMN($A$2)+1+$B$1)</f>
        <v xml:space="preserve"> </v>
      </c>
      <c r="G25" s="112" t="str" cm="1">
        <f t="array" ref="G25">INDEX('Questions global'!$A:$YP,ROW(G24)-ROW($A$2)+4,COLUMN(G24)-COLUMN($A$2)+1+$B$1)</f>
        <v/>
      </c>
      <c r="H25" s="104" t="str" cm="1">
        <f t="array" aca="1" ref="H25" ca="1">INDEX('Questions global'!$A:$YP,ROW(H24)-ROW($A$2)+4,COLUMN(H24)-COLUMN($A$2)+1+$B$1)</f>
        <v/>
      </c>
      <c r="I25" s="119" t="str" cm="1">
        <f t="array" aca="1" ref="I25" ca="1">INDEX('Questions global'!$A:$YP,ROW(I24)-ROW($A$2)+4,COLUMN(I24)-COLUMN($A$2)+1+$B$1)</f>
        <v/>
      </c>
    </row>
    <row r="26" spans="1:9" ht="15" customHeight="1" x14ac:dyDescent="0.3">
      <c r="A26" s="118" cm="1">
        <f t="array" ref="A26">INDEX('Questions global'!$A:$YP,ROW(A25)-ROW($A$2)+4,COLUMN(A25)-COLUMN($A$2)+1+$B$1)</f>
        <v>25</v>
      </c>
      <c r="B26" s="106" t="str" cm="1">
        <f t="array" ref="B26">INDEX('Questions global'!$A:$YP,ROW(B25)-ROW($A$2)+4,COLUMN(B25)-COLUMN($A$2)+1+$B$1)</f>
        <v/>
      </c>
      <c r="C26" s="106" t="str" cm="1">
        <f t="array" ref="C26">INDEX('Questions global'!$A:$YP,ROW(C25)-ROW($A$2)+4,COLUMN(C25)-COLUMN($A$2)+1+$B$1)</f>
        <v/>
      </c>
      <c r="D26" s="126" t="str" cm="1">
        <f t="array" ref="D26">INDEX('Questions global'!$A:$YP,ROW(D25)-ROW($A$2)+4,COLUMN(D25)-COLUMN($A$2)+1+$B$1)</f>
        <v/>
      </c>
      <c r="E26" s="104" t="str" cm="1">
        <f t="array" aca="1" ref="E26" ca="1">INDEX('Questions global'!$A:$YP,ROW(E25)-ROW($A$2)+4,COLUMN(E25)-COLUMN($A$2)+1+$B$1)</f>
        <v xml:space="preserve">   </v>
      </c>
      <c r="F26" s="105" t="str" cm="1">
        <f t="array" ref="F26">INDEX('Questions global'!$A:$YP,ROW(F25)-ROW($A$2)+4,COLUMN(F25)-COLUMN($A$2)+1+$B$1)</f>
        <v xml:space="preserve"> </v>
      </c>
      <c r="G26" s="112" t="str" cm="1">
        <f t="array" ref="G26">INDEX('Questions global'!$A:$YP,ROW(G25)-ROW($A$2)+4,COLUMN(G25)-COLUMN($A$2)+1+$B$1)</f>
        <v/>
      </c>
      <c r="H26" s="104" t="str" cm="1">
        <f t="array" aca="1" ref="H26" ca="1">INDEX('Questions global'!$A:$YP,ROW(H25)-ROW($A$2)+4,COLUMN(H25)-COLUMN($A$2)+1+$B$1)</f>
        <v/>
      </c>
      <c r="I26" s="119" t="str" cm="1">
        <f t="array" aca="1" ref="I26" ca="1">INDEX('Questions global'!$A:$YP,ROW(I25)-ROW($A$2)+4,COLUMN(I25)-COLUMN($A$2)+1+$B$1)</f>
        <v/>
      </c>
    </row>
    <row r="27" spans="1:9" ht="15" customHeight="1" x14ac:dyDescent="0.3">
      <c r="A27" s="118" cm="1">
        <f t="array" ref="A27">INDEX('Questions global'!$A:$YP,ROW(A26)-ROW($A$2)+4,COLUMN(A26)-COLUMN($A$2)+1+$B$1)</f>
        <v>26</v>
      </c>
      <c r="B27" s="106" t="str" cm="1">
        <f t="array" ref="B27">INDEX('Questions global'!$A:$YP,ROW(B26)-ROW($A$2)+4,COLUMN(B26)-COLUMN($A$2)+1+$B$1)</f>
        <v/>
      </c>
      <c r="C27" s="106" t="str" cm="1">
        <f t="array" ref="C27">INDEX('Questions global'!$A:$YP,ROW(C26)-ROW($A$2)+4,COLUMN(C26)-COLUMN($A$2)+1+$B$1)</f>
        <v/>
      </c>
      <c r="D27" s="126" t="str" cm="1">
        <f t="array" ref="D27">INDEX('Questions global'!$A:$YP,ROW(D26)-ROW($A$2)+4,COLUMN(D26)-COLUMN($A$2)+1+$B$1)</f>
        <v/>
      </c>
      <c r="E27" s="104" t="str" cm="1">
        <f t="array" aca="1" ref="E27" ca="1">INDEX('Questions global'!$A:$YP,ROW(E26)-ROW($A$2)+4,COLUMN(E26)-COLUMN($A$2)+1+$B$1)</f>
        <v xml:space="preserve">   </v>
      </c>
      <c r="F27" s="105" t="str" cm="1">
        <f t="array" ref="F27">INDEX('Questions global'!$A:$YP,ROW(F26)-ROW($A$2)+4,COLUMN(F26)-COLUMN($A$2)+1+$B$1)</f>
        <v xml:space="preserve"> </v>
      </c>
      <c r="G27" s="112" t="str" cm="1">
        <f t="array" ref="G27">INDEX('Questions global'!$A:$YP,ROW(G26)-ROW($A$2)+4,COLUMN(G26)-COLUMN($A$2)+1+$B$1)</f>
        <v/>
      </c>
      <c r="H27" s="104" t="str" cm="1">
        <f t="array" aca="1" ref="H27" ca="1">INDEX('Questions global'!$A:$YP,ROW(H26)-ROW($A$2)+4,COLUMN(H26)-COLUMN($A$2)+1+$B$1)</f>
        <v/>
      </c>
      <c r="I27" s="119" t="str" cm="1">
        <f t="array" aca="1" ref="I27" ca="1">INDEX('Questions global'!$A:$YP,ROW(I26)-ROW($A$2)+4,COLUMN(I26)-COLUMN($A$2)+1+$B$1)</f>
        <v/>
      </c>
    </row>
    <row r="28" spans="1:9" ht="15" customHeight="1" x14ac:dyDescent="0.3">
      <c r="A28" s="118" cm="1">
        <f t="array" ref="A28">INDEX('Questions global'!$A:$YP,ROW(A27)-ROW($A$2)+4,COLUMN(A27)-COLUMN($A$2)+1+$B$1)</f>
        <v>27</v>
      </c>
      <c r="B28" s="106" t="str" cm="1">
        <f t="array" ref="B28">INDEX('Questions global'!$A:$YP,ROW(B27)-ROW($A$2)+4,COLUMN(B27)-COLUMN($A$2)+1+$B$1)</f>
        <v/>
      </c>
      <c r="C28" s="106" t="str" cm="1">
        <f t="array" ref="C28">INDEX('Questions global'!$A:$YP,ROW(C27)-ROW($A$2)+4,COLUMN(C27)-COLUMN($A$2)+1+$B$1)</f>
        <v/>
      </c>
      <c r="D28" s="126" t="str" cm="1">
        <f t="array" ref="D28">INDEX('Questions global'!$A:$YP,ROW(D27)-ROW($A$2)+4,COLUMN(D27)-COLUMN($A$2)+1+$B$1)</f>
        <v/>
      </c>
      <c r="E28" s="104" t="str" cm="1">
        <f t="array" aca="1" ref="E28" ca="1">INDEX('Questions global'!$A:$YP,ROW(E27)-ROW($A$2)+4,COLUMN(E27)-COLUMN($A$2)+1+$B$1)</f>
        <v xml:space="preserve">   </v>
      </c>
      <c r="F28" s="105" t="str" cm="1">
        <f t="array" ref="F28">INDEX('Questions global'!$A:$YP,ROW(F27)-ROW($A$2)+4,COLUMN(F27)-COLUMN($A$2)+1+$B$1)</f>
        <v xml:space="preserve"> </v>
      </c>
      <c r="G28" s="112" t="str" cm="1">
        <f t="array" ref="G28">INDEX('Questions global'!$A:$YP,ROW(G27)-ROW($A$2)+4,COLUMN(G27)-COLUMN($A$2)+1+$B$1)</f>
        <v/>
      </c>
      <c r="H28" s="104" t="str" cm="1">
        <f t="array" aca="1" ref="H28" ca="1">INDEX('Questions global'!$A:$YP,ROW(H27)-ROW($A$2)+4,COLUMN(H27)-COLUMN($A$2)+1+$B$1)</f>
        <v/>
      </c>
      <c r="I28" s="119" t="str" cm="1">
        <f t="array" aca="1" ref="I28" ca="1">INDEX('Questions global'!$A:$YP,ROW(I27)-ROW($A$2)+4,COLUMN(I27)-COLUMN($A$2)+1+$B$1)</f>
        <v/>
      </c>
    </row>
    <row r="29" spans="1:9" ht="15" customHeight="1" x14ac:dyDescent="0.3">
      <c r="A29" s="118" cm="1">
        <f t="array" ref="A29">INDEX('Questions global'!$A:$YP,ROW(A28)-ROW($A$2)+4,COLUMN(A28)-COLUMN($A$2)+1+$B$1)</f>
        <v>28</v>
      </c>
      <c r="B29" s="106" t="str" cm="1">
        <f t="array" ref="B29">INDEX('Questions global'!$A:$YP,ROW(B28)-ROW($A$2)+4,COLUMN(B28)-COLUMN($A$2)+1+$B$1)</f>
        <v/>
      </c>
      <c r="C29" s="106" t="str" cm="1">
        <f t="array" ref="C29">INDEX('Questions global'!$A:$YP,ROW(C28)-ROW($A$2)+4,COLUMN(C28)-COLUMN($A$2)+1+$B$1)</f>
        <v/>
      </c>
      <c r="D29" s="126" t="str" cm="1">
        <f t="array" ref="D29">INDEX('Questions global'!$A:$YP,ROW(D28)-ROW($A$2)+4,COLUMN(D28)-COLUMN($A$2)+1+$B$1)</f>
        <v/>
      </c>
      <c r="E29" s="104" t="str" cm="1">
        <f t="array" aca="1" ref="E29" ca="1">INDEX('Questions global'!$A:$YP,ROW(E28)-ROW($A$2)+4,COLUMN(E28)-COLUMN($A$2)+1+$B$1)</f>
        <v xml:space="preserve">   </v>
      </c>
      <c r="F29" s="105" t="str" cm="1">
        <f t="array" ref="F29">INDEX('Questions global'!$A:$YP,ROW(F28)-ROW($A$2)+4,COLUMN(F28)-COLUMN($A$2)+1+$B$1)</f>
        <v xml:space="preserve"> </v>
      </c>
      <c r="G29" s="112" t="str" cm="1">
        <f t="array" ref="G29">INDEX('Questions global'!$A:$YP,ROW(G28)-ROW($A$2)+4,COLUMN(G28)-COLUMN($A$2)+1+$B$1)</f>
        <v/>
      </c>
      <c r="H29" s="104" t="str" cm="1">
        <f t="array" aca="1" ref="H29" ca="1">INDEX('Questions global'!$A:$YP,ROW(H28)-ROW($A$2)+4,COLUMN(H28)-COLUMN($A$2)+1+$B$1)</f>
        <v/>
      </c>
      <c r="I29" s="119" t="str" cm="1">
        <f t="array" aca="1" ref="I29" ca="1">INDEX('Questions global'!$A:$YP,ROW(I28)-ROW($A$2)+4,COLUMN(I28)-COLUMN($A$2)+1+$B$1)</f>
        <v/>
      </c>
    </row>
    <row r="30" spans="1:9" ht="15" customHeight="1" x14ac:dyDescent="0.3">
      <c r="A30" s="118" cm="1">
        <f t="array" ref="A30">INDEX('Questions global'!$A:$YP,ROW(A29)-ROW($A$2)+4,COLUMN(A29)-COLUMN($A$2)+1+$B$1)</f>
        <v>29</v>
      </c>
      <c r="B30" s="106" t="str" cm="1">
        <f t="array" ref="B30">INDEX('Questions global'!$A:$YP,ROW(B29)-ROW($A$2)+4,COLUMN(B29)-COLUMN($A$2)+1+$B$1)</f>
        <v/>
      </c>
      <c r="C30" s="106" t="str" cm="1">
        <f t="array" ref="C30">INDEX('Questions global'!$A:$YP,ROW(C29)-ROW($A$2)+4,COLUMN(C29)-COLUMN($A$2)+1+$B$1)</f>
        <v/>
      </c>
      <c r="D30" s="126" t="str" cm="1">
        <f t="array" ref="D30">INDEX('Questions global'!$A:$YP,ROW(D29)-ROW($A$2)+4,COLUMN(D29)-COLUMN($A$2)+1+$B$1)</f>
        <v/>
      </c>
      <c r="E30" s="104" t="str" cm="1">
        <f t="array" aca="1" ref="E30" ca="1">INDEX('Questions global'!$A:$YP,ROW(E29)-ROW($A$2)+4,COLUMN(E29)-COLUMN($A$2)+1+$B$1)</f>
        <v xml:space="preserve">   </v>
      </c>
      <c r="F30" s="105" t="str" cm="1">
        <f t="array" ref="F30">INDEX('Questions global'!$A:$YP,ROW(F29)-ROW($A$2)+4,COLUMN(F29)-COLUMN($A$2)+1+$B$1)</f>
        <v xml:space="preserve"> </v>
      </c>
      <c r="G30" s="112" t="str" cm="1">
        <f t="array" ref="G30">INDEX('Questions global'!$A:$YP,ROW(G29)-ROW($A$2)+4,COLUMN(G29)-COLUMN($A$2)+1+$B$1)</f>
        <v/>
      </c>
      <c r="H30" s="104" t="str" cm="1">
        <f t="array" aca="1" ref="H30" ca="1">INDEX('Questions global'!$A:$YP,ROW(H29)-ROW($A$2)+4,COLUMN(H29)-COLUMN($A$2)+1+$B$1)</f>
        <v/>
      </c>
      <c r="I30" s="119" t="str" cm="1">
        <f t="array" aca="1" ref="I30" ca="1">INDEX('Questions global'!$A:$YP,ROW(I29)-ROW($A$2)+4,COLUMN(I29)-COLUMN($A$2)+1+$B$1)</f>
        <v/>
      </c>
    </row>
    <row r="31" spans="1:9" ht="15" customHeight="1" x14ac:dyDescent="0.3">
      <c r="A31" s="118" cm="1">
        <f t="array" ref="A31">INDEX('Questions global'!$A:$YP,ROW(A30)-ROW($A$2)+4,COLUMN(A30)-COLUMN($A$2)+1+$B$1)</f>
        <v>30</v>
      </c>
      <c r="B31" s="106" t="str" cm="1">
        <f t="array" ref="B31">INDEX('Questions global'!$A:$YP,ROW(B30)-ROW($A$2)+4,COLUMN(B30)-COLUMN($A$2)+1+$B$1)</f>
        <v/>
      </c>
      <c r="C31" s="106" t="str" cm="1">
        <f t="array" ref="C31">INDEX('Questions global'!$A:$YP,ROW(C30)-ROW($A$2)+4,COLUMN(C30)-COLUMN($A$2)+1+$B$1)</f>
        <v/>
      </c>
      <c r="D31" s="126" t="str" cm="1">
        <f t="array" ref="D31">INDEX('Questions global'!$A:$YP,ROW(D30)-ROW($A$2)+4,COLUMN(D30)-COLUMN($A$2)+1+$B$1)</f>
        <v/>
      </c>
      <c r="E31" s="104" t="str" cm="1">
        <f t="array" aca="1" ref="E31" ca="1">INDEX('Questions global'!$A:$YP,ROW(E30)-ROW($A$2)+4,COLUMN(E30)-COLUMN($A$2)+1+$B$1)</f>
        <v xml:space="preserve">   </v>
      </c>
      <c r="F31" s="105" t="str" cm="1">
        <f t="array" ref="F31">INDEX('Questions global'!$A:$YP,ROW(F30)-ROW($A$2)+4,COLUMN(F30)-COLUMN($A$2)+1+$B$1)</f>
        <v xml:space="preserve"> </v>
      </c>
      <c r="G31" s="112" t="str" cm="1">
        <f t="array" ref="G31">INDEX('Questions global'!$A:$YP,ROW(G30)-ROW($A$2)+4,COLUMN(G30)-COLUMN($A$2)+1+$B$1)</f>
        <v/>
      </c>
      <c r="H31" s="104" t="str" cm="1">
        <f t="array" aca="1" ref="H31" ca="1">INDEX('Questions global'!$A:$YP,ROW(H30)-ROW($A$2)+4,COLUMN(H30)-COLUMN($A$2)+1+$B$1)</f>
        <v/>
      </c>
      <c r="I31" s="119" t="str" cm="1">
        <f t="array" aca="1" ref="I31" ca="1">INDEX('Questions global'!$A:$YP,ROW(I30)-ROW($A$2)+4,COLUMN(I30)-COLUMN($A$2)+1+$B$1)</f>
        <v/>
      </c>
    </row>
    <row r="32" spans="1:9" ht="15" customHeight="1" x14ac:dyDescent="0.3">
      <c r="A32" s="118" cm="1">
        <f t="array" ref="A32">INDEX('Questions global'!$A:$YP,ROW(A31)-ROW($A$2)+4,COLUMN(A31)-COLUMN($A$2)+1+$B$1)</f>
        <v>31</v>
      </c>
      <c r="B32" s="106" t="str" cm="1">
        <f t="array" ref="B32">INDEX('Questions global'!$A:$YP,ROW(B31)-ROW($A$2)+4,COLUMN(B31)-COLUMN($A$2)+1+$B$1)</f>
        <v/>
      </c>
      <c r="C32" s="106" t="str" cm="1">
        <f t="array" ref="C32">INDEX('Questions global'!$A:$YP,ROW(C31)-ROW($A$2)+4,COLUMN(C31)-COLUMN($A$2)+1+$B$1)</f>
        <v/>
      </c>
      <c r="D32" s="126" t="str" cm="1">
        <f t="array" ref="D32">INDEX('Questions global'!$A:$YP,ROW(D31)-ROW($A$2)+4,COLUMN(D31)-COLUMN($A$2)+1+$B$1)</f>
        <v/>
      </c>
      <c r="E32" s="104" t="str" cm="1">
        <f t="array" aca="1" ref="E32" ca="1">INDEX('Questions global'!$A:$YP,ROW(E31)-ROW($A$2)+4,COLUMN(E31)-COLUMN($A$2)+1+$B$1)</f>
        <v xml:space="preserve">   </v>
      </c>
      <c r="F32" s="105" t="str" cm="1">
        <f t="array" ref="F32">INDEX('Questions global'!$A:$YP,ROW(F31)-ROW($A$2)+4,COLUMN(F31)-COLUMN($A$2)+1+$B$1)</f>
        <v xml:space="preserve"> </v>
      </c>
      <c r="G32" s="112" t="str" cm="1">
        <f t="array" ref="G32">INDEX('Questions global'!$A:$YP,ROW(G31)-ROW($A$2)+4,COLUMN(G31)-COLUMN($A$2)+1+$B$1)</f>
        <v/>
      </c>
      <c r="H32" s="104" t="str" cm="1">
        <f t="array" aca="1" ref="H32" ca="1">INDEX('Questions global'!$A:$YP,ROW(H31)-ROW($A$2)+4,COLUMN(H31)-COLUMN($A$2)+1+$B$1)</f>
        <v/>
      </c>
      <c r="I32" s="119" t="str" cm="1">
        <f t="array" aca="1" ref="I32" ca="1">INDEX('Questions global'!$A:$YP,ROW(I31)-ROW($A$2)+4,COLUMN(I31)-COLUMN($A$2)+1+$B$1)</f>
        <v/>
      </c>
    </row>
    <row r="33" spans="1:9" ht="15" customHeight="1" x14ac:dyDescent="0.3">
      <c r="A33" s="118" cm="1">
        <f t="array" ref="A33">INDEX('Questions global'!$A:$YP,ROW(A32)-ROW($A$2)+4,COLUMN(A32)-COLUMN($A$2)+1+$B$1)</f>
        <v>32</v>
      </c>
      <c r="B33" s="106" t="str" cm="1">
        <f t="array" ref="B33">INDEX('Questions global'!$A:$YP,ROW(B32)-ROW($A$2)+4,COLUMN(B32)-COLUMN($A$2)+1+$B$1)</f>
        <v/>
      </c>
      <c r="C33" s="106" t="str" cm="1">
        <f t="array" ref="C33">INDEX('Questions global'!$A:$YP,ROW(C32)-ROW($A$2)+4,COLUMN(C32)-COLUMN($A$2)+1+$B$1)</f>
        <v/>
      </c>
      <c r="D33" s="126" t="str" cm="1">
        <f t="array" ref="D33">INDEX('Questions global'!$A:$YP,ROW(D32)-ROW($A$2)+4,COLUMN(D32)-COLUMN($A$2)+1+$B$1)</f>
        <v/>
      </c>
      <c r="E33" s="104" t="str" cm="1">
        <f t="array" aca="1" ref="E33" ca="1">INDEX('Questions global'!$A:$YP,ROW(E32)-ROW($A$2)+4,COLUMN(E32)-COLUMN($A$2)+1+$B$1)</f>
        <v xml:space="preserve">   </v>
      </c>
      <c r="F33" s="105" t="str" cm="1">
        <f t="array" ref="F33">INDEX('Questions global'!$A:$YP,ROW(F32)-ROW($A$2)+4,COLUMN(F32)-COLUMN($A$2)+1+$B$1)</f>
        <v xml:space="preserve"> </v>
      </c>
      <c r="G33" s="112" t="str" cm="1">
        <f t="array" ref="G33">INDEX('Questions global'!$A:$YP,ROW(G32)-ROW($A$2)+4,COLUMN(G32)-COLUMN($A$2)+1+$B$1)</f>
        <v/>
      </c>
      <c r="H33" s="104" t="str" cm="1">
        <f t="array" aca="1" ref="H33" ca="1">INDEX('Questions global'!$A:$YP,ROW(H32)-ROW($A$2)+4,COLUMN(H32)-COLUMN($A$2)+1+$B$1)</f>
        <v/>
      </c>
      <c r="I33" s="119" t="str" cm="1">
        <f t="array" aca="1" ref="I33" ca="1">INDEX('Questions global'!$A:$YP,ROW(I32)-ROW($A$2)+4,COLUMN(I32)-COLUMN($A$2)+1+$B$1)</f>
        <v/>
      </c>
    </row>
    <row r="34" spans="1:9" ht="15" customHeight="1" x14ac:dyDescent="0.3">
      <c r="A34" s="118" cm="1">
        <f t="array" ref="A34">INDEX('Questions global'!$A:$YP,ROW(A33)-ROW($A$2)+4,COLUMN(A33)-COLUMN($A$2)+1+$B$1)</f>
        <v>33</v>
      </c>
      <c r="B34" s="106" t="str" cm="1">
        <f t="array" ref="B34">INDEX('Questions global'!$A:$YP,ROW(B33)-ROW($A$2)+4,COLUMN(B33)-COLUMN($A$2)+1+$B$1)</f>
        <v/>
      </c>
      <c r="C34" s="106" t="str" cm="1">
        <f t="array" ref="C34">INDEX('Questions global'!$A:$YP,ROW(C33)-ROW($A$2)+4,COLUMN(C33)-COLUMN($A$2)+1+$B$1)</f>
        <v/>
      </c>
      <c r="D34" s="126" t="str" cm="1">
        <f t="array" ref="D34">INDEX('Questions global'!$A:$YP,ROW(D33)-ROW($A$2)+4,COLUMN(D33)-COLUMN($A$2)+1+$B$1)</f>
        <v/>
      </c>
      <c r="E34" s="104" t="str" cm="1">
        <f t="array" aca="1" ref="E34" ca="1">INDEX('Questions global'!$A:$YP,ROW(E33)-ROW($A$2)+4,COLUMN(E33)-COLUMN($A$2)+1+$B$1)</f>
        <v xml:space="preserve">   </v>
      </c>
      <c r="F34" s="105" t="str" cm="1">
        <f t="array" ref="F34">INDEX('Questions global'!$A:$YP,ROW(F33)-ROW($A$2)+4,COLUMN(F33)-COLUMN($A$2)+1+$B$1)</f>
        <v xml:space="preserve"> </v>
      </c>
      <c r="G34" s="112" t="str" cm="1">
        <f t="array" ref="G34">INDEX('Questions global'!$A:$YP,ROW(G33)-ROW($A$2)+4,COLUMN(G33)-COLUMN($A$2)+1+$B$1)</f>
        <v/>
      </c>
      <c r="H34" s="104" t="str" cm="1">
        <f t="array" aca="1" ref="H34" ca="1">INDEX('Questions global'!$A:$YP,ROW(H33)-ROW($A$2)+4,COLUMN(H33)-COLUMN($A$2)+1+$B$1)</f>
        <v/>
      </c>
      <c r="I34" s="119" t="str" cm="1">
        <f t="array" aca="1" ref="I34" ca="1">INDEX('Questions global'!$A:$YP,ROW(I33)-ROW($A$2)+4,COLUMN(I33)-COLUMN($A$2)+1+$B$1)</f>
        <v/>
      </c>
    </row>
    <row r="35" spans="1:9" ht="15" customHeight="1" x14ac:dyDescent="0.3">
      <c r="A35" s="118" cm="1">
        <f t="array" ref="A35">INDEX('Questions global'!$A:$YP,ROW(A34)-ROW($A$2)+4,COLUMN(A34)-COLUMN($A$2)+1+$B$1)</f>
        <v>34</v>
      </c>
      <c r="B35" s="106" t="str" cm="1">
        <f t="array" ref="B35">INDEX('Questions global'!$A:$YP,ROW(B34)-ROW($A$2)+4,COLUMN(B34)-COLUMN($A$2)+1+$B$1)</f>
        <v/>
      </c>
      <c r="C35" s="106" t="str" cm="1">
        <f t="array" ref="C35">INDEX('Questions global'!$A:$YP,ROW(C34)-ROW($A$2)+4,COLUMN(C34)-COLUMN($A$2)+1+$B$1)</f>
        <v/>
      </c>
      <c r="D35" s="126" t="str" cm="1">
        <f t="array" ref="D35">INDEX('Questions global'!$A:$YP,ROW(D34)-ROW($A$2)+4,COLUMN(D34)-COLUMN($A$2)+1+$B$1)</f>
        <v/>
      </c>
      <c r="E35" s="104" t="str" cm="1">
        <f t="array" aca="1" ref="E35" ca="1">INDEX('Questions global'!$A:$YP,ROW(E34)-ROW($A$2)+4,COLUMN(E34)-COLUMN($A$2)+1+$B$1)</f>
        <v xml:space="preserve">   </v>
      </c>
      <c r="F35" s="105" t="str" cm="1">
        <f t="array" ref="F35">INDEX('Questions global'!$A:$YP,ROW(F34)-ROW($A$2)+4,COLUMN(F34)-COLUMN($A$2)+1+$B$1)</f>
        <v xml:space="preserve"> </v>
      </c>
      <c r="G35" s="112" t="str" cm="1">
        <f t="array" ref="G35">INDEX('Questions global'!$A:$YP,ROW(G34)-ROW($A$2)+4,COLUMN(G34)-COLUMN($A$2)+1+$B$1)</f>
        <v/>
      </c>
      <c r="H35" s="104" t="str" cm="1">
        <f t="array" aca="1" ref="H35" ca="1">INDEX('Questions global'!$A:$YP,ROW(H34)-ROW($A$2)+4,COLUMN(H34)-COLUMN($A$2)+1+$B$1)</f>
        <v/>
      </c>
      <c r="I35" s="119" t="str" cm="1">
        <f t="array" aca="1" ref="I35" ca="1">INDEX('Questions global'!$A:$YP,ROW(I34)-ROW($A$2)+4,COLUMN(I34)-COLUMN($A$2)+1+$B$1)</f>
        <v/>
      </c>
    </row>
    <row r="36" spans="1:9" ht="15" customHeight="1" x14ac:dyDescent="0.3">
      <c r="A36" s="118" cm="1">
        <f t="array" ref="A36">INDEX('Questions global'!$A:$YP,ROW(A35)-ROW($A$2)+4,COLUMN(A35)-COLUMN($A$2)+1+$B$1)</f>
        <v>35</v>
      </c>
      <c r="B36" s="106" t="str" cm="1">
        <f t="array" ref="B36">INDEX('Questions global'!$A:$YP,ROW(B35)-ROW($A$2)+4,COLUMN(B35)-COLUMN($A$2)+1+$B$1)</f>
        <v/>
      </c>
      <c r="C36" s="106" t="str" cm="1">
        <f t="array" ref="C36">INDEX('Questions global'!$A:$YP,ROW(C35)-ROW($A$2)+4,COLUMN(C35)-COLUMN($A$2)+1+$B$1)</f>
        <v/>
      </c>
      <c r="D36" s="126" t="str" cm="1">
        <f t="array" ref="D36">INDEX('Questions global'!$A:$YP,ROW(D35)-ROW($A$2)+4,COLUMN(D35)-COLUMN($A$2)+1+$B$1)</f>
        <v/>
      </c>
      <c r="E36" s="104" t="str" cm="1">
        <f t="array" aca="1" ref="E36" ca="1">INDEX('Questions global'!$A:$YP,ROW(E35)-ROW($A$2)+4,COLUMN(E35)-COLUMN($A$2)+1+$B$1)</f>
        <v xml:space="preserve">   </v>
      </c>
      <c r="F36" s="105" t="str" cm="1">
        <f t="array" ref="F36">INDEX('Questions global'!$A:$YP,ROW(F35)-ROW($A$2)+4,COLUMN(F35)-COLUMN($A$2)+1+$B$1)</f>
        <v xml:space="preserve"> </v>
      </c>
      <c r="G36" s="112" t="str" cm="1">
        <f t="array" ref="G36">INDEX('Questions global'!$A:$YP,ROW(G35)-ROW($A$2)+4,COLUMN(G35)-COLUMN($A$2)+1+$B$1)</f>
        <v/>
      </c>
      <c r="H36" s="104" t="str" cm="1">
        <f t="array" aca="1" ref="H36" ca="1">INDEX('Questions global'!$A:$YP,ROW(H35)-ROW($A$2)+4,COLUMN(H35)-COLUMN($A$2)+1+$B$1)</f>
        <v/>
      </c>
      <c r="I36" s="119" t="str" cm="1">
        <f t="array" aca="1" ref="I36" ca="1">INDEX('Questions global'!$A:$YP,ROW(I35)-ROW($A$2)+4,COLUMN(I35)-COLUMN($A$2)+1+$B$1)</f>
        <v/>
      </c>
    </row>
    <row r="37" spans="1:9" ht="16.5" customHeight="1" x14ac:dyDescent="0.3">
      <c r="A37" s="118" cm="1">
        <f t="array" ref="A37">INDEX('Questions global'!$A:$YP,ROW(A36)-ROW($A$2)+4,COLUMN(A36)-COLUMN($A$2)+1+$B$1)</f>
        <v>36</v>
      </c>
      <c r="B37" s="106" t="str" cm="1">
        <f t="array" ref="B37">INDEX('Questions global'!$A:$YP,ROW(B36)-ROW($A$2)+4,COLUMN(B36)-COLUMN($A$2)+1+$B$1)</f>
        <v/>
      </c>
      <c r="C37" s="106" t="str" cm="1">
        <f t="array" ref="C37">INDEX('Questions global'!$A:$YP,ROW(C36)-ROW($A$2)+4,COLUMN(C36)-COLUMN($A$2)+1+$B$1)</f>
        <v/>
      </c>
      <c r="D37" s="126" t="str" cm="1">
        <f t="array" ref="D37">INDEX('Questions global'!$A:$YP,ROW(D36)-ROW($A$2)+4,COLUMN(D36)-COLUMN($A$2)+1+$B$1)</f>
        <v/>
      </c>
      <c r="E37" s="104" t="str" cm="1">
        <f t="array" aca="1" ref="E37" ca="1">INDEX('Questions global'!$A:$YP,ROW(E36)-ROW($A$2)+4,COLUMN(E36)-COLUMN($A$2)+1+$B$1)</f>
        <v xml:space="preserve">   </v>
      </c>
      <c r="F37" s="105" t="str" cm="1">
        <f t="array" ref="F37">INDEX('Questions global'!$A:$YP,ROW(F36)-ROW($A$2)+4,COLUMN(F36)-COLUMN($A$2)+1+$B$1)</f>
        <v xml:space="preserve"> </v>
      </c>
      <c r="G37" s="112" t="str" cm="1">
        <f t="array" ref="G37">INDEX('Questions global'!$A:$YP,ROW(G36)-ROW($A$2)+4,COLUMN(G36)-COLUMN($A$2)+1+$B$1)</f>
        <v/>
      </c>
      <c r="H37" s="104" t="str" cm="1">
        <f t="array" aca="1" ref="H37" ca="1">INDEX('Questions global'!$A:$YP,ROW(H36)-ROW($A$2)+4,COLUMN(H36)-COLUMN($A$2)+1+$B$1)</f>
        <v/>
      </c>
      <c r="I37" s="119" t="str" cm="1">
        <f t="array" aca="1" ref="I37" ca="1">INDEX('Questions global'!$A:$YP,ROW(I36)-ROW($A$2)+4,COLUMN(I36)-COLUMN($A$2)+1+$B$1)</f>
        <v/>
      </c>
    </row>
    <row r="38" spans="1:9" ht="16.5" customHeight="1" x14ac:dyDescent="0.3">
      <c r="A38" s="118" cm="1">
        <f t="array" ref="A38">INDEX('Questions global'!$A:$YP,ROW(A37)-ROW($A$2)+4,COLUMN(A37)-COLUMN($A$2)+1+$B$1)</f>
        <v>37</v>
      </c>
      <c r="B38" s="106" t="str" cm="1">
        <f t="array" ref="B38">INDEX('Questions global'!$A:$YP,ROW(B37)-ROW($A$2)+4,COLUMN(B37)-COLUMN($A$2)+1+$B$1)</f>
        <v/>
      </c>
      <c r="C38" s="106" t="str" cm="1">
        <f t="array" ref="C38">INDEX('Questions global'!$A:$YP,ROW(C37)-ROW($A$2)+4,COLUMN(C37)-COLUMN($A$2)+1+$B$1)</f>
        <v/>
      </c>
      <c r="D38" s="126" t="str" cm="1">
        <f t="array" ref="D38">INDEX('Questions global'!$A:$YP,ROW(D37)-ROW($A$2)+4,COLUMN(D37)-COLUMN($A$2)+1+$B$1)</f>
        <v/>
      </c>
      <c r="E38" s="104" t="str" cm="1">
        <f t="array" aca="1" ref="E38" ca="1">INDEX('Questions global'!$A:$YP,ROW(E37)-ROW($A$2)+4,COLUMN(E37)-COLUMN($A$2)+1+$B$1)</f>
        <v xml:space="preserve">   </v>
      </c>
      <c r="F38" s="105" t="str" cm="1">
        <f t="array" ref="F38">INDEX('Questions global'!$A:$YP,ROW(F37)-ROW($A$2)+4,COLUMN(F37)-COLUMN($A$2)+1+$B$1)</f>
        <v xml:space="preserve"> </v>
      </c>
      <c r="G38" s="112" t="str" cm="1">
        <f t="array" ref="G38">INDEX('Questions global'!$A:$YP,ROW(G37)-ROW($A$2)+4,COLUMN(G37)-COLUMN($A$2)+1+$B$1)</f>
        <v/>
      </c>
      <c r="H38" s="104" t="str" cm="1">
        <f t="array" aca="1" ref="H38" ca="1">INDEX('Questions global'!$A:$YP,ROW(H37)-ROW($A$2)+4,COLUMN(H37)-COLUMN($A$2)+1+$B$1)</f>
        <v/>
      </c>
      <c r="I38" s="119" t="str" cm="1">
        <f t="array" aca="1" ref="I38" ca="1">INDEX('Questions global'!$A:$YP,ROW(I37)-ROW($A$2)+4,COLUMN(I37)-COLUMN($A$2)+1+$B$1)</f>
        <v/>
      </c>
    </row>
    <row r="39" spans="1:9" ht="16.5" customHeight="1" x14ac:dyDescent="0.3">
      <c r="A39" s="118" cm="1">
        <f t="array" ref="A39">INDEX('Questions global'!$A:$YP,ROW(A38)-ROW($A$2)+4,COLUMN(A38)-COLUMN($A$2)+1+$B$1)</f>
        <v>38</v>
      </c>
      <c r="B39" s="106" t="str" cm="1">
        <f t="array" ref="B39">INDEX('Questions global'!$A:$YP,ROW(B38)-ROW($A$2)+4,COLUMN(B38)-COLUMN($A$2)+1+$B$1)</f>
        <v/>
      </c>
      <c r="C39" s="106" t="str" cm="1">
        <f t="array" ref="C39">INDEX('Questions global'!$A:$YP,ROW(C38)-ROW($A$2)+4,COLUMN(C38)-COLUMN($A$2)+1+$B$1)</f>
        <v/>
      </c>
      <c r="D39" s="126" t="str" cm="1">
        <f t="array" ref="D39">INDEX('Questions global'!$A:$YP,ROW(D38)-ROW($A$2)+4,COLUMN(D38)-COLUMN($A$2)+1+$B$1)</f>
        <v/>
      </c>
      <c r="E39" s="104" t="str" cm="1">
        <f t="array" aca="1" ref="E39" ca="1">INDEX('Questions global'!$A:$YP,ROW(E38)-ROW($A$2)+4,COLUMN(E38)-COLUMN($A$2)+1+$B$1)</f>
        <v xml:space="preserve">   </v>
      </c>
      <c r="F39" s="105" t="str" cm="1">
        <f t="array" ref="F39">INDEX('Questions global'!$A:$YP,ROW(F38)-ROW($A$2)+4,COLUMN(F38)-COLUMN($A$2)+1+$B$1)</f>
        <v xml:space="preserve"> </v>
      </c>
      <c r="G39" s="112" t="str" cm="1">
        <f t="array" ref="G39">INDEX('Questions global'!$A:$YP,ROW(G38)-ROW($A$2)+4,COLUMN(G38)-COLUMN($A$2)+1+$B$1)</f>
        <v/>
      </c>
      <c r="H39" s="104" t="str" cm="1">
        <f t="array" aca="1" ref="H39" ca="1">INDEX('Questions global'!$A:$YP,ROW(H38)-ROW($A$2)+4,COLUMN(H38)-COLUMN($A$2)+1+$B$1)</f>
        <v/>
      </c>
      <c r="I39" s="119" t="str" cm="1">
        <f t="array" aca="1" ref="I39" ca="1">INDEX('Questions global'!$A:$YP,ROW(I38)-ROW($A$2)+4,COLUMN(I38)-COLUMN($A$2)+1+$B$1)</f>
        <v/>
      </c>
    </row>
    <row r="40" spans="1:9" ht="16.5" customHeight="1" x14ac:dyDescent="0.3">
      <c r="A40" s="118" cm="1">
        <f t="array" ref="A40">INDEX('Questions global'!$A:$YP,ROW(A39)-ROW($A$2)+4,COLUMN(A39)-COLUMN($A$2)+1+$B$1)</f>
        <v>39</v>
      </c>
      <c r="B40" s="106" t="str" cm="1">
        <f t="array" ref="B40">INDEX('Questions global'!$A:$YP,ROW(B39)-ROW($A$2)+4,COLUMN(B39)-COLUMN($A$2)+1+$B$1)</f>
        <v/>
      </c>
      <c r="C40" s="106" t="str" cm="1">
        <f t="array" ref="C40">INDEX('Questions global'!$A:$YP,ROW(C39)-ROW($A$2)+4,COLUMN(C39)-COLUMN($A$2)+1+$B$1)</f>
        <v/>
      </c>
      <c r="D40" s="126" t="str" cm="1">
        <f t="array" ref="D40">INDEX('Questions global'!$A:$YP,ROW(D39)-ROW($A$2)+4,COLUMN(D39)-COLUMN($A$2)+1+$B$1)</f>
        <v/>
      </c>
      <c r="E40" s="104" t="str" cm="1">
        <f t="array" aca="1" ref="E40" ca="1">INDEX('Questions global'!$A:$YP,ROW(E39)-ROW($A$2)+4,COLUMN(E39)-COLUMN($A$2)+1+$B$1)</f>
        <v xml:space="preserve">   </v>
      </c>
      <c r="F40" s="105" t="str" cm="1">
        <f t="array" ref="F40">INDEX('Questions global'!$A:$YP,ROW(F39)-ROW($A$2)+4,COLUMN(F39)-COLUMN($A$2)+1+$B$1)</f>
        <v xml:space="preserve"> </v>
      </c>
      <c r="G40" s="112" t="str" cm="1">
        <f t="array" ref="G40">INDEX('Questions global'!$A:$YP,ROW(G39)-ROW($A$2)+4,COLUMN(G39)-COLUMN($A$2)+1+$B$1)</f>
        <v/>
      </c>
      <c r="H40" s="104" t="str" cm="1">
        <f t="array" aca="1" ref="H40" ca="1">INDEX('Questions global'!$A:$YP,ROW(H39)-ROW($A$2)+4,COLUMN(H39)-COLUMN($A$2)+1+$B$1)</f>
        <v/>
      </c>
      <c r="I40" s="119" t="str" cm="1">
        <f t="array" aca="1" ref="I40" ca="1">INDEX('Questions global'!$A:$YP,ROW(I39)-ROW($A$2)+4,COLUMN(I39)-COLUMN($A$2)+1+$B$1)</f>
        <v/>
      </c>
    </row>
    <row r="41" spans="1:9" ht="16.5" customHeight="1" x14ac:dyDescent="0.3">
      <c r="A41" s="118" cm="1">
        <f t="array" ref="A41">INDEX('Questions global'!$A:$YP,ROW(A40)-ROW($A$2)+4,COLUMN(A40)-COLUMN($A$2)+1+$B$1)</f>
        <v>40</v>
      </c>
      <c r="B41" s="106" t="str" cm="1">
        <f t="array" ref="B41">INDEX('Questions global'!$A:$YP,ROW(B40)-ROW($A$2)+4,COLUMN(B40)-COLUMN($A$2)+1+$B$1)</f>
        <v/>
      </c>
      <c r="C41" s="106" t="str" cm="1">
        <f t="array" ref="C41">INDEX('Questions global'!$A:$YP,ROW(C40)-ROW($A$2)+4,COLUMN(C40)-COLUMN($A$2)+1+$B$1)</f>
        <v/>
      </c>
      <c r="D41" s="126" t="str" cm="1">
        <f t="array" ref="D41">INDEX('Questions global'!$A:$YP,ROW(D40)-ROW($A$2)+4,COLUMN(D40)-COLUMN($A$2)+1+$B$1)</f>
        <v/>
      </c>
      <c r="E41" s="104" t="str" cm="1">
        <f t="array" aca="1" ref="E41" ca="1">INDEX('Questions global'!$A:$YP,ROW(E40)-ROW($A$2)+4,COLUMN(E40)-COLUMN($A$2)+1+$B$1)</f>
        <v xml:space="preserve">   </v>
      </c>
      <c r="F41" s="105" t="str" cm="1">
        <f t="array" ref="F41">INDEX('Questions global'!$A:$YP,ROW(F40)-ROW($A$2)+4,COLUMN(F40)-COLUMN($A$2)+1+$B$1)</f>
        <v xml:space="preserve"> </v>
      </c>
      <c r="G41" s="112" t="str" cm="1">
        <f t="array" ref="G41">INDEX('Questions global'!$A:$YP,ROW(G40)-ROW($A$2)+4,COLUMN(G40)-COLUMN($A$2)+1+$B$1)</f>
        <v/>
      </c>
      <c r="H41" s="104" t="str" cm="1">
        <f t="array" aca="1" ref="H41" ca="1">INDEX('Questions global'!$A:$YP,ROW(H40)-ROW($A$2)+4,COLUMN(H40)-COLUMN($A$2)+1+$B$1)</f>
        <v/>
      </c>
      <c r="I41" s="119" t="str" cm="1">
        <f t="array" aca="1" ref="I41" ca="1">INDEX('Questions global'!$A:$YP,ROW(I40)-ROW($A$2)+4,COLUMN(I40)-COLUMN($A$2)+1+$B$1)</f>
        <v/>
      </c>
    </row>
    <row r="42" spans="1:9" ht="16.5" customHeight="1" x14ac:dyDescent="0.3">
      <c r="A42" s="118" cm="1">
        <f t="array" ref="A42">INDEX('Questions global'!$A:$YP,ROW(A41)-ROW($A$2)+4,COLUMN(A41)-COLUMN($A$2)+1+$B$1)</f>
        <v>41</v>
      </c>
      <c r="B42" s="106" t="str" cm="1">
        <f t="array" ref="B42">INDEX('Questions global'!$A:$YP,ROW(B41)-ROW($A$2)+4,COLUMN(B41)-COLUMN($A$2)+1+$B$1)</f>
        <v/>
      </c>
      <c r="C42" s="106" t="str" cm="1">
        <f t="array" ref="C42">INDEX('Questions global'!$A:$YP,ROW(C41)-ROW($A$2)+4,COLUMN(C41)-COLUMN($A$2)+1+$B$1)</f>
        <v/>
      </c>
      <c r="D42" s="126" t="str" cm="1">
        <f t="array" ref="D42">INDEX('Questions global'!$A:$YP,ROW(D41)-ROW($A$2)+4,COLUMN(D41)-COLUMN($A$2)+1+$B$1)</f>
        <v/>
      </c>
      <c r="E42" s="104" t="str" cm="1">
        <f t="array" aca="1" ref="E42" ca="1">INDEX('Questions global'!$A:$YP,ROW(E41)-ROW($A$2)+4,COLUMN(E41)-COLUMN($A$2)+1+$B$1)</f>
        <v xml:space="preserve">   </v>
      </c>
      <c r="F42" s="105" t="str" cm="1">
        <f t="array" ref="F42">INDEX('Questions global'!$A:$YP,ROW(F41)-ROW($A$2)+4,COLUMN(F41)-COLUMN($A$2)+1+$B$1)</f>
        <v xml:space="preserve"> </v>
      </c>
      <c r="G42" s="112" t="str" cm="1">
        <f t="array" ref="G42">INDEX('Questions global'!$A:$YP,ROW(G41)-ROW($A$2)+4,COLUMN(G41)-COLUMN($A$2)+1+$B$1)</f>
        <v/>
      </c>
      <c r="H42" s="104" t="str" cm="1">
        <f t="array" aca="1" ref="H42" ca="1">INDEX('Questions global'!$A:$YP,ROW(H41)-ROW($A$2)+4,COLUMN(H41)-COLUMN($A$2)+1+$B$1)</f>
        <v/>
      </c>
      <c r="I42" s="119" t="str" cm="1">
        <f t="array" aca="1" ref="I42" ca="1">INDEX('Questions global'!$A:$YP,ROW(I41)-ROW($A$2)+4,COLUMN(I41)-COLUMN($A$2)+1+$B$1)</f>
        <v/>
      </c>
    </row>
    <row r="43" spans="1:9" ht="16.5" customHeight="1" x14ac:dyDescent="0.3">
      <c r="A43" s="118" cm="1">
        <f t="array" ref="A43">INDEX('Questions global'!$A:$YP,ROW(A42)-ROW($A$2)+4,COLUMN(A42)-COLUMN($A$2)+1+$B$1)</f>
        <v>42</v>
      </c>
      <c r="B43" s="106" t="str" cm="1">
        <f t="array" ref="B43">INDEX('Questions global'!$A:$YP,ROW(B42)-ROW($A$2)+4,COLUMN(B42)-COLUMN($A$2)+1+$B$1)</f>
        <v/>
      </c>
      <c r="C43" s="106" t="str" cm="1">
        <f t="array" ref="C43">INDEX('Questions global'!$A:$YP,ROW(C42)-ROW($A$2)+4,COLUMN(C42)-COLUMN($A$2)+1+$B$1)</f>
        <v/>
      </c>
      <c r="D43" s="126" t="str" cm="1">
        <f t="array" ref="D43">INDEX('Questions global'!$A:$YP,ROW(D42)-ROW($A$2)+4,COLUMN(D42)-COLUMN($A$2)+1+$B$1)</f>
        <v/>
      </c>
      <c r="E43" s="104" t="str" cm="1">
        <f t="array" aca="1" ref="E43" ca="1">INDEX('Questions global'!$A:$YP,ROW(E42)-ROW($A$2)+4,COLUMN(E42)-COLUMN($A$2)+1+$B$1)</f>
        <v xml:space="preserve">   </v>
      </c>
      <c r="F43" s="105" t="str" cm="1">
        <f t="array" ref="F43">INDEX('Questions global'!$A:$YP,ROW(F42)-ROW($A$2)+4,COLUMN(F42)-COLUMN($A$2)+1+$B$1)</f>
        <v xml:space="preserve"> </v>
      </c>
      <c r="G43" s="112" t="str" cm="1">
        <f t="array" ref="G43">INDEX('Questions global'!$A:$YP,ROW(G42)-ROW($A$2)+4,COLUMN(G42)-COLUMN($A$2)+1+$B$1)</f>
        <v/>
      </c>
      <c r="H43" s="104" t="str" cm="1">
        <f t="array" aca="1" ref="H43" ca="1">INDEX('Questions global'!$A:$YP,ROW(H42)-ROW($A$2)+4,COLUMN(H42)-COLUMN($A$2)+1+$B$1)</f>
        <v/>
      </c>
      <c r="I43" s="119" t="str" cm="1">
        <f t="array" aca="1" ref="I43" ca="1">INDEX('Questions global'!$A:$YP,ROW(I42)-ROW($A$2)+4,COLUMN(I42)-COLUMN($A$2)+1+$B$1)</f>
        <v/>
      </c>
    </row>
    <row r="44" spans="1:9" ht="16.5" customHeight="1" x14ac:dyDescent="0.3">
      <c r="A44" s="118" cm="1">
        <f t="array" ref="A44">INDEX('Questions global'!$A:$YP,ROW(A43)-ROW($A$2)+4,COLUMN(A43)-COLUMN($A$2)+1+$B$1)</f>
        <v>43</v>
      </c>
      <c r="B44" s="106" t="str" cm="1">
        <f t="array" ref="B44">INDEX('Questions global'!$A:$YP,ROW(B43)-ROW($A$2)+4,COLUMN(B43)-COLUMN($A$2)+1+$B$1)</f>
        <v/>
      </c>
      <c r="C44" s="106" t="str" cm="1">
        <f t="array" ref="C44">INDEX('Questions global'!$A:$YP,ROW(C43)-ROW($A$2)+4,COLUMN(C43)-COLUMN($A$2)+1+$B$1)</f>
        <v/>
      </c>
      <c r="D44" s="126" t="str" cm="1">
        <f t="array" ref="D44">INDEX('Questions global'!$A:$YP,ROW(D43)-ROW($A$2)+4,COLUMN(D43)-COLUMN($A$2)+1+$B$1)</f>
        <v/>
      </c>
      <c r="E44" s="104" t="str" cm="1">
        <f t="array" aca="1" ref="E44" ca="1">INDEX('Questions global'!$A:$YP,ROW(E43)-ROW($A$2)+4,COLUMN(E43)-COLUMN($A$2)+1+$B$1)</f>
        <v xml:space="preserve">   </v>
      </c>
      <c r="F44" s="105" t="str" cm="1">
        <f t="array" ref="F44">INDEX('Questions global'!$A:$YP,ROW(F43)-ROW($A$2)+4,COLUMN(F43)-COLUMN($A$2)+1+$B$1)</f>
        <v xml:space="preserve"> </v>
      </c>
      <c r="G44" s="112" t="str" cm="1">
        <f t="array" ref="G44">INDEX('Questions global'!$A:$YP,ROW(G43)-ROW($A$2)+4,COLUMN(G43)-COLUMN($A$2)+1+$B$1)</f>
        <v/>
      </c>
      <c r="H44" s="104" t="str" cm="1">
        <f t="array" aca="1" ref="H44" ca="1">INDEX('Questions global'!$A:$YP,ROW(H43)-ROW($A$2)+4,COLUMN(H43)-COLUMN($A$2)+1+$B$1)</f>
        <v/>
      </c>
      <c r="I44" s="119" t="str" cm="1">
        <f t="array" aca="1" ref="I44" ca="1">INDEX('Questions global'!$A:$YP,ROW(I43)-ROW($A$2)+4,COLUMN(I43)-COLUMN($A$2)+1+$B$1)</f>
        <v/>
      </c>
    </row>
    <row r="45" spans="1:9" ht="16.5" customHeight="1" x14ac:dyDescent="0.3">
      <c r="A45" s="118" cm="1">
        <f t="array" ref="A45">INDEX('Questions global'!$A:$YP,ROW(A44)-ROW($A$2)+4,COLUMN(A44)-COLUMN($A$2)+1+$B$1)</f>
        <v>44</v>
      </c>
      <c r="B45" s="106" t="str" cm="1">
        <f t="array" ref="B45">INDEX('Questions global'!$A:$YP,ROW(B44)-ROW($A$2)+4,COLUMN(B44)-COLUMN($A$2)+1+$B$1)</f>
        <v/>
      </c>
      <c r="C45" s="106" t="str" cm="1">
        <f t="array" ref="C45">INDEX('Questions global'!$A:$YP,ROW(C44)-ROW($A$2)+4,COLUMN(C44)-COLUMN($A$2)+1+$B$1)</f>
        <v/>
      </c>
      <c r="D45" s="126" t="str" cm="1">
        <f t="array" ref="D45">INDEX('Questions global'!$A:$YP,ROW(D44)-ROW($A$2)+4,COLUMN(D44)-COLUMN($A$2)+1+$B$1)</f>
        <v/>
      </c>
      <c r="E45" s="104" t="str" cm="1">
        <f t="array" aca="1" ref="E45" ca="1">INDEX('Questions global'!$A:$YP,ROW(E44)-ROW($A$2)+4,COLUMN(E44)-COLUMN($A$2)+1+$B$1)</f>
        <v xml:space="preserve">   </v>
      </c>
      <c r="F45" s="105" t="str" cm="1">
        <f t="array" ref="F45">INDEX('Questions global'!$A:$YP,ROW(F44)-ROW($A$2)+4,COLUMN(F44)-COLUMN($A$2)+1+$B$1)</f>
        <v xml:space="preserve"> </v>
      </c>
      <c r="G45" s="112" t="str" cm="1">
        <f t="array" ref="G45">INDEX('Questions global'!$A:$YP,ROW(G44)-ROW($A$2)+4,COLUMN(G44)-COLUMN($A$2)+1+$B$1)</f>
        <v/>
      </c>
      <c r="H45" s="104" t="str" cm="1">
        <f t="array" aca="1" ref="H45" ca="1">INDEX('Questions global'!$A:$YP,ROW(H44)-ROW($A$2)+4,COLUMN(H44)-COLUMN($A$2)+1+$B$1)</f>
        <v/>
      </c>
      <c r="I45" s="119" t="str" cm="1">
        <f t="array" aca="1" ref="I45" ca="1">INDEX('Questions global'!$A:$YP,ROW(I44)-ROW($A$2)+4,COLUMN(I44)-COLUMN($A$2)+1+$B$1)</f>
        <v/>
      </c>
    </row>
    <row r="46" spans="1:9" ht="16.5" customHeight="1" x14ac:dyDescent="0.3">
      <c r="A46" s="118" cm="1">
        <f t="array" ref="A46">INDEX('Questions global'!$A:$YP,ROW(A45)-ROW($A$2)+4,COLUMN(A45)-COLUMN($A$2)+1+$B$1)</f>
        <v>45</v>
      </c>
      <c r="B46" s="106" t="str" cm="1">
        <f t="array" ref="B46">INDEX('Questions global'!$A:$YP,ROW(B45)-ROW($A$2)+4,COLUMN(B45)-COLUMN($A$2)+1+$B$1)</f>
        <v/>
      </c>
      <c r="C46" s="106" t="str" cm="1">
        <f t="array" ref="C46">INDEX('Questions global'!$A:$YP,ROW(C45)-ROW($A$2)+4,COLUMN(C45)-COLUMN($A$2)+1+$B$1)</f>
        <v/>
      </c>
      <c r="D46" s="126" t="str" cm="1">
        <f t="array" ref="D46">INDEX('Questions global'!$A:$YP,ROW(D45)-ROW($A$2)+4,COLUMN(D45)-COLUMN($A$2)+1+$B$1)</f>
        <v/>
      </c>
      <c r="E46" s="104" t="str" cm="1">
        <f t="array" aca="1" ref="E46" ca="1">INDEX('Questions global'!$A:$YP,ROW(E45)-ROW($A$2)+4,COLUMN(E45)-COLUMN($A$2)+1+$B$1)</f>
        <v xml:space="preserve">   </v>
      </c>
      <c r="F46" s="105" t="str" cm="1">
        <f t="array" ref="F46">INDEX('Questions global'!$A:$YP,ROW(F45)-ROW($A$2)+4,COLUMN(F45)-COLUMN($A$2)+1+$B$1)</f>
        <v xml:space="preserve"> </v>
      </c>
      <c r="G46" s="112" t="str" cm="1">
        <f t="array" ref="G46">INDEX('Questions global'!$A:$YP,ROW(G45)-ROW($A$2)+4,COLUMN(G45)-COLUMN($A$2)+1+$B$1)</f>
        <v/>
      </c>
      <c r="H46" s="104" t="str" cm="1">
        <f t="array" aca="1" ref="H46" ca="1">INDEX('Questions global'!$A:$YP,ROW(H45)-ROW($A$2)+4,COLUMN(H45)-COLUMN($A$2)+1+$B$1)</f>
        <v/>
      </c>
      <c r="I46" s="119" t="str" cm="1">
        <f t="array" aca="1" ref="I46" ca="1">INDEX('Questions global'!$A:$YP,ROW(I45)-ROW($A$2)+4,COLUMN(I45)-COLUMN($A$2)+1+$B$1)</f>
        <v/>
      </c>
    </row>
    <row r="47" spans="1:9" ht="16.5" customHeight="1" x14ac:dyDescent="0.3">
      <c r="A47" s="118" cm="1">
        <f t="array" ref="A47">INDEX('Questions global'!$A:$YP,ROW(A46)-ROW($A$2)+4,COLUMN(A46)-COLUMN($A$2)+1+$B$1)</f>
        <v>46</v>
      </c>
      <c r="B47" s="106" t="str" cm="1">
        <f t="array" ref="B47">INDEX('Questions global'!$A:$YP,ROW(B46)-ROW($A$2)+4,COLUMN(B46)-COLUMN($A$2)+1+$B$1)</f>
        <v/>
      </c>
      <c r="C47" s="106" t="str" cm="1">
        <f t="array" ref="C47">INDEX('Questions global'!$A:$YP,ROW(C46)-ROW($A$2)+4,COLUMN(C46)-COLUMN($A$2)+1+$B$1)</f>
        <v/>
      </c>
      <c r="D47" s="126" t="str" cm="1">
        <f t="array" ref="D47">INDEX('Questions global'!$A:$YP,ROW(D46)-ROW($A$2)+4,COLUMN(D46)-COLUMN($A$2)+1+$B$1)</f>
        <v/>
      </c>
      <c r="E47" s="104" t="str" cm="1">
        <f t="array" aca="1" ref="E47" ca="1">INDEX('Questions global'!$A:$YP,ROW(E46)-ROW($A$2)+4,COLUMN(E46)-COLUMN($A$2)+1+$B$1)</f>
        <v xml:space="preserve">   </v>
      </c>
      <c r="F47" s="105" t="str" cm="1">
        <f t="array" ref="F47">INDEX('Questions global'!$A:$YP,ROW(F46)-ROW($A$2)+4,COLUMN(F46)-COLUMN($A$2)+1+$B$1)</f>
        <v xml:space="preserve"> </v>
      </c>
      <c r="G47" s="112" t="str" cm="1">
        <f t="array" ref="G47">INDEX('Questions global'!$A:$YP,ROW(G46)-ROW($A$2)+4,COLUMN(G46)-COLUMN($A$2)+1+$B$1)</f>
        <v/>
      </c>
      <c r="H47" s="104" t="str" cm="1">
        <f t="array" aca="1" ref="H47" ca="1">INDEX('Questions global'!$A:$YP,ROW(H46)-ROW($A$2)+4,COLUMN(H46)-COLUMN($A$2)+1+$B$1)</f>
        <v/>
      </c>
      <c r="I47" s="119" t="str" cm="1">
        <f t="array" aca="1" ref="I47" ca="1">INDEX('Questions global'!$A:$YP,ROW(I46)-ROW($A$2)+4,COLUMN(I46)-COLUMN($A$2)+1+$B$1)</f>
        <v/>
      </c>
    </row>
    <row r="48" spans="1:9" ht="16.5" customHeight="1" x14ac:dyDescent="0.3">
      <c r="A48" s="118" cm="1">
        <f t="array" ref="A48">INDEX('Questions global'!$A:$YP,ROW(A47)-ROW($A$2)+4,COLUMN(A47)-COLUMN($A$2)+1+$B$1)</f>
        <v>47</v>
      </c>
      <c r="B48" s="106" t="str" cm="1">
        <f t="array" ref="B48">INDEX('Questions global'!$A:$YP,ROW(B47)-ROW($A$2)+4,COLUMN(B47)-COLUMN($A$2)+1+$B$1)</f>
        <v/>
      </c>
      <c r="C48" s="106" t="str" cm="1">
        <f t="array" ref="C48">INDEX('Questions global'!$A:$YP,ROW(C47)-ROW($A$2)+4,COLUMN(C47)-COLUMN($A$2)+1+$B$1)</f>
        <v/>
      </c>
      <c r="D48" s="126" t="str" cm="1">
        <f t="array" ref="D48">INDEX('Questions global'!$A:$YP,ROW(D47)-ROW($A$2)+4,COLUMN(D47)-COLUMN($A$2)+1+$B$1)</f>
        <v/>
      </c>
      <c r="E48" s="104" t="str" cm="1">
        <f t="array" aca="1" ref="E48" ca="1">INDEX('Questions global'!$A:$YP,ROW(E47)-ROW($A$2)+4,COLUMN(E47)-COLUMN($A$2)+1+$B$1)</f>
        <v xml:space="preserve">   </v>
      </c>
      <c r="F48" s="105" t="str" cm="1">
        <f t="array" ref="F48">INDEX('Questions global'!$A:$YP,ROW(F47)-ROW($A$2)+4,COLUMN(F47)-COLUMN($A$2)+1+$B$1)</f>
        <v xml:space="preserve"> </v>
      </c>
      <c r="G48" s="112" t="str" cm="1">
        <f t="array" ref="G48">INDEX('Questions global'!$A:$YP,ROW(G47)-ROW($A$2)+4,COLUMN(G47)-COLUMN($A$2)+1+$B$1)</f>
        <v/>
      </c>
      <c r="H48" s="104" t="str" cm="1">
        <f t="array" aca="1" ref="H48" ca="1">INDEX('Questions global'!$A:$YP,ROW(H47)-ROW($A$2)+4,COLUMN(H47)-COLUMN($A$2)+1+$B$1)</f>
        <v/>
      </c>
      <c r="I48" s="119" t="str" cm="1">
        <f t="array" aca="1" ref="I48" ca="1">INDEX('Questions global'!$A:$YP,ROW(I47)-ROW($A$2)+4,COLUMN(I47)-COLUMN($A$2)+1+$B$1)</f>
        <v/>
      </c>
    </row>
    <row r="49" spans="1:9" ht="16.5" customHeight="1" x14ac:dyDescent="0.3">
      <c r="A49" s="118" cm="1">
        <f t="array" ref="A49">INDEX('Questions global'!$A:$YP,ROW(A48)-ROW($A$2)+4,COLUMN(A48)-COLUMN($A$2)+1+$B$1)</f>
        <v>48</v>
      </c>
      <c r="B49" s="106" t="str" cm="1">
        <f t="array" ref="B49">INDEX('Questions global'!$A:$YP,ROW(B48)-ROW($A$2)+4,COLUMN(B48)-COLUMN($A$2)+1+$B$1)</f>
        <v/>
      </c>
      <c r="C49" s="106" t="str" cm="1">
        <f t="array" ref="C49">INDEX('Questions global'!$A:$YP,ROW(C48)-ROW($A$2)+4,COLUMN(C48)-COLUMN($A$2)+1+$B$1)</f>
        <v/>
      </c>
      <c r="D49" s="126" t="str" cm="1">
        <f t="array" ref="D49">INDEX('Questions global'!$A:$YP,ROW(D48)-ROW($A$2)+4,COLUMN(D48)-COLUMN($A$2)+1+$B$1)</f>
        <v/>
      </c>
      <c r="E49" s="104" t="str" cm="1">
        <f t="array" aca="1" ref="E49" ca="1">INDEX('Questions global'!$A:$YP,ROW(E48)-ROW($A$2)+4,COLUMN(E48)-COLUMN($A$2)+1+$B$1)</f>
        <v xml:space="preserve">   </v>
      </c>
      <c r="F49" s="105" t="str" cm="1">
        <f t="array" ref="F49">INDEX('Questions global'!$A:$YP,ROW(F48)-ROW($A$2)+4,COLUMN(F48)-COLUMN($A$2)+1+$B$1)</f>
        <v xml:space="preserve"> </v>
      </c>
      <c r="G49" s="112" t="str" cm="1">
        <f t="array" ref="G49">INDEX('Questions global'!$A:$YP,ROW(G48)-ROW($A$2)+4,COLUMN(G48)-COLUMN($A$2)+1+$B$1)</f>
        <v/>
      </c>
      <c r="H49" s="104" t="str" cm="1">
        <f t="array" aca="1" ref="H49" ca="1">INDEX('Questions global'!$A:$YP,ROW(H48)-ROW($A$2)+4,COLUMN(H48)-COLUMN($A$2)+1+$B$1)</f>
        <v/>
      </c>
      <c r="I49" s="119" t="str" cm="1">
        <f t="array" aca="1" ref="I49" ca="1">INDEX('Questions global'!$A:$YP,ROW(I48)-ROW($A$2)+4,COLUMN(I48)-COLUMN($A$2)+1+$B$1)</f>
        <v/>
      </c>
    </row>
    <row r="50" spans="1:9" ht="16.5" customHeight="1" x14ac:dyDescent="0.3">
      <c r="A50" s="118" cm="1">
        <f t="array" ref="A50">INDEX('Questions global'!$A:$YP,ROW(A49)-ROW($A$2)+4,COLUMN(A49)-COLUMN($A$2)+1+$B$1)</f>
        <v>49</v>
      </c>
      <c r="B50" s="106" t="str" cm="1">
        <f t="array" ref="B50">INDEX('Questions global'!$A:$YP,ROW(B49)-ROW($A$2)+4,COLUMN(B49)-COLUMN($A$2)+1+$B$1)</f>
        <v/>
      </c>
      <c r="C50" s="106" t="str" cm="1">
        <f t="array" ref="C50">INDEX('Questions global'!$A:$YP,ROW(C49)-ROW($A$2)+4,COLUMN(C49)-COLUMN($A$2)+1+$B$1)</f>
        <v/>
      </c>
      <c r="D50" s="126" t="str" cm="1">
        <f t="array" ref="D50">INDEX('Questions global'!$A:$YP,ROW(D49)-ROW($A$2)+4,COLUMN(D49)-COLUMN($A$2)+1+$B$1)</f>
        <v/>
      </c>
      <c r="E50" s="104" t="str" cm="1">
        <f t="array" aca="1" ref="E50" ca="1">INDEX('Questions global'!$A:$YP,ROW(E49)-ROW($A$2)+4,COLUMN(E49)-COLUMN($A$2)+1+$B$1)</f>
        <v xml:space="preserve">   </v>
      </c>
      <c r="F50" s="105" t="str" cm="1">
        <f t="array" ref="F50">INDEX('Questions global'!$A:$YP,ROW(F49)-ROW($A$2)+4,COLUMN(F49)-COLUMN($A$2)+1+$B$1)</f>
        <v xml:space="preserve"> </v>
      </c>
      <c r="G50" s="112" t="str" cm="1">
        <f t="array" ref="G50">INDEX('Questions global'!$A:$YP,ROW(G49)-ROW($A$2)+4,COLUMN(G49)-COLUMN($A$2)+1+$B$1)</f>
        <v/>
      </c>
      <c r="H50" s="104" t="str" cm="1">
        <f t="array" aca="1" ref="H50" ca="1">INDEX('Questions global'!$A:$YP,ROW(H49)-ROW($A$2)+4,COLUMN(H49)-COLUMN($A$2)+1+$B$1)</f>
        <v/>
      </c>
      <c r="I50" s="119" t="str" cm="1">
        <f t="array" aca="1" ref="I50" ca="1">INDEX('Questions global'!$A:$YP,ROW(I49)-ROW($A$2)+4,COLUMN(I49)-COLUMN($A$2)+1+$B$1)</f>
        <v/>
      </c>
    </row>
    <row r="51" spans="1:9" ht="16.5" customHeight="1" x14ac:dyDescent="0.3">
      <c r="A51" s="118" cm="1">
        <f t="array" ref="A51">INDEX('Questions global'!$A:$YP,ROW(A50)-ROW($A$2)+4,COLUMN(A50)-COLUMN($A$2)+1+$B$1)</f>
        <v>50</v>
      </c>
      <c r="B51" s="106" t="str" cm="1">
        <f t="array" ref="B51">INDEX('Questions global'!$A:$YP,ROW(B50)-ROW($A$2)+4,COLUMN(B50)-COLUMN($A$2)+1+$B$1)</f>
        <v/>
      </c>
      <c r="C51" s="106" t="str" cm="1">
        <f t="array" ref="C51">INDEX('Questions global'!$A:$YP,ROW(C50)-ROW($A$2)+4,COLUMN(C50)-COLUMN($A$2)+1+$B$1)</f>
        <v/>
      </c>
      <c r="D51" s="126" t="str" cm="1">
        <f t="array" ref="D51">INDEX('Questions global'!$A:$YP,ROW(D50)-ROW($A$2)+4,COLUMN(D50)-COLUMN($A$2)+1+$B$1)</f>
        <v/>
      </c>
      <c r="E51" s="104" t="str" cm="1">
        <f t="array" aca="1" ref="E51" ca="1">INDEX('Questions global'!$A:$YP,ROW(E50)-ROW($A$2)+4,COLUMN(E50)-COLUMN($A$2)+1+$B$1)</f>
        <v xml:space="preserve">   </v>
      </c>
      <c r="F51" s="105" t="str" cm="1">
        <f t="array" ref="F51">INDEX('Questions global'!$A:$YP,ROW(F50)-ROW($A$2)+4,COLUMN(F50)-COLUMN($A$2)+1+$B$1)</f>
        <v xml:space="preserve"> </v>
      </c>
      <c r="G51" s="112" t="str" cm="1">
        <f t="array" ref="G51">INDEX('Questions global'!$A:$YP,ROW(G50)-ROW($A$2)+4,COLUMN(G50)-COLUMN($A$2)+1+$B$1)</f>
        <v/>
      </c>
      <c r="H51" s="104" t="str" cm="1">
        <f t="array" aca="1" ref="H51" ca="1">INDEX('Questions global'!$A:$YP,ROW(H50)-ROW($A$2)+4,COLUMN(H50)-COLUMN($A$2)+1+$B$1)</f>
        <v/>
      </c>
      <c r="I51" s="119" t="str" cm="1">
        <f t="array" aca="1" ref="I51" ca="1">INDEX('Questions global'!$A:$YP,ROW(I50)-ROW($A$2)+4,COLUMN(I50)-COLUMN($A$2)+1+$B$1)</f>
        <v/>
      </c>
    </row>
    <row r="52" spans="1:9" ht="16.5" customHeight="1" x14ac:dyDescent="0.3">
      <c r="A52" s="118" cm="1">
        <f t="array" ref="A52">INDEX('Questions global'!$A:$YP,ROW(A51)-ROW($A$2)+4,COLUMN(A51)-COLUMN($A$2)+1+$B$1)</f>
        <v>51</v>
      </c>
      <c r="B52" s="106" t="str" cm="1">
        <f t="array" ref="B52">INDEX('Questions global'!$A:$YP,ROW(B51)-ROW($A$2)+4,COLUMN(B51)-COLUMN($A$2)+1+$B$1)</f>
        <v/>
      </c>
      <c r="C52" s="106" t="str" cm="1">
        <f t="array" ref="C52">INDEX('Questions global'!$A:$YP,ROW(C51)-ROW($A$2)+4,COLUMN(C51)-COLUMN($A$2)+1+$B$1)</f>
        <v/>
      </c>
      <c r="D52" s="126" t="str" cm="1">
        <f t="array" ref="D52">INDEX('Questions global'!$A:$YP,ROW(D51)-ROW($A$2)+4,COLUMN(D51)-COLUMN($A$2)+1+$B$1)</f>
        <v/>
      </c>
      <c r="E52" s="104" t="str" cm="1">
        <f t="array" aca="1" ref="E52" ca="1">INDEX('Questions global'!$A:$YP,ROW(E51)-ROW($A$2)+4,COLUMN(E51)-COLUMN($A$2)+1+$B$1)</f>
        <v xml:space="preserve">   </v>
      </c>
      <c r="F52" s="105" t="str" cm="1">
        <f t="array" ref="F52">INDEX('Questions global'!$A:$YP,ROW(F51)-ROW($A$2)+4,COLUMN(F51)-COLUMN($A$2)+1+$B$1)</f>
        <v xml:space="preserve"> </v>
      </c>
      <c r="G52" s="112" t="str" cm="1">
        <f t="array" ref="G52">INDEX('Questions global'!$A:$YP,ROW(G51)-ROW($A$2)+4,COLUMN(G51)-COLUMN($A$2)+1+$B$1)</f>
        <v/>
      </c>
      <c r="H52" s="104" t="str" cm="1">
        <f t="array" aca="1" ref="H52" ca="1">INDEX('Questions global'!$A:$YP,ROW(H51)-ROW($A$2)+4,COLUMN(H51)-COLUMN($A$2)+1+$B$1)</f>
        <v/>
      </c>
      <c r="I52" s="119" t="str" cm="1">
        <f t="array" aca="1" ref="I52" ca="1">INDEX('Questions global'!$A:$YP,ROW(I51)-ROW($A$2)+4,COLUMN(I51)-COLUMN($A$2)+1+$B$1)</f>
        <v/>
      </c>
    </row>
    <row r="53" spans="1:9" ht="16.5" customHeight="1" x14ac:dyDescent="0.3">
      <c r="A53" s="118" cm="1">
        <f t="array" ref="A53">INDEX('Questions global'!$A:$YP,ROW(A52)-ROW($A$2)+4,COLUMN(A52)-COLUMN($A$2)+1+$B$1)</f>
        <v>52</v>
      </c>
      <c r="B53" s="106" t="str" cm="1">
        <f t="array" ref="B53">INDEX('Questions global'!$A:$YP,ROW(B52)-ROW($A$2)+4,COLUMN(B52)-COLUMN($A$2)+1+$B$1)</f>
        <v/>
      </c>
      <c r="C53" s="106" t="str" cm="1">
        <f t="array" ref="C53">INDEX('Questions global'!$A:$YP,ROW(C52)-ROW($A$2)+4,COLUMN(C52)-COLUMN($A$2)+1+$B$1)</f>
        <v/>
      </c>
      <c r="D53" s="126" t="str" cm="1">
        <f t="array" ref="D53">INDEX('Questions global'!$A:$YP,ROW(D52)-ROW($A$2)+4,COLUMN(D52)-COLUMN($A$2)+1+$B$1)</f>
        <v/>
      </c>
      <c r="E53" s="104" t="str" cm="1">
        <f t="array" aca="1" ref="E53" ca="1">INDEX('Questions global'!$A:$YP,ROW(E52)-ROW($A$2)+4,COLUMN(E52)-COLUMN($A$2)+1+$B$1)</f>
        <v xml:space="preserve">   </v>
      </c>
      <c r="F53" s="105" t="str" cm="1">
        <f t="array" ref="F53">INDEX('Questions global'!$A:$YP,ROW(F52)-ROW($A$2)+4,COLUMN(F52)-COLUMN($A$2)+1+$B$1)</f>
        <v xml:space="preserve"> </v>
      </c>
      <c r="G53" s="112" t="str" cm="1">
        <f t="array" ref="G53">INDEX('Questions global'!$A:$YP,ROW(G52)-ROW($A$2)+4,COLUMN(G52)-COLUMN($A$2)+1+$B$1)</f>
        <v/>
      </c>
      <c r="H53" s="104" t="str" cm="1">
        <f t="array" aca="1" ref="H53" ca="1">INDEX('Questions global'!$A:$YP,ROW(H52)-ROW($A$2)+4,COLUMN(H52)-COLUMN($A$2)+1+$B$1)</f>
        <v/>
      </c>
      <c r="I53" s="119" t="str" cm="1">
        <f t="array" aca="1" ref="I53" ca="1">INDEX('Questions global'!$A:$YP,ROW(I52)-ROW($A$2)+4,COLUMN(I52)-COLUMN($A$2)+1+$B$1)</f>
        <v/>
      </c>
    </row>
    <row r="54" spans="1:9" x14ac:dyDescent="0.3">
      <c r="A54" s="118" cm="1">
        <f t="array" ref="A54">INDEX('Questions global'!$A:$YP,ROW(A53)-ROW($A$2)+4,COLUMN(A53)-COLUMN($A$2)+1+$B$1)</f>
        <v>53</v>
      </c>
      <c r="B54" s="106" t="str" cm="1">
        <f t="array" ref="B54">INDEX('Questions global'!$A:$YP,ROW(B53)-ROW($A$2)+4,COLUMN(B53)-COLUMN($A$2)+1+$B$1)</f>
        <v/>
      </c>
      <c r="C54" s="106" t="str" cm="1">
        <f t="array" ref="C54">INDEX('Questions global'!$A:$YP,ROW(C53)-ROW($A$2)+4,COLUMN(C53)-COLUMN($A$2)+1+$B$1)</f>
        <v/>
      </c>
      <c r="D54" s="126" t="str" cm="1">
        <f t="array" ref="D54">INDEX('Questions global'!$A:$YP,ROW(D53)-ROW($A$2)+4,COLUMN(D53)-COLUMN($A$2)+1+$B$1)</f>
        <v/>
      </c>
      <c r="E54" s="104" t="str" cm="1">
        <f t="array" aca="1" ref="E54" ca="1">INDEX('Questions global'!$A:$YP,ROW(E53)-ROW($A$2)+4,COLUMN(E53)-COLUMN($A$2)+1+$B$1)</f>
        <v xml:space="preserve">   </v>
      </c>
      <c r="F54" s="105" t="str" cm="1">
        <f t="array" ref="F54">INDEX('Questions global'!$A:$YP,ROW(F53)-ROW($A$2)+4,COLUMN(F53)-COLUMN($A$2)+1+$B$1)</f>
        <v xml:space="preserve"> </v>
      </c>
      <c r="G54" s="112" t="str" cm="1">
        <f t="array" ref="G54">INDEX('Questions global'!$A:$YP,ROW(G53)-ROW($A$2)+4,COLUMN(G53)-COLUMN($A$2)+1+$B$1)</f>
        <v/>
      </c>
      <c r="H54" s="104" t="str" cm="1">
        <f t="array" aca="1" ref="H54" ca="1">INDEX('Questions global'!$A:$YP,ROW(H53)-ROW($A$2)+4,COLUMN(H53)-COLUMN($A$2)+1+$B$1)</f>
        <v/>
      </c>
      <c r="I54" s="119" t="str" cm="1">
        <f t="array" aca="1" ref="I54" ca="1">INDEX('Questions global'!$A:$YP,ROW(I53)-ROW($A$2)+4,COLUMN(I53)-COLUMN($A$2)+1+$B$1)</f>
        <v/>
      </c>
    </row>
    <row r="55" spans="1:9" x14ac:dyDescent="0.3">
      <c r="A55" s="118" cm="1">
        <f t="array" ref="A55">INDEX('Questions global'!$A:$YP,ROW(A54)-ROW($A$2)+4,COLUMN(A54)-COLUMN($A$2)+1+$B$1)</f>
        <v>54</v>
      </c>
      <c r="B55" s="106" t="str" cm="1">
        <f t="array" ref="B55">INDEX('Questions global'!$A:$YP,ROW(B54)-ROW($A$2)+4,COLUMN(B54)-COLUMN($A$2)+1+$B$1)</f>
        <v/>
      </c>
      <c r="C55" s="106" t="str" cm="1">
        <f t="array" ref="C55">INDEX('Questions global'!$A:$YP,ROW(C54)-ROW($A$2)+4,COLUMN(C54)-COLUMN($A$2)+1+$B$1)</f>
        <v/>
      </c>
      <c r="D55" s="126" t="str" cm="1">
        <f t="array" ref="D55">INDEX('Questions global'!$A:$YP,ROW(D54)-ROW($A$2)+4,COLUMN(D54)-COLUMN($A$2)+1+$B$1)</f>
        <v/>
      </c>
      <c r="E55" s="104" t="str" cm="1">
        <f t="array" aca="1" ref="E55" ca="1">INDEX('Questions global'!$A:$YP,ROW(E54)-ROW($A$2)+4,COLUMN(E54)-COLUMN($A$2)+1+$B$1)</f>
        <v xml:space="preserve">   </v>
      </c>
      <c r="F55" s="105" t="str" cm="1">
        <f t="array" ref="F55">INDEX('Questions global'!$A:$YP,ROW(F54)-ROW($A$2)+4,COLUMN(F54)-COLUMN($A$2)+1+$B$1)</f>
        <v xml:space="preserve"> </v>
      </c>
      <c r="G55" s="112" t="str" cm="1">
        <f t="array" ref="G55">INDEX('Questions global'!$A:$YP,ROW(G54)-ROW($A$2)+4,COLUMN(G54)-COLUMN($A$2)+1+$B$1)</f>
        <v/>
      </c>
      <c r="H55" s="104" t="str" cm="1">
        <f t="array" aca="1" ref="H55" ca="1">INDEX('Questions global'!$A:$YP,ROW(H54)-ROW($A$2)+4,COLUMN(H54)-COLUMN($A$2)+1+$B$1)</f>
        <v/>
      </c>
      <c r="I55" s="119" t="str" cm="1">
        <f t="array" aca="1" ref="I55" ca="1">INDEX('Questions global'!$A:$YP,ROW(I54)-ROW($A$2)+4,COLUMN(I54)-COLUMN($A$2)+1+$B$1)</f>
        <v/>
      </c>
    </row>
    <row r="56" spans="1:9" x14ac:dyDescent="0.3">
      <c r="A56" s="118" cm="1">
        <f t="array" ref="A56">INDEX('Questions global'!$A:$YP,ROW(A55)-ROW($A$2)+4,COLUMN(A55)-COLUMN($A$2)+1+$B$1)</f>
        <v>55</v>
      </c>
      <c r="B56" s="106" t="str" cm="1">
        <f t="array" ref="B56">INDEX('Questions global'!$A:$YP,ROW(B55)-ROW($A$2)+4,COLUMN(B55)-COLUMN($A$2)+1+$B$1)</f>
        <v/>
      </c>
      <c r="C56" s="106" t="str" cm="1">
        <f t="array" ref="C56">INDEX('Questions global'!$A:$YP,ROW(C55)-ROW($A$2)+4,COLUMN(C55)-COLUMN($A$2)+1+$B$1)</f>
        <v/>
      </c>
      <c r="D56" s="126" t="str" cm="1">
        <f t="array" ref="D56">INDEX('Questions global'!$A:$YP,ROW(D55)-ROW($A$2)+4,COLUMN(D55)-COLUMN($A$2)+1+$B$1)</f>
        <v/>
      </c>
      <c r="E56" s="104" t="str" cm="1">
        <f t="array" aca="1" ref="E56" ca="1">INDEX('Questions global'!$A:$YP,ROW(E55)-ROW($A$2)+4,COLUMN(E55)-COLUMN($A$2)+1+$B$1)</f>
        <v xml:space="preserve">   </v>
      </c>
      <c r="F56" s="105" t="str" cm="1">
        <f t="array" ref="F56">INDEX('Questions global'!$A:$YP,ROW(F55)-ROW($A$2)+4,COLUMN(F55)-COLUMN($A$2)+1+$B$1)</f>
        <v xml:space="preserve"> </v>
      </c>
      <c r="G56" s="112" t="str" cm="1">
        <f t="array" ref="G56">INDEX('Questions global'!$A:$YP,ROW(G55)-ROW($A$2)+4,COLUMN(G55)-COLUMN($A$2)+1+$B$1)</f>
        <v/>
      </c>
      <c r="H56" s="104" t="str" cm="1">
        <f t="array" aca="1" ref="H56" ca="1">INDEX('Questions global'!$A:$YP,ROW(H55)-ROW($A$2)+4,COLUMN(H55)-COLUMN($A$2)+1+$B$1)</f>
        <v/>
      </c>
      <c r="I56" s="119" t="str" cm="1">
        <f t="array" aca="1" ref="I56" ca="1">INDEX('Questions global'!$A:$YP,ROW(I55)-ROW($A$2)+4,COLUMN(I55)-COLUMN($A$2)+1+$B$1)</f>
        <v/>
      </c>
    </row>
    <row r="57" spans="1:9" x14ac:dyDescent="0.3">
      <c r="A57" s="118" cm="1">
        <f t="array" ref="A57">INDEX('Questions global'!$A:$YP,ROW(A56)-ROW($A$2)+4,COLUMN(A56)-COLUMN($A$2)+1+$B$1)</f>
        <v>56</v>
      </c>
      <c r="B57" s="106" t="str" cm="1">
        <f t="array" ref="B57">INDEX('Questions global'!$A:$YP,ROW(B56)-ROW($A$2)+4,COLUMN(B56)-COLUMN($A$2)+1+$B$1)</f>
        <v/>
      </c>
      <c r="C57" s="106" t="str" cm="1">
        <f t="array" ref="C57">INDEX('Questions global'!$A:$YP,ROW(C56)-ROW($A$2)+4,COLUMN(C56)-COLUMN($A$2)+1+$B$1)</f>
        <v/>
      </c>
      <c r="D57" s="126" t="str" cm="1">
        <f t="array" ref="D57">INDEX('Questions global'!$A:$YP,ROW(D56)-ROW($A$2)+4,COLUMN(D56)-COLUMN($A$2)+1+$B$1)</f>
        <v/>
      </c>
      <c r="E57" s="104" t="str" cm="1">
        <f t="array" aca="1" ref="E57" ca="1">INDEX('Questions global'!$A:$YP,ROW(E56)-ROW($A$2)+4,COLUMN(E56)-COLUMN($A$2)+1+$B$1)</f>
        <v xml:space="preserve">   </v>
      </c>
      <c r="F57" s="105" t="str" cm="1">
        <f t="array" ref="F57">INDEX('Questions global'!$A:$YP,ROW(F56)-ROW($A$2)+4,COLUMN(F56)-COLUMN($A$2)+1+$B$1)</f>
        <v xml:space="preserve"> </v>
      </c>
      <c r="G57" s="112" t="str" cm="1">
        <f t="array" ref="G57">INDEX('Questions global'!$A:$YP,ROW(G56)-ROW($A$2)+4,COLUMN(G56)-COLUMN($A$2)+1+$B$1)</f>
        <v/>
      </c>
      <c r="H57" s="104" t="str" cm="1">
        <f t="array" aca="1" ref="H57" ca="1">INDEX('Questions global'!$A:$YP,ROW(H56)-ROW($A$2)+4,COLUMN(H56)-COLUMN($A$2)+1+$B$1)</f>
        <v/>
      </c>
      <c r="I57" s="119" t="str" cm="1">
        <f t="array" aca="1" ref="I57" ca="1">INDEX('Questions global'!$A:$YP,ROW(I56)-ROW($A$2)+4,COLUMN(I56)-COLUMN($A$2)+1+$B$1)</f>
        <v/>
      </c>
    </row>
    <row r="58" spans="1:9" x14ac:dyDescent="0.3">
      <c r="A58" s="118" cm="1">
        <f t="array" ref="A58">INDEX('Questions global'!$A:$YP,ROW(A57)-ROW($A$2)+4,COLUMN(A57)-COLUMN($A$2)+1+$B$1)</f>
        <v>57</v>
      </c>
      <c r="B58" s="106" t="str" cm="1">
        <f t="array" ref="B58">INDEX('Questions global'!$A:$YP,ROW(B57)-ROW($A$2)+4,COLUMN(B57)-COLUMN($A$2)+1+$B$1)</f>
        <v/>
      </c>
      <c r="C58" s="106" t="str" cm="1">
        <f t="array" ref="C58">INDEX('Questions global'!$A:$YP,ROW(C57)-ROW($A$2)+4,COLUMN(C57)-COLUMN($A$2)+1+$B$1)</f>
        <v/>
      </c>
      <c r="D58" s="126" t="str" cm="1">
        <f t="array" ref="D58">INDEX('Questions global'!$A:$YP,ROW(D57)-ROW($A$2)+4,COLUMN(D57)-COLUMN($A$2)+1+$B$1)</f>
        <v/>
      </c>
      <c r="E58" s="104" t="str" cm="1">
        <f t="array" aca="1" ref="E58" ca="1">INDEX('Questions global'!$A:$YP,ROW(E57)-ROW($A$2)+4,COLUMN(E57)-COLUMN($A$2)+1+$B$1)</f>
        <v xml:space="preserve">   </v>
      </c>
      <c r="F58" s="105" t="str" cm="1">
        <f t="array" ref="F58">INDEX('Questions global'!$A:$YP,ROW(F57)-ROW($A$2)+4,COLUMN(F57)-COLUMN($A$2)+1+$B$1)</f>
        <v xml:space="preserve"> </v>
      </c>
      <c r="G58" s="112" t="str" cm="1">
        <f t="array" ref="G58">INDEX('Questions global'!$A:$YP,ROW(G57)-ROW($A$2)+4,COLUMN(G57)-COLUMN($A$2)+1+$B$1)</f>
        <v/>
      </c>
      <c r="H58" s="104" t="str" cm="1">
        <f t="array" aca="1" ref="H58" ca="1">INDEX('Questions global'!$A:$YP,ROW(H57)-ROW($A$2)+4,COLUMN(H57)-COLUMN($A$2)+1+$B$1)</f>
        <v/>
      </c>
      <c r="I58" s="119" t="str" cm="1">
        <f t="array" aca="1" ref="I58" ca="1">INDEX('Questions global'!$A:$YP,ROW(I57)-ROW($A$2)+4,COLUMN(I57)-COLUMN($A$2)+1+$B$1)</f>
        <v/>
      </c>
    </row>
    <row r="59" spans="1:9" x14ac:dyDescent="0.3">
      <c r="A59" s="118" cm="1">
        <f t="array" ref="A59">INDEX('Questions global'!$A:$YP,ROW(A58)-ROW($A$2)+4,COLUMN(A58)-COLUMN($A$2)+1+$B$1)</f>
        <v>58</v>
      </c>
      <c r="B59" s="106" t="str" cm="1">
        <f t="array" ref="B59">INDEX('Questions global'!$A:$YP,ROW(B58)-ROW($A$2)+4,COLUMN(B58)-COLUMN($A$2)+1+$B$1)</f>
        <v/>
      </c>
      <c r="C59" s="106" t="str" cm="1">
        <f t="array" ref="C59">INDEX('Questions global'!$A:$YP,ROW(C58)-ROW($A$2)+4,COLUMN(C58)-COLUMN($A$2)+1+$B$1)</f>
        <v/>
      </c>
      <c r="D59" s="126" t="str" cm="1">
        <f t="array" ref="D59">INDEX('Questions global'!$A:$YP,ROW(D58)-ROW($A$2)+4,COLUMN(D58)-COLUMN($A$2)+1+$B$1)</f>
        <v/>
      </c>
      <c r="E59" s="104" t="str" cm="1">
        <f t="array" aca="1" ref="E59" ca="1">INDEX('Questions global'!$A:$YP,ROW(E58)-ROW($A$2)+4,COLUMN(E58)-COLUMN($A$2)+1+$B$1)</f>
        <v xml:space="preserve">   </v>
      </c>
      <c r="F59" s="105" t="str" cm="1">
        <f t="array" ref="F59">INDEX('Questions global'!$A:$YP,ROW(F58)-ROW($A$2)+4,COLUMN(F58)-COLUMN($A$2)+1+$B$1)</f>
        <v xml:space="preserve"> </v>
      </c>
      <c r="G59" s="112" t="str" cm="1">
        <f t="array" ref="G59">INDEX('Questions global'!$A:$YP,ROW(G58)-ROW($A$2)+4,COLUMN(G58)-COLUMN($A$2)+1+$B$1)</f>
        <v/>
      </c>
      <c r="H59" s="104" t="str" cm="1">
        <f t="array" aca="1" ref="H59" ca="1">INDEX('Questions global'!$A:$YP,ROW(H58)-ROW($A$2)+4,COLUMN(H58)-COLUMN($A$2)+1+$B$1)</f>
        <v/>
      </c>
      <c r="I59" s="119" t="str" cm="1">
        <f t="array" aca="1" ref="I59" ca="1">INDEX('Questions global'!$A:$YP,ROW(I58)-ROW($A$2)+4,COLUMN(I58)-COLUMN($A$2)+1+$B$1)</f>
        <v/>
      </c>
    </row>
    <row r="60" spans="1:9" x14ac:dyDescent="0.3">
      <c r="A60" s="118" cm="1">
        <f t="array" ref="A60">INDEX('Questions global'!$A:$YP,ROW(A59)-ROW($A$2)+4,COLUMN(A59)-COLUMN($A$2)+1+$B$1)</f>
        <v>59</v>
      </c>
      <c r="B60" s="106" t="str" cm="1">
        <f t="array" ref="B60">INDEX('Questions global'!$A:$YP,ROW(B59)-ROW($A$2)+4,COLUMN(B59)-COLUMN($A$2)+1+$B$1)</f>
        <v/>
      </c>
      <c r="C60" s="106" t="str" cm="1">
        <f t="array" ref="C60">INDEX('Questions global'!$A:$YP,ROW(C59)-ROW($A$2)+4,COLUMN(C59)-COLUMN($A$2)+1+$B$1)</f>
        <v/>
      </c>
      <c r="D60" s="126" t="str" cm="1">
        <f t="array" ref="D60">INDEX('Questions global'!$A:$YP,ROW(D59)-ROW($A$2)+4,COLUMN(D59)-COLUMN($A$2)+1+$B$1)</f>
        <v/>
      </c>
      <c r="E60" s="104" t="str" cm="1">
        <f t="array" aca="1" ref="E60" ca="1">INDEX('Questions global'!$A:$YP,ROW(E59)-ROW($A$2)+4,COLUMN(E59)-COLUMN($A$2)+1+$B$1)</f>
        <v xml:space="preserve">   </v>
      </c>
      <c r="F60" s="105" t="str" cm="1">
        <f t="array" ref="F60">INDEX('Questions global'!$A:$YP,ROW(F59)-ROW($A$2)+4,COLUMN(F59)-COLUMN($A$2)+1+$B$1)</f>
        <v xml:space="preserve"> </v>
      </c>
      <c r="G60" s="112" t="str" cm="1">
        <f t="array" ref="G60">INDEX('Questions global'!$A:$YP,ROW(G59)-ROW($A$2)+4,COLUMN(G59)-COLUMN($A$2)+1+$B$1)</f>
        <v/>
      </c>
      <c r="H60" s="104" t="str" cm="1">
        <f t="array" aca="1" ref="H60" ca="1">INDEX('Questions global'!$A:$YP,ROW(H59)-ROW($A$2)+4,COLUMN(H59)-COLUMN($A$2)+1+$B$1)</f>
        <v/>
      </c>
      <c r="I60" s="119" t="str" cm="1">
        <f t="array" aca="1" ref="I60" ca="1">INDEX('Questions global'!$A:$YP,ROW(I59)-ROW($A$2)+4,COLUMN(I59)-COLUMN($A$2)+1+$B$1)</f>
        <v/>
      </c>
    </row>
    <row r="61" spans="1:9" x14ac:dyDescent="0.3">
      <c r="A61" s="118" cm="1">
        <f t="array" ref="A61">INDEX('Questions global'!$A:$YP,ROW(A60)-ROW($A$2)+4,COLUMN(A60)-COLUMN($A$2)+1+$B$1)</f>
        <v>60</v>
      </c>
      <c r="B61" s="106" t="str" cm="1">
        <f t="array" ref="B61">INDEX('Questions global'!$A:$YP,ROW(B60)-ROW($A$2)+4,COLUMN(B60)-COLUMN($A$2)+1+$B$1)</f>
        <v/>
      </c>
      <c r="C61" s="106" t="str" cm="1">
        <f t="array" ref="C61">INDEX('Questions global'!$A:$YP,ROW(C60)-ROW($A$2)+4,COLUMN(C60)-COLUMN($A$2)+1+$B$1)</f>
        <v/>
      </c>
      <c r="D61" s="126" t="str" cm="1">
        <f t="array" ref="D61">INDEX('Questions global'!$A:$YP,ROW(D60)-ROW($A$2)+4,COLUMN(D60)-COLUMN($A$2)+1+$B$1)</f>
        <v/>
      </c>
      <c r="E61" s="104" t="str" cm="1">
        <f t="array" aca="1" ref="E61" ca="1">INDEX('Questions global'!$A:$YP,ROW(E60)-ROW($A$2)+4,COLUMN(E60)-COLUMN($A$2)+1+$B$1)</f>
        <v xml:space="preserve">   </v>
      </c>
      <c r="F61" s="105" t="str" cm="1">
        <f t="array" ref="F61">INDEX('Questions global'!$A:$YP,ROW(F60)-ROW($A$2)+4,COLUMN(F60)-COLUMN($A$2)+1+$B$1)</f>
        <v xml:space="preserve"> </v>
      </c>
      <c r="G61" s="112" t="str" cm="1">
        <f t="array" ref="G61">INDEX('Questions global'!$A:$YP,ROW(G60)-ROW($A$2)+4,COLUMN(G60)-COLUMN($A$2)+1+$B$1)</f>
        <v/>
      </c>
      <c r="H61" s="104" t="str" cm="1">
        <f t="array" aca="1" ref="H61" ca="1">INDEX('Questions global'!$A:$YP,ROW(H60)-ROW($A$2)+4,COLUMN(H60)-COLUMN($A$2)+1+$B$1)</f>
        <v/>
      </c>
      <c r="I61" s="119" t="str" cm="1">
        <f t="array" aca="1" ref="I61" ca="1">INDEX('Questions global'!$A:$YP,ROW(I60)-ROW($A$2)+4,COLUMN(I60)-COLUMN($A$2)+1+$B$1)</f>
        <v/>
      </c>
    </row>
    <row r="62" spans="1:9" x14ac:dyDescent="0.3">
      <c r="A62" s="118" cm="1">
        <f t="array" ref="A62">INDEX('Questions global'!$A:$YP,ROW(A61)-ROW($A$2)+4,COLUMN(A61)-COLUMN($A$2)+1+$B$1)</f>
        <v>61</v>
      </c>
      <c r="B62" s="106" t="str" cm="1">
        <f t="array" ref="B62">INDEX('Questions global'!$A:$YP,ROW(B61)-ROW($A$2)+4,COLUMN(B61)-COLUMN($A$2)+1+$B$1)</f>
        <v/>
      </c>
      <c r="C62" s="106" t="str" cm="1">
        <f t="array" ref="C62">INDEX('Questions global'!$A:$YP,ROW(C61)-ROW($A$2)+4,COLUMN(C61)-COLUMN($A$2)+1+$B$1)</f>
        <v/>
      </c>
      <c r="D62" s="126" t="str" cm="1">
        <f t="array" ref="D62">INDEX('Questions global'!$A:$YP,ROW(D61)-ROW($A$2)+4,COLUMN(D61)-COLUMN($A$2)+1+$B$1)</f>
        <v/>
      </c>
      <c r="E62" s="104" t="str" cm="1">
        <f t="array" aca="1" ref="E62" ca="1">INDEX('Questions global'!$A:$YP,ROW(E61)-ROW($A$2)+4,COLUMN(E61)-COLUMN($A$2)+1+$B$1)</f>
        <v xml:space="preserve">   </v>
      </c>
      <c r="F62" s="105" t="str" cm="1">
        <f t="array" ref="F62">INDEX('Questions global'!$A:$YP,ROW(F61)-ROW($A$2)+4,COLUMN(F61)-COLUMN($A$2)+1+$B$1)</f>
        <v xml:space="preserve"> </v>
      </c>
      <c r="G62" s="112" t="str" cm="1">
        <f t="array" ref="G62">INDEX('Questions global'!$A:$YP,ROW(G61)-ROW($A$2)+4,COLUMN(G61)-COLUMN($A$2)+1+$B$1)</f>
        <v/>
      </c>
      <c r="H62" s="104" t="str" cm="1">
        <f t="array" aca="1" ref="H62" ca="1">INDEX('Questions global'!$A:$YP,ROW(H61)-ROW($A$2)+4,COLUMN(H61)-COLUMN($A$2)+1+$B$1)</f>
        <v/>
      </c>
      <c r="I62" s="119" t="str" cm="1">
        <f t="array" aca="1" ref="I62" ca="1">INDEX('Questions global'!$A:$YP,ROW(I61)-ROW($A$2)+4,COLUMN(I61)-COLUMN($A$2)+1+$B$1)</f>
        <v/>
      </c>
    </row>
    <row r="63" spans="1:9" x14ac:dyDescent="0.3">
      <c r="A63" s="118" cm="1">
        <f t="array" ref="A63">INDEX('Questions global'!$A:$YP,ROW(A62)-ROW($A$2)+4,COLUMN(A62)-COLUMN($A$2)+1+$B$1)</f>
        <v>62</v>
      </c>
      <c r="B63" s="106" t="str" cm="1">
        <f t="array" ref="B63">INDEX('Questions global'!$A:$YP,ROW(B62)-ROW($A$2)+4,COLUMN(B62)-COLUMN($A$2)+1+$B$1)</f>
        <v/>
      </c>
      <c r="C63" s="106" t="str" cm="1">
        <f t="array" ref="C63">INDEX('Questions global'!$A:$YP,ROW(C62)-ROW($A$2)+4,COLUMN(C62)-COLUMN($A$2)+1+$B$1)</f>
        <v/>
      </c>
      <c r="D63" s="126" t="str" cm="1">
        <f t="array" ref="D63">INDEX('Questions global'!$A:$YP,ROW(D62)-ROW($A$2)+4,COLUMN(D62)-COLUMN($A$2)+1+$B$1)</f>
        <v/>
      </c>
      <c r="E63" s="104" t="str" cm="1">
        <f t="array" aca="1" ref="E63" ca="1">INDEX('Questions global'!$A:$YP,ROW(E62)-ROW($A$2)+4,COLUMN(E62)-COLUMN($A$2)+1+$B$1)</f>
        <v xml:space="preserve">   </v>
      </c>
      <c r="F63" s="105" t="str" cm="1">
        <f t="array" ref="F63">INDEX('Questions global'!$A:$YP,ROW(F62)-ROW($A$2)+4,COLUMN(F62)-COLUMN($A$2)+1+$B$1)</f>
        <v xml:space="preserve"> </v>
      </c>
      <c r="G63" s="112" t="str" cm="1">
        <f t="array" ref="G63">INDEX('Questions global'!$A:$YP,ROW(G62)-ROW($A$2)+4,COLUMN(G62)-COLUMN($A$2)+1+$B$1)</f>
        <v/>
      </c>
      <c r="H63" s="104" t="str" cm="1">
        <f t="array" aca="1" ref="H63" ca="1">INDEX('Questions global'!$A:$YP,ROW(H62)-ROW($A$2)+4,COLUMN(H62)-COLUMN($A$2)+1+$B$1)</f>
        <v/>
      </c>
      <c r="I63" s="119" t="str" cm="1">
        <f t="array" aca="1" ref="I63" ca="1">INDEX('Questions global'!$A:$YP,ROW(I62)-ROW($A$2)+4,COLUMN(I62)-COLUMN($A$2)+1+$B$1)</f>
        <v/>
      </c>
    </row>
    <row r="64" spans="1:9" x14ac:dyDescent="0.3">
      <c r="A64" s="118" cm="1">
        <f t="array" ref="A64">INDEX('Questions global'!$A:$YP,ROW(A63)-ROW($A$2)+4,COLUMN(A63)-COLUMN($A$2)+1+$B$1)</f>
        <v>63</v>
      </c>
      <c r="B64" s="106" t="str" cm="1">
        <f t="array" ref="B64">INDEX('Questions global'!$A:$YP,ROW(B63)-ROW($A$2)+4,COLUMN(B63)-COLUMN($A$2)+1+$B$1)</f>
        <v/>
      </c>
      <c r="C64" s="106" t="str" cm="1">
        <f t="array" ref="C64">INDEX('Questions global'!$A:$YP,ROW(C63)-ROW($A$2)+4,COLUMN(C63)-COLUMN($A$2)+1+$B$1)</f>
        <v/>
      </c>
      <c r="D64" s="126" t="str" cm="1">
        <f t="array" ref="D64">INDEX('Questions global'!$A:$YP,ROW(D63)-ROW($A$2)+4,COLUMN(D63)-COLUMN($A$2)+1+$B$1)</f>
        <v/>
      </c>
      <c r="E64" s="104" t="str" cm="1">
        <f t="array" aca="1" ref="E64" ca="1">INDEX('Questions global'!$A:$YP,ROW(E63)-ROW($A$2)+4,COLUMN(E63)-COLUMN($A$2)+1+$B$1)</f>
        <v xml:space="preserve">   </v>
      </c>
      <c r="F64" s="105" t="str" cm="1">
        <f t="array" ref="F64">INDEX('Questions global'!$A:$YP,ROW(F63)-ROW($A$2)+4,COLUMN(F63)-COLUMN($A$2)+1+$B$1)</f>
        <v xml:space="preserve"> </v>
      </c>
      <c r="G64" s="112" t="str" cm="1">
        <f t="array" ref="G64">INDEX('Questions global'!$A:$YP,ROW(G63)-ROW($A$2)+4,COLUMN(G63)-COLUMN($A$2)+1+$B$1)</f>
        <v/>
      </c>
      <c r="H64" s="104" t="str" cm="1">
        <f t="array" aca="1" ref="H64" ca="1">INDEX('Questions global'!$A:$YP,ROW(H63)-ROW($A$2)+4,COLUMN(H63)-COLUMN($A$2)+1+$B$1)</f>
        <v/>
      </c>
      <c r="I64" s="119" t="str" cm="1">
        <f t="array" aca="1" ref="I64" ca="1">INDEX('Questions global'!$A:$YP,ROW(I63)-ROW($A$2)+4,COLUMN(I63)-COLUMN($A$2)+1+$B$1)</f>
        <v/>
      </c>
    </row>
    <row r="65" spans="1:9" x14ac:dyDescent="0.3">
      <c r="A65" s="118" cm="1">
        <f t="array" ref="A65">INDEX('Questions global'!$A:$YP,ROW(A64)-ROW($A$2)+4,COLUMN(A64)-COLUMN($A$2)+1+$B$1)</f>
        <v>64</v>
      </c>
      <c r="B65" s="106" t="str" cm="1">
        <f t="array" ref="B65">INDEX('Questions global'!$A:$YP,ROW(B64)-ROW($A$2)+4,COLUMN(B64)-COLUMN($A$2)+1+$B$1)</f>
        <v/>
      </c>
      <c r="C65" s="106" t="str" cm="1">
        <f t="array" ref="C65">INDEX('Questions global'!$A:$YP,ROW(C64)-ROW($A$2)+4,COLUMN(C64)-COLUMN($A$2)+1+$B$1)</f>
        <v/>
      </c>
      <c r="D65" s="126" t="str" cm="1">
        <f t="array" ref="D65">INDEX('Questions global'!$A:$YP,ROW(D64)-ROW($A$2)+4,COLUMN(D64)-COLUMN($A$2)+1+$B$1)</f>
        <v/>
      </c>
      <c r="E65" s="104" t="str" cm="1">
        <f t="array" aca="1" ref="E65" ca="1">INDEX('Questions global'!$A:$YP,ROW(E64)-ROW($A$2)+4,COLUMN(E64)-COLUMN($A$2)+1+$B$1)</f>
        <v xml:space="preserve">   </v>
      </c>
      <c r="F65" s="105" t="str" cm="1">
        <f t="array" ref="F65">INDEX('Questions global'!$A:$YP,ROW(F64)-ROW($A$2)+4,COLUMN(F64)-COLUMN($A$2)+1+$B$1)</f>
        <v xml:space="preserve"> </v>
      </c>
      <c r="G65" s="112" t="str" cm="1">
        <f t="array" ref="G65">INDEX('Questions global'!$A:$YP,ROW(G64)-ROW($A$2)+4,COLUMN(G64)-COLUMN($A$2)+1+$B$1)</f>
        <v/>
      </c>
      <c r="H65" s="104" t="str" cm="1">
        <f t="array" aca="1" ref="H65" ca="1">INDEX('Questions global'!$A:$YP,ROW(H64)-ROW($A$2)+4,COLUMN(H64)-COLUMN($A$2)+1+$B$1)</f>
        <v/>
      </c>
      <c r="I65" s="119" t="str" cm="1">
        <f t="array" aca="1" ref="I65" ca="1">INDEX('Questions global'!$A:$YP,ROW(I64)-ROW($A$2)+4,COLUMN(I64)-COLUMN($A$2)+1+$B$1)</f>
        <v/>
      </c>
    </row>
    <row r="66" spans="1:9" x14ac:dyDescent="0.3">
      <c r="A66" s="118" cm="1">
        <f t="array" ref="A66">INDEX('Questions global'!$A:$YP,ROW(A65)-ROW($A$2)+4,COLUMN(A65)-COLUMN($A$2)+1+$B$1)</f>
        <v>65</v>
      </c>
      <c r="B66" s="106" t="str" cm="1">
        <f t="array" ref="B66">INDEX('Questions global'!$A:$YP,ROW(B65)-ROW($A$2)+4,COLUMN(B65)-COLUMN($A$2)+1+$B$1)</f>
        <v/>
      </c>
      <c r="C66" s="106" t="str" cm="1">
        <f t="array" ref="C66">INDEX('Questions global'!$A:$YP,ROW(C65)-ROW($A$2)+4,COLUMN(C65)-COLUMN($A$2)+1+$B$1)</f>
        <v/>
      </c>
      <c r="D66" s="126" t="str" cm="1">
        <f t="array" ref="D66">INDEX('Questions global'!$A:$YP,ROW(D65)-ROW($A$2)+4,COLUMN(D65)-COLUMN($A$2)+1+$B$1)</f>
        <v/>
      </c>
      <c r="E66" s="104" t="str" cm="1">
        <f t="array" aca="1" ref="E66" ca="1">INDEX('Questions global'!$A:$YP,ROW(E65)-ROW($A$2)+4,COLUMN(E65)-COLUMN($A$2)+1+$B$1)</f>
        <v xml:space="preserve">   </v>
      </c>
      <c r="F66" s="105" t="str" cm="1">
        <f t="array" ref="F66">INDEX('Questions global'!$A:$YP,ROW(F65)-ROW($A$2)+4,COLUMN(F65)-COLUMN($A$2)+1+$B$1)</f>
        <v xml:space="preserve"> </v>
      </c>
      <c r="G66" s="112" t="str" cm="1">
        <f t="array" ref="G66">INDEX('Questions global'!$A:$YP,ROW(G65)-ROW($A$2)+4,COLUMN(G65)-COLUMN($A$2)+1+$B$1)</f>
        <v/>
      </c>
      <c r="H66" s="104" t="str" cm="1">
        <f t="array" aca="1" ref="H66" ca="1">INDEX('Questions global'!$A:$YP,ROW(H65)-ROW($A$2)+4,COLUMN(H65)-COLUMN($A$2)+1+$B$1)</f>
        <v/>
      </c>
      <c r="I66" s="119" t="str" cm="1">
        <f t="array" aca="1" ref="I66" ca="1">INDEX('Questions global'!$A:$YP,ROW(I65)-ROW($A$2)+4,COLUMN(I65)-COLUMN($A$2)+1+$B$1)</f>
        <v/>
      </c>
    </row>
    <row r="67" spans="1:9" x14ac:dyDescent="0.3">
      <c r="A67" s="118" cm="1">
        <f t="array" ref="A67">INDEX('Questions global'!$A:$YP,ROW(A66)-ROW($A$2)+4,COLUMN(A66)-COLUMN($A$2)+1+$B$1)</f>
        <v>66</v>
      </c>
      <c r="B67" s="106" t="str" cm="1">
        <f t="array" ref="B67">INDEX('Questions global'!$A:$YP,ROW(B66)-ROW($A$2)+4,COLUMN(B66)-COLUMN($A$2)+1+$B$1)</f>
        <v/>
      </c>
      <c r="C67" s="106" t="str" cm="1">
        <f t="array" ref="C67">INDEX('Questions global'!$A:$YP,ROW(C66)-ROW($A$2)+4,COLUMN(C66)-COLUMN($A$2)+1+$B$1)</f>
        <v/>
      </c>
      <c r="D67" s="126" t="str" cm="1">
        <f t="array" ref="D67">INDEX('Questions global'!$A:$YP,ROW(D66)-ROW($A$2)+4,COLUMN(D66)-COLUMN($A$2)+1+$B$1)</f>
        <v/>
      </c>
      <c r="E67" s="104" t="str" cm="1">
        <f t="array" aca="1" ref="E67" ca="1">INDEX('Questions global'!$A:$YP,ROW(E66)-ROW($A$2)+4,COLUMN(E66)-COLUMN($A$2)+1+$B$1)</f>
        <v xml:space="preserve">   </v>
      </c>
      <c r="F67" s="105" t="str" cm="1">
        <f t="array" ref="F67">INDEX('Questions global'!$A:$YP,ROW(F66)-ROW($A$2)+4,COLUMN(F66)-COLUMN($A$2)+1+$B$1)</f>
        <v xml:space="preserve"> </v>
      </c>
      <c r="G67" s="112" t="str" cm="1">
        <f t="array" ref="G67">INDEX('Questions global'!$A:$YP,ROW(G66)-ROW($A$2)+4,COLUMN(G66)-COLUMN($A$2)+1+$B$1)</f>
        <v/>
      </c>
      <c r="H67" s="104" t="str" cm="1">
        <f t="array" aca="1" ref="H67" ca="1">INDEX('Questions global'!$A:$YP,ROW(H66)-ROW($A$2)+4,COLUMN(H66)-COLUMN($A$2)+1+$B$1)</f>
        <v/>
      </c>
      <c r="I67" s="119" t="str" cm="1">
        <f t="array" aca="1" ref="I67" ca="1">INDEX('Questions global'!$A:$YP,ROW(I66)-ROW($A$2)+4,COLUMN(I66)-COLUMN($A$2)+1+$B$1)</f>
        <v/>
      </c>
    </row>
    <row r="68" spans="1:9" x14ac:dyDescent="0.3">
      <c r="A68" s="118" cm="1">
        <f t="array" ref="A68">INDEX('Questions global'!$A:$YP,ROW(A67)-ROW($A$2)+4,COLUMN(A67)-COLUMN($A$2)+1+$B$1)</f>
        <v>67</v>
      </c>
      <c r="B68" s="106" t="str" cm="1">
        <f t="array" ref="B68">INDEX('Questions global'!$A:$YP,ROW(B67)-ROW($A$2)+4,COLUMN(B67)-COLUMN($A$2)+1+$B$1)</f>
        <v/>
      </c>
      <c r="C68" s="106" t="str" cm="1">
        <f t="array" ref="C68">INDEX('Questions global'!$A:$YP,ROW(C67)-ROW($A$2)+4,COLUMN(C67)-COLUMN($A$2)+1+$B$1)</f>
        <v/>
      </c>
      <c r="D68" s="126" t="str" cm="1">
        <f t="array" ref="D68">INDEX('Questions global'!$A:$YP,ROW(D67)-ROW($A$2)+4,COLUMN(D67)-COLUMN($A$2)+1+$B$1)</f>
        <v/>
      </c>
      <c r="E68" s="104" t="str" cm="1">
        <f t="array" aca="1" ref="E68" ca="1">INDEX('Questions global'!$A:$YP,ROW(E67)-ROW($A$2)+4,COLUMN(E67)-COLUMN($A$2)+1+$B$1)</f>
        <v xml:space="preserve">   </v>
      </c>
      <c r="F68" s="105" t="str" cm="1">
        <f t="array" ref="F68">INDEX('Questions global'!$A:$YP,ROW(F67)-ROW($A$2)+4,COLUMN(F67)-COLUMN($A$2)+1+$B$1)</f>
        <v xml:space="preserve"> </v>
      </c>
      <c r="G68" s="112" t="str" cm="1">
        <f t="array" ref="G68">INDEX('Questions global'!$A:$YP,ROW(G67)-ROW($A$2)+4,COLUMN(G67)-COLUMN($A$2)+1+$B$1)</f>
        <v/>
      </c>
      <c r="H68" s="104" t="str" cm="1">
        <f t="array" aca="1" ref="H68" ca="1">INDEX('Questions global'!$A:$YP,ROW(H67)-ROW($A$2)+4,COLUMN(H67)-COLUMN($A$2)+1+$B$1)</f>
        <v/>
      </c>
      <c r="I68" s="119" t="str" cm="1">
        <f t="array" aca="1" ref="I68" ca="1">INDEX('Questions global'!$A:$YP,ROW(I67)-ROW($A$2)+4,COLUMN(I67)-COLUMN($A$2)+1+$B$1)</f>
        <v/>
      </c>
    </row>
    <row r="69" spans="1:9" x14ac:dyDescent="0.3">
      <c r="A69" s="118" cm="1">
        <f t="array" ref="A69">INDEX('Questions global'!$A:$YP,ROW(A68)-ROW($A$2)+4,COLUMN(A68)-COLUMN($A$2)+1+$B$1)</f>
        <v>68</v>
      </c>
      <c r="B69" s="106" t="str" cm="1">
        <f t="array" ref="B69">INDEX('Questions global'!$A:$YP,ROW(B68)-ROW($A$2)+4,COLUMN(B68)-COLUMN($A$2)+1+$B$1)</f>
        <v/>
      </c>
      <c r="C69" s="106" t="str" cm="1">
        <f t="array" ref="C69">INDEX('Questions global'!$A:$YP,ROW(C68)-ROW($A$2)+4,COLUMN(C68)-COLUMN($A$2)+1+$B$1)</f>
        <v/>
      </c>
      <c r="D69" s="126" t="str" cm="1">
        <f t="array" ref="D69">INDEX('Questions global'!$A:$YP,ROW(D68)-ROW($A$2)+4,COLUMN(D68)-COLUMN($A$2)+1+$B$1)</f>
        <v/>
      </c>
      <c r="E69" s="104" t="str" cm="1">
        <f t="array" aca="1" ref="E69" ca="1">INDEX('Questions global'!$A:$YP,ROW(E68)-ROW($A$2)+4,COLUMN(E68)-COLUMN($A$2)+1+$B$1)</f>
        <v xml:space="preserve">   </v>
      </c>
      <c r="F69" s="105" t="str" cm="1">
        <f t="array" ref="F69">INDEX('Questions global'!$A:$YP,ROW(F68)-ROW($A$2)+4,COLUMN(F68)-COLUMN($A$2)+1+$B$1)</f>
        <v xml:space="preserve"> </v>
      </c>
      <c r="G69" s="112" t="str" cm="1">
        <f t="array" ref="G69">INDEX('Questions global'!$A:$YP,ROW(G68)-ROW($A$2)+4,COLUMN(G68)-COLUMN($A$2)+1+$B$1)</f>
        <v/>
      </c>
      <c r="H69" s="104" t="str" cm="1">
        <f t="array" aca="1" ref="H69" ca="1">INDEX('Questions global'!$A:$YP,ROW(H68)-ROW($A$2)+4,COLUMN(H68)-COLUMN($A$2)+1+$B$1)</f>
        <v/>
      </c>
      <c r="I69" s="119" t="str" cm="1">
        <f t="array" aca="1" ref="I69" ca="1">INDEX('Questions global'!$A:$YP,ROW(I68)-ROW($A$2)+4,COLUMN(I68)-COLUMN($A$2)+1+$B$1)</f>
        <v/>
      </c>
    </row>
    <row r="70" spans="1:9" x14ac:dyDescent="0.3">
      <c r="A70" s="118" cm="1">
        <f t="array" ref="A70">INDEX('Questions global'!$A:$YP,ROW(A69)-ROW($A$2)+4,COLUMN(A69)-COLUMN($A$2)+1+$B$1)</f>
        <v>69</v>
      </c>
      <c r="B70" s="106" t="str" cm="1">
        <f t="array" ref="B70">INDEX('Questions global'!$A:$YP,ROW(B69)-ROW($A$2)+4,COLUMN(B69)-COLUMN($A$2)+1+$B$1)</f>
        <v/>
      </c>
      <c r="C70" s="106" t="str" cm="1">
        <f t="array" ref="C70">INDEX('Questions global'!$A:$YP,ROW(C69)-ROW($A$2)+4,COLUMN(C69)-COLUMN($A$2)+1+$B$1)</f>
        <v/>
      </c>
      <c r="D70" s="126" t="str" cm="1">
        <f t="array" ref="D70">INDEX('Questions global'!$A:$YP,ROW(D69)-ROW($A$2)+4,COLUMN(D69)-COLUMN($A$2)+1+$B$1)</f>
        <v/>
      </c>
      <c r="E70" s="104" t="str" cm="1">
        <f t="array" aca="1" ref="E70" ca="1">INDEX('Questions global'!$A:$YP,ROW(E69)-ROW($A$2)+4,COLUMN(E69)-COLUMN($A$2)+1+$B$1)</f>
        <v xml:space="preserve">   </v>
      </c>
      <c r="F70" s="105" t="str" cm="1">
        <f t="array" ref="F70">INDEX('Questions global'!$A:$YP,ROW(F69)-ROW($A$2)+4,COLUMN(F69)-COLUMN($A$2)+1+$B$1)</f>
        <v xml:space="preserve"> </v>
      </c>
      <c r="G70" s="112" t="str" cm="1">
        <f t="array" ref="G70">INDEX('Questions global'!$A:$YP,ROW(G69)-ROW($A$2)+4,COLUMN(G69)-COLUMN($A$2)+1+$B$1)</f>
        <v/>
      </c>
      <c r="H70" s="104" t="str" cm="1">
        <f t="array" aca="1" ref="H70" ca="1">INDEX('Questions global'!$A:$YP,ROW(H69)-ROW($A$2)+4,COLUMN(H69)-COLUMN($A$2)+1+$B$1)</f>
        <v/>
      </c>
      <c r="I70" s="119" t="str" cm="1">
        <f t="array" aca="1" ref="I70" ca="1">INDEX('Questions global'!$A:$YP,ROW(I69)-ROW($A$2)+4,COLUMN(I69)-COLUMN($A$2)+1+$B$1)</f>
        <v/>
      </c>
    </row>
    <row r="71" spans="1:9" x14ac:dyDescent="0.3">
      <c r="A71" s="118" cm="1">
        <f t="array" ref="A71">INDEX('Questions global'!$A:$YP,ROW(A70)-ROW($A$2)+4,COLUMN(A70)-COLUMN($A$2)+1+$B$1)</f>
        <v>70</v>
      </c>
      <c r="B71" s="106" t="str" cm="1">
        <f t="array" ref="B71">INDEX('Questions global'!$A:$YP,ROW(B70)-ROW($A$2)+4,COLUMN(B70)-COLUMN($A$2)+1+$B$1)</f>
        <v/>
      </c>
      <c r="C71" s="106" t="str" cm="1">
        <f t="array" ref="C71">INDEX('Questions global'!$A:$YP,ROW(C70)-ROW($A$2)+4,COLUMN(C70)-COLUMN($A$2)+1+$B$1)</f>
        <v/>
      </c>
      <c r="D71" s="126" t="str" cm="1">
        <f t="array" ref="D71">INDEX('Questions global'!$A:$YP,ROW(D70)-ROW($A$2)+4,COLUMN(D70)-COLUMN($A$2)+1+$B$1)</f>
        <v/>
      </c>
      <c r="E71" s="104" t="str" cm="1">
        <f t="array" aca="1" ref="E71" ca="1">INDEX('Questions global'!$A:$YP,ROW(E70)-ROW($A$2)+4,COLUMN(E70)-COLUMN($A$2)+1+$B$1)</f>
        <v xml:space="preserve">   </v>
      </c>
      <c r="F71" s="105" t="str" cm="1">
        <f t="array" ref="F71">INDEX('Questions global'!$A:$YP,ROW(F70)-ROW($A$2)+4,COLUMN(F70)-COLUMN($A$2)+1+$B$1)</f>
        <v xml:space="preserve"> </v>
      </c>
      <c r="G71" s="112" t="str" cm="1">
        <f t="array" ref="G71">INDEX('Questions global'!$A:$YP,ROW(G70)-ROW($A$2)+4,COLUMN(G70)-COLUMN($A$2)+1+$B$1)</f>
        <v/>
      </c>
      <c r="H71" s="104" cm="1">
        <f t="array" ref="H71">INDEX('Questions global'!$A:$YP,ROW(H70)-ROW($A$2)+4,COLUMN(H70)-COLUMN($A$2)+1+$B$1)</f>
        <v>0</v>
      </c>
      <c r="I71" s="119" cm="1">
        <f t="array" ref="I71">INDEX('Questions global'!$A:$YP,ROW(I70)-ROW($A$2)+4,COLUMN(I70)-COLUMN($A$2)+1+$B$1)</f>
        <v>0</v>
      </c>
    </row>
    <row r="72" spans="1:9" ht="15" thickBot="1" x14ac:dyDescent="0.35">
      <c r="A72" s="120" cm="1">
        <f t="array" ref="A72">INDEX('Questions global'!$A:$YP,ROW(A71)-ROW($A$2)+4,COLUMN(A71)-COLUMN($A$2)+1+$B$1)</f>
        <v>0</v>
      </c>
      <c r="B72" s="106" cm="1">
        <f t="array" ref="B72">INDEX('Questions global'!$A:$YP,ROW(B71)-ROW($A$2)+4,COLUMN(B71)-COLUMN($A$2)+1+$B$1)</f>
        <v>0</v>
      </c>
      <c r="C72" s="121" cm="1">
        <f t="array" ref="C72">INDEX('Questions global'!$A:$YP,ROW(C71)-ROW($A$2)+4,COLUMN(C71)-COLUMN($A$2)+1+$B$1)</f>
        <v>0</v>
      </c>
      <c r="D72" s="127" cm="1">
        <f t="array" ref="D72">INDEX('Questions global'!$A:$YP,ROW(D71)-ROW($A$2)+4,COLUMN(D71)-COLUMN($A$2)+1+$B$1)</f>
        <v>0</v>
      </c>
      <c r="E72" s="124" cm="1">
        <f t="array" ref="E72">INDEX('Questions global'!$A:$YP,ROW(E71)-ROW($A$2)+4,COLUMN(E71)-COLUMN($A$2)+1+$B$1)</f>
        <v>0</v>
      </c>
      <c r="F72" s="122" cm="1">
        <f t="array" ref="F72">INDEX('Questions global'!$A:$YP,ROW(F71)-ROW($A$2)+4,COLUMN(F71)-COLUMN($A$2)+1+$B$1)</f>
        <v>0</v>
      </c>
      <c r="G72" s="123" cm="1">
        <f t="array" ref="G72">INDEX('Questions global'!$A:$YP,ROW(G71)-ROW($A$2)+4,COLUMN(G71)-COLUMN($A$2)+1+$B$1)</f>
        <v>0</v>
      </c>
      <c r="H72" s="124" cm="1">
        <f t="array" ref="H72">INDEX('Questions global'!$A:$YP,ROW(H71)-ROW($A$2)+4,COLUMN(H71)-COLUMN($A$2)+1+$B$1)</f>
        <v>0</v>
      </c>
      <c r="I72" s="125" cm="1">
        <f t="array" ref="I72">INDEX('Questions global'!$A:$YP,ROW(I71)-ROW($A$2)+4,COLUMN(I71)-COLUMN($A$2)+1+$B$1)</f>
        <v>0</v>
      </c>
    </row>
    <row r="73" spans="1:9" ht="15" thickTop="1" x14ac:dyDescent="0.3"/>
  </sheetData>
  <conditionalFormatting sqref="G3:G72">
    <cfRule type="cellIs" dxfId="9" priority="3" operator="equal">
      <formula>"NON"</formula>
    </cfRule>
    <cfRule type="cellIs" dxfId="8" priority="4" operator="equal">
      <formula>"OUI"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636D-DB92-4533-8D1A-274CBC58E859}">
  <sheetPr>
    <tabColor rgb="FFFFFF00"/>
  </sheetPr>
  <dimension ref="A1:I73"/>
  <sheetViews>
    <sheetView zoomScale="70" zoomScaleNormal="70" workbookViewId="0">
      <selection activeCell="E45" sqref="E45"/>
    </sheetView>
  </sheetViews>
  <sheetFormatPr baseColWidth="10" defaultRowHeight="14.4" outlineLevelCol="1" x14ac:dyDescent="0.3"/>
  <cols>
    <col min="1" max="1" width="20.44140625" bestFit="1" customWidth="1"/>
    <col min="2" max="2" width="9.44140625" bestFit="1" customWidth="1"/>
    <col min="3" max="3" width="27.6640625" customWidth="1"/>
    <col min="4" max="4" width="8.5546875" customWidth="1" outlineLevel="1"/>
    <col min="5" max="5" width="11.109375" bestFit="1" customWidth="1"/>
    <col min="6" max="6" width="54.33203125" bestFit="1" customWidth="1"/>
    <col min="7" max="7" width="11.6640625" bestFit="1" customWidth="1"/>
    <col min="8" max="8" width="29.5546875" customWidth="1"/>
    <col min="9" max="9" width="11.21875" bestFit="1" customWidth="1"/>
  </cols>
  <sheetData>
    <row r="1" spans="1:9" ht="24.6" thickTop="1" thickBot="1" x14ac:dyDescent="0.35">
      <c r="A1" s="173" t="s">
        <v>98</v>
      </c>
      <c r="B1" s="173">
        <f>27</f>
        <v>27</v>
      </c>
      <c r="C1" s="174"/>
      <c r="D1" s="174"/>
      <c r="E1" s="174"/>
      <c r="F1" s="174" t="str" cm="1">
        <f t="array" ref="F1">IFERROR(INDEX('Questions global'!$A:$YP,1,1+$B$1), "")</f>
        <v>Entreprise 4</v>
      </c>
      <c r="G1" s="174"/>
      <c r="H1" s="174"/>
      <c r="I1" s="174"/>
    </row>
    <row r="2" spans="1:9" ht="16.5" customHeight="1" thickTop="1" x14ac:dyDescent="0.3">
      <c r="A2" s="113" t="s">
        <v>77</v>
      </c>
      <c r="B2" s="114" t="s">
        <v>80</v>
      </c>
      <c r="C2" s="115" t="s">
        <v>81</v>
      </c>
      <c r="D2" s="142" t="s">
        <v>88</v>
      </c>
      <c r="E2" s="142" t="s">
        <v>83</v>
      </c>
      <c r="F2" s="116" t="s">
        <v>78</v>
      </c>
      <c r="G2" s="117" t="s">
        <v>1</v>
      </c>
      <c r="H2" s="144" t="s">
        <v>104</v>
      </c>
      <c r="I2" s="145" t="s">
        <v>105</v>
      </c>
    </row>
    <row r="3" spans="1:9" ht="16.5" customHeight="1" x14ac:dyDescent="0.3">
      <c r="A3" s="118" cm="1">
        <f t="array" ref="A3">INDEX('Questions global'!$A:$YP,ROW(A2)-ROW($A$2)+4,COLUMN(A2)-COLUMN($A$2)+1+$B$1)</f>
        <v>2</v>
      </c>
      <c r="B3" s="106" t="str" cm="1">
        <f t="array" ref="B3">INDEX('Questions global'!$A:$YP,ROW(B2)-ROW($A$2)+4,COLUMN(B2)-COLUMN($A$2)+1+$B$1)</f>
        <v/>
      </c>
      <c r="C3" s="106" t="str" cm="1">
        <f t="array" ref="C3">INDEX('Questions global'!$A:$YP,ROW(C2)-ROW($A$2)+4,COLUMN(C2)-COLUMN($A$2)+1+$B$1)</f>
        <v/>
      </c>
      <c r="D3" s="126" t="str" cm="1">
        <f t="array" ref="D3">INDEX('Questions global'!$A:$YP,ROW(D2)-ROW($A$2)+4,COLUMN(D2)-COLUMN($A$2)+1+$B$1)</f>
        <v/>
      </c>
      <c r="E3" s="104" t="str" cm="1">
        <f t="array" aca="1" ref="E3" ca="1">INDEX('Questions global'!$A:$YP,ROW(E2)-ROW($A$2)+4,COLUMN(E2)-COLUMN($A$2)+1+$B$1)</f>
        <v xml:space="preserve">   </v>
      </c>
      <c r="F3" s="105" t="str" cm="1">
        <f t="array" ref="F3">INDEX('Questions global'!$A:$YP,ROW(F2)-ROW($A$2)+4,COLUMN(F2)-COLUMN($A$2)+1+$B$1)</f>
        <v xml:space="preserve"> </v>
      </c>
      <c r="G3" s="112" t="str" cm="1">
        <f t="array" ref="G3">INDEX('Questions global'!$A:$YP,ROW(G2)-ROW($A$2)+4,COLUMN(G2)-COLUMN($A$2)+1+$B$1)</f>
        <v/>
      </c>
      <c r="H3" s="104" t="str" cm="1">
        <f t="array" aca="1" ref="H3" ca="1">INDEX('Questions global'!$A:$YP,ROW(H2)-ROW($A$2)+4,COLUMN(H2)-COLUMN($A$2)+1+$B$1)</f>
        <v/>
      </c>
      <c r="I3" s="119" t="str" cm="1">
        <f t="array" aca="1" ref="I3" ca="1">INDEX('Questions global'!$A:$YP,ROW(I2)-ROW($A$2)+4,COLUMN(I2)-COLUMN($A$2)+1+$B$1)</f>
        <v/>
      </c>
    </row>
    <row r="4" spans="1:9" ht="15" customHeight="1" x14ac:dyDescent="0.3">
      <c r="A4" s="118" cm="1">
        <f t="array" ref="A4">INDEX('Questions global'!$A:$YP,ROW(A3)-ROW($A$2)+4,COLUMN(A3)-COLUMN($A$2)+1+$B$1)</f>
        <v>3</v>
      </c>
      <c r="B4" s="106" t="str" cm="1">
        <f t="array" ref="B4">INDEX('Questions global'!$A:$YP,ROW(B3)-ROW($A$2)+4,COLUMN(B3)-COLUMN($A$2)+1+$B$1)</f>
        <v/>
      </c>
      <c r="C4" s="106" t="str" cm="1">
        <f t="array" ref="C4">INDEX('Questions global'!$A:$YP,ROW(C3)-ROW($A$2)+4,COLUMN(C3)-COLUMN($A$2)+1+$B$1)</f>
        <v/>
      </c>
      <c r="D4" s="126" t="str" cm="1">
        <f t="array" ref="D4">INDEX('Questions global'!$A:$YP,ROW(D3)-ROW($A$2)+4,COLUMN(D3)-COLUMN($A$2)+1+$B$1)</f>
        <v/>
      </c>
      <c r="E4" s="104" t="str" cm="1">
        <f t="array" aca="1" ref="E4" ca="1">INDEX('Questions global'!$A:$YP,ROW(E3)-ROW($A$2)+4,COLUMN(E3)-COLUMN($A$2)+1+$B$1)</f>
        <v xml:space="preserve">   </v>
      </c>
      <c r="F4" s="105" t="str" cm="1">
        <f t="array" ref="F4">INDEX('Questions global'!$A:$YP,ROW(F3)-ROW($A$2)+4,COLUMN(F3)-COLUMN($A$2)+1+$B$1)</f>
        <v xml:space="preserve"> </v>
      </c>
      <c r="G4" s="112" t="str" cm="1">
        <f t="array" ref="G4">INDEX('Questions global'!$A:$YP,ROW(G3)-ROW($A$2)+4,COLUMN(G3)-COLUMN($A$2)+1+$B$1)</f>
        <v/>
      </c>
      <c r="H4" s="104" t="str" cm="1">
        <f t="array" aca="1" ref="H4" ca="1">INDEX('Questions global'!$A:$YP,ROW(H3)-ROW($A$2)+4,COLUMN(H3)-COLUMN($A$2)+1+$B$1)</f>
        <v/>
      </c>
      <c r="I4" s="119" t="str" cm="1">
        <f t="array" aca="1" ref="I4" ca="1">INDEX('Questions global'!$A:$YP,ROW(I3)-ROW($A$2)+4,COLUMN(I3)-COLUMN($A$2)+1+$B$1)</f>
        <v/>
      </c>
    </row>
    <row r="5" spans="1:9" ht="15" customHeight="1" x14ac:dyDescent="0.3">
      <c r="A5" s="118" cm="1">
        <f t="array" ref="A5">INDEX('Questions global'!$A:$YP,ROW(A4)-ROW($A$2)+4,COLUMN(A4)-COLUMN($A$2)+1+$B$1)</f>
        <v>4</v>
      </c>
      <c r="B5" s="106" t="str" cm="1">
        <f t="array" ref="B5">INDEX('Questions global'!$A:$YP,ROW(B4)-ROW($A$2)+4,COLUMN(B4)-COLUMN($A$2)+1+$B$1)</f>
        <v/>
      </c>
      <c r="C5" s="106" t="str" cm="1">
        <f t="array" ref="C5">INDEX('Questions global'!$A:$YP,ROW(C4)-ROW($A$2)+4,COLUMN(C4)-COLUMN($A$2)+1+$B$1)</f>
        <v/>
      </c>
      <c r="D5" s="126" t="str" cm="1">
        <f t="array" ref="D5">INDEX('Questions global'!$A:$YP,ROW(D4)-ROW($A$2)+4,COLUMN(D4)-COLUMN($A$2)+1+$B$1)</f>
        <v/>
      </c>
      <c r="E5" s="104" t="str" cm="1">
        <f t="array" aca="1" ref="E5" ca="1">INDEX('Questions global'!$A:$YP,ROW(E4)-ROW($A$2)+4,COLUMN(E4)-COLUMN($A$2)+1+$B$1)</f>
        <v xml:space="preserve">   </v>
      </c>
      <c r="F5" s="105" t="str" cm="1">
        <f t="array" ref="F5">INDEX('Questions global'!$A:$YP,ROW(F4)-ROW($A$2)+4,COLUMN(F4)-COLUMN($A$2)+1+$B$1)</f>
        <v xml:space="preserve"> </v>
      </c>
      <c r="G5" s="112" t="str" cm="1">
        <f t="array" ref="G5">INDEX('Questions global'!$A:$YP,ROW(G4)-ROW($A$2)+4,COLUMN(G4)-COLUMN($A$2)+1+$B$1)</f>
        <v/>
      </c>
      <c r="H5" s="104" t="str" cm="1">
        <f t="array" aca="1" ref="H5" ca="1">INDEX('Questions global'!$A:$YP,ROW(H4)-ROW($A$2)+4,COLUMN(H4)-COLUMN($A$2)+1+$B$1)</f>
        <v/>
      </c>
      <c r="I5" s="119" t="str" cm="1">
        <f t="array" aca="1" ref="I5" ca="1">INDEX('Questions global'!$A:$YP,ROW(I4)-ROW($A$2)+4,COLUMN(I4)-COLUMN($A$2)+1+$B$1)</f>
        <v/>
      </c>
    </row>
    <row r="6" spans="1:9" ht="15" customHeight="1" x14ac:dyDescent="0.3">
      <c r="A6" s="118" cm="1">
        <f t="array" ref="A6">INDEX('Questions global'!$A:$YP,ROW(A5)-ROW($A$2)+4,COLUMN(A5)-COLUMN($A$2)+1+$B$1)</f>
        <v>5</v>
      </c>
      <c r="B6" s="106" t="str" cm="1">
        <f t="array" ref="B6">INDEX('Questions global'!$A:$YP,ROW(B5)-ROW($A$2)+4,COLUMN(B5)-COLUMN($A$2)+1+$B$1)</f>
        <v/>
      </c>
      <c r="C6" s="106" t="str" cm="1">
        <f t="array" ref="C6">INDEX('Questions global'!$A:$YP,ROW(C5)-ROW($A$2)+4,COLUMN(C5)-COLUMN($A$2)+1+$B$1)</f>
        <v/>
      </c>
      <c r="D6" s="126" t="str" cm="1">
        <f t="array" ref="D6">INDEX('Questions global'!$A:$YP,ROW(D5)-ROW($A$2)+4,COLUMN(D5)-COLUMN($A$2)+1+$B$1)</f>
        <v/>
      </c>
      <c r="E6" s="104" t="str" cm="1">
        <f t="array" aca="1" ref="E6" ca="1">INDEX('Questions global'!$A:$YP,ROW(E5)-ROW($A$2)+4,COLUMN(E5)-COLUMN($A$2)+1+$B$1)</f>
        <v xml:space="preserve">   </v>
      </c>
      <c r="F6" s="105" t="str" cm="1">
        <f t="array" ref="F6">INDEX('Questions global'!$A:$YP,ROW(F5)-ROW($A$2)+4,COLUMN(F5)-COLUMN($A$2)+1+$B$1)</f>
        <v xml:space="preserve"> </v>
      </c>
      <c r="G6" s="112" t="str" cm="1">
        <f t="array" ref="G6">INDEX('Questions global'!$A:$YP,ROW(G5)-ROW($A$2)+4,COLUMN(G5)-COLUMN($A$2)+1+$B$1)</f>
        <v/>
      </c>
      <c r="H6" s="104" t="str" cm="1">
        <f t="array" aca="1" ref="H6" ca="1">INDEX('Questions global'!$A:$YP,ROW(H5)-ROW($A$2)+4,COLUMN(H5)-COLUMN($A$2)+1+$B$1)</f>
        <v/>
      </c>
      <c r="I6" s="119" t="str" cm="1">
        <f t="array" aca="1" ref="I6" ca="1">INDEX('Questions global'!$A:$YP,ROW(I5)-ROW($A$2)+4,COLUMN(I5)-COLUMN($A$2)+1+$B$1)</f>
        <v/>
      </c>
    </row>
    <row r="7" spans="1:9" ht="15" customHeight="1" x14ac:dyDescent="0.3">
      <c r="A7" s="118" cm="1">
        <f t="array" ref="A7">INDEX('Questions global'!$A:$YP,ROW(A6)-ROW($A$2)+4,COLUMN(A6)-COLUMN($A$2)+1+$B$1)</f>
        <v>6</v>
      </c>
      <c r="B7" s="106" t="str" cm="1">
        <f t="array" ref="B7">INDEX('Questions global'!$A:$YP,ROW(B6)-ROW($A$2)+4,COLUMN(B6)-COLUMN($A$2)+1+$B$1)</f>
        <v/>
      </c>
      <c r="C7" s="106" t="str" cm="1">
        <f t="array" ref="C7">INDEX('Questions global'!$A:$YP,ROW(C6)-ROW($A$2)+4,COLUMN(C6)-COLUMN($A$2)+1+$B$1)</f>
        <v/>
      </c>
      <c r="D7" s="126" t="str" cm="1">
        <f t="array" ref="D7">INDEX('Questions global'!$A:$YP,ROW(D6)-ROW($A$2)+4,COLUMN(D6)-COLUMN($A$2)+1+$B$1)</f>
        <v/>
      </c>
      <c r="E7" s="104" t="str" cm="1">
        <f t="array" aca="1" ref="E7" ca="1">INDEX('Questions global'!$A:$YP,ROW(E6)-ROW($A$2)+4,COLUMN(E6)-COLUMN($A$2)+1+$B$1)</f>
        <v xml:space="preserve">   </v>
      </c>
      <c r="F7" s="105" t="str" cm="1">
        <f t="array" ref="F7">INDEX('Questions global'!$A:$YP,ROW(F6)-ROW($A$2)+4,COLUMN(F6)-COLUMN($A$2)+1+$B$1)</f>
        <v xml:space="preserve"> </v>
      </c>
      <c r="G7" s="112" t="str" cm="1">
        <f t="array" ref="G7">INDEX('Questions global'!$A:$YP,ROW(G6)-ROW($A$2)+4,COLUMN(G6)-COLUMN($A$2)+1+$B$1)</f>
        <v/>
      </c>
      <c r="H7" s="104" t="str" cm="1">
        <f t="array" aca="1" ref="H7" ca="1">INDEX('Questions global'!$A:$YP,ROW(H6)-ROW($A$2)+4,COLUMN(H6)-COLUMN($A$2)+1+$B$1)</f>
        <v/>
      </c>
      <c r="I7" s="119" t="str" cm="1">
        <f t="array" aca="1" ref="I7" ca="1">INDEX('Questions global'!$A:$YP,ROW(I6)-ROW($A$2)+4,COLUMN(I6)-COLUMN($A$2)+1+$B$1)</f>
        <v/>
      </c>
    </row>
    <row r="8" spans="1:9" ht="15" customHeight="1" x14ac:dyDescent="0.3">
      <c r="A8" s="118" cm="1">
        <f t="array" ref="A8">INDEX('Questions global'!$A:$YP,ROW(A7)-ROW($A$2)+4,COLUMN(A7)-COLUMN($A$2)+1+$B$1)</f>
        <v>7</v>
      </c>
      <c r="B8" s="106" t="str" cm="1">
        <f t="array" ref="B8">INDEX('Questions global'!$A:$YP,ROW(B7)-ROW($A$2)+4,COLUMN(B7)-COLUMN($A$2)+1+$B$1)</f>
        <v/>
      </c>
      <c r="C8" s="106" t="str" cm="1">
        <f t="array" ref="C8">INDEX('Questions global'!$A:$YP,ROW(C7)-ROW($A$2)+4,COLUMN(C7)-COLUMN($A$2)+1+$B$1)</f>
        <v/>
      </c>
      <c r="D8" s="126" t="str" cm="1">
        <f t="array" ref="D8">INDEX('Questions global'!$A:$YP,ROW(D7)-ROW($A$2)+4,COLUMN(D7)-COLUMN($A$2)+1+$B$1)</f>
        <v/>
      </c>
      <c r="E8" s="104" t="str" cm="1">
        <f t="array" aca="1" ref="E8" ca="1">INDEX('Questions global'!$A:$YP,ROW(E7)-ROW($A$2)+4,COLUMN(E7)-COLUMN($A$2)+1+$B$1)</f>
        <v xml:space="preserve">   </v>
      </c>
      <c r="F8" s="105" t="str" cm="1">
        <f t="array" ref="F8">INDEX('Questions global'!$A:$YP,ROW(F7)-ROW($A$2)+4,COLUMN(F7)-COLUMN($A$2)+1+$B$1)</f>
        <v xml:space="preserve"> </v>
      </c>
      <c r="G8" s="112" t="str" cm="1">
        <f t="array" ref="G8">INDEX('Questions global'!$A:$YP,ROW(G7)-ROW($A$2)+4,COLUMN(G7)-COLUMN($A$2)+1+$B$1)</f>
        <v/>
      </c>
      <c r="H8" s="104" t="str" cm="1">
        <f t="array" aca="1" ref="H8" ca="1">INDEX('Questions global'!$A:$YP,ROW(H7)-ROW($A$2)+4,COLUMN(H7)-COLUMN($A$2)+1+$B$1)</f>
        <v/>
      </c>
      <c r="I8" s="119" t="str" cm="1">
        <f t="array" aca="1" ref="I8" ca="1">INDEX('Questions global'!$A:$YP,ROW(I7)-ROW($A$2)+4,COLUMN(I7)-COLUMN($A$2)+1+$B$1)</f>
        <v/>
      </c>
    </row>
    <row r="9" spans="1:9" ht="15" customHeight="1" x14ac:dyDescent="0.3">
      <c r="A9" s="118" cm="1">
        <f t="array" ref="A9">INDEX('Questions global'!$A:$YP,ROW(A8)-ROW($A$2)+4,COLUMN(A8)-COLUMN($A$2)+1+$B$1)</f>
        <v>8</v>
      </c>
      <c r="B9" s="106" t="str" cm="1">
        <f t="array" ref="B9">INDEX('Questions global'!$A:$YP,ROW(B8)-ROW($A$2)+4,COLUMN(B8)-COLUMN($A$2)+1+$B$1)</f>
        <v/>
      </c>
      <c r="C9" s="106" t="str" cm="1">
        <f t="array" ref="C9">INDEX('Questions global'!$A:$YP,ROW(C8)-ROW($A$2)+4,COLUMN(C8)-COLUMN($A$2)+1+$B$1)</f>
        <v/>
      </c>
      <c r="D9" s="126" t="str" cm="1">
        <f t="array" ref="D9">INDEX('Questions global'!$A:$YP,ROW(D8)-ROW($A$2)+4,COLUMN(D8)-COLUMN($A$2)+1+$B$1)</f>
        <v/>
      </c>
      <c r="E9" s="104" t="str" cm="1">
        <f t="array" aca="1" ref="E9" ca="1">INDEX('Questions global'!$A:$YP,ROW(E8)-ROW($A$2)+4,COLUMN(E8)-COLUMN($A$2)+1+$B$1)</f>
        <v xml:space="preserve">   </v>
      </c>
      <c r="F9" s="105" t="str" cm="1">
        <f t="array" ref="F9">INDEX('Questions global'!$A:$YP,ROW(F8)-ROW($A$2)+4,COLUMN(F8)-COLUMN($A$2)+1+$B$1)</f>
        <v xml:space="preserve"> </v>
      </c>
      <c r="G9" s="112" t="str" cm="1">
        <f t="array" ref="G9">INDEX('Questions global'!$A:$YP,ROW(G8)-ROW($A$2)+4,COLUMN(G8)-COLUMN($A$2)+1+$B$1)</f>
        <v/>
      </c>
      <c r="H9" s="104" t="str" cm="1">
        <f t="array" aca="1" ref="H9" ca="1">INDEX('Questions global'!$A:$YP,ROW(H8)-ROW($A$2)+4,COLUMN(H8)-COLUMN($A$2)+1+$B$1)</f>
        <v/>
      </c>
      <c r="I9" s="119" t="str" cm="1">
        <f t="array" aca="1" ref="I9" ca="1">INDEX('Questions global'!$A:$YP,ROW(I8)-ROW($A$2)+4,COLUMN(I8)-COLUMN($A$2)+1+$B$1)</f>
        <v/>
      </c>
    </row>
    <row r="10" spans="1:9" ht="15" customHeight="1" x14ac:dyDescent="0.3">
      <c r="A10" s="118" cm="1">
        <f t="array" ref="A10">INDEX('Questions global'!$A:$YP,ROW(A9)-ROW($A$2)+4,COLUMN(A9)-COLUMN($A$2)+1+$B$1)</f>
        <v>9</v>
      </c>
      <c r="B10" s="106" t="str" cm="1">
        <f t="array" ref="B10">INDEX('Questions global'!$A:$YP,ROW(B9)-ROW($A$2)+4,COLUMN(B9)-COLUMN($A$2)+1+$B$1)</f>
        <v/>
      </c>
      <c r="C10" s="106" t="str" cm="1">
        <f t="array" ref="C10">INDEX('Questions global'!$A:$YP,ROW(C9)-ROW($A$2)+4,COLUMN(C9)-COLUMN($A$2)+1+$B$1)</f>
        <v/>
      </c>
      <c r="D10" s="126" t="str" cm="1">
        <f t="array" ref="D10">INDEX('Questions global'!$A:$YP,ROW(D9)-ROW($A$2)+4,COLUMN(D9)-COLUMN($A$2)+1+$B$1)</f>
        <v/>
      </c>
      <c r="E10" s="104" t="str" cm="1">
        <f t="array" aca="1" ref="E10" ca="1">INDEX('Questions global'!$A:$YP,ROW(E9)-ROW($A$2)+4,COLUMN(E9)-COLUMN($A$2)+1+$B$1)</f>
        <v xml:space="preserve">   </v>
      </c>
      <c r="F10" s="105" t="str" cm="1">
        <f t="array" ref="F10">INDEX('Questions global'!$A:$YP,ROW(F9)-ROW($A$2)+4,COLUMN(F9)-COLUMN($A$2)+1+$B$1)</f>
        <v xml:space="preserve"> </v>
      </c>
      <c r="G10" s="112" t="str" cm="1">
        <f t="array" ref="G10">INDEX('Questions global'!$A:$YP,ROW(G9)-ROW($A$2)+4,COLUMN(G9)-COLUMN($A$2)+1+$B$1)</f>
        <v/>
      </c>
      <c r="H10" s="104" t="str" cm="1">
        <f t="array" aca="1" ref="H10" ca="1">INDEX('Questions global'!$A:$YP,ROW(H9)-ROW($A$2)+4,COLUMN(H9)-COLUMN($A$2)+1+$B$1)</f>
        <v/>
      </c>
      <c r="I10" s="119" t="str" cm="1">
        <f t="array" aca="1" ref="I10" ca="1">INDEX('Questions global'!$A:$YP,ROW(I9)-ROW($A$2)+4,COLUMN(I9)-COLUMN($A$2)+1+$B$1)</f>
        <v/>
      </c>
    </row>
    <row r="11" spans="1:9" ht="15" customHeight="1" x14ac:dyDescent="0.3">
      <c r="A11" s="118" cm="1">
        <f t="array" ref="A11">INDEX('Questions global'!$A:$YP,ROW(A10)-ROW($A$2)+4,COLUMN(A10)-COLUMN($A$2)+1+$B$1)</f>
        <v>10</v>
      </c>
      <c r="B11" s="106" t="str" cm="1">
        <f t="array" ref="B11">INDEX('Questions global'!$A:$YP,ROW(B10)-ROW($A$2)+4,COLUMN(B10)-COLUMN($A$2)+1+$B$1)</f>
        <v/>
      </c>
      <c r="C11" s="106" t="str" cm="1">
        <f t="array" ref="C11">INDEX('Questions global'!$A:$YP,ROW(C10)-ROW($A$2)+4,COLUMN(C10)-COLUMN($A$2)+1+$B$1)</f>
        <v/>
      </c>
      <c r="D11" s="126" t="str" cm="1">
        <f t="array" ref="D11">INDEX('Questions global'!$A:$YP,ROW(D10)-ROW($A$2)+4,COLUMN(D10)-COLUMN($A$2)+1+$B$1)</f>
        <v/>
      </c>
      <c r="E11" s="104" t="str" cm="1">
        <f t="array" aca="1" ref="E11" ca="1">INDEX('Questions global'!$A:$YP,ROW(E10)-ROW($A$2)+4,COLUMN(E10)-COLUMN($A$2)+1+$B$1)</f>
        <v xml:space="preserve">   </v>
      </c>
      <c r="F11" s="105" t="str" cm="1">
        <f t="array" ref="F11">INDEX('Questions global'!$A:$YP,ROW(F10)-ROW($A$2)+4,COLUMN(F10)-COLUMN($A$2)+1+$B$1)</f>
        <v xml:space="preserve"> </v>
      </c>
      <c r="G11" s="112" t="str" cm="1">
        <f t="array" ref="G11">INDEX('Questions global'!$A:$YP,ROW(G10)-ROW($A$2)+4,COLUMN(G10)-COLUMN($A$2)+1+$B$1)</f>
        <v/>
      </c>
      <c r="H11" s="104" t="str" cm="1">
        <f t="array" aca="1" ref="H11" ca="1">INDEX('Questions global'!$A:$YP,ROW(H10)-ROW($A$2)+4,COLUMN(H10)-COLUMN($A$2)+1+$B$1)</f>
        <v/>
      </c>
      <c r="I11" s="119" t="str" cm="1">
        <f t="array" aca="1" ref="I11" ca="1">INDEX('Questions global'!$A:$YP,ROW(I10)-ROW($A$2)+4,COLUMN(I10)-COLUMN($A$2)+1+$B$1)</f>
        <v/>
      </c>
    </row>
    <row r="12" spans="1:9" ht="15" customHeight="1" x14ac:dyDescent="0.3">
      <c r="A12" s="118" cm="1">
        <f t="array" ref="A12">INDEX('Questions global'!$A:$YP,ROW(A11)-ROW($A$2)+4,COLUMN(A11)-COLUMN($A$2)+1+$B$1)</f>
        <v>11</v>
      </c>
      <c r="B12" s="106" t="str" cm="1">
        <f t="array" ref="B12">INDEX('Questions global'!$A:$YP,ROW(B11)-ROW($A$2)+4,COLUMN(B11)-COLUMN($A$2)+1+$B$1)</f>
        <v/>
      </c>
      <c r="C12" s="106" t="str" cm="1">
        <f t="array" ref="C12">INDEX('Questions global'!$A:$YP,ROW(C11)-ROW($A$2)+4,COLUMN(C11)-COLUMN($A$2)+1+$B$1)</f>
        <v/>
      </c>
      <c r="D12" s="126" t="str" cm="1">
        <f t="array" ref="D12">INDEX('Questions global'!$A:$YP,ROW(D11)-ROW($A$2)+4,COLUMN(D11)-COLUMN($A$2)+1+$B$1)</f>
        <v/>
      </c>
      <c r="E12" s="104" t="str" cm="1">
        <f t="array" aca="1" ref="E12" ca="1">INDEX('Questions global'!$A:$YP,ROW(E11)-ROW($A$2)+4,COLUMN(E11)-COLUMN($A$2)+1+$B$1)</f>
        <v xml:space="preserve">   </v>
      </c>
      <c r="F12" s="105" t="str" cm="1">
        <f t="array" ref="F12">INDEX('Questions global'!$A:$YP,ROW(F11)-ROW($A$2)+4,COLUMN(F11)-COLUMN($A$2)+1+$B$1)</f>
        <v xml:space="preserve"> </v>
      </c>
      <c r="G12" s="112" t="str" cm="1">
        <f t="array" ref="G12">INDEX('Questions global'!$A:$YP,ROW(G11)-ROW($A$2)+4,COLUMN(G11)-COLUMN($A$2)+1+$B$1)</f>
        <v/>
      </c>
      <c r="H12" s="104" t="str" cm="1">
        <f t="array" aca="1" ref="H12" ca="1">INDEX('Questions global'!$A:$YP,ROW(H11)-ROW($A$2)+4,COLUMN(H11)-COLUMN($A$2)+1+$B$1)</f>
        <v/>
      </c>
      <c r="I12" s="119" t="str" cm="1">
        <f t="array" aca="1" ref="I12" ca="1">INDEX('Questions global'!$A:$YP,ROW(I11)-ROW($A$2)+4,COLUMN(I11)-COLUMN($A$2)+1+$B$1)</f>
        <v/>
      </c>
    </row>
    <row r="13" spans="1:9" ht="15" customHeight="1" x14ac:dyDescent="0.3">
      <c r="A13" s="118" cm="1">
        <f t="array" ref="A13">INDEX('Questions global'!$A:$YP,ROW(A12)-ROW($A$2)+4,COLUMN(A12)-COLUMN($A$2)+1+$B$1)</f>
        <v>12</v>
      </c>
      <c r="B13" s="106" t="str" cm="1">
        <f t="array" ref="B13">INDEX('Questions global'!$A:$YP,ROW(B12)-ROW($A$2)+4,COLUMN(B12)-COLUMN($A$2)+1+$B$1)</f>
        <v/>
      </c>
      <c r="C13" s="106" t="str" cm="1">
        <f t="array" ref="C13">INDEX('Questions global'!$A:$YP,ROW(C12)-ROW($A$2)+4,COLUMN(C12)-COLUMN($A$2)+1+$B$1)</f>
        <v/>
      </c>
      <c r="D13" s="126" t="str" cm="1">
        <f t="array" ref="D13">INDEX('Questions global'!$A:$YP,ROW(D12)-ROW($A$2)+4,COLUMN(D12)-COLUMN($A$2)+1+$B$1)</f>
        <v/>
      </c>
      <c r="E13" s="104" t="str" cm="1">
        <f t="array" aca="1" ref="E13" ca="1">INDEX('Questions global'!$A:$YP,ROW(E12)-ROW($A$2)+4,COLUMN(E12)-COLUMN($A$2)+1+$B$1)</f>
        <v xml:space="preserve">   </v>
      </c>
      <c r="F13" s="105" t="str" cm="1">
        <f t="array" ref="F13">INDEX('Questions global'!$A:$YP,ROW(F12)-ROW($A$2)+4,COLUMN(F12)-COLUMN($A$2)+1+$B$1)</f>
        <v xml:space="preserve"> </v>
      </c>
      <c r="G13" s="112" t="str" cm="1">
        <f t="array" ref="G13">INDEX('Questions global'!$A:$YP,ROW(G12)-ROW($A$2)+4,COLUMN(G12)-COLUMN($A$2)+1+$B$1)</f>
        <v/>
      </c>
      <c r="H13" s="104" t="str" cm="1">
        <f t="array" aca="1" ref="H13" ca="1">INDEX('Questions global'!$A:$YP,ROW(H12)-ROW($A$2)+4,COLUMN(H12)-COLUMN($A$2)+1+$B$1)</f>
        <v/>
      </c>
      <c r="I13" s="119" t="str" cm="1">
        <f t="array" aca="1" ref="I13" ca="1">INDEX('Questions global'!$A:$YP,ROW(I12)-ROW($A$2)+4,COLUMN(I12)-COLUMN($A$2)+1+$B$1)</f>
        <v/>
      </c>
    </row>
    <row r="14" spans="1:9" ht="15" customHeight="1" x14ac:dyDescent="0.3">
      <c r="A14" s="118" cm="1">
        <f t="array" ref="A14">INDEX('Questions global'!$A:$YP,ROW(A13)-ROW($A$2)+4,COLUMN(A13)-COLUMN($A$2)+1+$B$1)</f>
        <v>13</v>
      </c>
      <c r="B14" s="106" t="str" cm="1">
        <f t="array" ref="B14">INDEX('Questions global'!$A:$YP,ROW(B13)-ROW($A$2)+4,COLUMN(B13)-COLUMN($A$2)+1+$B$1)</f>
        <v/>
      </c>
      <c r="C14" s="106" t="str" cm="1">
        <f t="array" ref="C14">INDEX('Questions global'!$A:$YP,ROW(C13)-ROW($A$2)+4,COLUMN(C13)-COLUMN($A$2)+1+$B$1)</f>
        <v/>
      </c>
      <c r="D14" s="126" t="str" cm="1">
        <f t="array" ref="D14">INDEX('Questions global'!$A:$YP,ROW(D13)-ROW($A$2)+4,COLUMN(D13)-COLUMN($A$2)+1+$B$1)</f>
        <v/>
      </c>
      <c r="E14" s="104" t="str" cm="1">
        <f t="array" aca="1" ref="E14" ca="1">INDEX('Questions global'!$A:$YP,ROW(E13)-ROW($A$2)+4,COLUMN(E13)-COLUMN($A$2)+1+$B$1)</f>
        <v xml:space="preserve">   </v>
      </c>
      <c r="F14" s="105" t="str" cm="1">
        <f t="array" ref="F14">INDEX('Questions global'!$A:$YP,ROW(F13)-ROW($A$2)+4,COLUMN(F13)-COLUMN($A$2)+1+$B$1)</f>
        <v xml:space="preserve"> </v>
      </c>
      <c r="G14" s="112" t="str" cm="1">
        <f t="array" ref="G14">INDEX('Questions global'!$A:$YP,ROW(G13)-ROW($A$2)+4,COLUMN(G13)-COLUMN($A$2)+1+$B$1)</f>
        <v/>
      </c>
      <c r="H14" s="104" t="str" cm="1">
        <f t="array" aca="1" ref="H14" ca="1">INDEX('Questions global'!$A:$YP,ROW(H13)-ROW($A$2)+4,COLUMN(H13)-COLUMN($A$2)+1+$B$1)</f>
        <v/>
      </c>
      <c r="I14" s="119" t="str" cm="1">
        <f t="array" aca="1" ref="I14" ca="1">INDEX('Questions global'!$A:$YP,ROW(I13)-ROW($A$2)+4,COLUMN(I13)-COLUMN($A$2)+1+$B$1)</f>
        <v/>
      </c>
    </row>
    <row r="15" spans="1:9" ht="15" customHeight="1" x14ac:dyDescent="0.3">
      <c r="A15" s="118" cm="1">
        <f t="array" ref="A15">INDEX('Questions global'!$A:$YP,ROW(A14)-ROW($A$2)+4,COLUMN(A14)-COLUMN($A$2)+1+$B$1)</f>
        <v>14</v>
      </c>
      <c r="B15" s="106" t="str" cm="1">
        <f t="array" ref="B15">INDEX('Questions global'!$A:$YP,ROW(B14)-ROW($A$2)+4,COLUMN(B14)-COLUMN($A$2)+1+$B$1)</f>
        <v/>
      </c>
      <c r="C15" s="106" t="str" cm="1">
        <f t="array" ref="C15">INDEX('Questions global'!$A:$YP,ROW(C14)-ROW($A$2)+4,COLUMN(C14)-COLUMN($A$2)+1+$B$1)</f>
        <v/>
      </c>
      <c r="D15" s="126" t="str" cm="1">
        <f t="array" ref="D15">INDEX('Questions global'!$A:$YP,ROW(D14)-ROW($A$2)+4,COLUMN(D14)-COLUMN($A$2)+1+$B$1)</f>
        <v/>
      </c>
      <c r="E15" s="104" t="str" cm="1">
        <f t="array" aca="1" ref="E15" ca="1">INDEX('Questions global'!$A:$YP,ROW(E14)-ROW($A$2)+4,COLUMN(E14)-COLUMN($A$2)+1+$B$1)</f>
        <v xml:space="preserve">   </v>
      </c>
      <c r="F15" s="105" t="str" cm="1">
        <f t="array" ref="F15">INDEX('Questions global'!$A:$YP,ROW(F14)-ROW($A$2)+4,COLUMN(F14)-COLUMN($A$2)+1+$B$1)</f>
        <v xml:space="preserve"> </v>
      </c>
      <c r="G15" s="112" t="str" cm="1">
        <f t="array" ref="G15">INDEX('Questions global'!$A:$YP,ROW(G14)-ROW($A$2)+4,COLUMN(G14)-COLUMN($A$2)+1+$B$1)</f>
        <v/>
      </c>
      <c r="H15" s="104" t="str" cm="1">
        <f t="array" aca="1" ref="H15" ca="1">INDEX('Questions global'!$A:$YP,ROW(H14)-ROW($A$2)+4,COLUMN(H14)-COLUMN($A$2)+1+$B$1)</f>
        <v/>
      </c>
      <c r="I15" s="119" t="str" cm="1">
        <f t="array" aca="1" ref="I15" ca="1">INDEX('Questions global'!$A:$YP,ROW(I14)-ROW($A$2)+4,COLUMN(I14)-COLUMN($A$2)+1+$B$1)</f>
        <v/>
      </c>
    </row>
    <row r="16" spans="1:9" ht="15" customHeight="1" x14ac:dyDescent="0.3">
      <c r="A16" s="118" cm="1">
        <f t="array" ref="A16">INDEX('Questions global'!$A:$YP,ROW(A15)-ROW($A$2)+4,COLUMN(A15)-COLUMN($A$2)+1+$B$1)</f>
        <v>15</v>
      </c>
      <c r="B16" s="106" t="str" cm="1">
        <f t="array" ref="B16">INDEX('Questions global'!$A:$YP,ROW(B15)-ROW($A$2)+4,COLUMN(B15)-COLUMN($A$2)+1+$B$1)</f>
        <v/>
      </c>
      <c r="C16" s="106" t="str" cm="1">
        <f t="array" ref="C16">INDEX('Questions global'!$A:$YP,ROW(C15)-ROW($A$2)+4,COLUMN(C15)-COLUMN($A$2)+1+$B$1)</f>
        <v/>
      </c>
      <c r="D16" s="126" t="str" cm="1">
        <f t="array" ref="D16">INDEX('Questions global'!$A:$YP,ROW(D15)-ROW($A$2)+4,COLUMN(D15)-COLUMN($A$2)+1+$B$1)</f>
        <v/>
      </c>
      <c r="E16" s="104" t="str" cm="1">
        <f t="array" aca="1" ref="E16" ca="1">INDEX('Questions global'!$A:$YP,ROW(E15)-ROW($A$2)+4,COLUMN(E15)-COLUMN($A$2)+1+$B$1)</f>
        <v xml:space="preserve">   </v>
      </c>
      <c r="F16" s="105" t="str" cm="1">
        <f t="array" ref="F16">INDEX('Questions global'!$A:$YP,ROW(F15)-ROW($A$2)+4,COLUMN(F15)-COLUMN($A$2)+1+$B$1)</f>
        <v xml:space="preserve"> </v>
      </c>
      <c r="G16" s="112" t="str" cm="1">
        <f t="array" ref="G16">INDEX('Questions global'!$A:$YP,ROW(G15)-ROW($A$2)+4,COLUMN(G15)-COLUMN($A$2)+1+$B$1)</f>
        <v/>
      </c>
      <c r="H16" s="104" t="str" cm="1">
        <f t="array" aca="1" ref="H16" ca="1">INDEX('Questions global'!$A:$YP,ROW(H15)-ROW($A$2)+4,COLUMN(H15)-COLUMN($A$2)+1+$B$1)</f>
        <v/>
      </c>
      <c r="I16" s="119" t="str" cm="1">
        <f t="array" aca="1" ref="I16" ca="1">INDEX('Questions global'!$A:$YP,ROW(I15)-ROW($A$2)+4,COLUMN(I15)-COLUMN($A$2)+1+$B$1)</f>
        <v/>
      </c>
    </row>
    <row r="17" spans="1:9" ht="15" customHeight="1" x14ac:dyDescent="0.3">
      <c r="A17" s="118" cm="1">
        <f t="array" ref="A17">INDEX('Questions global'!$A:$YP,ROW(A16)-ROW($A$2)+4,COLUMN(A16)-COLUMN($A$2)+1+$B$1)</f>
        <v>16</v>
      </c>
      <c r="B17" s="106" t="str" cm="1">
        <f t="array" ref="B17">INDEX('Questions global'!$A:$YP,ROW(B16)-ROW($A$2)+4,COLUMN(B16)-COLUMN($A$2)+1+$B$1)</f>
        <v/>
      </c>
      <c r="C17" s="106" t="str" cm="1">
        <f t="array" ref="C17">INDEX('Questions global'!$A:$YP,ROW(C16)-ROW($A$2)+4,COLUMN(C16)-COLUMN($A$2)+1+$B$1)</f>
        <v/>
      </c>
      <c r="D17" s="126" t="str" cm="1">
        <f t="array" ref="D17">INDEX('Questions global'!$A:$YP,ROW(D16)-ROW($A$2)+4,COLUMN(D16)-COLUMN($A$2)+1+$B$1)</f>
        <v/>
      </c>
      <c r="E17" s="104" t="str" cm="1">
        <f t="array" aca="1" ref="E17" ca="1">INDEX('Questions global'!$A:$YP,ROW(E16)-ROW($A$2)+4,COLUMN(E16)-COLUMN($A$2)+1+$B$1)</f>
        <v xml:space="preserve">   </v>
      </c>
      <c r="F17" s="105" t="str" cm="1">
        <f t="array" ref="F17">INDEX('Questions global'!$A:$YP,ROW(F16)-ROW($A$2)+4,COLUMN(F16)-COLUMN($A$2)+1+$B$1)</f>
        <v xml:space="preserve"> </v>
      </c>
      <c r="G17" s="112" t="str" cm="1">
        <f t="array" ref="G17">INDEX('Questions global'!$A:$YP,ROW(G16)-ROW($A$2)+4,COLUMN(G16)-COLUMN($A$2)+1+$B$1)</f>
        <v/>
      </c>
      <c r="H17" s="104" t="str" cm="1">
        <f t="array" aca="1" ref="H17" ca="1">INDEX('Questions global'!$A:$YP,ROW(H16)-ROW($A$2)+4,COLUMN(H16)-COLUMN($A$2)+1+$B$1)</f>
        <v/>
      </c>
      <c r="I17" s="119" t="str" cm="1">
        <f t="array" aca="1" ref="I17" ca="1">INDEX('Questions global'!$A:$YP,ROW(I16)-ROW($A$2)+4,COLUMN(I16)-COLUMN($A$2)+1+$B$1)</f>
        <v/>
      </c>
    </row>
    <row r="18" spans="1:9" ht="15" customHeight="1" x14ac:dyDescent="0.3">
      <c r="A18" s="118" cm="1">
        <f t="array" ref="A18">INDEX('Questions global'!$A:$YP,ROW(A17)-ROW($A$2)+4,COLUMN(A17)-COLUMN($A$2)+1+$B$1)</f>
        <v>17</v>
      </c>
      <c r="B18" s="106" t="str" cm="1">
        <f t="array" ref="B18">INDEX('Questions global'!$A:$YP,ROW(B17)-ROW($A$2)+4,COLUMN(B17)-COLUMN($A$2)+1+$B$1)</f>
        <v/>
      </c>
      <c r="C18" s="106" t="str" cm="1">
        <f t="array" ref="C18">INDEX('Questions global'!$A:$YP,ROW(C17)-ROW($A$2)+4,COLUMN(C17)-COLUMN($A$2)+1+$B$1)</f>
        <v/>
      </c>
      <c r="D18" s="126" t="str" cm="1">
        <f t="array" ref="D18">INDEX('Questions global'!$A:$YP,ROW(D17)-ROW($A$2)+4,COLUMN(D17)-COLUMN($A$2)+1+$B$1)</f>
        <v/>
      </c>
      <c r="E18" s="104" t="str" cm="1">
        <f t="array" aca="1" ref="E18" ca="1">INDEX('Questions global'!$A:$YP,ROW(E17)-ROW($A$2)+4,COLUMN(E17)-COLUMN($A$2)+1+$B$1)</f>
        <v xml:space="preserve">   </v>
      </c>
      <c r="F18" s="105" t="str" cm="1">
        <f t="array" ref="F18">INDEX('Questions global'!$A:$YP,ROW(F17)-ROW($A$2)+4,COLUMN(F17)-COLUMN($A$2)+1+$B$1)</f>
        <v xml:space="preserve"> </v>
      </c>
      <c r="G18" s="112" t="str" cm="1">
        <f t="array" ref="G18">INDEX('Questions global'!$A:$YP,ROW(G17)-ROW($A$2)+4,COLUMN(G17)-COLUMN($A$2)+1+$B$1)</f>
        <v/>
      </c>
      <c r="H18" s="104" t="str" cm="1">
        <f t="array" aca="1" ref="H18" ca="1">INDEX('Questions global'!$A:$YP,ROW(H17)-ROW($A$2)+4,COLUMN(H17)-COLUMN($A$2)+1+$B$1)</f>
        <v/>
      </c>
      <c r="I18" s="119" t="str" cm="1">
        <f t="array" aca="1" ref="I18" ca="1">INDEX('Questions global'!$A:$YP,ROW(I17)-ROW($A$2)+4,COLUMN(I17)-COLUMN($A$2)+1+$B$1)</f>
        <v/>
      </c>
    </row>
    <row r="19" spans="1:9" ht="15" customHeight="1" x14ac:dyDescent="0.3">
      <c r="A19" s="118" cm="1">
        <f t="array" ref="A19">INDEX('Questions global'!$A:$YP,ROW(A18)-ROW($A$2)+4,COLUMN(A18)-COLUMN($A$2)+1+$B$1)</f>
        <v>18</v>
      </c>
      <c r="B19" s="106" t="str" cm="1">
        <f t="array" ref="B19">INDEX('Questions global'!$A:$YP,ROW(B18)-ROW($A$2)+4,COLUMN(B18)-COLUMN($A$2)+1+$B$1)</f>
        <v/>
      </c>
      <c r="C19" s="106" t="str" cm="1">
        <f t="array" ref="C19">INDEX('Questions global'!$A:$YP,ROW(C18)-ROW($A$2)+4,COLUMN(C18)-COLUMN($A$2)+1+$B$1)</f>
        <v/>
      </c>
      <c r="D19" s="126" t="str" cm="1">
        <f t="array" ref="D19">INDEX('Questions global'!$A:$YP,ROW(D18)-ROW($A$2)+4,COLUMN(D18)-COLUMN($A$2)+1+$B$1)</f>
        <v/>
      </c>
      <c r="E19" s="104" t="str" cm="1">
        <f t="array" aca="1" ref="E19" ca="1">INDEX('Questions global'!$A:$YP,ROW(E18)-ROW($A$2)+4,COLUMN(E18)-COLUMN($A$2)+1+$B$1)</f>
        <v xml:space="preserve">   </v>
      </c>
      <c r="F19" s="105" t="str" cm="1">
        <f t="array" ref="F19">INDEX('Questions global'!$A:$YP,ROW(F18)-ROW($A$2)+4,COLUMN(F18)-COLUMN($A$2)+1+$B$1)</f>
        <v xml:space="preserve"> </v>
      </c>
      <c r="G19" s="112" t="str" cm="1">
        <f t="array" ref="G19">INDEX('Questions global'!$A:$YP,ROW(G18)-ROW($A$2)+4,COLUMN(G18)-COLUMN($A$2)+1+$B$1)</f>
        <v/>
      </c>
      <c r="H19" s="104" t="str" cm="1">
        <f t="array" aca="1" ref="H19" ca="1">INDEX('Questions global'!$A:$YP,ROW(H18)-ROW($A$2)+4,COLUMN(H18)-COLUMN($A$2)+1+$B$1)</f>
        <v/>
      </c>
      <c r="I19" s="119" t="str" cm="1">
        <f t="array" aca="1" ref="I19" ca="1">INDEX('Questions global'!$A:$YP,ROW(I18)-ROW($A$2)+4,COLUMN(I18)-COLUMN($A$2)+1+$B$1)</f>
        <v/>
      </c>
    </row>
    <row r="20" spans="1:9" ht="15" customHeight="1" x14ac:dyDescent="0.3">
      <c r="A20" s="118" cm="1">
        <f t="array" ref="A20">INDEX('Questions global'!$A:$YP,ROW(A19)-ROW($A$2)+4,COLUMN(A19)-COLUMN($A$2)+1+$B$1)</f>
        <v>19</v>
      </c>
      <c r="B20" s="106" t="str" cm="1">
        <f t="array" ref="B20">INDEX('Questions global'!$A:$YP,ROW(B19)-ROW($A$2)+4,COLUMN(B19)-COLUMN($A$2)+1+$B$1)</f>
        <v/>
      </c>
      <c r="C20" s="106" t="str" cm="1">
        <f t="array" ref="C20">INDEX('Questions global'!$A:$YP,ROW(C19)-ROW($A$2)+4,COLUMN(C19)-COLUMN($A$2)+1+$B$1)</f>
        <v/>
      </c>
      <c r="D20" s="126" t="str" cm="1">
        <f t="array" ref="D20">INDEX('Questions global'!$A:$YP,ROW(D19)-ROW($A$2)+4,COLUMN(D19)-COLUMN($A$2)+1+$B$1)</f>
        <v/>
      </c>
      <c r="E20" s="104" t="str" cm="1">
        <f t="array" aca="1" ref="E20" ca="1">INDEX('Questions global'!$A:$YP,ROW(E19)-ROW($A$2)+4,COLUMN(E19)-COLUMN($A$2)+1+$B$1)</f>
        <v xml:space="preserve">   </v>
      </c>
      <c r="F20" s="105" t="str" cm="1">
        <f t="array" ref="F20">INDEX('Questions global'!$A:$YP,ROW(F19)-ROW($A$2)+4,COLUMN(F19)-COLUMN($A$2)+1+$B$1)</f>
        <v xml:space="preserve"> </v>
      </c>
      <c r="G20" s="112" t="str" cm="1">
        <f t="array" ref="G20">INDEX('Questions global'!$A:$YP,ROW(G19)-ROW($A$2)+4,COLUMN(G19)-COLUMN($A$2)+1+$B$1)</f>
        <v/>
      </c>
      <c r="H20" s="104" t="str" cm="1">
        <f t="array" aca="1" ref="H20" ca="1">INDEX('Questions global'!$A:$YP,ROW(H19)-ROW($A$2)+4,COLUMN(H19)-COLUMN($A$2)+1+$B$1)</f>
        <v/>
      </c>
      <c r="I20" s="119" t="str" cm="1">
        <f t="array" aca="1" ref="I20" ca="1">INDEX('Questions global'!$A:$YP,ROW(I19)-ROW($A$2)+4,COLUMN(I19)-COLUMN($A$2)+1+$B$1)</f>
        <v/>
      </c>
    </row>
    <row r="21" spans="1:9" ht="15" customHeight="1" x14ac:dyDescent="0.3">
      <c r="A21" s="118" cm="1">
        <f t="array" ref="A21">INDEX('Questions global'!$A:$YP,ROW(A20)-ROW($A$2)+4,COLUMN(A20)-COLUMN($A$2)+1+$B$1)</f>
        <v>20</v>
      </c>
      <c r="B21" s="106" t="str" cm="1">
        <f t="array" ref="B21">INDEX('Questions global'!$A:$YP,ROW(B20)-ROW($A$2)+4,COLUMN(B20)-COLUMN($A$2)+1+$B$1)</f>
        <v/>
      </c>
      <c r="C21" s="106" t="str" cm="1">
        <f t="array" ref="C21">INDEX('Questions global'!$A:$YP,ROW(C20)-ROW($A$2)+4,COLUMN(C20)-COLUMN($A$2)+1+$B$1)</f>
        <v/>
      </c>
      <c r="D21" s="126" t="str" cm="1">
        <f t="array" ref="D21">INDEX('Questions global'!$A:$YP,ROW(D20)-ROW($A$2)+4,COLUMN(D20)-COLUMN($A$2)+1+$B$1)</f>
        <v/>
      </c>
      <c r="E21" s="104" t="str" cm="1">
        <f t="array" aca="1" ref="E21" ca="1">INDEX('Questions global'!$A:$YP,ROW(E20)-ROW($A$2)+4,COLUMN(E20)-COLUMN($A$2)+1+$B$1)</f>
        <v xml:space="preserve">   </v>
      </c>
      <c r="F21" s="105" t="str" cm="1">
        <f t="array" ref="F21">INDEX('Questions global'!$A:$YP,ROW(F20)-ROW($A$2)+4,COLUMN(F20)-COLUMN($A$2)+1+$B$1)</f>
        <v xml:space="preserve"> </v>
      </c>
      <c r="G21" s="112" t="str" cm="1">
        <f t="array" ref="G21">INDEX('Questions global'!$A:$YP,ROW(G20)-ROW($A$2)+4,COLUMN(G20)-COLUMN($A$2)+1+$B$1)</f>
        <v/>
      </c>
      <c r="H21" s="104" t="str" cm="1">
        <f t="array" aca="1" ref="H21" ca="1">INDEX('Questions global'!$A:$YP,ROW(H20)-ROW($A$2)+4,COLUMN(H20)-COLUMN($A$2)+1+$B$1)</f>
        <v/>
      </c>
      <c r="I21" s="119" t="str" cm="1">
        <f t="array" aca="1" ref="I21" ca="1">INDEX('Questions global'!$A:$YP,ROW(I20)-ROW($A$2)+4,COLUMN(I20)-COLUMN($A$2)+1+$B$1)</f>
        <v/>
      </c>
    </row>
    <row r="22" spans="1:9" ht="15" customHeight="1" x14ac:dyDescent="0.3">
      <c r="A22" s="118" cm="1">
        <f t="array" ref="A22">INDEX('Questions global'!$A:$YP,ROW(A21)-ROW($A$2)+4,COLUMN(A21)-COLUMN($A$2)+1+$B$1)</f>
        <v>21</v>
      </c>
      <c r="B22" s="106" t="str" cm="1">
        <f t="array" ref="B22">INDEX('Questions global'!$A:$YP,ROW(B21)-ROW($A$2)+4,COLUMN(B21)-COLUMN($A$2)+1+$B$1)</f>
        <v/>
      </c>
      <c r="C22" s="106" t="str" cm="1">
        <f t="array" ref="C22">INDEX('Questions global'!$A:$YP,ROW(C21)-ROW($A$2)+4,COLUMN(C21)-COLUMN($A$2)+1+$B$1)</f>
        <v/>
      </c>
      <c r="D22" s="126" t="str" cm="1">
        <f t="array" ref="D22">INDEX('Questions global'!$A:$YP,ROW(D21)-ROW($A$2)+4,COLUMN(D21)-COLUMN($A$2)+1+$B$1)</f>
        <v/>
      </c>
      <c r="E22" s="104" t="str" cm="1">
        <f t="array" aca="1" ref="E22" ca="1">INDEX('Questions global'!$A:$YP,ROW(E21)-ROW($A$2)+4,COLUMN(E21)-COLUMN($A$2)+1+$B$1)</f>
        <v xml:space="preserve">   </v>
      </c>
      <c r="F22" s="105" t="str" cm="1">
        <f t="array" ref="F22">INDEX('Questions global'!$A:$YP,ROW(F21)-ROW($A$2)+4,COLUMN(F21)-COLUMN($A$2)+1+$B$1)</f>
        <v xml:space="preserve"> </v>
      </c>
      <c r="G22" s="112" t="str" cm="1">
        <f t="array" ref="G22">INDEX('Questions global'!$A:$YP,ROW(G21)-ROW($A$2)+4,COLUMN(G21)-COLUMN($A$2)+1+$B$1)</f>
        <v/>
      </c>
      <c r="H22" s="104" t="str" cm="1">
        <f t="array" aca="1" ref="H22" ca="1">INDEX('Questions global'!$A:$YP,ROW(H21)-ROW($A$2)+4,COLUMN(H21)-COLUMN($A$2)+1+$B$1)</f>
        <v/>
      </c>
      <c r="I22" s="119" t="str" cm="1">
        <f t="array" aca="1" ref="I22" ca="1">INDEX('Questions global'!$A:$YP,ROW(I21)-ROW($A$2)+4,COLUMN(I21)-COLUMN($A$2)+1+$B$1)</f>
        <v/>
      </c>
    </row>
    <row r="23" spans="1:9" ht="15" customHeight="1" x14ac:dyDescent="0.3">
      <c r="A23" s="118" cm="1">
        <f t="array" ref="A23">INDEX('Questions global'!$A:$YP,ROW(A22)-ROW($A$2)+4,COLUMN(A22)-COLUMN($A$2)+1+$B$1)</f>
        <v>22</v>
      </c>
      <c r="B23" s="106" t="str" cm="1">
        <f t="array" ref="B23">INDEX('Questions global'!$A:$YP,ROW(B22)-ROW($A$2)+4,COLUMN(B22)-COLUMN($A$2)+1+$B$1)</f>
        <v/>
      </c>
      <c r="C23" s="106" t="str" cm="1">
        <f t="array" ref="C23">INDEX('Questions global'!$A:$YP,ROW(C22)-ROW($A$2)+4,COLUMN(C22)-COLUMN($A$2)+1+$B$1)</f>
        <v/>
      </c>
      <c r="D23" s="126" t="str" cm="1">
        <f t="array" ref="D23">INDEX('Questions global'!$A:$YP,ROW(D22)-ROW($A$2)+4,COLUMN(D22)-COLUMN($A$2)+1+$B$1)</f>
        <v/>
      </c>
      <c r="E23" s="104" t="str" cm="1">
        <f t="array" aca="1" ref="E23" ca="1">INDEX('Questions global'!$A:$YP,ROW(E22)-ROW($A$2)+4,COLUMN(E22)-COLUMN($A$2)+1+$B$1)</f>
        <v xml:space="preserve">   </v>
      </c>
      <c r="F23" s="105" t="str" cm="1">
        <f t="array" ref="F23">INDEX('Questions global'!$A:$YP,ROW(F22)-ROW($A$2)+4,COLUMN(F22)-COLUMN($A$2)+1+$B$1)</f>
        <v xml:space="preserve"> </v>
      </c>
      <c r="G23" s="112" t="str" cm="1">
        <f t="array" ref="G23">INDEX('Questions global'!$A:$YP,ROW(G22)-ROW($A$2)+4,COLUMN(G22)-COLUMN($A$2)+1+$B$1)</f>
        <v/>
      </c>
      <c r="H23" s="104" t="str" cm="1">
        <f t="array" aca="1" ref="H23" ca="1">INDEX('Questions global'!$A:$YP,ROW(H22)-ROW($A$2)+4,COLUMN(H22)-COLUMN($A$2)+1+$B$1)</f>
        <v/>
      </c>
      <c r="I23" s="119" t="str" cm="1">
        <f t="array" aca="1" ref="I23" ca="1">INDEX('Questions global'!$A:$YP,ROW(I22)-ROW($A$2)+4,COLUMN(I22)-COLUMN($A$2)+1+$B$1)</f>
        <v/>
      </c>
    </row>
    <row r="24" spans="1:9" ht="15" customHeight="1" x14ac:dyDescent="0.3">
      <c r="A24" s="118" cm="1">
        <f t="array" ref="A24">INDEX('Questions global'!$A:$YP,ROW(A23)-ROW($A$2)+4,COLUMN(A23)-COLUMN($A$2)+1+$B$1)</f>
        <v>23</v>
      </c>
      <c r="B24" s="106" t="str" cm="1">
        <f t="array" ref="B24">INDEX('Questions global'!$A:$YP,ROW(B23)-ROW($A$2)+4,COLUMN(B23)-COLUMN($A$2)+1+$B$1)</f>
        <v/>
      </c>
      <c r="C24" s="106" t="str" cm="1">
        <f t="array" ref="C24">INDEX('Questions global'!$A:$YP,ROW(C23)-ROW($A$2)+4,COLUMN(C23)-COLUMN($A$2)+1+$B$1)</f>
        <v/>
      </c>
      <c r="D24" s="126" t="str" cm="1">
        <f t="array" ref="D24">INDEX('Questions global'!$A:$YP,ROW(D23)-ROW($A$2)+4,COLUMN(D23)-COLUMN($A$2)+1+$B$1)</f>
        <v/>
      </c>
      <c r="E24" s="104" t="str" cm="1">
        <f t="array" aca="1" ref="E24" ca="1">INDEX('Questions global'!$A:$YP,ROW(E23)-ROW($A$2)+4,COLUMN(E23)-COLUMN($A$2)+1+$B$1)</f>
        <v xml:space="preserve">   </v>
      </c>
      <c r="F24" s="105" t="str" cm="1">
        <f t="array" ref="F24">INDEX('Questions global'!$A:$YP,ROW(F23)-ROW($A$2)+4,COLUMN(F23)-COLUMN($A$2)+1+$B$1)</f>
        <v xml:space="preserve"> </v>
      </c>
      <c r="G24" s="112" t="str" cm="1">
        <f t="array" ref="G24">INDEX('Questions global'!$A:$YP,ROW(G23)-ROW($A$2)+4,COLUMN(G23)-COLUMN($A$2)+1+$B$1)</f>
        <v/>
      </c>
      <c r="H24" s="104" t="str" cm="1">
        <f t="array" aca="1" ref="H24" ca="1">INDEX('Questions global'!$A:$YP,ROW(H23)-ROW($A$2)+4,COLUMN(H23)-COLUMN($A$2)+1+$B$1)</f>
        <v/>
      </c>
      <c r="I24" s="119" t="str" cm="1">
        <f t="array" aca="1" ref="I24" ca="1">INDEX('Questions global'!$A:$YP,ROW(I23)-ROW($A$2)+4,COLUMN(I23)-COLUMN($A$2)+1+$B$1)</f>
        <v/>
      </c>
    </row>
    <row r="25" spans="1:9" ht="15" customHeight="1" x14ac:dyDescent="0.3">
      <c r="A25" s="118" cm="1">
        <f t="array" ref="A25">INDEX('Questions global'!$A:$YP,ROW(A24)-ROW($A$2)+4,COLUMN(A24)-COLUMN($A$2)+1+$B$1)</f>
        <v>24</v>
      </c>
      <c r="B25" s="106" t="str" cm="1">
        <f t="array" ref="B25">INDEX('Questions global'!$A:$YP,ROW(B24)-ROW($A$2)+4,COLUMN(B24)-COLUMN($A$2)+1+$B$1)</f>
        <v/>
      </c>
      <c r="C25" s="106" t="str" cm="1">
        <f t="array" ref="C25">INDEX('Questions global'!$A:$YP,ROW(C24)-ROW($A$2)+4,COLUMN(C24)-COLUMN($A$2)+1+$B$1)</f>
        <v/>
      </c>
      <c r="D25" s="126" t="str" cm="1">
        <f t="array" ref="D25">INDEX('Questions global'!$A:$YP,ROW(D24)-ROW($A$2)+4,COLUMN(D24)-COLUMN($A$2)+1+$B$1)</f>
        <v/>
      </c>
      <c r="E25" s="104" t="str" cm="1">
        <f t="array" aca="1" ref="E25" ca="1">INDEX('Questions global'!$A:$YP,ROW(E24)-ROW($A$2)+4,COLUMN(E24)-COLUMN($A$2)+1+$B$1)</f>
        <v xml:space="preserve">   </v>
      </c>
      <c r="F25" s="105" t="str" cm="1">
        <f t="array" ref="F25">INDEX('Questions global'!$A:$YP,ROW(F24)-ROW($A$2)+4,COLUMN(F24)-COLUMN($A$2)+1+$B$1)</f>
        <v xml:space="preserve"> </v>
      </c>
      <c r="G25" s="112" t="str" cm="1">
        <f t="array" ref="G25">INDEX('Questions global'!$A:$YP,ROW(G24)-ROW($A$2)+4,COLUMN(G24)-COLUMN($A$2)+1+$B$1)</f>
        <v/>
      </c>
      <c r="H25" s="104" t="str" cm="1">
        <f t="array" aca="1" ref="H25" ca="1">INDEX('Questions global'!$A:$YP,ROW(H24)-ROW($A$2)+4,COLUMN(H24)-COLUMN($A$2)+1+$B$1)</f>
        <v/>
      </c>
      <c r="I25" s="119" t="str" cm="1">
        <f t="array" aca="1" ref="I25" ca="1">INDEX('Questions global'!$A:$YP,ROW(I24)-ROW($A$2)+4,COLUMN(I24)-COLUMN($A$2)+1+$B$1)</f>
        <v/>
      </c>
    </row>
    <row r="26" spans="1:9" ht="15" customHeight="1" x14ac:dyDescent="0.3">
      <c r="A26" s="118" cm="1">
        <f t="array" ref="A26">INDEX('Questions global'!$A:$YP,ROW(A25)-ROW($A$2)+4,COLUMN(A25)-COLUMN($A$2)+1+$B$1)</f>
        <v>25</v>
      </c>
      <c r="B26" s="106" t="str" cm="1">
        <f t="array" ref="B26">INDEX('Questions global'!$A:$YP,ROW(B25)-ROW($A$2)+4,COLUMN(B25)-COLUMN($A$2)+1+$B$1)</f>
        <v/>
      </c>
      <c r="C26" s="106" t="str" cm="1">
        <f t="array" ref="C26">INDEX('Questions global'!$A:$YP,ROW(C25)-ROW($A$2)+4,COLUMN(C25)-COLUMN($A$2)+1+$B$1)</f>
        <v/>
      </c>
      <c r="D26" s="126" t="str" cm="1">
        <f t="array" ref="D26">INDEX('Questions global'!$A:$YP,ROW(D25)-ROW($A$2)+4,COLUMN(D25)-COLUMN($A$2)+1+$B$1)</f>
        <v/>
      </c>
      <c r="E26" s="104" t="str" cm="1">
        <f t="array" aca="1" ref="E26" ca="1">INDEX('Questions global'!$A:$YP,ROW(E25)-ROW($A$2)+4,COLUMN(E25)-COLUMN($A$2)+1+$B$1)</f>
        <v xml:space="preserve">   </v>
      </c>
      <c r="F26" s="105" t="str" cm="1">
        <f t="array" ref="F26">INDEX('Questions global'!$A:$YP,ROW(F25)-ROW($A$2)+4,COLUMN(F25)-COLUMN($A$2)+1+$B$1)</f>
        <v xml:space="preserve"> </v>
      </c>
      <c r="G26" s="112" t="str" cm="1">
        <f t="array" ref="G26">INDEX('Questions global'!$A:$YP,ROW(G25)-ROW($A$2)+4,COLUMN(G25)-COLUMN($A$2)+1+$B$1)</f>
        <v/>
      </c>
      <c r="H26" s="104" t="str" cm="1">
        <f t="array" aca="1" ref="H26" ca="1">INDEX('Questions global'!$A:$YP,ROW(H25)-ROW($A$2)+4,COLUMN(H25)-COLUMN($A$2)+1+$B$1)</f>
        <v/>
      </c>
      <c r="I26" s="119" t="str" cm="1">
        <f t="array" aca="1" ref="I26" ca="1">INDEX('Questions global'!$A:$YP,ROW(I25)-ROW($A$2)+4,COLUMN(I25)-COLUMN($A$2)+1+$B$1)</f>
        <v/>
      </c>
    </row>
    <row r="27" spans="1:9" ht="15" customHeight="1" x14ac:dyDescent="0.3">
      <c r="A27" s="118" cm="1">
        <f t="array" ref="A27">INDEX('Questions global'!$A:$YP,ROW(A26)-ROW($A$2)+4,COLUMN(A26)-COLUMN($A$2)+1+$B$1)</f>
        <v>26</v>
      </c>
      <c r="B27" s="106" t="str" cm="1">
        <f t="array" ref="B27">INDEX('Questions global'!$A:$YP,ROW(B26)-ROW($A$2)+4,COLUMN(B26)-COLUMN($A$2)+1+$B$1)</f>
        <v/>
      </c>
      <c r="C27" s="106" t="str" cm="1">
        <f t="array" ref="C27">INDEX('Questions global'!$A:$YP,ROW(C26)-ROW($A$2)+4,COLUMN(C26)-COLUMN($A$2)+1+$B$1)</f>
        <v/>
      </c>
      <c r="D27" s="126" t="str" cm="1">
        <f t="array" ref="D27">INDEX('Questions global'!$A:$YP,ROW(D26)-ROW($A$2)+4,COLUMN(D26)-COLUMN($A$2)+1+$B$1)</f>
        <v/>
      </c>
      <c r="E27" s="104" t="str" cm="1">
        <f t="array" aca="1" ref="E27" ca="1">INDEX('Questions global'!$A:$YP,ROW(E26)-ROW($A$2)+4,COLUMN(E26)-COLUMN($A$2)+1+$B$1)</f>
        <v xml:space="preserve">   </v>
      </c>
      <c r="F27" s="105" t="str" cm="1">
        <f t="array" ref="F27">INDEX('Questions global'!$A:$YP,ROW(F26)-ROW($A$2)+4,COLUMN(F26)-COLUMN($A$2)+1+$B$1)</f>
        <v xml:space="preserve"> </v>
      </c>
      <c r="G27" s="112" t="str" cm="1">
        <f t="array" ref="G27">INDEX('Questions global'!$A:$YP,ROW(G26)-ROW($A$2)+4,COLUMN(G26)-COLUMN($A$2)+1+$B$1)</f>
        <v/>
      </c>
      <c r="H27" s="104" t="str" cm="1">
        <f t="array" aca="1" ref="H27" ca="1">INDEX('Questions global'!$A:$YP,ROW(H26)-ROW($A$2)+4,COLUMN(H26)-COLUMN($A$2)+1+$B$1)</f>
        <v/>
      </c>
      <c r="I27" s="119" t="str" cm="1">
        <f t="array" aca="1" ref="I27" ca="1">INDEX('Questions global'!$A:$YP,ROW(I26)-ROW($A$2)+4,COLUMN(I26)-COLUMN($A$2)+1+$B$1)</f>
        <v/>
      </c>
    </row>
    <row r="28" spans="1:9" ht="15" customHeight="1" x14ac:dyDescent="0.3">
      <c r="A28" s="118" cm="1">
        <f t="array" ref="A28">INDEX('Questions global'!$A:$YP,ROW(A27)-ROW($A$2)+4,COLUMN(A27)-COLUMN($A$2)+1+$B$1)</f>
        <v>27</v>
      </c>
      <c r="B28" s="106" t="str" cm="1">
        <f t="array" ref="B28">INDEX('Questions global'!$A:$YP,ROW(B27)-ROW($A$2)+4,COLUMN(B27)-COLUMN($A$2)+1+$B$1)</f>
        <v/>
      </c>
      <c r="C28" s="106" t="str" cm="1">
        <f t="array" ref="C28">INDEX('Questions global'!$A:$YP,ROW(C27)-ROW($A$2)+4,COLUMN(C27)-COLUMN($A$2)+1+$B$1)</f>
        <v/>
      </c>
      <c r="D28" s="126" t="str" cm="1">
        <f t="array" ref="D28">INDEX('Questions global'!$A:$YP,ROW(D27)-ROW($A$2)+4,COLUMN(D27)-COLUMN($A$2)+1+$B$1)</f>
        <v/>
      </c>
      <c r="E28" s="104" t="str" cm="1">
        <f t="array" aca="1" ref="E28" ca="1">INDEX('Questions global'!$A:$YP,ROW(E27)-ROW($A$2)+4,COLUMN(E27)-COLUMN($A$2)+1+$B$1)</f>
        <v xml:space="preserve">   </v>
      </c>
      <c r="F28" s="105" t="str" cm="1">
        <f t="array" ref="F28">INDEX('Questions global'!$A:$YP,ROW(F27)-ROW($A$2)+4,COLUMN(F27)-COLUMN($A$2)+1+$B$1)</f>
        <v xml:space="preserve"> </v>
      </c>
      <c r="G28" s="112" t="str" cm="1">
        <f t="array" ref="G28">INDEX('Questions global'!$A:$YP,ROW(G27)-ROW($A$2)+4,COLUMN(G27)-COLUMN($A$2)+1+$B$1)</f>
        <v/>
      </c>
      <c r="H28" s="104" t="str" cm="1">
        <f t="array" aca="1" ref="H28" ca="1">INDEX('Questions global'!$A:$YP,ROW(H27)-ROW($A$2)+4,COLUMN(H27)-COLUMN($A$2)+1+$B$1)</f>
        <v/>
      </c>
      <c r="I28" s="119" t="str" cm="1">
        <f t="array" aca="1" ref="I28" ca="1">INDEX('Questions global'!$A:$YP,ROW(I27)-ROW($A$2)+4,COLUMN(I27)-COLUMN($A$2)+1+$B$1)</f>
        <v/>
      </c>
    </row>
    <row r="29" spans="1:9" ht="15" customHeight="1" x14ac:dyDescent="0.3">
      <c r="A29" s="118" cm="1">
        <f t="array" ref="A29">INDEX('Questions global'!$A:$YP,ROW(A28)-ROW($A$2)+4,COLUMN(A28)-COLUMN($A$2)+1+$B$1)</f>
        <v>28</v>
      </c>
      <c r="B29" s="106" t="str" cm="1">
        <f t="array" ref="B29">INDEX('Questions global'!$A:$YP,ROW(B28)-ROW($A$2)+4,COLUMN(B28)-COLUMN($A$2)+1+$B$1)</f>
        <v/>
      </c>
      <c r="C29" s="106" t="str" cm="1">
        <f t="array" ref="C29">INDEX('Questions global'!$A:$YP,ROW(C28)-ROW($A$2)+4,COLUMN(C28)-COLUMN($A$2)+1+$B$1)</f>
        <v/>
      </c>
      <c r="D29" s="126" t="str" cm="1">
        <f t="array" ref="D29">INDEX('Questions global'!$A:$YP,ROW(D28)-ROW($A$2)+4,COLUMN(D28)-COLUMN($A$2)+1+$B$1)</f>
        <v/>
      </c>
      <c r="E29" s="104" t="str" cm="1">
        <f t="array" aca="1" ref="E29" ca="1">INDEX('Questions global'!$A:$YP,ROW(E28)-ROW($A$2)+4,COLUMN(E28)-COLUMN($A$2)+1+$B$1)</f>
        <v xml:space="preserve">   </v>
      </c>
      <c r="F29" s="105" t="str" cm="1">
        <f t="array" ref="F29">INDEX('Questions global'!$A:$YP,ROW(F28)-ROW($A$2)+4,COLUMN(F28)-COLUMN($A$2)+1+$B$1)</f>
        <v xml:space="preserve"> </v>
      </c>
      <c r="G29" s="112" t="str" cm="1">
        <f t="array" ref="G29">INDEX('Questions global'!$A:$YP,ROW(G28)-ROW($A$2)+4,COLUMN(G28)-COLUMN($A$2)+1+$B$1)</f>
        <v/>
      </c>
      <c r="H29" s="104" t="str" cm="1">
        <f t="array" aca="1" ref="H29" ca="1">INDEX('Questions global'!$A:$YP,ROW(H28)-ROW($A$2)+4,COLUMN(H28)-COLUMN($A$2)+1+$B$1)</f>
        <v/>
      </c>
      <c r="I29" s="119" t="str" cm="1">
        <f t="array" aca="1" ref="I29" ca="1">INDEX('Questions global'!$A:$YP,ROW(I28)-ROW($A$2)+4,COLUMN(I28)-COLUMN($A$2)+1+$B$1)</f>
        <v/>
      </c>
    </row>
    <row r="30" spans="1:9" ht="15" customHeight="1" x14ac:dyDescent="0.3">
      <c r="A30" s="118" cm="1">
        <f t="array" ref="A30">INDEX('Questions global'!$A:$YP,ROW(A29)-ROW($A$2)+4,COLUMN(A29)-COLUMN($A$2)+1+$B$1)</f>
        <v>29</v>
      </c>
      <c r="B30" s="106" t="str" cm="1">
        <f t="array" ref="B30">INDEX('Questions global'!$A:$YP,ROW(B29)-ROW($A$2)+4,COLUMN(B29)-COLUMN($A$2)+1+$B$1)</f>
        <v/>
      </c>
      <c r="C30" s="106" t="str" cm="1">
        <f t="array" ref="C30">INDEX('Questions global'!$A:$YP,ROW(C29)-ROW($A$2)+4,COLUMN(C29)-COLUMN($A$2)+1+$B$1)</f>
        <v/>
      </c>
      <c r="D30" s="126" t="str" cm="1">
        <f t="array" ref="D30">INDEX('Questions global'!$A:$YP,ROW(D29)-ROW($A$2)+4,COLUMN(D29)-COLUMN($A$2)+1+$B$1)</f>
        <v/>
      </c>
      <c r="E30" s="104" t="str" cm="1">
        <f t="array" aca="1" ref="E30" ca="1">INDEX('Questions global'!$A:$YP,ROW(E29)-ROW($A$2)+4,COLUMN(E29)-COLUMN($A$2)+1+$B$1)</f>
        <v xml:space="preserve">   </v>
      </c>
      <c r="F30" s="105" t="str" cm="1">
        <f t="array" ref="F30">INDEX('Questions global'!$A:$YP,ROW(F29)-ROW($A$2)+4,COLUMN(F29)-COLUMN($A$2)+1+$B$1)</f>
        <v xml:space="preserve"> </v>
      </c>
      <c r="G30" s="112" t="str" cm="1">
        <f t="array" ref="G30">INDEX('Questions global'!$A:$YP,ROW(G29)-ROW($A$2)+4,COLUMN(G29)-COLUMN($A$2)+1+$B$1)</f>
        <v/>
      </c>
      <c r="H30" s="104" t="str" cm="1">
        <f t="array" aca="1" ref="H30" ca="1">INDEX('Questions global'!$A:$YP,ROW(H29)-ROW($A$2)+4,COLUMN(H29)-COLUMN($A$2)+1+$B$1)</f>
        <v/>
      </c>
      <c r="I30" s="119" t="str" cm="1">
        <f t="array" aca="1" ref="I30" ca="1">INDEX('Questions global'!$A:$YP,ROW(I29)-ROW($A$2)+4,COLUMN(I29)-COLUMN($A$2)+1+$B$1)</f>
        <v/>
      </c>
    </row>
    <row r="31" spans="1:9" ht="15" customHeight="1" x14ac:dyDescent="0.3">
      <c r="A31" s="118" cm="1">
        <f t="array" ref="A31">INDEX('Questions global'!$A:$YP,ROW(A30)-ROW($A$2)+4,COLUMN(A30)-COLUMN($A$2)+1+$B$1)</f>
        <v>30</v>
      </c>
      <c r="B31" s="106" t="str" cm="1">
        <f t="array" ref="B31">INDEX('Questions global'!$A:$YP,ROW(B30)-ROW($A$2)+4,COLUMN(B30)-COLUMN($A$2)+1+$B$1)</f>
        <v/>
      </c>
      <c r="C31" s="106" t="str" cm="1">
        <f t="array" ref="C31">INDEX('Questions global'!$A:$YP,ROW(C30)-ROW($A$2)+4,COLUMN(C30)-COLUMN($A$2)+1+$B$1)</f>
        <v/>
      </c>
      <c r="D31" s="126" t="str" cm="1">
        <f t="array" ref="D31">INDEX('Questions global'!$A:$YP,ROW(D30)-ROW($A$2)+4,COLUMN(D30)-COLUMN($A$2)+1+$B$1)</f>
        <v/>
      </c>
      <c r="E31" s="104" t="str" cm="1">
        <f t="array" aca="1" ref="E31" ca="1">INDEX('Questions global'!$A:$YP,ROW(E30)-ROW($A$2)+4,COLUMN(E30)-COLUMN($A$2)+1+$B$1)</f>
        <v xml:space="preserve">   </v>
      </c>
      <c r="F31" s="105" t="str" cm="1">
        <f t="array" ref="F31">INDEX('Questions global'!$A:$YP,ROW(F30)-ROW($A$2)+4,COLUMN(F30)-COLUMN($A$2)+1+$B$1)</f>
        <v xml:space="preserve"> </v>
      </c>
      <c r="G31" s="112" t="str" cm="1">
        <f t="array" ref="G31">INDEX('Questions global'!$A:$YP,ROW(G30)-ROW($A$2)+4,COLUMN(G30)-COLUMN($A$2)+1+$B$1)</f>
        <v/>
      </c>
      <c r="H31" s="104" t="str" cm="1">
        <f t="array" aca="1" ref="H31" ca="1">INDEX('Questions global'!$A:$YP,ROW(H30)-ROW($A$2)+4,COLUMN(H30)-COLUMN($A$2)+1+$B$1)</f>
        <v/>
      </c>
      <c r="I31" s="119" t="str" cm="1">
        <f t="array" aca="1" ref="I31" ca="1">INDEX('Questions global'!$A:$YP,ROW(I30)-ROW($A$2)+4,COLUMN(I30)-COLUMN($A$2)+1+$B$1)</f>
        <v/>
      </c>
    </row>
    <row r="32" spans="1:9" ht="15" customHeight="1" x14ac:dyDescent="0.3">
      <c r="A32" s="118" cm="1">
        <f t="array" ref="A32">INDEX('Questions global'!$A:$YP,ROW(A31)-ROW($A$2)+4,COLUMN(A31)-COLUMN($A$2)+1+$B$1)</f>
        <v>31</v>
      </c>
      <c r="B32" s="106" t="str" cm="1">
        <f t="array" ref="B32">INDEX('Questions global'!$A:$YP,ROW(B31)-ROW($A$2)+4,COLUMN(B31)-COLUMN($A$2)+1+$B$1)</f>
        <v/>
      </c>
      <c r="C32" s="106" t="str" cm="1">
        <f t="array" ref="C32">INDEX('Questions global'!$A:$YP,ROW(C31)-ROW($A$2)+4,COLUMN(C31)-COLUMN($A$2)+1+$B$1)</f>
        <v/>
      </c>
      <c r="D32" s="126" t="str" cm="1">
        <f t="array" ref="D32">INDEX('Questions global'!$A:$YP,ROW(D31)-ROW($A$2)+4,COLUMN(D31)-COLUMN($A$2)+1+$B$1)</f>
        <v/>
      </c>
      <c r="E32" s="104" t="str" cm="1">
        <f t="array" aca="1" ref="E32" ca="1">INDEX('Questions global'!$A:$YP,ROW(E31)-ROW($A$2)+4,COLUMN(E31)-COLUMN($A$2)+1+$B$1)</f>
        <v xml:space="preserve">   </v>
      </c>
      <c r="F32" s="105" t="str" cm="1">
        <f t="array" ref="F32">INDEX('Questions global'!$A:$YP,ROW(F31)-ROW($A$2)+4,COLUMN(F31)-COLUMN($A$2)+1+$B$1)</f>
        <v xml:space="preserve"> </v>
      </c>
      <c r="G32" s="112" t="str" cm="1">
        <f t="array" ref="G32">INDEX('Questions global'!$A:$YP,ROW(G31)-ROW($A$2)+4,COLUMN(G31)-COLUMN($A$2)+1+$B$1)</f>
        <v/>
      </c>
      <c r="H32" s="104" t="str" cm="1">
        <f t="array" aca="1" ref="H32" ca="1">INDEX('Questions global'!$A:$YP,ROW(H31)-ROW($A$2)+4,COLUMN(H31)-COLUMN($A$2)+1+$B$1)</f>
        <v/>
      </c>
      <c r="I32" s="119" t="str" cm="1">
        <f t="array" aca="1" ref="I32" ca="1">INDEX('Questions global'!$A:$YP,ROW(I31)-ROW($A$2)+4,COLUMN(I31)-COLUMN($A$2)+1+$B$1)</f>
        <v/>
      </c>
    </row>
    <row r="33" spans="1:9" ht="15" customHeight="1" x14ac:dyDescent="0.3">
      <c r="A33" s="118" cm="1">
        <f t="array" ref="A33">INDEX('Questions global'!$A:$YP,ROW(A32)-ROW($A$2)+4,COLUMN(A32)-COLUMN($A$2)+1+$B$1)</f>
        <v>32</v>
      </c>
      <c r="B33" s="106" t="str" cm="1">
        <f t="array" ref="B33">INDEX('Questions global'!$A:$YP,ROW(B32)-ROW($A$2)+4,COLUMN(B32)-COLUMN($A$2)+1+$B$1)</f>
        <v/>
      </c>
      <c r="C33" s="106" t="str" cm="1">
        <f t="array" ref="C33">INDEX('Questions global'!$A:$YP,ROW(C32)-ROW($A$2)+4,COLUMN(C32)-COLUMN($A$2)+1+$B$1)</f>
        <v/>
      </c>
      <c r="D33" s="126" t="str" cm="1">
        <f t="array" ref="D33">INDEX('Questions global'!$A:$YP,ROW(D32)-ROW($A$2)+4,COLUMN(D32)-COLUMN($A$2)+1+$B$1)</f>
        <v/>
      </c>
      <c r="E33" s="104" t="str" cm="1">
        <f t="array" aca="1" ref="E33" ca="1">INDEX('Questions global'!$A:$YP,ROW(E32)-ROW($A$2)+4,COLUMN(E32)-COLUMN($A$2)+1+$B$1)</f>
        <v xml:space="preserve">   </v>
      </c>
      <c r="F33" s="105" t="str" cm="1">
        <f t="array" ref="F33">INDEX('Questions global'!$A:$YP,ROW(F32)-ROW($A$2)+4,COLUMN(F32)-COLUMN($A$2)+1+$B$1)</f>
        <v xml:space="preserve"> </v>
      </c>
      <c r="G33" s="112" t="str" cm="1">
        <f t="array" ref="G33">INDEX('Questions global'!$A:$YP,ROW(G32)-ROW($A$2)+4,COLUMN(G32)-COLUMN($A$2)+1+$B$1)</f>
        <v/>
      </c>
      <c r="H33" s="104" t="str" cm="1">
        <f t="array" aca="1" ref="H33" ca="1">INDEX('Questions global'!$A:$YP,ROW(H32)-ROW($A$2)+4,COLUMN(H32)-COLUMN($A$2)+1+$B$1)</f>
        <v/>
      </c>
      <c r="I33" s="119" t="str" cm="1">
        <f t="array" aca="1" ref="I33" ca="1">INDEX('Questions global'!$A:$YP,ROW(I32)-ROW($A$2)+4,COLUMN(I32)-COLUMN($A$2)+1+$B$1)</f>
        <v/>
      </c>
    </row>
    <row r="34" spans="1:9" ht="15" customHeight="1" x14ac:dyDescent="0.3">
      <c r="A34" s="118" cm="1">
        <f t="array" ref="A34">INDEX('Questions global'!$A:$YP,ROW(A33)-ROW($A$2)+4,COLUMN(A33)-COLUMN($A$2)+1+$B$1)</f>
        <v>33</v>
      </c>
      <c r="B34" s="106" t="str" cm="1">
        <f t="array" ref="B34">INDEX('Questions global'!$A:$YP,ROW(B33)-ROW($A$2)+4,COLUMN(B33)-COLUMN($A$2)+1+$B$1)</f>
        <v/>
      </c>
      <c r="C34" s="106" t="str" cm="1">
        <f t="array" ref="C34">INDEX('Questions global'!$A:$YP,ROW(C33)-ROW($A$2)+4,COLUMN(C33)-COLUMN($A$2)+1+$B$1)</f>
        <v/>
      </c>
      <c r="D34" s="126" t="str" cm="1">
        <f t="array" ref="D34">INDEX('Questions global'!$A:$YP,ROW(D33)-ROW($A$2)+4,COLUMN(D33)-COLUMN($A$2)+1+$B$1)</f>
        <v/>
      </c>
      <c r="E34" s="104" t="str" cm="1">
        <f t="array" aca="1" ref="E34" ca="1">INDEX('Questions global'!$A:$YP,ROW(E33)-ROW($A$2)+4,COLUMN(E33)-COLUMN($A$2)+1+$B$1)</f>
        <v xml:space="preserve">   </v>
      </c>
      <c r="F34" s="105" t="str" cm="1">
        <f t="array" ref="F34">INDEX('Questions global'!$A:$YP,ROW(F33)-ROW($A$2)+4,COLUMN(F33)-COLUMN($A$2)+1+$B$1)</f>
        <v xml:space="preserve"> </v>
      </c>
      <c r="G34" s="112" t="str" cm="1">
        <f t="array" ref="G34">INDEX('Questions global'!$A:$YP,ROW(G33)-ROW($A$2)+4,COLUMN(G33)-COLUMN($A$2)+1+$B$1)</f>
        <v/>
      </c>
      <c r="H34" s="104" t="str" cm="1">
        <f t="array" aca="1" ref="H34" ca="1">INDEX('Questions global'!$A:$YP,ROW(H33)-ROW($A$2)+4,COLUMN(H33)-COLUMN($A$2)+1+$B$1)</f>
        <v/>
      </c>
      <c r="I34" s="119" t="str" cm="1">
        <f t="array" aca="1" ref="I34" ca="1">INDEX('Questions global'!$A:$YP,ROW(I33)-ROW($A$2)+4,COLUMN(I33)-COLUMN($A$2)+1+$B$1)</f>
        <v/>
      </c>
    </row>
    <row r="35" spans="1:9" ht="15" customHeight="1" x14ac:dyDescent="0.3">
      <c r="A35" s="118" cm="1">
        <f t="array" ref="A35">INDEX('Questions global'!$A:$YP,ROW(A34)-ROW($A$2)+4,COLUMN(A34)-COLUMN($A$2)+1+$B$1)</f>
        <v>34</v>
      </c>
      <c r="B35" s="106" t="str" cm="1">
        <f t="array" ref="B35">INDEX('Questions global'!$A:$YP,ROW(B34)-ROW($A$2)+4,COLUMN(B34)-COLUMN($A$2)+1+$B$1)</f>
        <v/>
      </c>
      <c r="C35" s="106" t="str" cm="1">
        <f t="array" ref="C35">INDEX('Questions global'!$A:$YP,ROW(C34)-ROW($A$2)+4,COLUMN(C34)-COLUMN($A$2)+1+$B$1)</f>
        <v/>
      </c>
      <c r="D35" s="126" t="str" cm="1">
        <f t="array" ref="D35">INDEX('Questions global'!$A:$YP,ROW(D34)-ROW($A$2)+4,COLUMN(D34)-COLUMN($A$2)+1+$B$1)</f>
        <v/>
      </c>
      <c r="E35" s="104" t="str" cm="1">
        <f t="array" aca="1" ref="E35" ca="1">INDEX('Questions global'!$A:$YP,ROW(E34)-ROW($A$2)+4,COLUMN(E34)-COLUMN($A$2)+1+$B$1)</f>
        <v xml:space="preserve">   </v>
      </c>
      <c r="F35" s="105" t="str" cm="1">
        <f t="array" ref="F35">INDEX('Questions global'!$A:$YP,ROW(F34)-ROW($A$2)+4,COLUMN(F34)-COLUMN($A$2)+1+$B$1)</f>
        <v xml:space="preserve"> </v>
      </c>
      <c r="G35" s="112" t="str" cm="1">
        <f t="array" ref="G35">INDEX('Questions global'!$A:$YP,ROW(G34)-ROW($A$2)+4,COLUMN(G34)-COLUMN($A$2)+1+$B$1)</f>
        <v/>
      </c>
      <c r="H35" s="104" t="str" cm="1">
        <f t="array" aca="1" ref="H35" ca="1">INDEX('Questions global'!$A:$YP,ROW(H34)-ROW($A$2)+4,COLUMN(H34)-COLUMN($A$2)+1+$B$1)</f>
        <v/>
      </c>
      <c r="I35" s="119" t="str" cm="1">
        <f t="array" aca="1" ref="I35" ca="1">INDEX('Questions global'!$A:$YP,ROW(I34)-ROW($A$2)+4,COLUMN(I34)-COLUMN($A$2)+1+$B$1)</f>
        <v/>
      </c>
    </row>
    <row r="36" spans="1:9" ht="15" customHeight="1" x14ac:dyDescent="0.3">
      <c r="A36" s="118" cm="1">
        <f t="array" ref="A36">INDEX('Questions global'!$A:$YP,ROW(A35)-ROW($A$2)+4,COLUMN(A35)-COLUMN($A$2)+1+$B$1)</f>
        <v>35</v>
      </c>
      <c r="B36" s="106" t="str" cm="1">
        <f t="array" ref="B36">INDEX('Questions global'!$A:$YP,ROW(B35)-ROW($A$2)+4,COLUMN(B35)-COLUMN($A$2)+1+$B$1)</f>
        <v/>
      </c>
      <c r="C36" s="106" t="str" cm="1">
        <f t="array" ref="C36">INDEX('Questions global'!$A:$YP,ROW(C35)-ROW($A$2)+4,COLUMN(C35)-COLUMN($A$2)+1+$B$1)</f>
        <v/>
      </c>
      <c r="D36" s="126" t="str" cm="1">
        <f t="array" ref="D36">INDEX('Questions global'!$A:$YP,ROW(D35)-ROW($A$2)+4,COLUMN(D35)-COLUMN($A$2)+1+$B$1)</f>
        <v/>
      </c>
      <c r="E36" s="104" t="str" cm="1">
        <f t="array" aca="1" ref="E36" ca="1">INDEX('Questions global'!$A:$YP,ROW(E35)-ROW($A$2)+4,COLUMN(E35)-COLUMN($A$2)+1+$B$1)</f>
        <v xml:space="preserve">   </v>
      </c>
      <c r="F36" s="105" t="str" cm="1">
        <f t="array" ref="F36">INDEX('Questions global'!$A:$YP,ROW(F35)-ROW($A$2)+4,COLUMN(F35)-COLUMN($A$2)+1+$B$1)</f>
        <v xml:space="preserve"> </v>
      </c>
      <c r="G36" s="112" t="str" cm="1">
        <f t="array" ref="G36">INDEX('Questions global'!$A:$YP,ROW(G35)-ROW($A$2)+4,COLUMN(G35)-COLUMN($A$2)+1+$B$1)</f>
        <v/>
      </c>
      <c r="H36" s="104" t="str" cm="1">
        <f t="array" aca="1" ref="H36" ca="1">INDEX('Questions global'!$A:$YP,ROW(H35)-ROW($A$2)+4,COLUMN(H35)-COLUMN($A$2)+1+$B$1)</f>
        <v/>
      </c>
      <c r="I36" s="119" t="str" cm="1">
        <f t="array" aca="1" ref="I36" ca="1">INDEX('Questions global'!$A:$YP,ROW(I35)-ROW($A$2)+4,COLUMN(I35)-COLUMN($A$2)+1+$B$1)</f>
        <v/>
      </c>
    </row>
    <row r="37" spans="1:9" ht="16.5" customHeight="1" x14ac:dyDescent="0.3">
      <c r="A37" s="118" cm="1">
        <f t="array" ref="A37">INDEX('Questions global'!$A:$YP,ROW(A36)-ROW($A$2)+4,COLUMN(A36)-COLUMN($A$2)+1+$B$1)</f>
        <v>36</v>
      </c>
      <c r="B37" s="106" t="str" cm="1">
        <f t="array" ref="B37">INDEX('Questions global'!$A:$YP,ROW(B36)-ROW($A$2)+4,COLUMN(B36)-COLUMN($A$2)+1+$B$1)</f>
        <v/>
      </c>
      <c r="C37" s="106" t="str" cm="1">
        <f t="array" ref="C37">INDEX('Questions global'!$A:$YP,ROW(C36)-ROW($A$2)+4,COLUMN(C36)-COLUMN($A$2)+1+$B$1)</f>
        <v/>
      </c>
      <c r="D37" s="126" t="str" cm="1">
        <f t="array" ref="D37">INDEX('Questions global'!$A:$YP,ROW(D36)-ROW($A$2)+4,COLUMN(D36)-COLUMN($A$2)+1+$B$1)</f>
        <v/>
      </c>
      <c r="E37" s="104" t="str" cm="1">
        <f t="array" aca="1" ref="E37" ca="1">INDEX('Questions global'!$A:$YP,ROW(E36)-ROW($A$2)+4,COLUMN(E36)-COLUMN($A$2)+1+$B$1)</f>
        <v xml:space="preserve">   </v>
      </c>
      <c r="F37" s="105" t="str" cm="1">
        <f t="array" ref="F37">INDEX('Questions global'!$A:$YP,ROW(F36)-ROW($A$2)+4,COLUMN(F36)-COLUMN($A$2)+1+$B$1)</f>
        <v xml:space="preserve"> </v>
      </c>
      <c r="G37" s="112" t="str" cm="1">
        <f t="array" ref="G37">INDEX('Questions global'!$A:$YP,ROW(G36)-ROW($A$2)+4,COLUMN(G36)-COLUMN($A$2)+1+$B$1)</f>
        <v/>
      </c>
      <c r="H37" s="104" t="str" cm="1">
        <f t="array" aca="1" ref="H37" ca="1">INDEX('Questions global'!$A:$YP,ROW(H36)-ROW($A$2)+4,COLUMN(H36)-COLUMN($A$2)+1+$B$1)</f>
        <v/>
      </c>
      <c r="I37" s="119" t="str" cm="1">
        <f t="array" aca="1" ref="I37" ca="1">INDEX('Questions global'!$A:$YP,ROW(I36)-ROW($A$2)+4,COLUMN(I36)-COLUMN($A$2)+1+$B$1)</f>
        <v/>
      </c>
    </row>
    <row r="38" spans="1:9" ht="16.5" customHeight="1" x14ac:dyDescent="0.3">
      <c r="A38" s="118" cm="1">
        <f t="array" ref="A38">INDEX('Questions global'!$A:$YP,ROW(A37)-ROW($A$2)+4,COLUMN(A37)-COLUMN($A$2)+1+$B$1)</f>
        <v>37</v>
      </c>
      <c r="B38" s="106" t="str" cm="1">
        <f t="array" ref="B38">INDEX('Questions global'!$A:$YP,ROW(B37)-ROW($A$2)+4,COLUMN(B37)-COLUMN($A$2)+1+$B$1)</f>
        <v/>
      </c>
      <c r="C38" s="106" t="str" cm="1">
        <f t="array" ref="C38">INDEX('Questions global'!$A:$YP,ROW(C37)-ROW($A$2)+4,COLUMN(C37)-COLUMN($A$2)+1+$B$1)</f>
        <v/>
      </c>
      <c r="D38" s="126" t="str" cm="1">
        <f t="array" ref="D38">INDEX('Questions global'!$A:$YP,ROW(D37)-ROW($A$2)+4,COLUMN(D37)-COLUMN($A$2)+1+$B$1)</f>
        <v/>
      </c>
      <c r="E38" s="104" t="str" cm="1">
        <f t="array" aca="1" ref="E38" ca="1">INDEX('Questions global'!$A:$YP,ROW(E37)-ROW($A$2)+4,COLUMN(E37)-COLUMN($A$2)+1+$B$1)</f>
        <v xml:space="preserve">   </v>
      </c>
      <c r="F38" s="105" t="str" cm="1">
        <f t="array" ref="F38">INDEX('Questions global'!$A:$YP,ROW(F37)-ROW($A$2)+4,COLUMN(F37)-COLUMN($A$2)+1+$B$1)</f>
        <v xml:space="preserve"> </v>
      </c>
      <c r="G38" s="112" t="str" cm="1">
        <f t="array" ref="G38">INDEX('Questions global'!$A:$YP,ROW(G37)-ROW($A$2)+4,COLUMN(G37)-COLUMN($A$2)+1+$B$1)</f>
        <v/>
      </c>
      <c r="H38" s="104" t="str" cm="1">
        <f t="array" aca="1" ref="H38" ca="1">INDEX('Questions global'!$A:$YP,ROW(H37)-ROW($A$2)+4,COLUMN(H37)-COLUMN($A$2)+1+$B$1)</f>
        <v/>
      </c>
      <c r="I38" s="119" t="str" cm="1">
        <f t="array" aca="1" ref="I38" ca="1">INDEX('Questions global'!$A:$YP,ROW(I37)-ROW($A$2)+4,COLUMN(I37)-COLUMN($A$2)+1+$B$1)</f>
        <v/>
      </c>
    </row>
    <row r="39" spans="1:9" ht="16.5" customHeight="1" x14ac:dyDescent="0.3">
      <c r="A39" s="118" cm="1">
        <f t="array" ref="A39">INDEX('Questions global'!$A:$YP,ROW(A38)-ROW($A$2)+4,COLUMN(A38)-COLUMN($A$2)+1+$B$1)</f>
        <v>38</v>
      </c>
      <c r="B39" s="106" t="str" cm="1">
        <f t="array" ref="B39">INDEX('Questions global'!$A:$YP,ROW(B38)-ROW($A$2)+4,COLUMN(B38)-COLUMN($A$2)+1+$B$1)</f>
        <v/>
      </c>
      <c r="C39" s="106" t="str" cm="1">
        <f t="array" ref="C39">INDEX('Questions global'!$A:$YP,ROW(C38)-ROW($A$2)+4,COLUMN(C38)-COLUMN($A$2)+1+$B$1)</f>
        <v/>
      </c>
      <c r="D39" s="126" t="str" cm="1">
        <f t="array" ref="D39">INDEX('Questions global'!$A:$YP,ROW(D38)-ROW($A$2)+4,COLUMN(D38)-COLUMN($A$2)+1+$B$1)</f>
        <v/>
      </c>
      <c r="E39" s="104" t="str" cm="1">
        <f t="array" aca="1" ref="E39" ca="1">INDEX('Questions global'!$A:$YP,ROW(E38)-ROW($A$2)+4,COLUMN(E38)-COLUMN($A$2)+1+$B$1)</f>
        <v xml:space="preserve">   </v>
      </c>
      <c r="F39" s="105" t="str" cm="1">
        <f t="array" ref="F39">INDEX('Questions global'!$A:$YP,ROW(F38)-ROW($A$2)+4,COLUMN(F38)-COLUMN($A$2)+1+$B$1)</f>
        <v xml:space="preserve"> </v>
      </c>
      <c r="G39" s="112" t="str" cm="1">
        <f t="array" ref="G39">INDEX('Questions global'!$A:$YP,ROW(G38)-ROW($A$2)+4,COLUMN(G38)-COLUMN($A$2)+1+$B$1)</f>
        <v/>
      </c>
      <c r="H39" s="104" t="str" cm="1">
        <f t="array" aca="1" ref="H39" ca="1">INDEX('Questions global'!$A:$YP,ROW(H38)-ROW($A$2)+4,COLUMN(H38)-COLUMN($A$2)+1+$B$1)</f>
        <v/>
      </c>
      <c r="I39" s="119" t="str" cm="1">
        <f t="array" aca="1" ref="I39" ca="1">INDEX('Questions global'!$A:$YP,ROW(I38)-ROW($A$2)+4,COLUMN(I38)-COLUMN($A$2)+1+$B$1)</f>
        <v/>
      </c>
    </row>
    <row r="40" spans="1:9" ht="16.5" customHeight="1" x14ac:dyDescent="0.3">
      <c r="A40" s="118" cm="1">
        <f t="array" ref="A40">INDEX('Questions global'!$A:$YP,ROW(A39)-ROW($A$2)+4,COLUMN(A39)-COLUMN($A$2)+1+$B$1)</f>
        <v>39</v>
      </c>
      <c r="B40" s="106" t="str" cm="1">
        <f t="array" ref="B40">INDEX('Questions global'!$A:$YP,ROW(B39)-ROW($A$2)+4,COLUMN(B39)-COLUMN($A$2)+1+$B$1)</f>
        <v/>
      </c>
      <c r="C40" s="106" t="str" cm="1">
        <f t="array" ref="C40">INDEX('Questions global'!$A:$YP,ROW(C39)-ROW($A$2)+4,COLUMN(C39)-COLUMN($A$2)+1+$B$1)</f>
        <v/>
      </c>
      <c r="D40" s="126" t="str" cm="1">
        <f t="array" ref="D40">INDEX('Questions global'!$A:$YP,ROW(D39)-ROW($A$2)+4,COLUMN(D39)-COLUMN($A$2)+1+$B$1)</f>
        <v/>
      </c>
      <c r="E40" s="104" t="str" cm="1">
        <f t="array" aca="1" ref="E40" ca="1">INDEX('Questions global'!$A:$YP,ROW(E39)-ROW($A$2)+4,COLUMN(E39)-COLUMN($A$2)+1+$B$1)</f>
        <v xml:space="preserve">   </v>
      </c>
      <c r="F40" s="105" t="str" cm="1">
        <f t="array" ref="F40">INDEX('Questions global'!$A:$YP,ROW(F39)-ROW($A$2)+4,COLUMN(F39)-COLUMN($A$2)+1+$B$1)</f>
        <v xml:space="preserve"> </v>
      </c>
      <c r="G40" s="112" t="str" cm="1">
        <f t="array" ref="G40">INDEX('Questions global'!$A:$YP,ROW(G39)-ROW($A$2)+4,COLUMN(G39)-COLUMN($A$2)+1+$B$1)</f>
        <v/>
      </c>
      <c r="H40" s="104" t="str" cm="1">
        <f t="array" aca="1" ref="H40" ca="1">INDEX('Questions global'!$A:$YP,ROW(H39)-ROW($A$2)+4,COLUMN(H39)-COLUMN($A$2)+1+$B$1)</f>
        <v/>
      </c>
      <c r="I40" s="119" t="str" cm="1">
        <f t="array" aca="1" ref="I40" ca="1">INDEX('Questions global'!$A:$YP,ROW(I39)-ROW($A$2)+4,COLUMN(I39)-COLUMN($A$2)+1+$B$1)</f>
        <v/>
      </c>
    </row>
    <row r="41" spans="1:9" ht="16.5" customHeight="1" x14ac:dyDescent="0.3">
      <c r="A41" s="118" cm="1">
        <f t="array" ref="A41">INDEX('Questions global'!$A:$YP,ROW(A40)-ROW($A$2)+4,COLUMN(A40)-COLUMN($A$2)+1+$B$1)</f>
        <v>40</v>
      </c>
      <c r="B41" s="106" t="str" cm="1">
        <f t="array" ref="B41">INDEX('Questions global'!$A:$YP,ROW(B40)-ROW($A$2)+4,COLUMN(B40)-COLUMN($A$2)+1+$B$1)</f>
        <v/>
      </c>
      <c r="C41" s="106" t="str" cm="1">
        <f t="array" ref="C41">INDEX('Questions global'!$A:$YP,ROW(C40)-ROW($A$2)+4,COLUMN(C40)-COLUMN($A$2)+1+$B$1)</f>
        <v/>
      </c>
      <c r="D41" s="126" t="str" cm="1">
        <f t="array" ref="D41">INDEX('Questions global'!$A:$YP,ROW(D40)-ROW($A$2)+4,COLUMN(D40)-COLUMN($A$2)+1+$B$1)</f>
        <v/>
      </c>
      <c r="E41" s="104" t="str" cm="1">
        <f t="array" aca="1" ref="E41" ca="1">INDEX('Questions global'!$A:$YP,ROW(E40)-ROW($A$2)+4,COLUMN(E40)-COLUMN($A$2)+1+$B$1)</f>
        <v xml:space="preserve">   </v>
      </c>
      <c r="F41" s="105" t="str" cm="1">
        <f t="array" ref="F41">INDEX('Questions global'!$A:$YP,ROW(F40)-ROW($A$2)+4,COLUMN(F40)-COLUMN($A$2)+1+$B$1)</f>
        <v xml:space="preserve"> </v>
      </c>
      <c r="G41" s="112" t="str" cm="1">
        <f t="array" ref="G41">INDEX('Questions global'!$A:$YP,ROW(G40)-ROW($A$2)+4,COLUMN(G40)-COLUMN($A$2)+1+$B$1)</f>
        <v/>
      </c>
      <c r="H41" s="104" t="str" cm="1">
        <f t="array" aca="1" ref="H41" ca="1">INDEX('Questions global'!$A:$YP,ROW(H40)-ROW($A$2)+4,COLUMN(H40)-COLUMN($A$2)+1+$B$1)</f>
        <v/>
      </c>
      <c r="I41" s="119" t="str" cm="1">
        <f t="array" aca="1" ref="I41" ca="1">INDEX('Questions global'!$A:$YP,ROW(I40)-ROW($A$2)+4,COLUMN(I40)-COLUMN($A$2)+1+$B$1)</f>
        <v/>
      </c>
    </row>
    <row r="42" spans="1:9" ht="16.5" customHeight="1" x14ac:dyDescent="0.3">
      <c r="A42" s="118" cm="1">
        <f t="array" ref="A42">INDEX('Questions global'!$A:$YP,ROW(A41)-ROW($A$2)+4,COLUMN(A41)-COLUMN($A$2)+1+$B$1)</f>
        <v>41</v>
      </c>
      <c r="B42" s="106" t="str" cm="1">
        <f t="array" ref="B42">INDEX('Questions global'!$A:$YP,ROW(B41)-ROW($A$2)+4,COLUMN(B41)-COLUMN($A$2)+1+$B$1)</f>
        <v/>
      </c>
      <c r="C42" s="106" t="str" cm="1">
        <f t="array" ref="C42">INDEX('Questions global'!$A:$YP,ROW(C41)-ROW($A$2)+4,COLUMN(C41)-COLUMN($A$2)+1+$B$1)</f>
        <v/>
      </c>
      <c r="D42" s="126" t="str" cm="1">
        <f t="array" ref="D42">INDEX('Questions global'!$A:$YP,ROW(D41)-ROW($A$2)+4,COLUMN(D41)-COLUMN($A$2)+1+$B$1)</f>
        <v/>
      </c>
      <c r="E42" s="104" t="str" cm="1">
        <f t="array" aca="1" ref="E42" ca="1">INDEX('Questions global'!$A:$YP,ROW(E41)-ROW($A$2)+4,COLUMN(E41)-COLUMN($A$2)+1+$B$1)</f>
        <v xml:space="preserve">   </v>
      </c>
      <c r="F42" s="105" t="str" cm="1">
        <f t="array" ref="F42">INDEX('Questions global'!$A:$YP,ROW(F41)-ROW($A$2)+4,COLUMN(F41)-COLUMN($A$2)+1+$B$1)</f>
        <v xml:space="preserve"> </v>
      </c>
      <c r="G42" s="112" t="str" cm="1">
        <f t="array" ref="G42">INDEX('Questions global'!$A:$YP,ROW(G41)-ROW($A$2)+4,COLUMN(G41)-COLUMN($A$2)+1+$B$1)</f>
        <v/>
      </c>
      <c r="H42" s="104" t="str" cm="1">
        <f t="array" aca="1" ref="H42" ca="1">INDEX('Questions global'!$A:$YP,ROW(H41)-ROW($A$2)+4,COLUMN(H41)-COLUMN($A$2)+1+$B$1)</f>
        <v/>
      </c>
      <c r="I42" s="119" t="str" cm="1">
        <f t="array" aca="1" ref="I42" ca="1">INDEX('Questions global'!$A:$YP,ROW(I41)-ROW($A$2)+4,COLUMN(I41)-COLUMN($A$2)+1+$B$1)</f>
        <v/>
      </c>
    </row>
    <row r="43" spans="1:9" ht="16.5" customHeight="1" x14ac:dyDescent="0.3">
      <c r="A43" s="118" cm="1">
        <f t="array" ref="A43">INDEX('Questions global'!$A:$YP,ROW(A42)-ROW($A$2)+4,COLUMN(A42)-COLUMN($A$2)+1+$B$1)</f>
        <v>42</v>
      </c>
      <c r="B43" s="106" t="str" cm="1">
        <f t="array" ref="B43">INDEX('Questions global'!$A:$YP,ROW(B42)-ROW($A$2)+4,COLUMN(B42)-COLUMN($A$2)+1+$B$1)</f>
        <v/>
      </c>
      <c r="C43" s="106" t="str" cm="1">
        <f t="array" ref="C43">INDEX('Questions global'!$A:$YP,ROW(C42)-ROW($A$2)+4,COLUMN(C42)-COLUMN($A$2)+1+$B$1)</f>
        <v/>
      </c>
      <c r="D43" s="126" t="str" cm="1">
        <f t="array" ref="D43">INDEX('Questions global'!$A:$YP,ROW(D42)-ROW($A$2)+4,COLUMN(D42)-COLUMN($A$2)+1+$B$1)</f>
        <v/>
      </c>
      <c r="E43" s="104" t="str" cm="1">
        <f t="array" aca="1" ref="E43" ca="1">INDEX('Questions global'!$A:$YP,ROW(E42)-ROW($A$2)+4,COLUMN(E42)-COLUMN($A$2)+1+$B$1)</f>
        <v xml:space="preserve">   </v>
      </c>
      <c r="F43" s="105" t="str" cm="1">
        <f t="array" ref="F43">INDEX('Questions global'!$A:$YP,ROW(F42)-ROW($A$2)+4,COLUMN(F42)-COLUMN($A$2)+1+$B$1)</f>
        <v xml:space="preserve"> </v>
      </c>
      <c r="G43" s="112" t="str" cm="1">
        <f t="array" ref="G43">INDEX('Questions global'!$A:$YP,ROW(G42)-ROW($A$2)+4,COLUMN(G42)-COLUMN($A$2)+1+$B$1)</f>
        <v/>
      </c>
      <c r="H43" s="104" t="str" cm="1">
        <f t="array" aca="1" ref="H43" ca="1">INDEX('Questions global'!$A:$YP,ROW(H42)-ROW($A$2)+4,COLUMN(H42)-COLUMN($A$2)+1+$B$1)</f>
        <v/>
      </c>
      <c r="I43" s="119" t="str" cm="1">
        <f t="array" aca="1" ref="I43" ca="1">INDEX('Questions global'!$A:$YP,ROW(I42)-ROW($A$2)+4,COLUMN(I42)-COLUMN($A$2)+1+$B$1)</f>
        <v/>
      </c>
    </row>
    <row r="44" spans="1:9" ht="16.5" customHeight="1" x14ac:dyDescent="0.3">
      <c r="A44" s="118" cm="1">
        <f t="array" ref="A44">INDEX('Questions global'!$A:$YP,ROW(A43)-ROW($A$2)+4,COLUMN(A43)-COLUMN($A$2)+1+$B$1)</f>
        <v>43</v>
      </c>
      <c r="B44" s="106" t="str" cm="1">
        <f t="array" ref="B44">INDEX('Questions global'!$A:$YP,ROW(B43)-ROW($A$2)+4,COLUMN(B43)-COLUMN($A$2)+1+$B$1)</f>
        <v/>
      </c>
      <c r="C44" s="106" t="str" cm="1">
        <f t="array" ref="C44">INDEX('Questions global'!$A:$YP,ROW(C43)-ROW($A$2)+4,COLUMN(C43)-COLUMN($A$2)+1+$B$1)</f>
        <v/>
      </c>
      <c r="D44" s="126" t="str" cm="1">
        <f t="array" ref="D44">INDEX('Questions global'!$A:$YP,ROW(D43)-ROW($A$2)+4,COLUMN(D43)-COLUMN($A$2)+1+$B$1)</f>
        <v/>
      </c>
      <c r="E44" s="104" t="str" cm="1">
        <f t="array" aca="1" ref="E44" ca="1">INDEX('Questions global'!$A:$YP,ROW(E43)-ROW($A$2)+4,COLUMN(E43)-COLUMN($A$2)+1+$B$1)</f>
        <v xml:space="preserve">   </v>
      </c>
      <c r="F44" s="105" t="str" cm="1">
        <f t="array" ref="F44">INDEX('Questions global'!$A:$YP,ROW(F43)-ROW($A$2)+4,COLUMN(F43)-COLUMN($A$2)+1+$B$1)</f>
        <v xml:space="preserve"> </v>
      </c>
      <c r="G44" s="112" t="str" cm="1">
        <f t="array" ref="G44">INDEX('Questions global'!$A:$YP,ROW(G43)-ROW($A$2)+4,COLUMN(G43)-COLUMN($A$2)+1+$B$1)</f>
        <v/>
      </c>
      <c r="H44" s="104" t="str" cm="1">
        <f t="array" aca="1" ref="H44" ca="1">INDEX('Questions global'!$A:$YP,ROW(H43)-ROW($A$2)+4,COLUMN(H43)-COLUMN($A$2)+1+$B$1)</f>
        <v/>
      </c>
      <c r="I44" s="119" t="str" cm="1">
        <f t="array" aca="1" ref="I44" ca="1">INDEX('Questions global'!$A:$YP,ROW(I43)-ROW($A$2)+4,COLUMN(I43)-COLUMN($A$2)+1+$B$1)</f>
        <v/>
      </c>
    </row>
    <row r="45" spans="1:9" ht="16.5" customHeight="1" x14ac:dyDescent="0.3">
      <c r="A45" s="118" cm="1">
        <f t="array" ref="A45">INDEX('Questions global'!$A:$YP,ROW(A44)-ROW($A$2)+4,COLUMN(A44)-COLUMN($A$2)+1+$B$1)</f>
        <v>44</v>
      </c>
      <c r="B45" s="106" t="str" cm="1">
        <f t="array" ref="B45">INDEX('Questions global'!$A:$YP,ROW(B44)-ROW($A$2)+4,COLUMN(B44)-COLUMN($A$2)+1+$B$1)</f>
        <v/>
      </c>
      <c r="C45" s="106" t="str" cm="1">
        <f t="array" ref="C45">INDEX('Questions global'!$A:$YP,ROW(C44)-ROW($A$2)+4,COLUMN(C44)-COLUMN($A$2)+1+$B$1)</f>
        <v/>
      </c>
      <c r="D45" s="126" t="str" cm="1">
        <f t="array" ref="D45">INDEX('Questions global'!$A:$YP,ROW(D44)-ROW($A$2)+4,COLUMN(D44)-COLUMN($A$2)+1+$B$1)</f>
        <v/>
      </c>
      <c r="E45" s="104" t="str" cm="1">
        <f t="array" aca="1" ref="E45" ca="1">INDEX('Questions global'!$A:$YP,ROW(E44)-ROW($A$2)+4,COLUMN(E44)-COLUMN($A$2)+1+$B$1)</f>
        <v xml:space="preserve">   </v>
      </c>
      <c r="F45" s="105" t="str" cm="1">
        <f t="array" ref="F45">INDEX('Questions global'!$A:$YP,ROW(F44)-ROW($A$2)+4,COLUMN(F44)-COLUMN($A$2)+1+$B$1)</f>
        <v xml:space="preserve"> </v>
      </c>
      <c r="G45" s="112" t="str" cm="1">
        <f t="array" ref="G45">INDEX('Questions global'!$A:$YP,ROW(G44)-ROW($A$2)+4,COLUMN(G44)-COLUMN($A$2)+1+$B$1)</f>
        <v/>
      </c>
      <c r="H45" s="104" t="str" cm="1">
        <f t="array" aca="1" ref="H45" ca="1">INDEX('Questions global'!$A:$YP,ROW(H44)-ROW($A$2)+4,COLUMN(H44)-COLUMN($A$2)+1+$B$1)</f>
        <v/>
      </c>
      <c r="I45" s="119" t="str" cm="1">
        <f t="array" aca="1" ref="I45" ca="1">INDEX('Questions global'!$A:$YP,ROW(I44)-ROW($A$2)+4,COLUMN(I44)-COLUMN($A$2)+1+$B$1)</f>
        <v/>
      </c>
    </row>
    <row r="46" spans="1:9" ht="16.5" customHeight="1" x14ac:dyDescent="0.3">
      <c r="A46" s="118" cm="1">
        <f t="array" ref="A46">INDEX('Questions global'!$A:$YP,ROW(A45)-ROW($A$2)+4,COLUMN(A45)-COLUMN($A$2)+1+$B$1)</f>
        <v>45</v>
      </c>
      <c r="B46" s="106" t="str" cm="1">
        <f t="array" ref="B46">INDEX('Questions global'!$A:$YP,ROW(B45)-ROW($A$2)+4,COLUMN(B45)-COLUMN($A$2)+1+$B$1)</f>
        <v/>
      </c>
      <c r="C46" s="106" t="str" cm="1">
        <f t="array" ref="C46">INDEX('Questions global'!$A:$YP,ROW(C45)-ROW($A$2)+4,COLUMN(C45)-COLUMN($A$2)+1+$B$1)</f>
        <v/>
      </c>
      <c r="D46" s="126" t="str" cm="1">
        <f t="array" ref="D46">INDEX('Questions global'!$A:$YP,ROW(D45)-ROW($A$2)+4,COLUMN(D45)-COLUMN($A$2)+1+$B$1)</f>
        <v/>
      </c>
      <c r="E46" s="104" t="str" cm="1">
        <f t="array" aca="1" ref="E46" ca="1">INDEX('Questions global'!$A:$YP,ROW(E45)-ROW($A$2)+4,COLUMN(E45)-COLUMN($A$2)+1+$B$1)</f>
        <v xml:space="preserve">   </v>
      </c>
      <c r="F46" s="105" t="str" cm="1">
        <f t="array" ref="F46">INDEX('Questions global'!$A:$YP,ROW(F45)-ROW($A$2)+4,COLUMN(F45)-COLUMN($A$2)+1+$B$1)</f>
        <v xml:space="preserve"> </v>
      </c>
      <c r="G46" s="112" t="str" cm="1">
        <f t="array" ref="G46">INDEX('Questions global'!$A:$YP,ROW(G45)-ROW($A$2)+4,COLUMN(G45)-COLUMN($A$2)+1+$B$1)</f>
        <v/>
      </c>
      <c r="H46" s="104" t="str" cm="1">
        <f t="array" aca="1" ref="H46" ca="1">INDEX('Questions global'!$A:$YP,ROW(H45)-ROW($A$2)+4,COLUMN(H45)-COLUMN($A$2)+1+$B$1)</f>
        <v/>
      </c>
      <c r="I46" s="119" t="str" cm="1">
        <f t="array" aca="1" ref="I46" ca="1">INDEX('Questions global'!$A:$YP,ROW(I45)-ROW($A$2)+4,COLUMN(I45)-COLUMN($A$2)+1+$B$1)</f>
        <v/>
      </c>
    </row>
    <row r="47" spans="1:9" ht="16.5" customHeight="1" x14ac:dyDescent="0.3">
      <c r="A47" s="118" cm="1">
        <f t="array" ref="A47">INDEX('Questions global'!$A:$YP,ROW(A46)-ROW($A$2)+4,COLUMN(A46)-COLUMN($A$2)+1+$B$1)</f>
        <v>46</v>
      </c>
      <c r="B47" s="106" t="str" cm="1">
        <f t="array" ref="B47">INDEX('Questions global'!$A:$YP,ROW(B46)-ROW($A$2)+4,COLUMN(B46)-COLUMN($A$2)+1+$B$1)</f>
        <v/>
      </c>
      <c r="C47" s="106" t="str" cm="1">
        <f t="array" ref="C47">INDEX('Questions global'!$A:$YP,ROW(C46)-ROW($A$2)+4,COLUMN(C46)-COLUMN($A$2)+1+$B$1)</f>
        <v/>
      </c>
      <c r="D47" s="126" t="str" cm="1">
        <f t="array" ref="D47">INDEX('Questions global'!$A:$YP,ROW(D46)-ROW($A$2)+4,COLUMN(D46)-COLUMN($A$2)+1+$B$1)</f>
        <v/>
      </c>
      <c r="E47" s="104" t="str" cm="1">
        <f t="array" aca="1" ref="E47" ca="1">INDEX('Questions global'!$A:$YP,ROW(E46)-ROW($A$2)+4,COLUMN(E46)-COLUMN($A$2)+1+$B$1)</f>
        <v xml:space="preserve">   </v>
      </c>
      <c r="F47" s="105" t="str" cm="1">
        <f t="array" ref="F47">INDEX('Questions global'!$A:$YP,ROW(F46)-ROW($A$2)+4,COLUMN(F46)-COLUMN($A$2)+1+$B$1)</f>
        <v xml:space="preserve"> </v>
      </c>
      <c r="G47" s="112" t="str" cm="1">
        <f t="array" ref="G47">INDEX('Questions global'!$A:$YP,ROW(G46)-ROW($A$2)+4,COLUMN(G46)-COLUMN($A$2)+1+$B$1)</f>
        <v/>
      </c>
      <c r="H47" s="104" t="str" cm="1">
        <f t="array" aca="1" ref="H47" ca="1">INDEX('Questions global'!$A:$YP,ROW(H46)-ROW($A$2)+4,COLUMN(H46)-COLUMN($A$2)+1+$B$1)</f>
        <v/>
      </c>
      <c r="I47" s="119" t="str" cm="1">
        <f t="array" aca="1" ref="I47" ca="1">INDEX('Questions global'!$A:$YP,ROW(I46)-ROW($A$2)+4,COLUMN(I46)-COLUMN($A$2)+1+$B$1)</f>
        <v/>
      </c>
    </row>
    <row r="48" spans="1:9" ht="16.5" customHeight="1" x14ac:dyDescent="0.3">
      <c r="A48" s="118" cm="1">
        <f t="array" ref="A48">INDEX('Questions global'!$A:$YP,ROW(A47)-ROW($A$2)+4,COLUMN(A47)-COLUMN($A$2)+1+$B$1)</f>
        <v>47</v>
      </c>
      <c r="B48" s="106" t="str" cm="1">
        <f t="array" ref="B48">INDEX('Questions global'!$A:$YP,ROW(B47)-ROW($A$2)+4,COLUMN(B47)-COLUMN($A$2)+1+$B$1)</f>
        <v/>
      </c>
      <c r="C48" s="106" t="str" cm="1">
        <f t="array" ref="C48">INDEX('Questions global'!$A:$YP,ROW(C47)-ROW($A$2)+4,COLUMN(C47)-COLUMN($A$2)+1+$B$1)</f>
        <v/>
      </c>
      <c r="D48" s="126" t="str" cm="1">
        <f t="array" ref="D48">INDEX('Questions global'!$A:$YP,ROW(D47)-ROW($A$2)+4,COLUMN(D47)-COLUMN($A$2)+1+$B$1)</f>
        <v/>
      </c>
      <c r="E48" s="104" t="str" cm="1">
        <f t="array" aca="1" ref="E48" ca="1">INDEX('Questions global'!$A:$YP,ROW(E47)-ROW($A$2)+4,COLUMN(E47)-COLUMN($A$2)+1+$B$1)</f>
        <v xml:space="preserve">   </v>
      </c>
      <c r="F48" s="105" t="str" cm="1">
        <f t="array" ref="F48">INDEX('Questions global'!$A:$YP,ROW(F47)-ROW($A$2)+4,COLUMN(F47)-COLUMN($A$2)+1+$B$1)</f>
        <v xml:space="preserve"> </v>
      </c>
      <c r="G48" s="112" t="str" cm="1">
        <f t="array" ref="G48">INDEX('Questions global'!$A:$YP,ROW(G47)-ROW($A$2)+4,COLUMN(G47)-COLUMN($A$2)+1+$B$1)</f>
        <v/>
      </c>
      <c r="H48" s="104" t="str" cm="1">
        <f t="array" aca="1" ref="H48" ca="1">INDEX('Questions global'!$A:$YP,ROW(H47)-ROW($A$2)+4,COLUMN(H47)-COLUMN($A$2)+1+$B$1)</f>
        <v/>
      </c>
      <c r="I48" s="119" t="str" cm="1">
        <f t="array" aca="1" ref="I48" ca="1">INDEX('Questions global'!$A:$YP,ROW(I47)-ROW($A$2)+4,COLUMN(I47)-COLUMN($A$2)+1+$B$1)</f>
        <v/>
      </c>
    </row>
    <row r="49" spans="1:9" ht="16.5" customHeight="1" x14ac:dyDescent="0.3">
      <c r="A49" s="118" cm="1">
        <f t="array" ref="A49">INDEX('Questions global'!$A:$YP,ROW(A48)-ROW($A$2)+4,COLUMN(A48)-COLUMN($A$2)+1+$B$1)</f>
        <v>48</v>
      </c>
      <c r="B49" s="106" t="str" cm="1">
        <f t="array" ref="B49">INDEX('Questions global'!$A:$YP,ROW(B48)-ROW($A$2)+4,COLUMN(B48)-COLUMN($A$2)+1+$B$1)</f>
        <v/>
      </c>
      <c r="C49" s="106" t="str" cm="1">
        <f t="array" ref="C49">INDEX('Questions global'!$A:$YP,ROW(C48)-ROW($A$2)+4,COLUMN(C48)-COLUMN($A$2)+1+$B$1)</f>
        <v/>
      </c>
      <c r="D49" s="126" t="str" cm="1">
        <f t="array" ref="D49">INDEX('Questions global'!$A:$YP,ROW(D48)-ROW($A$2)+4,COLUMN(D48)-COLUMN($A$2)+1+$B$1)</f>
        <v/>
      </c>
      <c r="E49" s="104" t="str" cm="1">
        <f t="array" aca="1" ref="E49" ca="1">INDEX('Questions global'!$A:$YP,ROW(E48)-ROW($A$2)+4,COLUMN(E48)-COLUMN($A$2)+1+$B$1)</f>
        <v xml:space="preserve">   </v>
      </c>
      <c r="F49" s="105" t="str" cm="1">
        <f t="array" ref="F49">INDEX('Questions global'!$A:$YP,ROW(F48)-ROW($A$2)+4,COLUMN(F48)-COLUMN($A$2)+1+$B$1)</f>
        <v xml:space="preserve"> </v>
      </c>
      <c r="G49" s="112" t="str" cm="1">
        <f t="array" ref="G49">INDEX('Questions global'!$A:$YP,ROW(G48)-ROW($A$2)+4,COLUMN(G48)-COLUMN($A$2)+1+$B$1)</f>
        <v/>
      </c>
      <c r="H49" s="104" t="str" cm="1">
        <f t="array" aca="1" ref="H49" ca="1">INDEX('Questions global'!$A:$YP,ROW(H48)-ROW($A$2)+4,COLUMN(H48)-COLUMN($A$2)+1+$B$1)</f>
        <v/>
      </c>
      <c r="I49" s="119" t="str" cm="1">
        <f t="array" aca="1" ref="I49" ca="1">INDEX('Questions global'!$A:$YP,ROW(I48)-ROW($A$2)+4,COLUMN(I48)-COLUMN($A$2)+1+$B$1)</f>
        <v/>
      </c>
    </row>
    <row r="50" spans="1:9" ht="16.5" customHeight="1" x14ac:dyDescent="0.3">
      <c r="A50" s="118" cm="1">
        <f t="array" ref="A50">INDEX('Questions global'!$A:$YP,ROW(A49)-ROW($A$2)+4,COLUMN(A49)-COLUMN($A$2)+1+$B$1)</f>
        <v>49</v>
      </c>
      <c r="B50" s="106" t="str" cm="1">
        <f t="array" ref="B50">INDEX('Questions global'!$A:$YP,ROW(B49)-ROW($A$2)+4,COLUMN(B49)-COLUMN($A$2)+1+$B$1)</f>
        <v/>
      </c>
      <c r="C50" s="106" t="str" cm="1">
        <f t="array" ref="C50">INDEX('Questions global'!$A:$YP,ROW(C49)-ROW($A$2)+4,COLUMN(C49)-COLUMN($A$2)+1+$B$1)</f>
        <v/>
      </c>
      <c r="D50" s="126" t="str" cm="1">
        <f t="array" ref="D50">INDEX('Questions global'!$A:$YP,ROW(D49)-ROW($A$2)+4,COLUMN(D49)-COLUMN($A$2)+1+$B$1)</f>
        <v/>
      </c>
      <c r="E50" s="104" t="str" cm="1">
        <f t="array" aca="1" ref="E50" ca="1">INDEX('Questions global'!$A:$YP,ROW(E49)-ROW($A$2)+4,COLUMN(E49)-COLUMN($A$2)+1+$B$1)</f>
        <v xml:space="preserve">   </v>
      </c>
      <c r="F50" s="105" t="str" cm="1">
        <f t="array" ref="F50">INDEX('Questions global'!$A:$YP,ROW(F49)-ROW($A$2)+4,COLUMN(F49)-COLUMN($A$2)+1+$B$1)</f>
        <v xml:space="preserve"> </v>
      </c>
      <c r="G50" s="112" t="str" cm="1">
        <f t="array" ref="G50">INDEX('Questions global'!$A:$YP,ROW(G49)-ROW($A$2)+4,COLUMN(G49)-COLUMN($A$2)+1+$B$1)</f>
        <v/>
      </c>
      <c r="H50" s="104" t="str" cm="1">
        <f t="array" aca="1" ref="H50" ca="1">INDEX('Questions global'!$A:$YP,ROW(H49)-ROW($A$2)+4,COLUMN(H49)-COLUMN($A$2)+1+$B$1)</f>
        <v/>
      </c>
      <c r="I50" s="119" t="str" cm="1">
        <f t="array" aca="1" ref="I50" ca="1">INDEX('Questions global'!$A:$YP,ROW(I49)-ROW($A$2)+4,COLUMN(I49)-COLUMN($A$2)+1+$B$1)</f>
        <v/>
      </c>
    </row>
    <row r="51" spans="1:9" ht="16.5" customHeight="1" x14ac:dyDescent="0.3">
      <c r="A51" s="118" cm="1">
        <f t="array" ref="A51">INDEX('Questions global'!$A:$YP,ROW(A50)-ROW($A$2)+4,COLUMN(A50)-COLUMN($A$2)+1+$B$1)</f>
        <v>50</v>
      </c>
      <c r="B51" s="106" t="str" cm="1">
        <f t="array" ref="B51">INDEX('Questions global'!$A:$YP,ROW(B50)-ROW($A$2)+4,COLUMN(B50)-COLUMN($A$2)+1+$B$1)</f>
        <v/>
      </c>
      <c r="C51" s="106" t="str" cm="1">
        <f t="array" ref="C51">INDEX('Questions global'!$A:$YP,ROW(C50)-ROW($A$2)+4,COLUMN(C50)-COLUMN($A$2)+1+$B$1)</f>
        <v/>
      </c>
      <c r="D51" s="126" t="str" cm="1">
        <f t="array" ref="D51">INDEX('Questions global'!$A:$YP,ROW(D50)-ROW($A$2)+4,COLUMN(D50)-COLUMN($A$2)+1+$B$1)</f>
        <v/>
      </c>
      <c r="E51" s="104" t="str" cm="1">
        <f t="array" aca="1" ref="E51" ca="1">INDEX('Questions global'!$A:$YP,ROW(E50)-ROW($A$2)+4,COLUMN(E50)-COLUMN($A$2)+1+$B$1)</f>
        <v xml:space="preserve">   </v>
      </c>
      <c r="F51" s="105" t="str" cm="1">
        <f t="array" ref="F51">INDEX('Questions global'!$A:$YP,ROW(F50)-ROW($A$2)+4,COLUMN(F50)-COLUMN($A$2)+1+$B$1)</f>
        <v xml:space="preserve"> </v>
      </c>
      <c r="G51" s="112" t="str" cm="1">
        <f t="array" ref="G51">INDEX('Questions global'!$A:$YP,ROW(G50)-ROW($A$2)+4,COLUMN(G50)-COLUMN($A$2)+1+$B$1)</f>
        <v/>
      </c>
      <c r="H51" s="104" t="str" cm="1">
        <f t="array" aca="1" ref="H51" ca="1">INDEX('Questions global'!$A:$YP,ROW(H50)-ROW($A$2)+4,COLUMN(H50)-COLUMN($A$2)+1+$B$1)</f>
        <v/>
      </c>
      <c r="I51" s="119" t="str" cm="1">
        <f t="array" aca="1" ref="I51" ca="1">INDEX('Questions global'!$A:$YP,ROW(I50)-ROW($A$2)+4,COLUMN(I50)-COLUMN($A$2)+1+$B$1)</f>
        <v/>
      </c>
    </row>
    <row r="52" spans="1:9" ht="16.5" customHeight="1" x14ac:dyDescent="0.3">
      <c r="A52" s="118" cm="1">
        <f t="array" ref="A52">INDEX('Questions global'!$A:$YP,ROW(A51)-ROW($A$2)+4,COLUMN(A51)-COLUMN($A$2)+1+$B$1)</f>
        <v>51</v>
      </c>
      <c r="B52" s="106" t="str" cm="1">
        <f t="array" ref="B52">INDEX('Questions global'!$A:$YP,ROW(B51)-ROW($A$2)+4,COLUMN(B51)-COLUMN($A$2)+1+$B$1)</f>
        <v/>
      </c>
      <c r="C52" s="106" t="str" cm="1">
        <f t="array" ref="C52">INDEX('Questions global'!$A:$YP,ROW(C51)-ROW($A$2)+4,COLUMN(C51)-COLUMN($A$2)+1+$B$1)</f>
        <v/>
      </c>
      <c r="D52" s="126" t="str" cm="1">
        <f t="array" ref="D52">INDEX('Questions global'!$A:$YP,ROW(D51)-ROW($A$2)+4,COLUMN(D51)-COLUMN($A$2)+1+$B$1)</f>
        <v/>
      </c>
      <c r="E52" s="104" t="str" cm="1">
        <f t="array" aca="1" ref="E52" ca="1">INDEX('Questions global'!$A:$YP,ROW(E51)-ROW($A$2)+4,COLUMN(E51)-COLUMN($A$2)+1+$B$1)</f>
        <v xml:space="preserve">   </v>
      </c>
      <c r="F52" s="105" t="str" cm="1">
        <f t="array" ref="F52">INDEX('Questions global'!$A:$YP,ROW(F51)-ROW($A$2)+4,COLUMN(F51)-COLUMN($A$2)+1+$B$1)</f>
        <v xml:space="preserve"> </v>
      </c>
      <c r="G52" s="112" t="str" cm="1">
        <f t="array" ref="G52">INDEX('Questions global'!$A:$YP,ROW(G51)-ROW($A$2)+4,COLUMN(G51)-COLUMN($A$2)+1+$B$1)</f>
        <v/>
      </c>
      <c r="H52" s="104" t="str" cm="1">
        <f t="array" aca="1" ref="H52" ca="1">INDEX('Questions global'!$A:$YP,ROW(H51)-ROW($A$2)+4,COLUMN(H51)-COLUMN($A$2)+1+$B$1)</f>
        <v/>
      </c>
      <c r="I52" s="119" t="str" cm="1">
        <f t="array" aca="1" ref="I52" ca="1">INDEX('Questions global'!$A:$YP,ROW(I51)-ROW($A$2)+4,COLUMN(I51)-COLUMN($A$2)+1+$B$1)</f>
        <v/>
      </c>
    </row>
    <row r="53" spans="1:9" ht="16.5" customHeight="1" x14ac:dyDescent="0.3">
      <c r="A53" s="118" cm="1">
        <f t="array" ref="A53">INDEX('Questions global'!$A:$YP,ROW(A52)-ROW($A$2)+4,COLUMN(A52)-COLUMN($A$2)+1+$B$1)</f>
        <v>52</v>
      </c>
      <c r="B53" s="106" t="str" cm="1">
        <f t="array" ref="B53">INDEX('Questions global'!$A:$YP,ROW(B52)-ROW($A$2)+4,COLUMN(B52)-COLUMN($A$2)+1+$B$1)</f>
        <v/>
      </c>
      <c r="C53" s="106" t="str" cm="1">
        <f t="array" ref="C53">INDEX('Questions global'!$A:$YP,ROW(C52)-ROW($A$2)+4,COLUMN(C52)-COLUMN($A$2)+1+$B$1)</f>
        <v/>
      </c>
      <c r="D53" s="126" t="str" cm="1">
        <f t="array" ref="D53">INDEX('Questions global'!$A:$YP,ROW(D52)-ROW($A$2)+4,COLUMN(D52)-COLUMN($A$2)+1+$B$1)</f>
        <v/>
      </c>
      <c r="E53" s="104" t="str" cm="1">
        <f t="array" aca="1" ref="E53" ca="1">INDEX('Questions global'!$A:$YP,ROW(E52)-ROW($A$2)+4,COLUMN(E52)-COLUMN($A$2)+1+$B$1)</f>
        <v xml:space="preserve">   </v>
      </c>
      <c r="F53" s="105" t="str" cm="1">
        <f t="array" ref="F53">INDEX('Questions global'!$A:$YP,ROW(F52)-ROW($A$2)+4,COLUMN(F52)-COLUMN($A$2)+1+$B$1)</f>
        <v xml:space="preserve"> </v>
      </c>
      <c r="G53" s="112" t="str" cm="1">
        <f t="array" ref="G53">INDEX('Questions global'!$A:$YP,ROW(G52)-ROW($A$2)+4,COLUMN(G52)-COLUMN($A$2)+1+$B$1)</f>
        <v/>
      </c>
      <c r="H53" s="104" t="str" cm="1">
        <f t="array" aca="1" ref="H53" ca="1">INDEX('Questions global'!$A:$YP,ROW(H52)-ROW($A$2)+4,COLUMN(H52)-COLUMN($A$2)+1+$B$1)</f>
        <v/>
      </c>
      <c r="I53" s="119" t="str" cm="1">
        <f t="array" aca="1" ref="I53" ca="1">INDEX('Questions global'!$A:$YP,ROW(I52)-ROW($A$2)+4,COLUMN(I52)-COLUMN($A$2)+1+$B$1)</f>
        <v/>
      </c>
    </row>
    <row r="54" spans="1:9" x14ac:dyDescent="0.3">
      <c r="A54" s="118" cm="1">
        <f t="array" ref="A54">INDEX('Questions global'!$A:$YP,ROW(A53)-ROW($A$2)+4,COLUMN(A53)-COLUMN($A$2)+1+$B$1)</f>
        <v>53</v>
      </c>
      <c r="B54" s="106" t="str" cm="1">
        <f t="array" ref="B54">INDEX('Questions global'!$A:$YP,ROW(B53)-ROW($A$2)+4,COLUMN(B53)-COLUMN($A$2)+1+$B$1)</f>
        <v/>
      </c>
      <c r="C54" s="106" t="str" cm="1">
        <f t="array" ref="C54">INDEX('Questions global'!$A:$YP,ROW(C53)-ROW($A$2)+4,COLUMN(C53)-COLUMN($A$2)+1+$B$1)</f>
        <v/>
      </c>
      <c r="D54" s="126" t="str" cm="1">
        <f t="array" ref="D54">INDEX('Questions global'!$A:$YP,ROW(D53)-ROW($A$2)+4,COLUMN(D53)-COLUMN($A$2)+1+$B$1)</f>
        <v/>
      </c>
      <c r="E54" s="104" t="str" cm="1">
        <f t="array" aca="1" ref="E54" ca="1">INDEX('Questions global'!$A:$YP,ROW(E53)-ROW($A$2)+4,COLUMN(E53)-COLUMN($A$2)+1+$B$1)</f>
        <v xml:space="preserve">   </v>
      </c>
      <c r="F54" s="105" t="str" cm="1">
        <f t="array" ref="F54">INDEX('Questions global'!$A:$YP,ROW(F53)-ROW($A$2)+4,COLUMN(F53)-COLUMN($A$2)+1+$B$1)</f>
        <v xml:space="preserve"> </v>
      </c>
      <c r="G54" s="112" t="str" cm="1">
        <f t="array" ref="G54">INDEX('Questions global'!$A:$YP,ROW(G53)-ROW($A$2)+4,COLUMN(G53)-COLUMN($A$2)+1+$B$1)</f>
        <v/>
      </c>
      <c r="H54" s="104" t="str" cm="1">
        <f t="array" aca="1" ref="H54" ca="1">INDEX('Questions global'!$A:$YP,ROW(H53)-ROW($A$2)+4,COLUMN(H53)-COLUMN($A$2)+1+$B$1)</f>
        <v/>
      </c>
      <c r="I54" s="119" t="str" cm="1">
        <f t="array" aca="1" ref="I54" ca="1">INDEX('Questions global'!$A:$YP,ROW(I53)-ROW($A$2)+4,COLUMN(I53)-COLUMN($A$2)+1+$B$1)</f>
        <v/>
      </c>
    </row>
    <row r="55" spans="1:9" x14ac:dyDescent="0.3">
      <c r="A55" s="118" cm="1">
        <f t="array" ref="A55">INDEX('Questions global'!$A:$YP,ROW(A54)-ROW($A$2)+4,COLUMN(A54)-COLUMN($A$2)+1+$B$1)</f>
        <v>54</v>
      </c>
      <c r="B55" s="106" t="str" cm="1">
        <f t="array" ref="B55">INDEX('Questions global'!$A:$YP,ROW(B54)-ROW($A$2)+4,COLUMN(B54)-COLUMN($A$2)+1+$B$1)</f>
        <v/>
      </c>
      <c r="C55" s="106" t="str" cm="1">
        <f t="array" ref="C55">INDEX('Questions global'!$A:$YP,ROW(C54)-ROW($A$2)+4,COLUMN(C54)-COLUMN($A$2)+1+$B$1)</f>
        <v/>
      </c>
      <c r="D55" s="126" t="str" cm="1">
        <f t="array" ref="D55">INDEX('Questions global'!$A:$YP,ROW(D54)-ROW($A$2)+4,COLUMN(D54)-COLUMN($A$2)+1+$B$1)</f>
        <v/>
      </c>
      <c r="E55" s="104" t="str" cm="1">
        <f t="array" aca="1" ref="E55" ca="1">INDEX('Questions global'!$A:$YP,ROW(E54)-ROW($A$2)+4,COLUMN(E54)-COLUMN($A$2)+1+$B$1)</f>
        <v xml:space="preserve">   </v>
      </c>
      <c r="F55" s="105" t="str" cm="1">
        <f t="array" ref="F55">INDEX('Questions global'!$A:$YP,ROW(F54)-ROW($A$2)+4,COLUMN(F54)-COLUMN($A$2)+1+$B$1)</f>
        <v xml:space="preserve"> </v>
      </c>
      <c r="G55" s="112" t="str" cm="1">
        <f t="array" ref="G55">INDEX('Questions global'!$A:$YP,ROW(G54)-ROW($A$2)+4,COLUMN(G54)-COLUMN($A$2)+1+$B$1)</f>
        <v/>
      </c>
      <c r="H55" s="104" t="str" cm="1">
        <f t="array" aca="1" ref="H55" ca="1">INDEX('Questions global'!$A:$YP,ROW(H54)-ROW($A$2)+4,COLUMN(H54)-COLUMN($A$2)+1+$B$1)</f>
        <v/>
      </c>
      <c r="I55" s="119" t="str" cm="1">
        <f t="array" aca="1" ref="I55" ca="1">INDEX('Questions global'!$A:$YP,ROW(I54)-ROW($A$2)+4,COLUMN(I54)-COLUMN($A$2)+1+$B$1)</f>
        <v/>
      </c>
    </row>
    <row r="56" spans="1:9" x14ac:dyDescent="0.3">
      <c r="A56" s="118" cm="1">
        <f t="array" ref="A56">INDEX('Questions global'!$A:$YP,ROW(A55)-ROW($A$2)+4,COLUMN(A55)-COLUMN($A$2)+1+$B$1)</f>
        <v>55</v>
      </c>
      <c r="B56" s="106" t="str" cm="1">
        <f t="array" ref="B56">INDEX('Questions global'!$A:$YP,ROW(B55)-ROW($A$2)+4,COLUMN(B55)-COLUMN($A$2)+1+$B$1)</f>
        <v/>
      </c>
      <c r="C56" s="106" t="str" cm="1">
        <f t="array" ref="C56">INDEX('Questions global'!$A:$YP,ROW(C55)-ROW($A$2)+4,COLUMN(C55)-COLUMN($A$2)+1+$B$1)</f>
        <v/>
      </c>
      <c r="D56" s="126" t="str" cm="1">
        <f t="array" ref="D56">INDEX('Questions global'!$A:$YP,ROW(D55)-ROW($A$2)+4,COLUMN(D55)-COLUMN($A$2)+1+$B$1)</f>
        <v/>
      </c>
      <c r="E56" s="104" t="str" cm="1">
        <f t="array" aca="1" ref="E56" ca="1">INDEX('Questions global'!$A:$YP,ROW(E55)-ROW($A$2)+4,COLUMN(E55)-COLUMN($A$2)+1+$B$1)</f>
        <v xml:space="preserve">   </v>
      </c>
      <c r="F56" s="105" t="str" cm="1">
        <f t="array" ref="F56">INDEX('Questions global'!$A:$YP,ROW(F55)-ROW($A$2)+4,COLUMN(F55)-COLUMN($A$2)+1+$B$1)</f>
        <v xml:space="preserve"> </v>
      </c>
      <c r="G56" s="112" t="str" cm="1">
        <f t="array" ref="G56">INDEX('Questions global'!$A:$YP,ROW(G55)-ROW($A$2)+4,COLUMN(G55)-COLUMN($A$2)+1+$B$1)</f>
        <v/>
      </c>
      <c r="H56" s="104" t="str" cm="1">
        <f t="array" aca="1" ref="H56" ca="1">INDEX('Questions global'!$A:$YP,ROW(H55)-ROW($A$2)+4,COLUMN(H55)-COLUMN($A$2)+1+$B$1)</f>
        <v/>
      </c>
      <c r="I56" s="119" t="str" cm="1">
        <f t="array" aca="1" ref="I56" ca="1">INDEX('Questions global'!$A:$YP,ROW(I55)-ROW($A$2)+4,COLUMN(I55)-COLUMN($A$2)+1+$B$1)</f>
        <v/>
      </c>
    </row>
    <row r="57" spans="1:9" x14ac:dyDescent="0.3">
      <c r="A57" s="118" cm="1">
        <f t="array" ref="A57">INDEX('Questions global'!$A:$YP,ROW(A56)-ROW($A$2)+4,COLUMN(A56)-COLUMN($A$2)+1+$B$1)</f>
        <v>56</v>
      </c>
      <c r="B57" s="106" t="str" cm="1">
        <f t="array" ref="B57">INDEX('Questions global'!$A:$YP,ROW(B56)-ROW($A$2)+4,COLUMN(B56)-COLUMN($A$2)+1+$B$1)</f>
        <v/>
      </c>
      <c r="C57" s="106" t="str" cm="1">
        <f t="array" ref="C57">INDEX('Questions global'!$A:$YP,ROW(C56)-ROW($A$2)+4,COLUMN(C56)-COLUMN($A$2)+1+$B$1)</f>
        <v/>
      </c>
      <c r="D57" s="126" t="str" cm="1">
        <f t="array" ref="D57">INDEX('Questions global'!$A:$YP,ROW(D56)-ROW($A$2)+4,COLUMN(D56)-COLUMN($A$2)+1+$B$1)</f>
        <v/>
      </c>
      <c r="E57" s="104" t="str" cm="1">
        <f t="array" aca="1" ref="E57" ca="1">INDEX('Questions global'!$A:$YP,ROW(E56)-ROW($A$2)+4,COLUMN(E56)-COLUMN($A$2)+1+$B$1)</f>
        <v xml:space="preserve">   </v>
      </c>
      <c r="F57" s="105" t="str" cm="1">
        <f t="array" ref="F57">INDEX('Questions global'!$A:$YP,ROW(F56)-ROW($A$2)+4,COLUMN(F56)-COLUMN($A$2)+1+$B$1)</f>
        <v xml:space="preserve"> </v>
      </c>
      <c r="G57" s="112" t="str" cm="1">
        <f t="array" ref="G57">INDEX('Questions global'!$A:$YP,ROW(G56)-ROW($A$2)+4,COLUMN(G56)-COLUMN($A$2)+1+$B$1)</f>
        <v/>
      </c>
      <c r="H57" s="104" t="str" cm="1">
        <f t="array" aca="1" ref="H57" ca="1">INDEX('Questions global'!$A:$YP,ROW(H56)-ROW($A$2)+4,COLUMN(H56)-COLUMN($A$2)+1+$B$1)</f>
        <v/>
      </c>
      <c r="I57" s="119" t="str" cm="1">
        <f t="array" aca="1" ref="I57" ca="1">INDEX('Questions global'!$A:$YP,ROW(I56)-ROW($A$2)+4,COLUMN(I56)-COLUMN($A$2)+1+$B$1)</f>
        <v/>
      </c>
    </row>
    <row r="58" spans="1:9" x14ac:dyDescent="0.3">
      <c r="A58" s="118" cm="1">
        <f t="array" ref="A58">INDEX('Questions global'!$A:$YP,ROW(A57)-ROW($A$2)+4,COLUMN(A57)-COLUMN($A$2)+1+$B$1)</f>
        <v>57</v>
      </c>
      <c r="B58" s="106" t="str" cm="1">
        <f t="array" ref="B58">INDEX('Questions global'!$A:$YP,ROW(B57)-ROW($A$2)+4,COLUMN(B57)-COLUMN($A$2)+1+$B$1)</f>
        <v/>
      </c>
      <c r="C58" s="106" t="str" cm="1">
        <f t="array" ref="C58">INDEX('Questions global'!$A:$YP,ROW(C57)-ROW($A$2)+4,COLUMN(C57)-COLUMN($A$2)+1+$B$1)</f>
        <v/>
      </c>
      <c r="D58" s="126" t="str" cm="1">
        <f t="array" ref="D58">INDEX('Questions global'!$A:$YP,ROW(D57)-ROW($A$2)+4,COLUMN(D57)-COLUMN($A$2)+1+$B$1)</f>
        <v/>
      </c>
      <c r="E58" s="104" t="str" cm="1">
        <f t="array" aca="1" ref="E58" ca="1">INDEX('Questions global'!$A:$YP,ROW(E57)-ROW($A$2)+4,COLUMN(E57)-COLUMN($A$2)+1+$B$1)</f>
        <v xml:space="preserve">   </v>
      </c>
      <c r="F58" s="105" t="str" cm="1">
        <f t="array" ref="F58">INDEX('Questions global'!$A:$YP,ROW(F57)-ROW($A$2)+4,COLUMN(F57)-COLUMN($A$2)+1+$B$1)</f>
        <v xml:space="preserve"> </v>
      </c>
      <c r="G58" s="112" t="str" cm="1">
        <f t="array" ref="G58">INDEX('Questions global'!$A:$YP,ROW(G57)-ROW($A$2)+4,COLUMN(G57)-COLUMN($A$2)+1+$B$1)</f>
        <v/>
      </c>
      <c r="H58" s="104" t="str" cm="1">
        <f t="array" aca="1" ref="H58" ca="1">INDEX('Questions global'!$A:$YP,ROW(H57)-ROW($A$2)+4,COLUMN(H57)-COLUMN($A$2)+1+$B$1)</f>
        <v/>
      </c>
      <c r="I58" s="119" t="str" cm="1">
        <f t="array" aca="1" ref="I58" ca="1">INDEX('Questions global'!$A:$YP,ROW(I57)-ROW($A$2)+4,COLUMN(I57)-COLUMN($A$2)+1+$B$1)</f>
        <v/>
      </c>
    </row>
    <row r="59" spans="1:9" x14ac:dyDescent="0.3">
      <c r="A59" s="118" cm="1">
        <f t="array" ref="A59">INDEX('Questions global'!$A:$YP,ROW(A58)-ROW($A$2)+4,COLUMN(A58)-COLUMN($A$2)+1+$B$1)</f>
        <v>58</v>
      </c>
      <c r="B59" s="106" t="str" cm="1">
        <f t="array" ref="B59">INDEX('Questions global'!$A:$YP,ROW(B58)-ROW($A$2)+4,COLUMN(B58)-COLUMN($A$2)+1+$B$1)</f>
        <v/>
      </c>
      <c r="C59" s="106" t="str" cm="1">
        <f t="array" ref="C59">INDEX('Questions global'!$A:$YP,ROW(C58)-ROW($A$2)+4,COLUMN(C58)-COLUMN($A$2)+1+$B$1)</f>
        <v/>
      </c>
      <c r="D59" s="126" t="str" cm="1">
        <f t="array" ref="D59">INDEX('Questions global'!$A:$YP,ROW(D58)-ROW($A$2)+4,COLUMN(D58)-COLUMN($A$2)+1+$B$1)</f>
        <v/>
      </c>
      <c r="E59" s="104" t="str" cm="1">
        <f t="array" aca="1" ref="E59" ca="1">INDEX('Questions global'!$A:$YP,ROW(E58)-ROW($A$2)+4,COLUMN(E58)-COLUMN($A$2)+1+$B$1)</f>
        <v xml:space="preserve">   </v>
      </c>
      <c r="F59" s="105" t="str" cm="1">
        <f t="array" ref="F59">INDEX('Questions global'!$A:$YP,ROW(F58)-ROW($A$2)+4,COLUMN(F58)-COLUMN($A$2)+1+$B$1)</f>
        <v xml:space="preserve"> </v>
      </c>
      <c r="G59" s="112" t="str" cm="1">
        <f t="array" ref="G59">INDEX('Questions global'!$A:$YP,ROW(G58)-ROW($A$2)+4,COLUMN(G58)-COLUMN($A$2)+1+$B$1)</f>
        <v/>
      </c>
      <c r="H59" s="104" t="str" cm="1">
        <f t="array" aca="1" ref="H59" ca="1">INDEX('Questions global'!$A:$YP,ROW(H58)-ROW($A$2)+4,COLUMN(H58)-COLUMN($A$2)+1+$B$1)</f>
        <v/>
      </c>
      <c r="I59" s="119" t="str" cm="1">
        <f t="array" aca="1" ref="I59" ca="1">INDEX('Questions global'!$A:$YP,ROW(I58)-ROW($A$2)+4,COLUMN(I58)-COLUMN($A$2)+1+$B$1)</f>
        <v/>
      </c>
    </row>
    <row r="60" spans="1:9" x14ac:dyDescent="0.3">
      <c r="A60" s="118" cm="1">
        <f t="array" ref="A60">INDEX('Questions global'!$A:$YP,ROW(A59)-ROW($A$2)+4,COLUMN(A59)-COLUMN($A$2)+1+$B$1)</f>
        <v>59</v>
      </c>
      <c r="B60" s="106" t="str" cm="1">
        <f t="array" ref="B60">INDEX('Questions global'!$A:$YP,ROW(B59)-ROW($A$2)+4,COLUMN(B59)-COLUMN($A$2)+1+$B$1)</f>
        <v/>
      </c>
      <c r="C60" s="106" t="str" cm="1">
        <f t="array" ref="C60">INDEX('Questions global'!$A:$YP,ROW(C59)-ROW($A$2)+4,COLUMN(C59)-COLUMN($A$2)+1+$B$1)</f>
        <v/>
      </c>
      <c r="D60" s="126" t="str" cm="1">
        <f t="array" ref="D60">INDEX('Questions global'!$A:$YP,ROW(D59)-ROW($A$2)+4,COLUMN(D59)-COLUMN($A$2)+1+$B$1)</f>
        <v/>
      </c>
      <c r="E60" s="104" t="str" cm="1">
        <f t="array" aca="1" ref="E60" ca="1">INDEX('Questions global'!$A:$YP,ROW(E59)-ROW($A$2)+4,COLUMN(E59)-COLUMN($A$2)+1+$B$1)</f>
        <v xml:space="preserve">   </v>
      </c>
      <c r="F60" s="105" t="str" cm="1">
        <f t="array" ref="F60">INDEX('Questions global'!$A:$YP,ROW(F59)-ROW($A$2)+4,COLUMN(F59)-COLUMN($A$2)+1+$B$1)</f>
        <v xml:space="preserve"> </v>
      </c>
      <c r="G60" s="112" t="str" cm="1">
        <f t="array" ref="G60">INDEX('Questions global'!$A:$YP,ROW(G59)-ROW($A$2)+4,COLUMN(G59)-COLUMN($A$2)+1+$B$1)</f>
        <v/>
      </c>
      <c r="H60" s="104" t="str" cm="1">
        <f t="array" aca="1" ref="H60" ca="1">INDEX('Questions global'!$A:$YP,ROW(H59)-ROW($A$2)+4,COLUMN(H59)-COLUMN($A$2)+1+$B$1)</f>
        <v/>
      </c>
      <c r="I60" s="119" t="str" cm="1">
        <f t="array" aca="1" ref="I60" ca="1">INDEX('Questions global'!$A:$YP,ROW(I59)-ROW($A$2)+4,COLUMN(I59)-COLUMN($A$2)+1+$B$1)</f>
        <v/>
      </c>
    </row>
    <row r="61" spans="1:9" x14ac:dyDescent="0.3">
      <c r="A61" s="118" cm="1">
        <f t="array" ref="A61">INDEX('Questions global'!$A:$YP,ROW(A60)-ROW($A$2)+4,COLUMN(A60)-COLUMN($A$2)+1+$B$1)</f>
        <v>60</v>
      </c>
      <c r="B61" s="106" t="str" cm="1">
        <f t="array" ref="B61">INDEX('Questions global'!$A:$YP,ROW(B60)-ROW($A$2)+4,COLUMN(B60)-COLUMN($A$2)+1+$B$1)</f>
        <v/>
      </c>
      <c r="C61" s="106" t="str" cm="1">
        <f t="array" ref="C61">INDEX('Questions global'!$A:$YP,ROW(C60)-ROW($A$2)+4,COLUMN(C60)-COLUMN($A$2)+1+$B$1)</f>
        <v/>
      </c>
      <c r="D61" s="126" t="str" cm="1">
        <f t="array" ref="D61">INDEX('Questions global'!$A:$YP,ROW(D60)-ROW($A$2)+4,COLUMN(D60)-COLUMN($A$2)+1+$B$1)</f>
        <v/>
      </c>
      <c r="E61" s="104" t="str" cm="1">
        <f t="array" aca="1" ref="E61" ca="1">INDEX('Questions global'!$A:$YP,ROW(E60)-ROW($A$2)+4,COLUMN(E60)-COLUMN($A$2)+1+$B$1)</f>
        <v xml:space="preserve">   </v>
      </c>
      <c r="F61" s="105" t="str" cm="1">
        <f t="array" ref="F61">INDEX('Questions global'!$A:$YP,ROW(F60)-ROW($A$2)+4,COLUMN(F60)-COLUMN($A$2)+1+$B$1)</f>
        <v xml:space="preserve"> </v>
      </c>
      <c r="G61" s="112" t="str" cm="1">
        <f t="array" ref="G61">INDEX('Questions global'!$A:$YP,ROW(G60)-ROW($A$2)+4,COLUMN(G60)-COLUMN($A$2)+1+$B$1)</f>
        <v/>
      </c>
      <c r="H61" s="104" t="str" cm="1">
        <f t="array" aca="1" ref="H61" ca="1">INDEX('Questions global'!$A:$YP,ROW(H60)-ROW($A$2)+4,COLUMN(H60)-COLUMN($A$2)+1+$B$1)</f>
        <v/>
      </c>
      <c r="I61" s="119" t="str" cm="1">
        <f t="array" aca="1" ref="I61" ca="1">INDEX('Questions global'!$A:$YP,ROW(I60)-ROW($A$2)+4,COLUMN(I60)-COLUMN($A$2)+1+$B$1)</f>
        <v/>
      </c>
    </row>
    <row r="62" spans="1:9" x14ac:dyDescent="0.3">
      <c r="A62" s="118" cm="1">
        <f t="array" ref="A62">INDEX('Questions global'!$A:$YP,ROW(A61)-ROW($A$2)+4,COLUMN(A61)-COLUMN($A$2)+1+$B$1)</f>
        <v>61</v>
      </c>
      <c r="B62" s="106" t="str" cm="1">
        <f t="array" ref="B62">INDEX('Questions global'!$A:$YP,ROW(B61)-ROW($A$2)+4,COLUMN(B61)-COLUMN($A$2)+1+$B$1)</f>
        <v/>
      </c>
      <c r="C62" s="106" t="str" cm="1">
        <f t="array" ref="C62">INDEX('Questions global'!$A:$YP,ROW(C61)-ROW($A$2)+4,COLUMN(C61)-COLUMN($A$2)+1+$B$1)</f>
        <v/>
      </c>
      <c r="D62" s="126" t="str" cm="1">
        <f t="array" ref="D62">INDEX('Questions global'!$A:$YP,ROW(D61)-ROW($A$2)+4,COLUMN(D61)-COLUMN($A$2)+1+$B$1)</f>
        <v/>
      </c>
      <c r="E62" s="104" t="str" cm="1">
        <f t="array" aca="1" ref="E62" ca="1">INDEX('Questions global'!$A:$YP,ROW(E61)-ROW($A$2)+4,COLUMN(E61)-COLUMN($A$2)+1+$B$1)</f>
        <v xml:space="preserve">   </v>
      </c>
      <c r="F62" s="105" t="str" cm="1">
        <f t="array" ref="F62">INDEX('Questions global'!$A:$YP,ROW(F61)-ROW($A$2)+4,COLUMN(F61)-COLUMN($A$2)+1+$B$1)</f>
        <v xml:space="preserve"> </v>
      </c>
      <c r="G62" s="112" t="str" cm="1">
        <f t="array" ref="G62">INDEX('Questions global'!$A:$YP,ROW(G61)-ROW($A$2)+4,COLUMN(G61)-COLUMN($A$2)+1+$B$1)</f>
        <v/>
      </c>
      <c r="H62" s="104" t="str" cm="1">
        <f t="array" aca="1" ref="H62" ca="1">INDEX('Questions global'!$A:$YP,ROW(H61)-ROW($A$2)+4,COLUMN(H61)-COLUMN($A$2)+1+$B$1)</f>
        <v/>
      </c>
      <c r="I62" s="119" t="str" cm="1">
        <f t="array" aca="1" ref="I62" ca="1">INDEX('Questions global'!$A:$YP,ROW(I61)-ROW($A$2)+4,COLUMN(I61)-COLUMN($A$2)+1+$B$1)</f>
        <v/>
      </c>
    </row>
    <row r="63" spans="1:9" x14ac:dyDescent="0.3">
      <c r="A63" s="118" cm="1">
        <f t="array" ref="A63">INDEX('Questions global'!$A:$YP,ROW(A62)-ROW($A$2)+4,COLUMN(A62)-COLUMN($A$2)+1+$B$1)</f>
        <v>62</v>
      </c>
      <c r="B63" s="106" t="str" cm="1">
        <f t="array" ref="B63">INDEX('Questions global'!$A:$YP,ROW(B62)-ROW($A$2)+4,COLUMN(B62)-COLUMN($A$2)+1+$B$1)</f>
        <v/>
      </c>
      <c r="C63" s="106" t="str" cm="1">
        <f t="array" ref="C63">INDEX('Questions global'!$A:$YP,ROW(C62)-ROW($A$2)+4,COLUMN(C62)-COLUMN($A$2)+1+$B$1)</f>
        <v/>
      </c>
      <c r="D63" s="126" t="str" cm="1">
        <f t="array" ref="D63">INDEX('Questions global'!$A:$YP,ROW(D62)-ROW($A$2)+4,COLUMN(D62)-COLUMN($A$2)+1+$B$1)</f>
        <v/>
      </c>
      <c r="E63" s="104" t="str" cm="1">
        <f t="array" aca="1" ref="E63" ca="1">INDEX('Questions global'!$A:$YP,ROW(E62)-ROW($A$2)+4,COLUMN(E62)-COLUMN($A$2)+1+$B$1)</f>
        <v xml:space="preserve">   </v>
      </c>
      <c r="F63" s="105" t="str" cm="1">
        <f t="array" ref="F63">INDEX('Questions global'!$A:$YP,ROW(F62)-ROW($A$2)+4,COLUMN(F62)-COLUMN($A$2)+1+$B$1)</f>
        <v xml:space="preserve"> </v>
      </c>
      <c r="G63" s="112" t="str" cm="1">
        <f t="array" ref="G63">INDEX('Questions global'!$A:$YP,ROW(G62)-ROW($A$2)+4,COLUMN(G62)-COLUMN($A$2)+1+$B$1)</f>
        <v/>
      </c>
      <c r="H63" s="104" t="str" cm="1">
        <f t="array" aca="1" ref="H63" ca="1">INDEX('Questions global'!$A:$YP,ROW(H62)-ROW($A$2)+4,COLUMN(H62)-COLUMN($A$2)+1+$B$1)</f>
        <v/>
      </c>
      <c r="I63" s="119" t="str" cm="1">
        <f t="array" aca="1" ref="I63" ca="1">INDEX('Questions global'!$A:$YP,ROW(I62)-ROW($A$2)+4,COLUMN(I62)-COLUMN($A$2)+1+$B$1)</f>
        <v/>
      </c>
    </row>
    <row r="64" spans="1:9" x14ac:dyDescent="0.3">
      <c r="A64" s="118" cm="1">
        <f t="array" ref="A64">INDEX('Questions global'!$A:$YP,ROW(A63)-ROW($A$2)+4,COLUMN(A63)-COLUMN($A$2)+1+$B$1)</f>
        <v>63</v>
      </c>
      <c r="B64" s="106" t="str" cm="1">
        <f t="array" ref="B64">INDEX('Questions global'!$A:$YP,ROW(B63)-ROW($A$2)+4,COLUMN(B63)-COLUMN($A$2)+1+$B$1)</f>
        <v/>
      </c>
      <c r="C64" s="106" t="str" cm="1">
        <f t="array" ref="C64">INDEX('Questions global'!$A:$YP,ROW(C63)-ROW($A$2)+4,COLUMN(C63)-COLUMN($A$2)+1+$B$1)</f>
        <v/>
      </c>
      <c r="D64" s="126" t="str" cm="1">
        <f t="array" ref="D64">INDEX('Questions global'!$A:$YP,ROW(D63)-ROW($A$2)+4,COLUMN(D63)-COLUMN($A$2)+1+$B$1)</f>
        <v/>
      </c>
      <c r="E64" s="104" t="str" cm="1">
        <f t="array" aca="1" ref="E64" ca="1">INDEX('Questions global'!$A:$YP,ROW(E63)-ROW($A$2)+4,COLUMN(E63)-COLUMN($A$2)+1+$B$1)</f>
        <v xml:space="preserve">   </v>
      </c>
      <c r="F64" s="105" t="str" cm="1">
        <f t="array" ref="F64">INDEX('Questions global'!$A:$YP,ROW(F63)-ROW($A$2)+4,COLUMN(F63)-COLUMN($A$2)+1+$B$1)</f>
        <v xml:space="preserve"> </v>
      </c>
      <c r="G64" s="112" t="str" cm="1">
        <f t="array" ref="G64">INDEX('Questions global'!$A:$YP,ROW(G63)-ROW($A$2)+4,COLUMN(G63)-COLUMN($A$2)+1+$B$1)</f>
        <v/>
      </c>
      <c r="H64" s="104" t="str" cm="1">
        <f t="array" aca="1" ref="H64" ca="1">INDEX('Questions global'!$A:$YP,ROW(H63)-ROW($A$2)+4,COLUMN(H63)-COLUMN($A$2)+1+$B$1)</f>
        <v/>
      </c>
      <c r="I64" s="119" t="str" cm="1">
        <f t="array" aca="1" ref="I64" ca="1">INDEX('Questions global'!$A:$YP,ROW(I63)-ROW($A$2)+4,COLUMN(I63)-COLUMN($A$2)+1+$B$1)</f>
        <v/>
      </c>
    </row>
    <row r="65" spans="1:9" x14ac:dyDescent="0.3">
      <c r="A65" s="118" cm="1">
        <f t="array" ref="A65">INDEX('Questions global'!$A:$YP,ROW(A64)-ROW($A$2)+4,COLUMN(A64)-COLUMN($A$2)+1+$B$1)</f>
        <v>64</v>
      </c>
      <c r="B65" s="106" t="str" cm="1">
        <f t="array" ref="B65">INDEX('Questions global'!$A:$YP,ROW(B64)-ROW($A$2)+4,COLUMN(B64)-COLUMN($A$2)+1+$B$1)</f>
        <v/>
      </c>
      <c r="C65" s="106" t="str" cm="1">
        <f t="array" ref="C65">INDEX('Questions global'!$A:$YP,ROW(C64)-ROW($A$2)+4,COLUMN(C64)-COLUMN($A$2)+1+$B$1)</f>
        <v/>
      </c>
      <c r="D65" s="126" t="str" cm="1">
        <f t="array" ref="D65">INDEX('Questions global'!$A:$YP,ROW(D64)-ROW($A$2)+4,COLUMN(D64)-COLUMN($A$2)+1+$B$1)</f>
        <v/>
      </c>
      <c r="E65" s="104" t="str" cm="1">
        <f t="array" aca="1" ref="E65" ca="1">INDEX('Questions global'!$A:$YP,ROW(E64)-ROW($A$2)+4,COLUMN(E64)-COLUMN($A$2)+1+$B$1)</f>
        <v xml:space="preserve">   </v>
      </c>
      <c r="F65" s="105" t="str" cm="1">
        <f t="array" ref="F65">INDEX('Questions global'!$A:$YP,ROW(F64)-ROW($A$2)+4,COLUMN(F64)-COLUMN($A$2)+1+$B$1)</f>
        <v xml:space="preserve"> </v>
      </c>
      <c r="G65" s="112" t="str" cm="1">
        <f t="array" ref="G65">INDEX('Questions global'!$A:$YP,ROW(G64)-ROW($A$2)+4,COLUMN(G64)-COLUMN($A$2)+1+$B$1)</f>
        <v/>
      </c>
      <c r="H65" s="104" t="str" cm="1">
        <f t="array" aca="1" ref="H65" ca="1">INDEX('Questions global'!$A:$YP,ROW(H64)-ROW($A$2)+4,COLUMN(H64)-COLUMN($A$2)+1+$B$1)</f>
        <v/>
      </c>
      <c r="I65" s="119" t="str" cm="1">
        <f t="array" aca="1" ref="I65" ca="1">INDEX('Questions global'!$A:$YP,ROW(I64)-ROW($A$2)+4,COLUMN(I64)-COLUMN($A$2)+1+$B$1)</f>
        <v/>
      </c>
    </row>
    <row r="66" spans="1:9" x14ac:dyDescent="0.3">
      <c r="A66" s="118" cm="1">
        <f t="array" ref="A66">INDEX('Questions global'!$A:$YP,ROW(A65)-ROW($A$2)+4,COLUMN(A65)-COLUMN($A$2)+1+$B$1)</f>
        <v>65</v>
      </c>
      <c r="B66" s="106" t="str" cm="1">
        <f t="array" ref="B66">INDEX('Questions global'!$A:$YP,ROW(B65)-ROW($A$2)+4,COLUMN(B65)-COLUMN($A$2)+1+$B$1)</f>
        <v/>
      </c>
      <c r="C66" s="106" t="str" cm="1">
        <f t="array" ref="C66">INDEX('Questions global'!$A:$YP,ROW(C65)-ROW($A$2)+4,COLUMN(C65)-COLUMN($A$2)+1+$B$1)</f>
        <v/>
      </c>
      <c r="D66" s="126" t="str" cm="1">
        <f t="array" ref="D66">INDEX('Questions global'!$A:$YP,ROW(D65)-ROW($A$2)+4,COLUMN(D65)-COLUMN($A$2)+1+$B$1)</f>
        <v/>
      </c>
      <c r="E66" s="104" t="str" cm="1">
        <f t="array" aca="1" ref="E66" ca="1">INDEX('Questions global'!$A:$YP,ROW(E65)-ROW($A$2)+4,COLUMN(E65)-COLUMN($A$2)+1+$B$1)</f>
        <v xml:space="preserve">   </v>
      </c>
      <c r="F66" s="105" t="str" cm="1">
        <f t="array" ref="F66">INDEX('Questions global'!$A:$YP,ROW(F65)-ROW($A$2)+4,COLUMN(F65)-COLUMN($A$2)+1+$B$1)</f>
        <v xml:space="preserve"> </v>
      </c>
      <c r="G66" s="112" t="str" cm="1">
        <f t="array" ref="G66">INDEX('Questions global'!$A:$YP,ROW(G65)-ROW($A$2)+4,COLUMN(G65)-COLUMN($A$2)+1+$B$1)</f>
        <v/>
      </c>
      <c r="H66" s="104" t="str" cm="1">
        <f t="array" aca="1" ref="H66" ca="1">INDEX('Questions global'!$A:$YP,ROW(H65)-ROW($A$2)+4,COLUMN(H65)-COLUMN($A$2)+1+$B$1)</f>
        <v/>
      </c>
      <c r="I66" s="119" t="str" cm="1">
        <f t="array" aca="1" ref="I66" ca="1">INDEX('Questions global'!$A:$YP,ROW(I65)-ROW($A$2)+4,COLUMN(I65)-COLUMN($A$2)+1+$B$1)</f>
        <v/>
      </c>
    </row>
    <row r="67" spans="1:9" x14ac:dyDescent="0.3">
      <c r="A67" s="118" cm="1">
        <f t="array" ref="A67">INDEX('Questions global'!$A:$YP,ROW(A66)-ROW($A$2)+4,COLUMN(A66)-COLUMN($A$2)+1+$B$1)</f>
        <v>66</v>
      </c>
      <c r="B67" s="106" t="str" cm="1">
        <f t="array" ref="B67">INDEX('Questions global'!$A:$YP,ROW(B66)-ROW($A$2)+4,COLUMN(B66)-COLUMN($A$2)+1+$B$1)</f>
        <v/>
      </c>
      <c r="C67" s="106" t="str" cm="1">
        <f t="array" ref="C67">INDEX('Questions global'!$A:$YP,ROW(C66)-ROW($A$2)+4,COLUMN(C66)-COLUMN($A$2)+1+$B$1)</f>
        <v/>
      </c>
      <c r="D67" s="126" t="str" cm="1">
        <f t="array" ref="D67">INDEX('Questions global'!$A:$YP,ROW(D66)-ROW($A$2)+4,COLUMN(D66)-COLUMN($A$2)+1+$B$1)</f>
        <v/>
      </c>
      <c r="E67" s="104" t="str" cm="1">
        <f t="array" aca="1" ref="E67" ca="1">INDEX('Questions global'!$A:$YP,ROW(E66)-ROW($A$2)+4,COLUMN(E66)-COLUMN($A$2)+1+$B$1)</f>
        <v xml:space="preserve">   </v>
      </c>
      <c r="F67" s="105" t="str" cm="1">
        <f t="array" ref="F67">INDEX('Questions global'!$A:$YP,ROW(F66)-ROW($A$2)+4,COLUMN(F66)-COLUMN($A$2)+1+$B$1)</f>
        <v xml:space="preserve"> </v>
      </c>
      <c r="G67" s="112" t="str" cm="1">
        <f t="array" ref="G67">INDEX('Questions global'!$A:$YP,ROW(G66)-ROW($A$2)+4,COLUMN(G66)-COLUMN($A$2)+1+$B$1)</f>
        <v/>
      </c>
      <c r="H67" s="104" t="str" cm="1">
        <f t="array" aca="1" ref="H67" ca="1">INDEX('Questions global'!$A:$YP,ROW(H66)-ROW($A$2)+4,COLUMN(H66)-COLUMN($A$2)+1+$B$1)</f>
        <v/>
      </c>
      <c r="I67" s="119" t="str" cm="1">
        <f t="array" aca="1" ref="I67" ca="1">INDEX('Questions global'!$A:$YP,ROW(I66)-ROW($A$2)+4,COLUMN(I66)-COLUMN($A$2)+1+$B$1)</f>
        <v/>
      </c>
    </row>
    <row r="68" spans="1:9" x14ac:dyDescent="0.3">
      <c r="A68" s="118" cm="1">
        <f t="array" ref="A68">INDEX('Questions global'!$A:$YP,ROW(A67)-ROW($A$2)+4,COLUMN(A67)-COLUMN($A$2)+1+$B$1)</f>
        <v>67</v>
      </c>
      <c r="B68" s="106" t="str" cm="1">
        <f t="array" ref="B68">INDEX('Questions global'!$A:$YP,ROW(B67)-ROW($A$2)+4,COLUMN(B67)-COLUMN($A$2)+1+$B$1)</f>
        <v/>
      </c>
      <c r="C68" s="106" t="str" cm="1">
        <f t="array" ref="C68">INDEX('Questions global'!$A:$YP,ROW(C67)-ROW($A$2)+4,COLUMN(C67)-COLUMN($A$2)+1+$B$1)</f>
        <v/>
      </c>
      <c r="D68" s="126" t="str" cm="1">
        <f t="array" ref="D68">INDEX('Questions global'!$A:$YP,ROW(D67)-ROW($A$2)+4,COLUMN(D67)-COLUMN($A$2)+1+$B$1)</f>
        <v/>
      </c>
      <c r="E68" s="104" t="str" cm="1">
        <f t="array" aca="1" ref="E68" ca="1">INDEX('Questions global'!$A:$YP,ROW(E67)-ROW($A$2)+4,COLUMN(E67)-COLUMN($A$2)+1+$B$1)</f>
        <v xml:space="preserve">   </v>
      </c>
      <c r="F68" s="105" t="str" cm="1">
        <f t="array" ref="F68">INDEX('Questions global'!$A:$YP,ROW(F67)-ROW($A$2)+4,COLUMN(F67)-COLUMN($A$2)+1+$B$1)</f>
        <v xml:space="preserve"> </v>
      </c>
      <c r="G68" s="112" t="str" cm="1">
        <f t="array" ref="G68">INDEX('Questions global'!$A:$YP,ROW(G67)-ROW($A$2)+4,COLUMN(G67)-COLUMN($A$2)+1+$B$1)</f>
        <v/>
      </c>
      <c r="H68" s="104" t="str" cm="1">
        <f t="array" aca="1" ref="H68" ca="1">INDEX('Questions global'!$A:$YP,ROW(H67)-ROW($A$2)+4,COLUMN(H67)-COLUMN($A$2)+1+$B$1)</f>
        <v/>
      </c>
      <c r="I68" s="119" t="str" cm="1">
        <f t="array" aca="1" ref="I68" ca="1">INDEX('Questions global'!$A:$YP,ROW(I67)-ROW($A$2)+4,COLUMN(I67)-COLUMN($A$2)+1+$B$1)</f>
        <v/>
      </c>
    </row>
    <row r="69" spans="1:9" x14ac:dyDescent="0.3">
      <c r="A69" s="118" cm="1">
        <f t="array" ref="A69">INDEX('Questions global'!$A:$YP,ROW(A68)-ROW($A$2)+4,COLUMN(A68)-COLUMN($A$2)+1+$B$1)</f>
        <v>68</v>
      </c>
      <c r="B69" s="106" t="str" cm="1">
        <f t="array" ref="B69">INDEX('Questions global'!$A:$YP,ROW(B68)-ROW($A$2)+4,COLUMN(B68)-COLUMN($A$2)+1+$B$1)</f>
        <v/>
      </c>
      <c r="C69" s="106" t="str" cm="1">
        <f t="array" ref="C69">INDEX('Questions global'!$A:$YP,ROW(C68)-ROW($A$2)+4,COLUMN(C68)-COLUMN($A$2)+1+$B$1)</f>
        <v/>
      </c>
      <c r="D69" s="126" t="str" cm="1">
        <f t="array" ref="D69">INDEX('Questions global'!$A:$YP,ROW(D68)-ROW($A$2)+4,COLUMN(D68)-COLUMN($A$2)+1+$B$1)</f>
        <v/>
      </c>
      <c r="E69" s="104" t="str" cm="1">
        <f t="array" aca="1" ref="E69" ca="1">INDEX('Questions global'!$A:$YP,ROW(E68)-ROW($A$2)+4,COLUMN(E68)-COLUMN($A$2)+1+$B$1)</f>
        <v xml:space="preserve">   </v>
      </c>
      <c r="F69" s="105" t="str" cm="1">
        <f t="array" ref="F69">INDEX('Questions global'!$A:$YP,ROW(F68)-ROW($A$2)+4,COLUMN(F68)-COLUMN($A$2)+1+$B$1)</f>
        <v xml:space="preserve"> </v>
      </c>
      <c r="G69" s="112" t="str" cm="1">
        <f t="array" ref="G69">INDEX('Questions global'!$A:$YP,ROW(G68)-ROW($A$2)+4,COLUMN(G68)-COLUMN($A$2)+1+$B$1)</f>
        <v/>
      </c>
      <c r="H69" s="104" t="str" cm="1">
        <f t="array" aca="1" ref="H69" ca="1">INDEX('Questions global'!$A:$YP,ROW(H68)-ROW($A$2)+4,COLUMN(H68)-COLUMN($A$2)+1+$B$1)</f>
        <v/>
      </c>
      <c r="I69" s="119" t="str" cm="1">
        <f t="array" aca="1" ref="I69" ca="1">INDEX('Questions global'!$A:$YP,ROW(I68)-ROW($A$2)+4,COLUMN(I68)-COLUMN($A$2)+1+$B$1)</f>
        <v/>
      </c>
    </row>
    <row r="70" spans="1:9" x14ac:dyDescent="0.3">
      <c r="A70" s="118" cm="1">
        <f t="array" ref="A70">INDEX('Questions global'!$A:$YP,ROW(A69)-ROW($A$2)+4,COLUMN(A69)-COLUMN($A$2)+1+$B$1)</f>
        <v>69</v>
      </c>
      <c r="B70" s="106" t="str" cm="1">
        <f t="array" ref="B70">INDEX('Questions global'!$A:$YP,ROW(B69)-ROW($A$2)+4,COLUMN(B69)-COLUMN($A$2)+1+$B$1)</f>
        <v/>
      </c>
      <c r="C70" s="106" t="str" cm="1">
        <f t="array" ref="C70">INDEX('Questions global'!$A:$YP,ROW(C69)-ROW($A$2)+4,COLUMN(C69)-COLUMN($A$2)+1+$B$1)</f>
        <v/>
      </c>
      <c r="D70" s="126" t="str" cm="1">
        <f t="array" ref="D70">INDEX('Questions global'!$A:$YP,ROW(D69)-ROW($A$2)+4,COLUMN(D69)-COLUMN($A$2)+1+$B$1)</f>
        <v/>
      </c>
      <c r="E70" s="104" t="str" cm="1">
        <f t="array" aca="1" ref="E70" ca="1">INDEX('Questions global'!$A:$YP,ROW(E69)-ROW($A$2)+4,COLUMN(E69)-COLUMN($A$2)+1+$B$1)</f>
        <v xml:space="preserve">   </v>
      </c>
      <c r="F70" s="105" t="str" cm="1">
        <f t="array" ref="F70">INDEX('Questions global'!$A:$YP,ROW(F69)-ROW($A$2)+4,COLUMN(F69)-COLUMN($A$2)+1+$B$1)</f>
        <v xml:space="preserve"> </v>
      </c>
      <c r="G70" s="112" t="str" cm="1">
        <f t="array" ref="G70">INDEX('Questions global'!$A:$YP,ROW(G69)-ROW($A$2)+4,COLUMN(G69)-COLUMN($A$2)+1+$B$1)</f>
        <v/>
      </c>
      <c r="H70" s="104" t="str" cm="1">
        <f t="array" aca="1" ref="H70" ca="1">INDEX('Questions global'!$A:$YP,ROW(H69)-ROW($A$2)+4,COLUMN(H69)-COLUMN($A$2)+1+$B$1)</f>
        <v/>
      </c>
      <c r="I70" s="119" t="str" cm="1">
        <f t="array" aca="1" ref="I70" ca="1">INDEX('Questions global'!$A:$YP,ROW(I69)-ROW($A$2)+4,COLUMN(I69)-COLUMN($A$2)+1+$B$1)</f>
        <v/>
      </c>
    </row>
    <row r="71" spans="1:9" x14ac:dyDescent="0.3">
      <c r="A71" s="118" cm="1">
        <f t="array" ref="A71">INDEX('Questions global'!$A:$YP,ROW(A70)-ROW($A$2)+4,COLUMN(A70)-COLUMN($A$2)+1+$B$1)</f>
        <v>70</v>
      </c>
      <c r="B71" s="106" t="str" cm="1">
        <f t="array" ref="B71">INDEX('Questions global'!$A:$YP,ROW(B70)-ROW($A$2)+4,COLUMN(B70)-COLUMN($A$2)+1+$B$1)</f>
        <v/>
      </c>
      <c r="C71" s="106" t="str" cm="1">
        <f t="array" ref="C71">INDEX('Questions global'!$A:$YP,ROW(C70)-ROW($A$2)+4,COLUMN(C70)-COLUMN($A$2)+1+$B$1)</f>
        <v/>
      </c>
      <c r="D71" s="126" t="str" cm="1">
        <f t="array" ref="D71">INDEX('Questions global'!$A:$YP,ROW(D70)-ROW($A$2)+4,COLUMN(D70)-COLUMN($A$2)+1+$B$1)</f>
        <v/>
      </c>
      <c r="E71" s="104" t="str" cm="1">
        <f t="array" aca="1" ref="E71" ca="1">INDEX('Questions global'!$A:$YP,ROW(E70)-ROW($A$2)+4,COLUMN(E70)-COLUMN($A$2)+1+$B$1)</f>
        <v xml:space="preserve">   </v>
      </c>
      <c r="F71" s="105" t="str" cm="1">
        <f t="array" ref="F71">INDEX('Questions global'!$A:$YP,ROW(F70)-ROW($A$2)+4,COLUMN(F70)-COLUMN($A$2)+1+$B$1)</f>
        <v xml:space="preserve"> </v>
      </c>
      <c r="G71" s="112" t="str" cm="1">
        <f t="array" ref="G71">INDEX('Questions global'!$A:$YP,ROW(G70)-ROW($A$2)+4,COLUMN(G70)-COLUMN($A$2)+1+$B$1)</f>
        <v/>
      </c>
      <c r="H71" s="104" cm="1">
        <f t="array" ref="H71">INDEX('Questions global'!$A:$YP,ROW(H70)-ROW($A$2)+4,COLUMN(H70)-COLUMN($A$2)+1+$B$1)</f>
        <v>0</v>
      </c>
      <c r="I71" s="119" cm="1">
        <f t="array" ref="I71">INDEX('Questions global'!$A:$YP,ROW(I70)-ROW($A$2)+4,COLUMN(I70)-COLUMN($A$2)+1+$B$1)</f>
        <v>0</v>
      </c>
    </row>
    <row r="72" spans="1:9" ht="15" thickBot="1" x14ac:dyDescent="0.35">
      <c r="A72" s="120" cm="1">
        <f t="array" ref="A72">INDEX('Questions global'!$A:$YP,ROW(A71)-ROW($A$2)+4,COLUMN(A71)-COLUMN($A$2)+1+$B$1)</f>
        <v>0</v>
      </c>
      <c r="B72" s="106" cm="1">
        <f t="array" ref="B72">INDEX('Questions global'!$A:$YP,ROW(B71)-ROW($A$2)+4,COLUMN(B71)-COLUMN($A$2)+1+$B$1)</f>
        <v>0</v>
      </c>
      <c r="C72" s="121" cm="1">
        <f t="array" ref="C72">INDEX('Questions global'!$A:$YP,ROW(C71)-ROW($A$2)+4,COLUMN(C71)-COLUMN($A$2)+1+$B$1)</f>
        <v>0</v>
      </c>
      <c r="D72" s="127" cm="1">
        <f t="array" ref="D72">INDEX('Questions global'!$A:$YP,ROW(D71)-ROW($A$2)+4,COLUMN(D71)-COLUMN($A$2)+1+$B$1)</f>
        <v>0</v>
      </c>
      <c r="E72" s="124" cm="1">
        <f t="array" ref="E72">INDEX('Questions global'!$A:$YP,ROW(E71)-ROW($A$2)+4,COLUMN(E71)-COLUMN($A$2)+1+$B$1)</f>
        <v>0</v>
      </c>
      <c r="F72" s="122" cm="1">
        <f t="array" ref="F72">INDEX('Questions global'!$A:$YP,ROW(F71)-ROW($A$2)+4,COLUMN(F71)-COLUMN($A$2)+1+$B$1)</f>
        <v>0</v>
      </c>
      <c r="G72" s="123" cm="1">
        <f t="array" ref="G72">INDEX('Questions global'!$A:$YP,ROW(G71)-ROW($A$2)+4,COLUMN(G71)-COLUMN($A$2)+1+$B$1)</f>
        <v>0</v>
      </c>
      <c r="H72" s="124" cm="1">
        <f t="array" ref="H72">INDEX('Questions global'!$A:$YP,ROW(H71)-ROW($A$2)+4,COLUMN(H71)-COLUMN($A$2)+1+$B$1)</f>
        <v>0</v>
      </c>
      <c r="I72" s="125" cm="1">
        <f t="array" ref="I72">INDEX('Questions global'!$A:$YP,ROW(I71)-ROW($A$2)+4,COLUMN(I71)-COLUMN($A$2)+1+$B$1)</f>
        <v>0</v>
      </c>
    </row>
    <row r="73" spans="1:9" ht="15" thickTop="1" x14ac:dyDescent="0.3"/>
  </sheetData>
  <conditionalFormatting sqref="G3:G72">
    <cfRule type="cellIs" dxfId="7" priority="3" operator="equal">
      <formula>"NON"</formula>
    </cfRule>
    <cfRule type="cellIs" dxfId="6" priority="4" operator="equal">
      <formula>"OUI"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E440-1618-4429-9F25-AFAC69B4FE86}">
  <sheetPr>
    <tabColor rgb="FFFFFF00"/>
  </sheetPr>
  <dimension ref="A1:I73"/>
  <sheetViews>
    <sheetView zoomScale="70" zoomScaleNormal="70" workbookViewId="0">
      <selection activeCell="J15" sqref="J15"/>
    </sheetView>
  </sheetViews>
  <sheetFormatPr baseColWidth="10" defaultRowHeight="14.4" outlineLevelCol="1" x14ac:dyDescent="0.3"/>
  <cols>
    <col min="1" max="1" width="20.44140625" bestFit="1" customWidth="1"/>
    <col min="2" max="2" width="9.44140625" bestFit="1" customWidth="1"/>
    <col min="3" max="3" width="27.6640625" customWidth="1"/>
    <col min="4" max="4" width="14.5546875" bestFit="1" customWidth="1" outlineLevel="1"/>
    <col min="5" max="5" width="11.109375" bestFit="1" customWidth="1"/>
    <col min="6" max="6" width="54.33203125" bestFit="1" customWidth="1"/>
    <col min="7" max="7" width="11.6640625" bestFit="1" customWidth="1"/>
    <col min="8" max="8" width="29.5546875" customWidth="1"/>
    <col min="9" max="9" width="11.21875" bestFit="1" customWidth="1"/>
  </cols>
  <sheetData>
    <row r="1" spans="1:9" ht="24.6" thickTop="1" thickBot="1" x14ac:dyDescent="0.35">
      <c r="A1" s="173" t="s">
        <v>98</v>
      </c>
      <c r="B1" s="173">
        <f>27+9</f>
        <v>36</v>
      </c>
      <c r="C1" s="174"/>
      <c r="D1" s="174"/>
      <c r="E1" s="174"/>
      <c r="F1" s="174" t="str" cm="1">
        <f t="array" ref="F1">IFERROR(INDEX('Questions global'!$A:$YP,1,1+$B$1), "")</f>
        <v>Entreprise 5</v>
      </c>
      <c r="G1" s="174"/>
      <c r="H1" s="174"/>
      <c r="I1" s="174"/>
    </row>
    <row r="2" spans="1:9" ht="16.5" customHeight="1" thickTop="1" x14ac:dyDescent="0.3">
      <c r="A2" s="113" t="s">
        <v>77</v>
      </c>
      <c r="B2" s="114" t="s">
        <v>80</v>
      </c>
      <c r="C2" s="115" t="s">
        <v>81</v>
      </c>
      <c r="D2" s="142" t="s">
        <v>88</v>
      </c>
      <c r="E2" s="142" t="s">
        <v>83</v>
      </c>
      <c r="F2" s="116" t="s">
        <v>78</v>
      </c>
      <c r="G2" s="117" t="s">
        <v>1</v>
      </c>
      <c r="H2" s="144" t="s">
        <v>104</v>
      </c>
      <c r="I2" s="145" t="s">
        <v>105</v>
      </c>
    </row>
    <row r="3" spans="1:9" ht="16.5" customHeight="1" x14ac:dyDescent="0.3">
      <c r="A3" s="118" cm="1">
        <f t="array" ref="A3">INDEX('Questions global'!$A:$YP,ROW(A2)-ROW($A$2)+4,COLUMN(A2)-COLUMN($A$2)+1+$B$1)</f>
        <v>2</v>
      </c>
      <c r="B3" s="106" t="str" cm="1">
        <f t="array" ref="B3">INDEX('Questions global'!$A:$YP,ROW(B2)-ROW($A$2)+4,COLUMN(B2)-COLUMN($A$2)+1+$B$1)</f>
        <v/>
      </c>
      <c r="C3" s="106" t="str" cm="1">
        <f t="array" ref="C3">INDEX('Questions global'!$A:$YP,ROW(C2)-ROW($A$2)+4,COLUMN(C2)-COLUMN($A$2)+1+$B$1)</f>
        <v/>
      </c>
      <c r="D3" s="126" t="str" cm="1">
        <f t="array" ref="D3">INDEX('Questions global'!$A:$YP,ROW(D2)-ROW($A$2)+4,COLUMN(D2)-COLUMN($A$2)+1+$B$1)</f>
        <v/>
      </c>
      <c r="E3" s="104" t="str" cm="1">
        <f t="array" aca="1" ref="E3" ca="1">INDEX('Questions global'!$A:$YP,ROW(E2)-ROW($A$2)+4,COLUMN(E2)-COLUMN($A$2)+1+$B$1)</f>
        <v xml:space="preserve">   </v>
      </c>
      <c r="F3" s="105" t="str" cm="1">
        <f t="array" ref="F3">INDEX('Questions global'!$A:$YP,ROW(F2)-ROW($A$2)+4,COLUMN(F2)-COLUMN($A$2)+1+$B$1)</f>
        <v xml:space="preserve"> </v>
      </c>
      <c r="G3" s="112" t="str" cm="1">
        <f t="array" ref="G3">INDEX('Questions global'!$A:$YP,ROW(G2)-ROW($A$2)+4,COLUMN(G2)-COLUMN($A$2)+1+$B$1)</f>
        <v/>
      </c>
      <c r="H3" s="104" t="str" cm="1">
        <f t="array" aca="1" ref="H3" ca="1">INDEX('Questions global'!$A:$YP,ROW(H2)-ROW($A$2)+4,COLUMN(H2)-COLUMN($A$2)+1+$B$1)</f>
        <v/>
      </c>
      <c r="I3" s="119" t="str" cm="1">
        <f t="array" aca="1" ref="I3" ca="1">INDEX('Questions global'!$A:$YP,ROW(I2)-ROW($A$2)+4,COLUMN(I2)-COLUMN($A$2)+1+$B$1)</f>
        <v/>
      </c>
    </row>
    <row r="4" spans="1:9" ht="15" customHeight="1" x14ac:dyDescent="0.3">
      <c r="A4" s="118" cm="1">
        <f t="array" ref="A4">INDEX('Questions global'!$A:$YP,ROW(A3)-ROW($A$2)+4,COLUMN(A3)-COLUMN($A$2)+1+$B$1)</f>
        <v>3</v>
      </c>
      <c r="B4" s="106" t="str" cm="1">
        <f t="array" ref="B4">INDEX('Questions global'!$A:$YP,ROW(B3)-ROW($A$2)+4,COLUMN(B3)-COLUMN($A$2)+1+$B$1)</f>
        <v/>
      </c>
      <c r="C4" s="106" t="str" cm="1">
        <f t="array" ref="C4">INDEX('Questions global'!$A:$YP,ROW(C3)-ROW($A$2)+4,COLUMN(C3)-COLUMN($A$2)+1+$B$1)</f>
        <v/>
      </c>
      <c r="D4" s="126" t="str" cm="1">
        <f t="array" ref="D4">INDEX('Questions global'!$A:$YP,ROW(D3)-ROW($A$2)+4,COLUMN(D3)-COLUMN($A$2)+1+$B$1)</f>
        <v/>
      </c>
      <c r="E4" s="104" t="str" cm="1">
        <f t="array" aca="1" ref="E4" ca="1">INDEX('Questions global'!$A:$YP,ROW(E3)-ROW($A$2)+4,COLUMN(E3)-COLUMN($A$2)+1+$B$1)</f>
        <v xml:space="preserve">   </v>
      </c>
      <c r="F4" s="105" t="str" cm="1">
        <f t="array" ref="F4">INDEX('Questions global'!$A:$YP,ROW(F3)-ROW($A$2)+4,COLUMN(F3)-COLUMN($A$2)+1+$B$1)</f>
        <v xml:space="preserve"> </v>
      </c>
      <c r="G4" s="112" t="str" cm="1">
        <f t="array" ref="G4">INDEX('Questions global'!$A:$YP,ROW(G3)-ROW($A$2)+4,COLUMN(G3)-COLUMN($A$2)+1+$B$1)</f>
        <v/>
      </c>
      <c r="H4" s="104" t="str" cm="1">
        <f t="array" aca="1" ref="H4" ca="1">INDEX('Questions global'!$A:$YP,ROW(H3)-ROW($A$2)+4,COLUMN(H3)-COLUMN($A$2)+1+$B$1)</f>
        <v/>
      </c>
      <c r="I4" s="119" t="str" cm="1">
        <f t="array" aca="1" ref="I4" ca="1">INDEX('Questions global'!$A:$YP,ROW(I3)-ROW($A$2)+4,COLUMN(I3)-COLUMN($A$2)+1+$B$1)</f>
        <v/>
      </c>
    </row>
    <row r="5" spans="1:9" ht="15" customHeight="1" x14ac:dyDescent="0.3">
      <c r="A5" s="118" cm="1">
        <f t="array" ref="A5">INDEX('Questions global'!$A:$YP,ROW(A4)-ROW($A$2)+4,COLUMN(A4)-COLUMN($A$2)+1+$B$1)</f>
        <v>4</v>
      </c>
      <c r="B5" s="106" t="str" cm="1">
        <f t="array" ref="B5">INDEX('Questions global'!$A:$YP,ROW(B4)-ROW($A$2)+4,COLUMN(B4)-COLUMN($A$2)+1+$B$1)</f>
        <v/>
      </c>
      <c r="C5" s="106" t="str" cm="1">
        <f t="array" ref="C5">INDEX('Questions global'!$A:$YP,ROW(C4)-ROW($A$2)+4,COLUMN(C4)-COLUMN($A$2)+1+$B$1)</f>
        <v/>
      </c>
      <c r="D5" s="126" t="str" cm="1">
        <f t="array" ref="D5">INDEX('Questions global'!$A:$YP,ROW(D4)-ROW($A$2)+4,COLUMN(D4)-COLUMN($A$2)+1+$B$1)</f>
        <v/>
      </c>
      <c r="E5" s="104" t="str" cm="1">
        <f t="array" aca="1" ref="E5" ca="1">INDEX('Questions global'!$A:$YP,ROW(E4)-ROW($A$2)+4,COLUMN(E4)-COLUMN($A$2)+1+$B$1)</f>
        <v xml:space="preserve">   </v>
      </c>
      <c r="F5" s="105" t="str" cm="1">
        <f t="array" ref="F5">INDEX('Questions global'!$A:$YP,ROW(F4)-ROW($A$2)+4,COLUMN(F4)-COLUMN($A$2)+1+$B$1)</f>
        <v xml:space="preserve"> </v>
      </c>
      <c r="G5" s="112" t="str" cm="1">
        <f t="array" ref="G5">INDEX('Questions global'!$A:$YP,ROW(G4)-ROW($A$2)+4,COLUMN(G4)-COLUMN($A$2)+1+$B$1)</f>
        <v/>
      </c>
      <c r="H5" s="104" t="str" cm="1">
        <f t="array" aca="1" ref="H5" ca="1">INDEX('Questions global'!$A:$YP,ROW(H4)-ROW($A$2)+4,COLUMN(H4)-COLUMN($A$2)+1+$B$1)</f>
        <v/>
      </c>
      <c r="I5" s="119" t="str" cm="1">
        <f t="array" aca="1" ref="I5" ca="1">INDEX('Questions global'!$A:$YP,ROW(I4)-ROW($A$2)+4,COLUMN(I4)-COLUMN($A$2)+1+$B$1)</f>
        <v/>
      </c>
    </row>
    <row r="6" spans="1:9" ht="15" customHeight="1" x14ac:dyDescent="0.3">
      <c r="A6" s="118" cm="1">
        <f t="array" ref="A6">INDEX('Questions global'!$A:$YP,ROW(A5)-ROW($A$2)+4,COLUMN(A5)-COLUMN($A$2)+1+$B$1)</f>
        <v>5</v>
      </c>
      <c r="B6" s="106" t="str" cm="1">
        <f t="array" ref="B6">INDEX('Questions global'!$A:$YP,ROW(B5)-ROW($A$2)+4,COLUMN(B5)-COLUMN($A$2)+1+$B$1)</f>
        <v/>
      </c>
      <c r="C6" s="106" t="str" cm="1">
        <f t="array" ref="C6">INDEX('Questions global'!$A:$YP,ROW(C5)-ROW($A$2)+4,COLUMN(C5)-COLUMN($A$2)+1+$B$1)</f>
        <v/>
      </c>
      <c r="D6" s="126" t="str" cm="1">
        <f t="array" ref="D6">INDEX('Questions global'!$A:$YP,ROW(D5)-ROW($A$2)+4,COLUMN(D5)-COLUMN($A$2)+1+$B$1)</f>
        <v/>
      </c>
      <c r="E6" s="104" t="str" cm="1">
        <f t="array" aca="1" ref="E6" ca="1">INDEX('Questions global'!$A:$YP,ROW(E5)-ROW($A$2)+4,COLUMN(E5)-COLUMN($A$2)+1+$B$1)</f>
        <v xml:space="preserve">   </v>
      </c>
      <c r="F6" s="105" t="str" cm="1">
        <f t="array" ref="F6">INDEX('Questions global'!$A:$YP,ROW(F5)-ROW($A$2)+4,COLUMN(F5)-COLUMN($A$2)+1+$B$1)</f>
        <v xml:space="preserve"> </v>
      </c>
      <c r="G6" s="112" t="str" cm="1">
        <f t="array" ref="G6">INDEX('Questions global'!$A:$YP,ROW(G5)-ROW($A$2)+4,COLUMN(G5)-COLUMN($A$2)+1+$B$1)</f>
        <v/>
      </c>
      <c r="H6" s="104" t="str" cm="1">
        <f t="array" aca="1" ref="H6" ca="1">INDEX('Questions global'!$A:$YP,ROW(H5)-ROW($A$2)+4,COLUMN(H5)-COLUMN($A$2)+1+$B$1)</f>
        <v/>
      </c>
      <c r="I6" s="119" t="str" cm="1">
        <f t="array" aca="1" ref="I6" ca="1">INDEX('Questions global'!$A:$YP,ROW(I5)-ROW($A$2)+4,COLUMN(I5)-COLUMN($A$2)+1+$B$1)</f>
        <v/>
      </c>
    </row>
    <row r="7" spans="1:9" ht="15" customHeight="1" x14ac:dyDescent="0.3">
      <c r="A7" s="118" cm="1">
        <f t="array" ref="A7">INDEX('Questions global'!$A:$YP,ROW(A6)-ROW($A$2)+4,COLUMN(A6)-COLUMN($A$2)+1+$B$1)</f>
        <v>6</v>
      </c>
      <c r="B7" s="106" t="str" cm="1">
        <f t="array" ref="B7">INDEX('Questions global'!$A:$YP,ROW(B6)-ROW($A$2)+4,COLUMN(B6)-COLUMN($A$2)+1+$B$1)</f>
        <v/>
      </c>
      <c r="C7" s="106" t="str" cm="1">
        <f t="array" ref="C7">INDEX('Questions global'!$A:$YP,ROW(C6)-ROW($A$2)+4,COLUMN(C6)-COLUMN($A$2)+1+$B$1)</f>
        <v/>
      </c>
      <c r="D7" s="126" t="str" cm="1">
        <f t="array" ref="D7">INDEX('Questions global'!$A:$YP,ROW(D6)-ROW($A$2)+4,COLUMN(D6)-COLUMN($A$2)+1+$B$1)</f>
        <v/>
      </c>
      <c r="E7" s="104" t="str" cm="1">
        <f t="array" aca="1" ref="E7" ca="1">INDEX('Questions global'!$A:$YP,ROW(E6)-ROW($A$2)+4,COLUMN(E6)-COLUMN($A$2)+1+$B$1)</f>
        <v xml:space="preserve">   </v>
      </c>
      <c r="F7" s="105" t="str" cm="1">
        <f t="array" ref="F7">INDEX('Questions global'!$A:$YP,ROW(F6)-ROW($A$2)+4,COLUMN(F6)-COLUMN($A$2)+1+$B$1)</f>
        <v xml:space="preserve"> </v>
      </c>
      <c r="G7" s="112" t="str" cm="1">
        <f t="array" ref="G7">INDEX('Questions global'!$A:$YP,ROW(G6)-ROW($A$2)+4,COLUMN(G6)-COLUMN($A$2)+1+$B$1)</f>
        <v/>
      </c>
      <c r="H7" s="104" t="str" cm="1">
        <f t="array" aca="1" ref="H7" ca="1">INDEX('Questions global'!$A:$YP,ROW(H6)-ROW($A$2)+4,COLUMN(H6)-COLUMN($A$2)+1+$B$1)</f>
        <v/>
      </c>
      <c r="I7" s="119" t="str" cm="1">
        <f t="array" aca="1" ref="I7" ca="1">INDEX('Questions global'!$A:$YP,ROW(I6)-ROW($A$2)+4,COLUMN(I6)-COLUMN($A$2)+1+$B$1)</f>
        <v/>
      </c>
    </row>
    <row r="8" spans="1:9" ht="15" customHeight="1" x14ac:dyDescent="0.3">
      <c r="A8" s="118" cm="1">
        <f t="array" ref="A8">INDEX('Questions global'!$A:$YP,ROW(A7)-ROW($A$2)+4,COLUMN(A7)-COLUMN($A$2)+1+$B$1)</f>
        <v>7</v>
      </c>
      <c r="B8" s="106" t="str" cm="1">
        <f t="array" ref="B8">INDEX('Questions global'!$A:$YP,ROW(B7)-ROW($A$2)+4,COLUMN(B7)-COLUMN($A$2)+1+$B$1)</f>
        <v/>
      </c>
      <c r="C8" s="106" t="str" cm="1">
        <f t="array" ref="C8">INDEX('Questions global'!$A:$YP,ROW(C7)-ROW($A$2)+4,COLUMN(C7)-COLUMN($A$2)+1+$B$1)</f>
        <v/>
      </c>
      <c r="D8" s="126" t="str" cm="1">
        <f t="array" ref="D8">INDEX('Questions global'!$A:$YP,ROW(D7)-ROW($A$2)+4,COLUMN(D7)-COLUMN($A$2)+1+$B$1)</f>
        <v/>
      </c>
      <c r="E8" s="104" t="str" cm="1">
        <f t="array" aca="1" ref="E8" ca="1">INDEX('Questions global'!$A:$YP,ROW(E7)-ROW($A$2)+4,COLUMN(E7)-COLUMN($A$2)+1+$B$1)</f>
        <v xml:space="preserve">   </v>
      </c>
      <c r="F8" s="105" t="str" cm="1">
        <f t="array" ref="F8">INDEX('Questions global'!$A:$YP,ROW(F7)-ROW($A$2)+4,COLUMN(F7)-COLUMN($A$2)+1+$B$1)</f>
        <v xml:space="preserve"> </v>
      </c>
      <c r="G8" s="112" t="str" cm="1">
        <f t="array" ref="G8">INDEX('Questions global'!$A:$YP,ROW(G7)-ROW($A$2)+4,COLUMN(G7)-COLUMN($A$2)+1+$B$1)</f>
        <v/>
      </c>
      <c r="H8" s="104" t="str" cm="1">
        <f t="array" aca="1" ref="H8" ca="1">INDEX('Questions global'!$A:$YP,ROW(H7)-ROW($A$2)+4,COLUMN(H7)-COLUMN($A$2)+1+$B$1)</f>
        <v/>
      </c>
      <c r="I8" s="119" t="str" cm="1">
        <f t="array" aca="1" ref="I8" ca="1">INDEX('Questions global'!$A:$YP,ROW(I7)-ROW($A$2)+4,COLUMN(I7)-COLUMN($A$2)+1+$B$1)</f>
        <v/>
      </c>
    </row>
    <row r="9" spans="1:9" ht="15" customHeight="1" x14ac:dyDescent="0.3">
      <c r="A9" s="118" cm="1">
        <f t="array" ref="A9">INDEX('Questions global'!$A:$YP,ROW(A8)-ROW($A$2)+4,COLUMN(A8)-COLUMN($A$2)+1+$B$1)</f>
        <v>8</v>
      </c>
      <c r="B9" s="106" t="str" cm="1">
        <f t="array" ref="B9">INDEX('Questions global'!$A:$YP,ROW(B8)-ROW($A$2)+4,COLUMN(B8)-COLUMN($A$2)+1+$B$1)</f>
        <v/>
      </c>
      <c r="C9" s="106" t="str" cm="1">
        <f t="array" ref="C9">INDEX('Questions global'!$A:$YP,ROW(C8)-ROW($A$2)+4,COLUMN(C8)-COLUMN($A$2)+1+$B$1)</f>
        <v/>
      </c>
      <c r="D9" s="126" t="str" cm="1">
        <f t="array" ref="D9">INDEX('Questions global'!$A:$YP,ROW(D8)-ROW($A$2)+4,COLUMN(D8)-COLUMN($A$2)+1+$B$1)</f>
        <v/>
      </c>
      <c r="E9" s="104" t="str" cm="1">
        <f t="array" aca="1" ref="E9" ca="1">INDEX('Questions global'!$A:$YP,ROW(E8)-ROW($A$2)+4,COLUMN(E8)-COLUMN($A$2)+1+$B$1)</f>
        <v xml:space="preserve">   </v>
      </c>
      <c r="F9" s="105" t="str" cm="1">
        <f t="array" ref="F9">INDEX('Questions global'!$A:$YP,ROW(F8)-ROW($A$2)+4,COLUMN(F8)-COLUMN($A$2)+1+$B$1)</f>
        <v xml:space="preserve"> </v>
      </c>
      <c r="G9" s="112" t="str" cm="1">
        <f t="array" ref="G9">INDEX('Questions global'!$A:$YP,ROW(G8)-ROW($A$2)+4,COLUMN(G8)-COLUMN($A$2)+1+$B$1)</f>
        <v/>
      </c>
      <c r="H9" s="104" t="str" cm="1">
        <f t="array" aca="1" ref="H9" ca="1">INDEX('Questions global'!$A:$YP,ROW(H8)-ROW($A$2)+4,COLUMN(H8)-COLUMN($A$2)+1+$B$1)</f>
        <v/>
      </c>
      <c r="I9" s="119" t="str" cm="1">
        <f t="array" aca="1" ref="I9" ca="1">INDEX('Questions global'!$A:$YP,ROW(I8)-ROW($A$2)+4,COLUMN(I8)-COLUMN($A$2)+1+$B$1)</f>
        <v/>
      </c>
    </row>
    <row r="10" spans="1:9" ht="15" customHeight="1" x14ac:dyDescent="0.3">
      <c r="A10" s="118" cm="1">
        <f t="array" ref="A10">INDEX('Questions global'!$A:$YP,ROW(A9)-ROW($A$2)+4,COLUMN(A9)-COLUMN($A$2)+1+$B$1)</f>
        <v>9</v>
      </c>
      <c r="B10" s="106" t="str" cm="1">
        <f t="array" ref="B10">INDEX('Questions global'!$A:$YP,ROW(B9)-ROW($A$2)+4,COLUMN(B9)-COLUMN($A$2)+1+$B$1)</f>
        <v/>
      </c>
      <c r="C10" s="106" t="str" cm="1">
        <f t="array" ref="C10">INDEX('Questions global'!$A:$YP,ROW(C9)-ROW($A$2)+4,COLUMN(C9)-COLUMN($A$2)+1+$B$1)</f>
        <v/>
      </c>
      <c r="D10" s="126" t="str" cm="1">
        <f t="array" ref="D10">INDEX('Questions global'!$A:$YP,ROW(D9)-ROW($A$2)+4,COLUMN(D9)-COLUMN($A$2)+1+$B$1)</f>
        <v/>
      </c>
      <c r="E10" s="104" t="str" cm="1">
        <f t="array" aca="1" ref="E10" ca="1">INDEX('Questions global'!$A:$YP,ROW(E9)-ROW($A$2)+4,COLUMN(E9)-COLUMN($A$2)+1+$B$1)</f>
        <v xml:space="preserve">   </v>
      </c>
      <c r="F10" s="105" t="str" cm="1">
        <f t="array" ref="F10">INDEX('Questions global'!$A:$YP,ROW(F9)-ROW($A$2)+4,COLUMN(F9)-COLUMN($A$2)+1+$B$1)</f>
        <v xml:space="preserve"> </v>
      </c>
      <c r="G10" s="112" t="str" cm="1">
        <f t="array" ref="G10">INDEX('Questions global'!$A:$YP,ROW(G9)-ROW($A$2)+4,COLUMN(G9)-COLUMN($A$2)+1+$B$1)</f>
        <v/>
      </c>
      <c r="H10" s="104" t="str" cm="1">
        <f t="array" aca="1" ref="H10" ca="1">INDEX('Questions global'!$A:$YP,ROW(H9)-ROW($A$2)+4,COLUMN(H9)-COLUMN($A$2)+1+$B$1)</f>
        <v/>
      </c>
      <c r="I10" s="119" t="str" cm="1">
        <f t="array" aca="1" ref="I10" ca="1">INDEX('Questions global'!$A:$YP,ROW(I9)-ROW($A$2)+4,COLUMN(I9)-COLUMN($A$2)+1+$B$1)</f>
        <v/>
      </c>
    </row>
    <row r="11" spans="1:9" ht="15" customHeight="1" x14ac:dyDescent="0.3">
      <c r="A11" s="118" cm="1">
        <f t="array" ref="A11">INDEX('Questions global'!$A:$YP,ROW(A10)-ROW($A$2)+4,COLUMN(A10)-COLUMN($A$2)+1+$B$1)</f>
        <v>10</v>
      </c>
      <c r="B11" s="106" t="str" cm="1">
        <f t="array" ref="B11">INDEX('Questions global'!$A:$YP,ROW(B10)-ROW($A$2)+4,COLUMN(B10)-COLUMN($A$2)+1+$B$1)</f>
        <v/>
      </c>
      <c r="C11" s="106" t="str" cm="1">
        <f t="array" ref="C11">INDEX('Questions global'!$A:$YP,ROW(C10)-ROW($A$2)+4,COLUMN(C10)-COLUMN($A$2)+1+$B$1)</f>
        <v/>
      </c>
      <c r="D11" s="126" t="str" cm="1">
        <f t="array" ref="D11">INDEX('Questions global'!$A:$YP,ROW(D10)-ROW($A$2)+4,COLUMN(D10)-COLUMN($A$2)+1+$B$1)</f>
        <v/>
      </c>
      <c r="E11" s="104" t="str" cm="1">
        <f t="array" aca="1" ref="E11" ca="1">INDEX('Questions global'!$A:$YP,ROW(E10)-ROW($A$2)+4,COLUMN(E10)-COLUMN($A$2)+1+$B$1)</f>
        <v xml:space="preserve">   </v>
      </c>
      <c r="F11" s="105" t="str" cm="1">
        <f t="array" ref="F11">INDEX('Questions global'!$A:$YP,ROW(F10)-ROW($A$2)+4,COLUMN(F10)-COLUMN($A$2)+1+$B$1)</f>
        <v xml:space="preserve"> </v>
      </c>
      <c r="G11" s="112" t="str" cm="1">
        <f t="array" ref="G11">INDEX('Questions global'!$A:$YP,ROW(G10)-ROW($A$2)+4,COLUMN(G10)-COLUMN($A$2)+1+$B$1)</f>
        <v/>
      </c>
      <c r="H11" s="104" t="str" cm="1">
        <f t="array" aca="1" ref="H11" ca="1">INDEX('Questions global'!$A:$YP,ROW(H10)-ROW($A$2)+4,COLUMN(H10)-COLUMN($A$2)+1+$B$1)</f>
        <v/>
      </c>
      <c r="I11" s="119" t="str" cm="1">
        <f t="array" aca="1" ref="I11" ca="1">INDEX('Questions global'!$A:$YP,ROW(I10)-ROW($A$2)+4,COLUMN(I10)-COLUMN($A$2)+1+$B$1)</f>
        <v/>
      </c>
    </row>
    <row r="12" spans="1:9" ht="15" customHeight="1" x14ac:dyDescent="0.3">
      <c r="A12" s="118" cm="1">
        <f t="array" ref="A12">INDEX('Questions global'!$A:$YP,ROW(A11)-ROW($A$2)+4,COLUMN(A11)-COLUMN($A$2)+1+$B$1)</f>
        <v>11</v>
      </c>
      <c r="B12" s="106" t="str" cm="1">
        <f t="array" ref="B12">INDEX('Questions global'!$A:$YP,ROW(B11)-ROW($A$2)+4,COLUMN(B11)-COLUMN($A$2)+1+$B$1)</f>
        <v/>
      </c>
      <c r="C12" s="106" t="str" cm="1">
        <f t="array" ref="C12">INDEX('Questions global'!$A:$YP,ROW(C11)-ROW($A$2)+4,COLUMN(C11)-COLUMN($A$2)+1+$B$1)</f>
        <v/>
      </c>
      <c r="D12" s="126" t="str" cm="1">
        <f t="array" ref="D12">INDEX('Questions global'!$A:$YP,ROW(D11)-ROW($A$2)+4,COLUMN(D11)-COLUMN($A$2)+1+$B$1)</f>
        <v/>
      </c>
      <c r="E12" s="104" t="str" cm="1">
        <f t="array" aca="1" ref="E12" ca="1">INDEX('Questions global'!$A:$YP,ROW(E11)-ROW($A$2)+4,COLUMN(E11)-COLUMN($A$2)+1+$B$1)</f>
        <v xml:space="preserve">   </v>
      </c>
      <c r="F12" s="105" t="str" cm="1">
        <f t="array" ref="F12">INDEX('Questions global'!$A:$YP,ROW(F11)-ROW($A$2)+4,COLUMN(F11)-COLUMN($A$2)+1+$B$1)</f>
        <v xml:space="preserve"> </v>
      </c>
      <c r="G12" s="112" t="str" cm="1">
        <f t="array" ref="G12">INDEX('Questions global'!$A:$YP,ROW(G11)-ROW($A$2)+4,COLUMN(G11)-COLUMN($A$2)+1+$B$1)</f>
        <v/>
      </c>
      <c r="H12" s="104" t="str" cm="1">
        <f t="array" aca="1" ref="H12" ca="1">INDEX('Questions global'!$A:$YP,ROW(H11)-ROW($A$2)+4,COLUMN(H11)-COLUMN($A$2)+1+$B$1)</f>
        <v/>
      </c>
      <c r="I12" s="119" t="str" cm="1">
        <f t="array" aca="1" ref="I12" ca="1">INDEX('Questions global'!$A:$YP,ROW(I11)-ROW($A$2)+4,COLUMN(I11)-COLUMN($A$2)+1+$B$1)</f>
        <v/>
      </c>
    </row>
    <row r="13" spans="1:9" ht="15" customHeight="1" x14ac:dyDescent="0.3">
      <c r="A13" s="118" cm="1">
        <f t="array" ref="A13">INDEX('Questions global'!$A:$YP,ROW(A12)-ROW($A$2)+4,COLUMN(A12)-COLUMN($A$2)+1+$B$1)</f>
        <v>12</v>
      </c>
      <c r="B13" s="106" t="str" cm="1">
        <f t="array" ref="B13">INDEX('Questions global'!$A:$YP,ROW(B12)-ROW($A$2)+4,COLUMN(B12)-COLUMN($A$2)+1+$B$1)</f>
        <v/>
      </c>
      <c r="C13" s="106" t="str" cm="1">
        <f t="array" ref="C13">INDEX('Questions global'!$A:$YP,ROW(C12)-ROW($A$2)+4,COLUMN(C12)-COLUMN($A$2)+1+$B$1)</f>
        <v/>
      </c>
      <c r="D13" s="126" t="str" cm="1">
        <f t="array" ref="D13">INDEX('Questions global'!$A:$YP,ROW(D12)-ROW($A$2)+4,COLUMN(D12)-COLUMN($A$2)+1+$B$1)</f>
        <v/>
      </c>
      <c r="E13" s="104" t="str" cm="1">
        <f t="array" aca="1" ref="E13" ca="1">INDEX('Questions global'!$A:$YP,ROW(E12)-ROW($A$2)+4,COLUMN(E12)-COLUMN($A$2)+1+$B$1)</f>
        <v xml:space="preserve">   </v>
      </c>
      <c r="F13" s="105" t="str" cm="1">
        <f t="array" ref="F13">INDEX('Questions global'!$A:$YP,ROW(F12)-ROW($A$2)+4,COLUMN(F12)-COLUMN($A$2)+1+$B$1)</f>
        <v xml:space="preserve"> </v>
      </c>
      <c r="G13" s="112" t="str" cm="1">
        <f t="array" ref="G13">INDEX('Questions global'!$A:$YP,ROW(G12)-ROW($A$2)+4,COLUMN(G12)-COLUMN($A$2)+1+$B$1)</f>
        <v/>
      </c>
      <c r="H13" s="104" t="str" cm="1">
        <f t="array" aca="1" ref="H13" ca="1">INDEX('Questions global'!$A:$YP,ROW(H12)-ROW($A$2)+4,COLUMN(H12)-COLUMN($A$2)+1+$B$1)</f>
        <v/>
      </c>
      <c r="I13" s="119" t="str" cm="1">
        <f t="array" aca="1" ref="I13" ca="1">INDEX('Questions global'!$A:$YP,ROW(I12)-ROW($A$2)+4,COLUMN(I12)-COLUMN($A$2)+1+$B$1)</f>
        <v/>
      </c>
    </row>
    <row r="14" spans="1:9" ht="15" customHeight="1" x14ac:dyDescent="0.3">
      <c r="A14" s="118" cm="1">
        <f t="array" ref="A14">INDEX('Questions global'!$A:$YP,ROW(A13)-ROW($A$2)+4,COLUMN(A13)-COLUMN($A$2)+1+$B$1)</f>
        <v>13</v>
      </c>
      <c r="B14" s="106" t="str" cm="1">
        <f t="array" ref="B14">INDEX('Questions global'!$A:$YP,ROW(B13)-ROW($A$2)+4,COLUMN(B13)-COLUMN($A$2)+1+$B$1)</f>
        <v/>
      </c>
      <c r="C14" s="106" t="str" cm="1">
        <f t="array" ref="C14">INDEX('Questions global'!$A:$YP,ROW(C13)-ROW($A$2)+4,COLUMN(C13)-COLUMN($A$2)+1+$B$1)</f>
        <v/>
      </c>
      <c r="D14" s="126" t="str" cm="1">
        <f t="array" ref="D14">INDEX('Questions global'!$A:$YP,ROW(D13)-ROW($A$2)+4,COLUMN(D13)-COLUMN($A$2)+1+$B$1)</f>
        <v/>
      </c>
      <c r="E14" s="104" t="str" cm="1">
        <f t="array" aca="1" ref="E14" ca="1">INDEX('Questions global'!$A:$YP,ROW(E13)-ROW($A$2)+4,COLUMN(E13)-COLUMN($A$2)+1+$B$1)</f>
        <v xml:space="preserve">   </v>
      </c>
      <c r="F14" s="105" t="str" cm="1">
        <f t="array" ref="F14">INDEX('Questions global'!$A:$YP,ROW(F13)-ROW($A$2)+4,COLUMN(F13)-COLUMN($A$2)+1+$B$1)</f>
        <v xml:space="preserve"> </v>
      </c>
      <c r="G14" s="112" t="str" cm="1">
        <f t="array" ref="G14">INDEX('Questions global'!$A:$YP,ROW(G13)-ROW($A$2)+4,COLUMN(G13)-COLUMN($A$2)+1+$B$1)</f>
        <v/>
      </c>
      <c r="H14" s="104" t="str" cm="1">
        <f t="array" aca="1" ref="H14" ca="1">INDEX('Questions global'!$A:$YP,ROW(H13)-ROW($A$2)+4,COLUMN(H13)-COLUMN($A$2)+1+$B$1)</f>
        <v/>
      </c>
      <c r="I14" s="119" t="str" cm="1">
        <f t="array" aca="1" ref="I14" ca="1">INDEX('Questions global'!$A:$YP,ROW(I13)-ROW($A$2)+4,COLUMN(I13)-COLUMN($A$2)+1+$B$1)</f>
        <v/>
      </c>
    </row>
    <row r="15" spans="1:9" ht="15" customHeight="1" x14ac:dyDescent="0.3">
      <c r="A15" s="118" cm="1">
        <f t="array" ref="A15">INDEX('Questions global'!$A:$YP,ROW(A14)-ROW($A$2)+4,COLUMN(A14)-COLUMN($A$2)+1+$B$1)</f>
        <v>14</v>
      </c>
      <c r="B15" s="106" t="str" cm="1">
        <f t="array" ref="B15">INDEX('Questions global'!$A:$YP,ROW(B14)-ROW($A$2)+4,COLUMN(B14)-COLUMN($A$2)+1+$B$1)</f>
        <v/>
      </c>
      <c r="C15" s="106" t="str" cm="1">
        <f t="array" ref="C15">INDEX('Questions global'!$A:$YP,ROW(C14)-ROW($A$2)+4,COLUMN(C14)-COLUMN($A$2)+1+$B$1)</f>
        <v/>
      </c>
      <c r="D15" s="126" t="str" cm="1">
        <f t="array" ref="D15">INDEX('Questions global'!$A:$YP,ROW(D14)-ROW($A$2)+4,COLUMN(D14)-COLUMN($A$2)+1+$B$1)</f>
        <v/>
      </c>
      <c r="E15" s="104" t="str" cm="1">
        <f t="array" aca="1" ref="E15" ca="1">INDEX('Questions global'!$A:$YP,ROW(E14)-ROW($A$2)+4,COLUMN(E14)-COLUMN($A$2)+1+$B$1)</f>
        <v xml:space="preserve">   </v>
      </c>
      <c r="F15" s="105" t="str" cm="1">
        <f t="array" ref="F15">INDEX('Questions global'!$A:$YP,ROW(F14)-ROW($A$2)+4,COLUMN(F14)-COLUMN($A$2)+1+$B$1)</f>
        <v xml:space="preserve"> </v>
      </c>
      <c r="G15" s="112" t="str" cm="1">
        <f t="array" ref="G15">INDEX('Questions global'!$A:$YP,ROW(G14)-ROW($A$2)+4,COLUMN(G14)-COLUMN($A$2)+1+$B$1)</f>
        <v/>
      </c>
      <c r="H15" s="104" t="str" cm="1">
        <f t="array" aca="1" ref="H15" ca="1">INDEX('Questions global'!$A:$YP,ROW(H14)-ROW($A$2)+4,COLUMN(H14)-COLUMN($A$2)+1+$B$1)</f>
        <v/>
      </c>
      <c r="I15" s="119" t="str" cm="1">
        <f t="array" aca="1" ref="I15" ca="1">INDEX('Questions global'!$A:$YP,ROW(I14)-ROW($A$2)+4,COLUMN(I14)-COLUMN($A$2)+1+$B$1)</f>
        <v/>
      </c>
    </row>
    <row r="16" spans="1:9" ht="15" customHeight="1" x14ac:dyDescent="0.3">
      <c r="A16" s="118" cm="1">
        <f t="array" ref="A16">INDEX('Questions global'!$A:$YP,ROW(A15)-ROW($A$2)+4,COLUMN(A15)-COLUMN($A$2)+1+$B$1)</f>
        <v>15</v>
      </c>
      <c r="B16" s="106" t="str" cm="1">
        <f t="array" ref="B16">INDEX('Questions global'!$A:$YP,ROW(B15)-ROW($A$2)+4,COLUMN(B15)-COLUMN($A$2)+1+$B$1)</f>
        <v/>
      </c>
      <c r="C16" s="106" t="str" cm="1">
        <f t="array" ref="C16">INDEX('Questions global'!$A:$YP,ROW(C15)-ROW($A$2)+4,COLUMN(C15)-COLUMN($A$2)+1+$B$1)</f>
        <v/>
      </c>
      <c r="D16" s="126" t="str" cm="1">
        <f t="array" ref="D16">INDEX('Questions global'!$A:$YP,ROW(D15)-ROW($A$2)+4,COLUMN(D15)-COLUMN($A$2)+1+$B$1)</f>
        <v/>
      </c>
      <c r="E16" s="104" t="str" cm="1">
        <f t="array" aca="1" ref="E16" ca="1">INDEX('Questions global'!$A:$YP,ROW(E15)-ROW($A$2)+4,COLUMN(E15)-COLUMN($A$2)+1+$B$1)</f>
        <v xml:space="preserve">   </v>
      </c>
      <c r="F16" s="105" t="str" cm="1">
        <f t="array" ref="F16">INDEX('Questions global'!$A:$YP,ROW(F15)-ROW($A$2)+4,COLUMN(F15)-COLUMN($A$2)+1+$B$1)</f>
        <v xml:space="preserve"> </v>
      </c>
      <c r="G16" s="112" t="str" cm="1">
        <f t="array" ref="G16">INDEX('Questions global'!$A:$YP,ROW(G15)-ROW($A$2)+4,COLUMN(G15)-COLUMN($A$2)+1+$B$1)</f>
        <v/>
      </c>
      <c r="H16" s="104" t="str" cm="1">
        <f t="array" aca="1" ref="H16" ca="1">INDEX('Questions global'!$A:$YP,ROW(H15)-ROW($A$2)+4,COLUMN(H15)-COLUMN($A$2)+1+$B$1)</f>
        <v/>
      </c>
      <c r="I16" s="119" t="str" cm="1">
        <f t="array" aca="1" ref="I16" ca="1">INDEX('Questions global'!$A:$YP,ROW(I15)-ROW($A$2)+4,COLUMN(I15)-COLUMN($A$2)+1+$B$1)</f>
        <v/>
      </c>
    </row>
    <row r="17" spans="1:9" ht="15" customHeight="1" x14ac:dyDescent="0.3">
      <c r="A17" s="118" cm="1">
        <f t="array" ref="A17">INDEX('Questions global'!$A:$YP,ROW(A16)-ROW($A$2)+4,COLUMN(A16)-COLUMN($A$2)+1+$B$1)</f>
        <v>16</v>
      </c>
      <c r="B17" s="106" t="str" cm="1">
        <f t="array" ref="B17">INDEX('Questions global'!$A:$YP,ROW(B16)-ROW($A$2)+4,COLUMN(B16)-COLUMN($A$2)+1+$B$1)</f>
        <v/>
      </c>
      <c r="C17" s="106" t="str" cm="1">
        <f t="array" ref="C17">INDEX('Questions global'!$A:$YP,ROW(C16)-ROW($A$2)+4,COLUMN(C16)-COLUMN($A$2)+1+$B$1)</f>
        <v/>
      </c>
      <c r="D17" s="126" t="str" cm="1">
        <f t="array" ref="D17">INDEX('Questions global'!$A:$YP,ROW(D16)-ROW($A$2)+4,COLUMN(D16)-COLUMN($A$2)+1+$B$1)</f>
        <v/>
      </c>
      <c r="E17" s="104" t="str" cm="1">
        <f t="array" aca="1" ref="E17" ca="1">INDEX('Questions global'!$A:$YP,ROW(E16)-ROW($A$2)+4,COLUMN(E16)-COLUMN($A$2)+1+$B$1)</f>
        <v xml:space="preserve">   </v>
      </c>
      <c r="F17" s="105" t="str" cm="1">
        <f t="array" ref="F17">INDEX('Questions global'!$A:$YP,ROW(F16)-ROW($A$2)+4,COLUMN(F16)-COLUMN($A$2)+1+$B$1)</f>
        <v xml:space="preserve"> </v>
      </c>
      <c r="G17" s="112" t="str" cm="1">
        <f t="array" ref="G17">INDEX('Questions global'!$A:$YP,ROW(G16)-ROW($A$2)+4,COLUMN(G16)-COLUMN($A$2)+1+$B$1)</f>
        <v/>
      </c>
      <c r="H17" s="104" t="str" cm="1">
        <f t="array" aca="1" ref="H17" ca="1">INDEX('Questions global'!$A:$YP,ROW(H16)-ROW($A$2)+4,COLUMN(H16)-COLUMN($A$2)+1+$B$1)</f>
        <v/>
      </c>
      <c r="I17" s="119" t="str" cm="1">
        <f t="array" aca="1" ref="I17" ca="1">INDEX('Questions global'!$A:$YP,ROW(I16)-ROW($A$2)+4,COLUMN(I16)-COLUMN($A$2)+1+$B$1)</f>
        <v/>
      </c>
    </row>
    <row r="18" spans="1:9" ht="15" customHeight="1" x14ac:dyDescent="0.3">
      <c r="A18" s="118" cm="1">
        <f t="array" ref="A18">INDEX('Questions global'!$A:$YP,ROW(A17)-ROW($A$2)+4,COLUMN(A17)-COLUMN($A$2)+1+$B$1)</f>
        <v>17</v>
      </c>
      <c r="B18" s="106" t="str" cm="1">
        <f t="array" ref="B18">INDEX('Questions global'!$A:$YP,ROW(B17)-ROW($A$2)+4,COLUMN(B17)-COLUMN($A$2)+1+$B$1)</f>
        <v/>
      </c>
      <c r="C18" s="106" t="str" cm="1">
        <f t="array" ref="C18">INDEX('Questions global'!$A:$YP,ROW(C17)-ROW($A$2)+4,COLUMN(C17)-COLUMN($A$2)+1+$B$1)</f>
        <v/>
      </c>
      <c r="D18" s="126" t="str" cm="1">
        <f t="array" ref="D18">INDEX('Questions global'!$A:$YP,ROW(D17)-ROW($A$2)+4,COLUMN(D17)-COLUMN($A$2)+1+$B$1)</f>
        <v/>
      </c>
      <c r="E18" s="104" t="str" cm="1">
        <f t="array" aca="1" ref="E18" ca="1">INDEX('Questions global'!$A:$YP,ROW(E17)-ROW($A$2)+4,COLUMN(E17)-COLUMN($A$2)+1+$B$1)</f>
        <v xml:space="preserve">   </v>
      </c>
      <c r="F18" s="105" t="str" cm="1">
        <f t="array" ref="F18">INDEX('Questions global'!$A:$YP,ROW(F17)-ROW($A$2)+4,COLUMN(F17)-COLUMN($A$2)+1+$B$1)</f>
        <v xml:space="preserve"> </v>
      </c>
      <c r="G18" s="112" t="str" cm="1">
        <f t="array" ref="G18">INDEX('Questions global'!$A:$YP,ROW(G17)-ROW($A$2)+4,COLUMN(G17)-COLUMN($A$2)+1+$B$1)</f>
        <v/>
      </c>
      <c r="H18" s="104" t="str" cm="1">
        <f t="array" aca="1" ref="H18" ca="1">INDEX('Questions global'!$A:$YP,ROW(H17)-ROW($A$2)+4,COLUMN(H17)-COLUMN($A$2)+1+$B$1)</f>
        <v/>
      </c>
      <c r="I18" s="119" t="str" cm="1">
        <f t="array" aca="1" ref="I18" ca="1">INDEX('Questions global'!$A:$YP,ROW(I17)-ROW($A$2)+4,COLUMN(I17)-COLUMN($A$2)+1+$B$1)</f>
        <v/>
      </c>
    </row>
    <row r="19" spans="1:9" ht="15" customHeight="1" x14ac:dyDescent="0.3">
      <c r="A19" s="118" cm="1">
        <f t="array" ref="A19">INDEX('Questions global'!$A:$YP,ROW(A18)-ROW($A$2)+4,COLUMN(A18)-COLUMN($A$2)+1+$B$1)</f>
        <v>18</v>
      </c>
      <c r="B19" s="106" t="str" cm="1">
        <f t="array" ref="B19">INDEX('Questions global'!$A:$YP,ROW(B18)-ROW($A$2)+4,COLUMN(B18)-COLUMN($A$2)+1+$B$1)</f>
        <v/>
      </c>
      <c r="C19" s="106" t="str" cm="1">
        <f t="array" ref="C19">INDEX('Questions global'!$A:$YP,ROW(C18)-ROW($A$2)+4,COLUMN(C18)-COLUMN($A$2)+1+$B$1)</f>
        <v/>
      </c>
      <c r="D19" s="126" t="str" cm="1">
        <f t="array" ref="D19">INDEX('Questions global'!$A:$YP,ROW(D18)-ROW($A$2)+4,COLUMN(D18)-COLUMN($A$2)+1+$B$1)</f>
        <v/>
      </c>
      <c r="E19" s="104" t="str" cm="1">
        <f t="array" aca="1" ref="E19" ca="1">INDEX('Questions global'!$A:$YP,ROW(E18)-ROW($A$2)+4,COLUMN(E18)-COLUMN($A$2)+1+$B$1)</f>
        <v xml:space="preserve">   </v>
      </c>
      <c r="F19" s="105" t="str" cm="1">
        <f t="array" ref="F19">INDEX('Questions global'!$A:$YP,ROW(F18)-ROW($A$2)+4,COLUMN(F18)-COLUMN($A$2)+1+$B$1)</f>
        <v xml:space="preserve"> </v>
      </c>
      <c r="G19" s="112" t="str" cm="1">
        <f t="array" ref="G19">INDEX('Questions global'!$A:$YP,ROW(G18)-ROW($A$2)+4,COLUMN(G18)-COLUMN($A$2)+1+$B$1)</f>
        <v/>
      </c>
      <c r="H19" s="104" t="str" cm="1">
        <f t="array" aca="1" ref="H19" ca="1">INDEX('Questions global'!$A:$YP,ROW(H18)-ROW($A$2)+4,COLUMN(H18)-COLUMN($A$2)+1+$B$1)</f>
        <v/>
      </c>
      <c r="I19" s="119" t="str" cm="1">
        <f t="array" aca="1" ref="I19" ca="1">INDEX('Questions global'!$A:$YP,ROW(I18)-ROW($A$2)+4,COLUMN(I18)-COLUMN($A$2)+1+$B$1)</f>
        <v/>
      </c>
    </row>
    <row r="20" spans="1:9" ht="15" customHeight="1" x14ac:dyDescent="0.3">
      <c r="A20" s="118" cm="1">
        <f t="array" ref="A20">INDEX('Questions global'!$A:$YP,ROW(A19)-ROW($A$2)+4,COLUMN(A19)-COLUMN($A$2)+1+$B$1)</f>
        <v>19</v>
      </c>
      <c r="B20" s="106" t="str" cm="1">
        <f t="array" ref="B20">INDEX('Questions global'!$A:$YP,ROW(B19)-ROW($A$2)+4,COLUMN(B19)-COLUMN($A$2)+1+$B$1)</f>
        <v/>
      </c>
      <c r="C20" s="106" t="str" cm="1">
        <f t="array" ref="C20">INDEX('Questions global'!$A:$YP,ROW(C19)-ROW($A$2)+4,COLUMN(C19)-COLUMN($A$2)+1+$B$1)</f>
        <v/>
      </c>
      <c r="D20" s="126" t="str" cm="1">
        <f t="array" ref="D20">INDEX('Questions global'!$A:$YP,ROW(D19)-ROW($A$2)+4,COLUMN(D19)-COLUMN($A$2)+1+$B$1)</f>
        <v/>
      </c>
      <c r="E20" s="104" t="str" cm="1">
        <f t="array" aca="1" ref="E20" ca="1">INDEX('Questions global'!$A:$YP,ROW(E19)-ROW($A$2)+4,COLUMN(E19)-COLUMN($A$2)+1+$B$1)</f>
        <v xml:space="preserve">   </v>
      </c>
      <c r="F20" s="105" t="str" cm="1">
        <f t="array" ref="F20">INDEX('Questions global'!$A:$YP,ROW(F19)-ROW($A$2)+4,COLUMN(F19)-COLUMN($A$2)+1+$B$1)</f>
        <v xml:space="preserve"> </v>
      </c>
      <c r="G20" s="112" t="str" cm="1">
        <f t="array" ref="G20">INDEX('Questions global'!$A:$YP,ROW(G19)-ROW($A$2)+4,COLUMN(G19)-COLUMN($A$2)+1+$B$1)</f>
        <v/>
      </c>
      <c r="H20" s="104" t="str" cm="1">
        <f t="array" aca="1" ref="H20" ca="1">INDEX('Questions global'!$A:$YP,ROW(H19)-ROW($A$2)+4,COLUMN(H19)-COLUMN($A$2)+1+$B$1)</f>
        <v/>
      </c>
      <c r="I20" s="119" t="str" cm="1">
        <f t="array" aca="1" ref="I20" ca="1">INDEX('Questions global'!$A:$YP,ROW(I19)-ROW($A$2)+4,COLUMN(I19)-COLUMN($A$2)+1+$B$1)</f>
        <v/>
      </c>
    </row>
    <row r="21" spans="1:9" ht="15" customHeight="1" x14ac:dyDescent="0.3">
      <c r="A21" s="118" cm="1">
        <f t="array" ref="A21">INDEX('Questions global'!$A:$YP,ROW(A20)-ROW($A$2)+4,COLUMN(A20)-COLUMN($A$2)+1+$B$1)</f>
        <v>20</v>
      </c>
      <c r="B21" s="106" t="str" cm="1">
        <f t="array" ref="B21">INDEX('Questions global'!$A:$YP,ROW(B20)-ROW($A$2)+4,COLUMN(B20)-COLUMN($A$2)+1+$B$1)</f>
        <v/>
      </c>
      <c r="C21" s="106" t="str" cm="1">
        <f t="array" ref="C21">INDEX('Questions global'!$A:$YP,ROW(C20)-ROW($A$2)+4,COLUMN(C20)-COLUMN($A$2)+1+$B$1)</f>
        <v/>
      </c>
      <c r="D21" s="126" t="str" cm="1">
        <f t="array" ref="D21">INDEX('Questions global'!$A:$YP,ROW(D20)-ROW($A$2)+4,COLUMN(D20)-COLUMN($A$2)+1+$B$1)</f>
        <v/>
      </c>
      <c r="E21" s="104" t="str" cm="1">
        <f t="array" aca="1" ref="E21" ca="1">INDEX('Questions global'!$A:$YP,ROW(E20)-ROW($A$2)+4,COLUMN(E20)-COLUMN($A$2)+1+$B$1)</f>
        <v xml:space="preserve">   </v>
      </c>
      <c r="F21" s="105" t="str" cm="1">
        <f t="array" ref="F21">INDEX('Questions global'!$A:$YP,ROW(F20)-ROW($A$2)+4,COLUMN(F20)-COLUMN($A$2)+1+$B$1)</f>
        <v xml:space="preserve"> </v>
      </c>
      <c r="G21" s="112" t="str" cm="1">
        <f t="array" ref="G21">INDEX('Questions global'!$A:$YP,ROW(G20)-ROW($A$2)+4,COLUMN(G20)-COLUMN($A$2)+1+$B$1)</f>
        <v/>
      </c>
      <c r="H21" s="104" t="str" cm="1">
        <f t="array" aca="1" ref="H21" ca="1">INDEX('Questions global'!$A:$YP,ROW(H20)-ROW($A$2)+4,COLUMN(H20)-COLUMN($A$2)+1+$B$1)</f>
        <v/>
      </c>
      <c r="I21" s="119" t="str" cm="1">
        <f t="array" aca="1" ref="I21" ca="1">INDEX('Questions global'!$A:$YP,ROW(I20)-ROW($A$2)+4,COLUMN(I20)-COLUMN($A$2)+1+$B$1)</f>
        <v/>
      </c>
    </row>
    <row r="22" spans="1:9" ht="15" customHeight="1" x14ac:dyDescent="0.3">
      <c r="A22" s="118" cm="1">
        <f t="array" ref="A22">INDEX('Questions global'!$A:$YP,ROW(A21)-ROW($A$2)+4,COLUMN(A21)-COLUMN($A$2)+1+$B$1)</f>
        <v>21</v>
      </c>
      <c r="B22" s="106" t="str" cm="1">
        <f t="array" ref="B22">INDEX('Questions global'!$A:$YP,ROW(B21)-ROW($A$2)+4,COLUMN(B21)-COLUMN($A$2)+1+$B$1)</f>
        <v/>
      </c>
      <c r="C22" s="106" t="str" cm="1">
        <f t="array" ref="C22">INDEX('Questions global'!$A:$YP,ROW(C21)-ROW($A$2)+4,COLUMN(C21)-COLUMN($A$2)+1+$B$1)</f>
        <v/>
      </c>
      <c r="D22" s="126" t="str" cm="1">
        <f t="array" ref="D22">INDEX('Questions global'!$A:$YP,ROW(D21)-ROW($A$2)+4,COLUMN(D21)-COLUMN($A$2)+1+$B$1)</f>
        <v/>
      </c>
      <c r="E22" s="104" t="str" cm="1">
        <f t="array" aca="1" ref="E22" ca="1">INDEX('Questions global'!$A:$YP,ROW(E21)-ROW($A$2)+4,COLUMN(E21)-COLUMN($A$2)+1+$B$1)</f>
        <v xml:space="preserve">   </v>
      </c>
      <c r="F22" s="105" t="str" cm="1">
        <f t="array" ref="F22">INDEX('Questions global'!$A:$YP,ROW(F21)-ROW($A$2)+4,COLUMN(F21)-COLUMN($A$2)+1+$B$1)</f>
        <v xml:space="preserve"> </v>
      </c>
      <c r="G22" s="112" t="str" cm="1">
        <f t="array" ref="G22">INDEX('Questions global'!$A:$YP,ROW(G21)-ROW($A$2)+4,COLUMN(G21)-COLUMN($A$2)+1+$B$1)</f>
        <v/>
      </c>
      <c r="H22" s="104" t="str" cm="1">
        <f t="array" aca="1" ref="H22" ca="1">INDEX('Questions global'!$A:$YP,ROW(H21)-ROW($A$2)+4,COLUMN(H21)-COLUMN($A$2)+1+$B$1)</f>
        <v/>
      </c>
      <c r="I22" s="119" t="str" cm="1">
        <f t="array" aca="1" ref="I22" ca="1">INDEX('Questions global'!$A:$YP,ROW(I21)-ROW($A$2)+4,COLUMN(I21)-COLUMN($A$2)+1+$B$1)</f>
        <v/>
      </c>
    </row>
    <row r="23" spans="1:9" ht="15" customHeight="1" x14ac:dyDescent="0.3">
      <c r="A23" s="118" cm="1">
        <f t="array" ref="A23">INDEX('Questions global'!$A:$YP,ROW(A22)-ROW($A$2)+4,COLUMN(A22)-COLUMN($A$2)+1+$B$1)</f>
        <v>22</v>
      </c>
      <c r="B23" s="106" t="str" cm="1">
        <f t="array" ref="B23">INDEX('Questions global'!$A:$YP,ROW(B22)-ROW($A$2)+4,COLUMN(B22)-COLUMN($A$2)+1+$B$1)</f>
        <v/>
      </c>
      <c r="C23" s="106" t="str" cm="1">
        <f t="array" ref="C23">INDEX('Questions global'!$A:$YP,ROW(C22)-ROW($A$2)+4,COLUMN(C22)-COLUMN($A$2)+1+$B$1)</f>
        <v/>
      </c>
      <c r="D23" s="126" t="str" cm="1">
        <f t="array" ref="D23">INDEX('Questions global'!$A:$YP,ROW(D22)-ROW($A$2)+4,COLUMN(D22)-COLUMN($A$2)+1+$B$1)</f>
        <v/>
      </c>
      <c r="E23" s="104" t="str" cm="1">
        <f t="array" aca="1" ref="E23" ca="1">INDEX('Questions global'!$A:$YP,ROW(E22)-ROW($A$2)+4,COLUMN(E22)-COLUMN($A$2)+1+$B$1)</f>
        <v xml:space="preserve">   </v>
      </c>
      <c r="F23" s="105" t="str" cm="1">
        <f t="array" ref="F23">INDEX('Questions global'!$A:$YP,ROW(F22)-ROW($A$2)+4,COLUMN(F22)-COLUMN($A$2)+1+$B$1)</f>
        <v xml:space="preserve"> </v>
      </c>
      <c r="G23" s="112" t="str" cm="1">
        <f t="array" ref="G23">INDEX('Questions global'!$A:$YP,ROW(G22)-ROW($A$2)+4,COLUMN(G22)-COLUMN($A$2)+1+$B$1)</f>
        <v/>
      </c>
      <c r="H23" s="104" t="str" cm="1">
        <f t="array" aca="1" ref="H23" ca="1">INDEX('Questions global'!$A:$YP,ROW(H22)-ROW($A$2)+4,COLUMN(H22)-COLUMN($A$2)+1+$B$1)</f>
        <v/>
      </c>
      <c r="I23" s="119" t="str" cm="1">
        <f t="array" aca="1" ref="I23" ca="1">INDEX('Questions global'!$A:$YP,ROW(I22)-ROW($A$2)+4,COLUMN(I22)-COLUMN($A$2)+1+$B$1)</f>
        <v/>
      </c>
    </row>
    <row r="24" spans="1:9" ht="15" customHeight="1" x14ac:dyDescent="0.3">
      <c r="A24" s="118" cm="1">
        <f t="array" ref="A24">INDEX('Questions global'!$A:$YP,ROW(A23)-ROW($A$2)+4,COLUMN(A23)-COLUMN($A$2)+1+$B$1)</f>
        <v>23</v>
      </c>
      <c r="B24" s="106" t="str" cm="1">
        <f t="array" ref="B24">INDEX('Questions global'!$A:$YP,ROW(B23)-ROW($A$2)+4,COLUMN(B23)-COLUMN($A$2)+1+$B$1)</f>
        <v/>
      </c>
      <c r="C24" s="106" t="str" cm="1">
        <f t="array" ref="C24">INDEX('Questions global'!$A:$YP,ROW(C23)-ROW($A$2)+4,COLUMN(C23)-COLUMN($A$2)+1+$B$1)</f>
        <v/>
      </c>
      <c r="D24" s="126" t="str" cm="1">
        <f t="array" ref="D24">INDEX('Questions global'!$A:$YP,ROW(D23)-ROW($A$2)+4,COLUMN(D23)-COLUMN($A$2)+1+$B$1)</f>
        <v/>
      </c>
      <c r="E24" s="104" t="str" cm="1">
        <f t="array" aca="1" ref="E24" ca="1">INDEX('Questions global'!$A:$YP,ROW(E23)-ROW($A$2)+4,COLUMN(E23)-COLUMN($A$2)+1+$B$1)</f>
        <v xml:space="preserve">   </v>
      </c>
      <c r="F24" s="105" t="str" cm="1">
        <f t="array" ref="F24">INDEX('Questions global'!$A:$YP,ROW(F23)-ROW($A$2)+4,COLUMN(F23)-COLUMN($A$2)+1+$B$1)</f>
        <v xml:space="preserve"> </v>
      </c>
      <c r="G24" s="112" t="str" cm="1">
        <f t="array" ref="G24">INDEX('Questions global'!$A:$YP,ROW(G23)-ROW($A$2)+4,COLUMN(G23)-COLUMN($A$2)+1+$B$1)</f>
        <v/>
      </c>
      <c r="H24" s="104" t="str" cm="1">
        <f t="array" aca="1" ref="H24" ca="1">INDEX('Questions global'!$A:$YP,ROW(H23)-ROW($A$2)+4,COLUMN(H23)-COLUMN($A$2)+1+$B$1)</f>
        <v/>
      </c>
      <c r="I24" s="119" t="str" cm="1">
        <f t="array" aca="1" ref="I24" ca="1">INDEX('Questions global'!$A:$YP,ROW(I23)-ROW($A$2)+4,COLUMN(I23)-COLUMN($A$2)+1+$B$1)</f>
        <v/>
      </c>
    </row>
    <row r="25" spans="1:9" ht="15" customHeight="1" x14ac:dyDescent="0.3">
      <c r="A25" s="118" cm="1">
        <f t="array" ref="A25">INDEX('Questions global'!$A:$YP,ROW(A24)-ROW($A$2)+4,COLUMN(A24)-COLUMN($A$2)+1+$B$1)</f>
        <v>24</v>
      </c>
      <c r="B25" s="106" t="str" cm="1">
        <f t="array" ref="B25">INDEX('Questions global'!$A:$YP,ROW(B24)-ROW($A$2)+4,COLUMN(B24)-COLUMN($A$2)+1+$B$1)</f>
        <v/>
      </c>
      <c r="C25" s="106" t="str" cm="1">
        <f t="array" ref="C25">INDEX('Questions global'!$A:$YP,ROW(C24)-ROW($A$2)+4,COLUMN(C24)-COLUMN($A$2)+1+$B$1)</f>
        <v/>
      </c>
      <c r="D25" s="126" t="str" cm="1">
        <f t="array" ref="D25">INDEX('Questions global'!$A:$YP,ROW(D24)-ROW($A$2)+4,COLUMN(D24)-COLUMN($A$2)+1+$B$1)</f>
        <v/>
      </c>
      <c r="E25" s="104" t="str" cm="1">
        <f t="array" aca="1" ref="E25" ca="1">INDEX('Questions global'!$A:$YP,ROW(E24)-ROW($A$2)+4,COLUMN(E24)-COLUMN($A$2)+1+$B$1)</f>
        <v xml:space="preserve">   </v>
      </c>
      <c r="F25" s="105" t="str" cm="1">
        <f t="array" ref="F25">INDEX('Questions global'!$A:$YP,ROW(F24)-ROW($A$2)+4,COLUMN(F24)-COLUMN($A$2)+1+$B$1)</f>
        <v xml:space="preserve"> </v>
      </c>
      <c r="G25" s="112" t="str" cm="1">
        <f t="array" ref="G25">INDEX('Questions global'!$A:$YP,ROW(G24)-ROW($A$2)+4,COLUMN(G24)-COLUMN($A$2)+1+$B$1)</f>
        <v/>
      </c>
      <c r="H25" s="104" t="str" cm="1">
        <f t="array" aca="1" ref="H25" ca="1">INDEX('Questions global'!$A:$YP,ROW(H24)-ROW($A$2)+4,COLUMN(H24)-COLUMN($A$2)+1+$B$1)</f>
        <v/>
      </c>
      <c r="I25" s="119" t="str" cm="1">
        <f t="array" aca="1" ref="I25" ca="1">INDEX('Questions global'!$A:$YP,ROW(I24)-ROW($A$2)+4,COLUMN(I24)-COLUMN($A$2)+1+$B$1)</f>
        <v/>
      </c>
    </row>
    <row r="26" spans="1:9" ht="15" customHeight="1" x14ac:dyDescent="0.3">
      <c r="A26" s="118" cm="1">
        <f t="array" ref="A26">INDEX('Questions global'!$A:$YP,ROW(A25)-ROW($A$2)+4,COLUMN(A25)-COLUMN($A$2)+1+$B$1)</f>
        <v>25</v>
      </c>
      <c r="B26" s="106" t="str" cm="1">
        <f t="array" ref="B26">INDEX('Questions global'!$A:$YP,ROW(B25)-ROW($A$2)+4,COLUMN(B25)-COLUMN($A$2)+1+$B$1)</f>
        <v/>
      </c>
      <c r="C26" s="106" t="str" cm="1">
        <f t="array" ref="C26">INDEX('Questions global'!$A:$YP,ROW(C25)-ROW($A$2)+4,COLUMN(C25)-COLUMN($A$2)+1+$B$1)</f>
        <v/>
      </c>
      <c r="D26" s="126" t="str" cm="1">
        <f t="array" ref="D26">INDEX('Questions global'!$A:$YP,ROW(D25)-ROW($A$2)+4,COLUMN(D25)-COLUMN($A$2)+1+$B$1)</f>
        <v/>
      </c>
      <c r="E26" s="104" t="str" cm="1">
        <f t="array" aca="1" ref="E26" ca="1">INDEX('Questions global'!$A:$YP,ROW(E25)-ROW($A$2)+4,COLUMN(E25)-COLUMN($A$2)+1+$B$1)</f>
        <v xml:space="preserve">   </v>
      </c>
      <c r="F26" s="105" t="str" cm="1">
        <f t="array" ref="F26">INDEX('Questions global'!$A:$YP,ROW(F25)-ROW($A$2)+4,COLUMN(F25)-COLUMN($A$2)+1+$B$1)</f>
        <v xml:space="preserve"> </v>
      </c>
      <c r="G26" s="112" t="str" cm="1">
        <f t="array" ref="G26">INDEX('Questions global'!$A:$YP,ROW(G25)-ROW($A$2)+4,COLUMN(G25)-COLUMN($A$2)+1+$B$1)</f>
        <v/>
      </c>
      <c r="H26" s="104" t="str" cm="1">
        <f t="array" aca="1" ref="H26" ca="1">INDEX('Questions global'!$A:$YP,ROW(H25)-ROW($A$2)+4,COLUMN(H25)-COLUMN($A$2)+1+$B$1)</f>
        <v/>
      </c>
      <c r="I26" s="119" t="str" cm="1">
        <f t="array" aca="1" ref="I26" ca="1">INDEX('Questions global'!$A:$YP,ROW(I25)-ROW($A$2)+4,COLUMN(I25)-COLUMN($A$2)+1+$B$1)</f>
        <v/>
      </c>
    </row>
    <row r="27" spans="1:9" ht="15" customHeight="1" x14ac:dyDescent="0.3">
      <c r="A27" s="118" cm="1">
        <f t="array" ref="A27">INDEX('Questions global'!$A:$YP,ROW(A26)-ROW($A$2)+4,COLUMN(A26)-COLUMN($A$2)+1+$B$1)</f>
        <v>26</v>
      </c>
      <c r="B27" s="106" t="str" cm="1">
        <f t="array" ref="B27">INDEX('Questions global'!$A:$YP,ROW(B26)-ROW($A$2)+4,COLUMN(B26)-COLUMN($A$2)+1+$B$1)</f>
        <v/>
      </c>
      <c r="C27" s="106" t="str" cm="1">
        <f t="array" ref="C27">INDEX('Questions global'!$A:$YP,ROW(C26)-ROW($A$2)+4,COLUMN(C26)-COLUMN($A$2)+1+$B$1)</f>
        <v/>
      </c>
      <c r="D27" s="126" t="str" cm="1">
        <f t="array" ref="D27">INDEX('Questions global'!$A:$YP,ROW(D26)-ROW($A$2)+4,COLUMN(D26)-COLUMN($A$2)+1+$B$1)</f>
        <v/>
      </c>
      <c r="E27" s="104" t="str" cm="1">
        <f t="array" aca="1" ref="E27" ca="1">INDEX('Questions global'!$A:$YP,ROW(E26)-ROW($A$2)+4,COLUMN(E26)-COLUMN($A$2)+1+$B$1)</f>
        <v xml:space="preserve">   </v>
      </c>
      <c r="F27" s="105" t="str" cm="1">
        <f t="array" ref="F27">INDEX('Questions global'!$A:$YP,ROW(F26)-ROW($A$2)+4,COLUMN(F26)-COLUMN($A$2)+1+$B$1)</f>
        <v xml:space="preserve"> </v>
      </c>
      <c r="G27" s="112" t="str" cm="1">
        <f t="array" ref="G27">INDEX('Questions global'!$A:$YP,ROW(G26)-ROW($A$2)+4,COLUMN(G26)-COLUMN($A$2)+1+$B$1)</f>
        <v/>
      </c>
      <c r="H27" s="104" t="str" cm="1">
        <f t="array" aca="1" ref="H27" ca="1">INDEX('Questions global'!$A:$YP,ROW(H26)-ROW($A$2)+4,COLUMN(H26)-COLUMN($A$2)+1+$B$1)</f>
        <v/>
      </c>
      <c r="I27" s="119" t="str" cm="1">
        <f t="array" aca="1" ref="I27" ca="1">INDEX('Questions global'!$A:$YP,ROW(I26)-ROW($A$2)+4,COLUMN(I26)-COLUMN($A$2)+1+$B$1)</f>
        <v/>
      </c>
    </row>
    <row r="28" spans="1:9" ht="15" customHeight="1" x14ac:dyDescent="0.3">
      <c r="A28" s="118" cm="1">
        <f t="array" ref="A28">INDEX('Questions global'!$A:$YP,ROW(A27)-ROW($A$2)+4,COLUMN(A27)-COLUMN($A$2)+1+$B$1)</f>
        <v>27</v>
      </c>
      <c r="B28" s="106" t="str" cm="1">
        <f t="array" ref="B28">INDEX('Questions global'!$A:$YP,ROW(B27)-ROW($A$2)+4,COLUMN(B27)-COLUMN($A$2)+1+$B$1)</f>
        <v/>
      </c>
      <c r="C28" s="106" t="str" cm="1">
        <f t="array" ref="C28">INDEX('Questions global'!$A:$YP,ROW(C27)-ROW($A$2)+4,COLUMN(C27)-COLUMN($A$2)+1+$B$1)</f>
        <v/>
      </c>
      <c r="D28" s="126" t="str" cm="1">
        <f t="array" ref="D28">INDEX('Questions global'!$A:$YP,ROW(D27)-ROW($A$2)+4,COLUMN(D27)-COLUMN($A$2)+1+$B$1)</f>
        <v/>
      </c>
      <c r="E28" s="104" t="str" cm="1">
        <f t="array" aca="1" ref="E28" ca="1">INDEX('Questions global'!$A:$YP,ROW(E27)-ROW($A$2)+4,COLUMN(E27)-COLUMN($A$2)+1+$B$1)</f>
        <v xml:space="preserve">   </v>
      </c>
      <c r="F28" s="105" t="str" cm="1">
        <f t="array" ref="F28">INDEX('Questions global'!$A:$YP,ROW(F27)-ROW($A$2)+4,COLUMN(F27)-COLUMN($A$2)+1+$B$1)</f>
        <v xml:space="preserve"> </v>
      </c>
      <c r="G28" s="112" t="str" cm="1">
        <f t="array" ref="G28">INDEX('Questions global'!$A:$YP,ROW(G27)-ROW($A$2)+4,COLUMN(G27)-COLUMN($A$2)+1+$B$1)</f>
        <v/>
      </c>
      <c r="H28" s="104" t="str" cm="1">
        <f t="array" aca="1" ref="H28" ca="1">INDEX('Questions global'!$A:$YP,ROW(H27)-ROW($A$2)+4,COLUMN(H27)-COLUMN($A$2)+1+$B$1)</f>
        <v/>
      </c>
      <c r="I28" s="119" t="str" cm="1">
        <f t="array" aca="1" ref="I28" ca="1">INDEX('Questions global'!$A:$YP,ROW(I27)-ROW($A$2)+4,COLUMN(I27)-COLUMN($A$2)+1+$B$1)</f>
        <v/>
      </c>
    </row>
    <row r="29" spans="1:9" ht="15" customHeight="1" x14ac:dyDescent="0.3">
      <c r="A29" s="118" cm="1">
        <f t="array" ref="A29">INDEX('Questions global'!$A:$YP,ROW(A28)-ROW($A$2)+4,COLUMN(A28)-COLUMN($A$2)+1+$B$1)</f>
        <v>28</v>
      </c>
      <c r="B29" s="106" t="str" cm="1">
        <f t="array" ref="B29">INDEX('Questions global'!$A:$YP,ROW(B28)-ROW($A$2)+4,COLUMN(B28)-COLUMN($A$2)+1+$B$1)</f>
        <v/>
      </c>
      <c r="C29" s="106" t="str" cm="1">
        <f t="array" ref="C29">INDEX('Questions global'!$A:$YP,ROW(C28)-ROW($A$2)+4,COLUMN(C28)-COLUMN($A$2)+1+$B$1)</f>
        <v/>
      </c>
      <c r="D29" s="126" t="str" cm="1">
        <f t="array" ref="D29">INDEX('Questions global'!$A:$YP,ROW(D28)-ROW($A$2)+4,COLUMN(D28)-COLUMN($A$2)+1+$B$1)</f>
        <v/>
      </c>
      <c r="E29" s="104" t="str" cm="1">
        <f t="array" aca="1" ref="E29" ca="1">INDEX('Questions global'!$A:$YP,ROW(E28)-ROW($A$2)+4,COLUMN(E28)-COLUMN($A$2)+1+$B$1)</f>
        <v xml:space="preserve">   </v>
      </c>
      <c r="F29" s="105" t="str" cm="1">
        <f t="array" ref="F29">INDEX('Questions global'!$A:$YP,ROW(F28)-ROW($A$2)+4,COLUMN(F28)-COLUMN($A$2)+1+$B$1)</f>
        <v xml:space="preserve"> </v>
      </c>
      <c r="G29" s="112" t="str" cm="1">
        <f t="array" ref="G29">INDEX('Questions global'!$A:$YP,ROW(G28)-ROW($A$2)+4,COLUMN(G28)-COLUMN($A$2)+1+$B$1)</f>
        <v/>
      </c>
      <c r="H29" s="104" t="str" cm="1">
        <f t="array" aca="1" ref="H29" ca="1">INDEX('Questions global'!$A:$YP,ROW(H28)-ROW($A$2)+4,COLUMN(H28)-COLUMN($A$2)+1+$B$1)</f>
        <v/>
      </c>
      <c r="I29" s="119" t="str" cm="1">
        <f t="array" aca="1" ref="I29" ca="1">INDEX('Questions global'!$A:$YP,ROW(I28)-ROW($A$2)+4,COLUMN(I28)-COLUMN($A$2)+1+$B$1)</f>
        <v/>
      </c>
    </row>
    <row r="30" spans="1:9" ht="15" customHeight="1" x14ac:dyDescent="0.3">
      <c r="A30" s="118" cm="1">
        <f t="array" ref="A30">INDEX('Questions global'!$A:$YP,ROW(A29)-ROW($A$2)+4,COLUMN(A29)-COLUMN($A$2)+1+$B$1)</f>
        <v>29</v>
      </c>
      <c r="B30" s="106" t="str" cm="1">
        <f t="array" ref="B30">INDEX('Questions global'!$A:$YP,ROW(B29)-ROW($A$2)+4,COLUMN(B29)-COLUMN($A$2)+1+$B$1)</f>
        <v/>
      </c>
      <c r="C30" s="106" t="str" cm="1">
        <f t="array" ref="C30">INDEX('Questions global'!$A:$YP,ROW(C29)-ROW($A$2)+4,COLUMN(C29)-COLUMN($A$2)+1+$B$1)</f>
        <v/>
      </c>
      <c r="D30" s="126" t="str" cm="1">
        <f t="array" ref="D30">INDEX('Questions global'!$A:$YP,ROW(D29)-ROW($A$2)+4,COLUMN(D29)-COLUMN($A$2)+1+$B$1)</f>
        <v/>
      </c>
      <c r="E30" s="104" t="str" cm="1">
        <f t="array" aca="1" ref="E30" ca="1">INDEX('Questions global'!$A:$YP,ROW(E29)-ROW($A$2)+4,COLUMN(E29)-COLUMN($A$2)+1+$B$1)</f>
        <v xml:space="preserve">   </v>
      </c>
      <c r="F30" s="105" t="str" cm="1">
        <f t="array" ref="F30">INDEX('Questions global'!$A:$YP,ROW(F29)-ROW($A$2)+4,COLUMN(F29)-COLUMN($A$2)+1+$B$1)</f>
        <v xml:space="preserve"> </v>
      </c>
      <c r="G30" s="112" t="str" cm="1">
        <f t="array" ref="G30">INDEX('Questions global'!$A:$YP,ROW(G29)-ROW($A$2)+4,COLUMN(G29)-COLUMN($A$2)+1+$B$1)</f>
        <v/>
      </c>
      <c r="H30" s="104" t="str" cm="1">
        <f t="array" aca="1" ref="H30" ca="1">INDEX('Questions global'!$A:$YP,ROW(H29)-ROW($A$2)+4,COLUMN(H29)-COLUMN($A$2)+1+$B$1)</f>
        <v/>
      </c>
      <c r="I30" s="119" t="str" cm="1">
        <f t="array" aca="1" ref="I30" ca="1">INDEX('Questions global'!$A:$YP,ROW(I29)-ROW($A$2)+4,COLUMN(I29)-COLUMN($A$2)+1+$B$1)</f>
        <v/>
      </c>
    </row>
    <row r="31" spans="1:9" ht="15" customHeight="1" x14ac:dyDescent="0.3">
      <c r="A31" s="118" cm="1">
        <f t="array" ref="A31">INDEX('Questions global'!$A:$YP,ROW(A30)-ROW($A$2)+4,COLUMN(A30)-COLUMN($A$2)+1+$B$1)</f>
        <v>30</v>
      </c>
      <c r="B31" s="106" t="str" cm="1">
        <f t="array" ref="B31">INDEX('Questions global'!$A:$YP,ROW(B30)-ROW($A$2)+4,COLUMN(B30)-COLUMN($A$2)+1+$B$1)</f>
        <v/>
      </c>
      <c r="C31" s="106" t="str" cm="1">
        <f t="array" ref="C31">INDEX('Questions global'!$A:$YP,ROW(C30)-ROW($A$2)+4,COLUMN(C30)-COLUMN($A$2)+1+$B$1)</f>
        <v/>
      </c>
      <c r="D31" s="126" t="str" cm="1">
        <f t="array" ref="D31">INDEX('Questions global'!$A:$YP,ROW(D30)-ROW($A$2)+4,COLUMN(D30)-COLUMN($A$2)+1+$B$1)</f>
        <v/>
      </c>
      <c r="E31" s="104" t="str" cm="1">
        <f t="array" aca="1" ref="E31" ca="1">INDEX('Questions global'!$A:$YP,ROW(E30)-ROW($A$2)+4,COLUMN(E30)-COLUMN($A$2)+1+$B$1)</f>
        <v xml:space="preserve">   </v>
      </c>
      <c r="F31" s="105" t="str" cm="1">
        <f t="array" ref="F31">INDEX('Questions global'!$A:$YP,ROW(F30)-ROW($A$2)+4,COLUMN(F30)-COLUMN($A$2)+1+$B$1)</f>
        <v xml:space="preserve"> </v>
      </c>
      <c r="G31" s="112" t="str" cm="1">
        <f t="array" ref="G31">INDEX('Questions global'!$A:$YP,ROW(G30)-ROW($A$2)+4,COLUMN(G30)-COLUMN($A$2)+1+$B$1)</f>
        <v/>
      </c>
      <c r="H31" s="104" t="str" cm="1">
        <f t="array" aca="1" ref="H31" ca="1">INDEX('Questions global'!$A:$YP,ROW(H30)-ROW($A$2)+4,COLUMN(H30)-COLUMN($A$2)+1+$B$1)</f>
        <v/>
      </c>
      <c r="I31" s="119" t="str" cm="1">
        <f t="array" aca="1" ref="I31" ca="1">INDEX('Questions global'!$A:$YP,ROW(I30)-ROW($A$2)+4,COLUMN(I30)-COLUMN($A$2)+1+$B$1)</f>
        <v/>
      </c>
    </row>
    <row r="32" spans="1:9" ht="15" customHeight="1" x14ac:dyDescent="0.3">
      <c r="A32" s="118" cm="1">
        <f t="array" ref="A32">INDEX('Questions global'!$A:$YP,ROW(A31)-ROW($A$2)+4,COLUMN(A31)-COLUMN($A$2)+1+$B$1)</f>
        <v>31</v>
      </c>
      <c r="B32" s="106" t="str" cm="1">
        <f t="array" ref="B32">INDEX('Questions global'!$A:$YP,ROW(B31)-ROW($A$2)+4,COLUMN(B31)-COLUMN($A$2)+1+$B$1)</f>
        <v/>
      </c>
      <c r="C32" s="106" t="str" cm="1">
        <f t="array" ref="C32">INDEX('Questions global'!$A:$YP,ROW(C31)-ROW($A$2)+4,COLUMN(C31)-COLUMN($A$2)+1+$B$1)</f>
        <v/>
      </c>
      <c r="D32" s="126" t="str" cm="1">
        <f t="array" ref="D32">INDEX('Questions global'!$A:$YP,ROW(D31)-ROW($A$2)+4,COLUMN(D31)-COLUMN($A$2)+1+$B$1)</f>
        <v/>
      </c>
      <c r="E32" s="104" t="str" cm="1">
        <f t="array" aca="1" ref="E32" ca="1">INDEX('Questions global'!$A:$YP,ROW(E31)-ROW($A$2)+4,COLUMN(E31)-COLUMN($A$2)+1+$B$1)</f>
        <v xml:space="preserve">   </v>
      </c>
      <c r="F32" s="105" t="str" cm="1">
        <f t="array" ref="F32">INDEX('Questions global'!$A:$YP,ROW(F31)-ROW($A$2)+4,COLUMN(F31)-COLUMN($A$2)+1+$B$1)</f>
        <v xml:space="preserve"> </v>
      </c>
      <c r="G32" s="112" t="str" cm="1">
        <f t="array" ref="G32">INDEX('Questions global'!$A:$YP,ROW(G31)-ROW($A$2)+4,COLUMN(G31)-COLUMN($A$2)+1+$B$1)</f>
        <v/>
      </c>
      <c r="H32" s="104" t="str" cm="1">
        <f t="array" aca="1" ref="H32" ca="1">INDEX('Questions global'!$A:$YP,ROW(H31)-ROW($A$2)+4,COLUMN(H31)-COLUMN($A$2)+1+$B$1)</f>
        <v/>
      </c>
      <c r="I32" s="119" t="str" cm="1">
        <f t="array" aca="1" ref="I32" ca="1">INDEX('Questions global'!$A:$YP,ROW(I31)-ROW($A$2)+4,COLUMN(I31)-COLUMN($A$2)+1+$B$1)</f>
        <v/>
      </c>
    </row>
    <row r="33" spans="1:9" ht="15" customHeight="1" x14ac:dyDescent="0.3">
      <c r="A33" s="118" cm="1">
        <f t="array" ref="A33">INDEX('Questions global'!$A:$YP,ROW(A32)-ROW($A$2)+4,COLUMN(A32)-COLUMN($A$2)+1+$B$1)</f>
        <v>32</v>
      </c>
      <c r="B33" s="106" t="str" cm="1">
        <f t="array" ref="B33">INDEX('Questions global'!$A:$YP,ROW(B32)-ROW($A$2)+4,COLUMN(B32)-COLUMN($A$2)+1+$B$1)</f>
        <v/>
      </c>
      <c r="C33" s="106" t="str" cm="1">
        <f t="array" ref="C33">INDEX('Questions global'!$A:$YP,ROW(C32)-ROW($A$2)+4,COLUMN(C32)-COLUMN($A$2)+1+$B$1)</f>
        <v/>
      </c>
      <c r="D33" s="126" t="str" cm="1">
        <f t="array" ref="D33">INDEX('Questions global'!$A:$YP,ROW(D32)-ROW($A$2)+4,COLUMN(D32)-COLUMN($A$2)+1+$B$1)</f>
        <v/>
      </c>
      <c r="E33" s="104" t="str" cm="1">
        <f t="array" aca="1" ref="E33" ca="1">INDEX('Questions global'!$A:$YP,ROW(E32)-ROW($A$2)+4,COLUMN(E32)-COLUMN($A$2)+1+$B$1)</f>
        <v xml:space="preserve">   </v>
      </c>
      <c r="F33" s="105" t="str" cm="1">
        <f t="array" ref="F33">INDEX('Questions global'!$A:$YP,ROW(F32)-ROW($A$2)+4,COLUMN(F32)-COLUMN($A$2)+1+$B$1)</f>
        <v xml:space="preserve"> </v>
      </c>
      <c r="G33" s="112" t="str" cm="1">
        <f t="array" ref="G33">INDEX('Questions global'!$A:$YP,ROW(G32)-ROW($A$2)+4,COLUMN(G32)-COLUMN($A$2)+1+$B$1)</f>
        <v/>
      </c>
      <c r="H33" s="104" t="str" cm="1">
        <f t="array" aca="1" ref="H33" ca="1">INDEX('Questions global'!$A:$YP,ROW(H32)-ROW($A$2)+4,COLUMN(H32)-COLUMN($A$2)+1+$B$1)</f>
        <v/>
      </c>
      <c r="I33" s="119" t="str" cm="1">
        <f t="array" aca="1" ref="I33" ca="1">INDEX('Questions global'!$A:$YP,ROW(I32)-ROW($A$2)+4,COLUMN(I32)-COLUMN($A$2)+1+$B$1)</f>
        <v/>
      </c>
    </row>
    <row r="34" spans="1:9" ht="15" customHeight="1" x14ac:dyDescent="0.3">
      <c r="A34" s="118" cm="1">
        <f t="array" ref="A34">INDEX('Questions global'!$A:$YP,ROW(A33)-ROW($A$2)+4,COLUMN(A33)-COLUMN($A$2)+1+$B$1)</f>
        <v>33</v>
      </c>
      <c r="B34" s="106" t="str" cm="1">
        <f t="array" ref="B34">INDEX('Questions global'!$A:$YP,ROW(B33)-ROW($A$2)+4,COLUMN(B33)-COLUMN($A$2)+1+$B$1)</f>
        <v/>
      </c>
      <c r="C34" s="106" t="str" cm="1">
        <f t="array" ref="C34">INDEX('Questions global'!$A:$YP,ROW(C33)-ROW($A$2)+4,COLUMN(C33)-COLUMN($A$2)+1+$B$1)</f>
        <v/>
      </c>
      <c r="D34" s="126" t="str" cm="1">
        <f t="array" ref="D34">INDEX('Questions global'!$A:$YP,ROW(D33)-ROW($A$2)+4,COLUMN(D33)-COLUMN($A$2)+1+$B$1)</f>
        <v/>
      </c>
      <c r="E34" s="104" t="str" cm="1">
        <f t="array" aca="1" ref="E34" ca="1">INDEX('Questions global'!$A:$YP,ROW(E33)-ROW($A$2)+4,COLUMN(E33)-COLUMN($A$2)+1+$B$1)</f>
        <v xml:space="preserve">   </v>
      </c>
      <c r="F34" s="105" t="str" cm="1">
        <f t="array" ref="F34">INDEX('Questions global'!$A:$YP,ROW(F33)-ROW($A$2)+4,COLUMN(F33)-COLUMN($A$2)+1+$B$1)</f>
        <v xml:space="preserve"> </v>
      </c>
      <c r="G34" s="112" t="str" cm="1">
        <f t="array" ref="G34">INDEX('Questions global'!$A:$YP,ROW(G33)-ROW($A$2)+4,COLUMN(G33)-COLUMN($A$2)+1+$B$1)</f>
        <v/>
      </c>
      <c r="H34" s="104" t="str" cm="1">
        <f t="array" aca="1" ref="H34" ca="1">INDEX('Questions global'!$A:$YP,ROW(H33)-ROW($A$2)+4,COLUMN(H33)-COLUMN($A$2)+1+$B$1)</f>
        <v/>
      </c>
      <c r="I34" s="119" t="str" cm="1">
        <f t="array" aca="1" ref="I34" ca="1">INDEX('Questions global'!$A:$YP,ROW(I33)-ROW($A$2)+4,COLUMN(I33)-COLUMN($A$2)+1+$B$1)</f>
        <v/>
      </c>
    </row>
    <row r="35" spans="1:9" ht="15" customHeight="1" x14ac:dyDescent="0.3">
      <c r="A35" s="118" cm="1">
        <f t="array" ref="A35">INDEX('Questions global'!$A:$YP,ROW(A34)-ROW($A$2)+4,COLUMN(A34)-COLUMN($A$2)+1+$B$1)</f>
        <v>34</v>
      </c>
      <c r="B35" s="106" t="str" cm="1">
        <f t="array" ref="B35">INDEX('Questions global'!$A:$YP,ROW(B34)-ROW($A$2)+4,COLUMN(B34)-COLUMN($A$2)+1+$B$1)</f>
        <v/>
      </c>
      <c r="C35" s="106" t="str" cm="1">
        <f t="array" ref="C35">INDEX('Questions global'!$A:$YP,ROW(C34)-ROW($A$2)+4,COLUMN(C34)-COLUMN($A$2)+1+$B$1)</f>
        <v/>
      </c>
      <c r="D35" s="126" t="str" cm="1">
        <f t="array" ref="D35">INDEX('Questions global'!$A:$YP,ROW(D34)-ROW($A$2)+4,COLUMN(D34)-COLUMN($A$2)+1+$B$1)</f>
        <v/>
      </c>
      <c r="E35" s="104" t="str" cm="1">
        <f t="array" aca="1" ref="E35" ca="1">INDEX('Questions global'!$A:$YP,ROW(E34)-ROW($A$2)+4,COLUMN(E34)-COLUMN($A$2)+1+$B$1)</f>
        <v xml:space="preserve">   </v>
      </c>
      <c r="F35" s="105" t="str" cm="1">
        <f t="array" ref="F35">INDEX('Questions global'!$A:$YP,ROW(F34)-ROW($A$2)+4,COLUMN(F34)-COLUMN($A$2)+1+$B$1)</f>
        <v xml:space="preserve"> </v>
      </c>
      <c r="G35" s="112" t="str" cm="1">
        <f t="array" ref="G35">INDEX('Questions global'!$A:$YP,ROW(G34)-ROW($A$2)+4,COLUMN(G34)-COLUMN($A$2)+1+$B$1)</f>
        <v/>
      </c>
      <c r="H35" s="104" t="str" cm="1">
        <f t="array" aca="1" ref="H35" ca="1">INDEX('Questions global'!$A:$YP,ROW(H34)-ROW($A$2)+4,COLUMN(H34)-COLUMN($A$2)+1+$B$1)</f>
        <v/>
      </c>
      <c r="I35" s="119" t="str" cm="1">
        <f t="array" aca="1" ref="I35" ca="1">INDEX('Questions global'!$A:$YP,ROW(I34)-ROW($A$2)+4,COLUMN(I34)-COLUMN($A$2)+1+$B$1)</f>
        <v/>
      </c>
    </row>
    <row r="36" spans="1:9" ht="15" customHeight="1" x14ac:dyDescent="0.3">
      <c r="A36" s="118" cm="1">
        <f t="array" ref="A36">INDEX('Questions global'!$A:$YP,ROW(A35)-ROW($A$2)+4,COLUMN(A35)-COLUMN($A$2)+1+$B$1)</f>
        <v>35</v>
      </c>
      <c r="B36" s="106" t="str" cm="1">
        <f t="array" ref="B36">INDEX('Questions global'!$A:$YP,ROW(B35)-ROW($A$2)+4,COLUMN(B35)-COLUMN($A$2)+1+$B$1)</f>
        <v/>
      </c>
      <c r="C36" s="106" t="str" cm="1">
        <f t="array" ref="C36">INDEX('Questions global'!$A:$YP,ROW(C35)-ROW($A$2)+4,COLUMN(C35)-COLUMN($A$2)+1+$B$1)</f>
        <v/>
      </c>
      <c r="D36" s="126" t="str" cm="1">
        <f t="array" ref="D36">INDEX('Questions global'!$A:$YP,ROW(D35)-ROW($A$2)+4,COLUMN(D35)-COLUMN($A$2)+1+$B$1)</f>
        <v/>
      </c>
      <c r="E36" s="104" t="str" cm="1">
        <f t="array" aca="1" ref="E36" ca="1">INDEX('Questions global'!$A:$YP,ROW(E35)-ROW($A$2)+4,COLUMN(E35)-COLUMN($A$2)+1+$B$1)</f>
        <v xml:space="preserve">   </v>
      </c>
      <c r="F36" s="105" t="str" cm="1">
        <f t="array" ref="F36">INDEX('Questions global'!$A:$YP,ROW(F35)-ROW($A$2)+4,COLUMN(F35)-COLUMN($A$2)+1+$B$1)</f>
        <v xml:space="preserve"> </v>
      </c>
      <c r="G36" s="112" t="str" cm="1">
        <f t="array" ref="G36">INDEX('Questions global'!$A:$YP,ROW(G35)-ROW($A$2)+4,COLUMN(G35)-COLUMN($A$2)+1+$B$1)</f>
        <v/>
      </c>
      <c r="H36" s="104" t="str" cm="1">
        <f t="array" aca="1" ref="H36" ca="1">INDEX('Questions global'!$A:$YP,ROW(H35)-ROW($A$2)+4,COLUMN(H35)-COLUMN($A$2)+1+$B$1)</f>
        <v/>
      </c>
      <c r="I36" s="119" t="str" cm="1">
        <f t="array" aca="1" ref="I36" ca="1">INDEX('Questions global'!$A:$YP,ROW(I35)-ROW($A$2)+4,COLUMN(I35)-COLUMN($A$2)+1+$B$1)</f>
        <v/>
      </c>
    </row>
    <row r="37" spans="1:9" ht="16.5" customHeight="1" x14ac:dyDescent="0.3">
      <c r="A37" s="118" cm="1">
        <f t="array" ref="A37">INDEX('Questions global'!$A:$YP,ROW(A36)-ROW($A$2)+4,COLUMN(A36)-COLUMN($A$2)+1+$B$1)</f>
        <v>36</v>
      </c>
      <c r="B37" s="106" t="str" cm="1">
        <f t="array" ref="B37">INDEX('Questions global'!$A:$YP,ROW(B36)-ROW($A$2)+4,COLUMN(B36)-COLUMN($A$2)+1+$B$1)</f>
        <v/>
      </c>
      <c r="C37" s="106" t="str" cm="1">
        <f t="array" ref="C37">INDEX('Questions global'!$A:$YP,ROW(C36)-ROW($A$2)+4,COLUMN(C36)-COLUMN($A$2)+1+$B$1)</f>
        <v/>
      </c>
      <c r="D37" s="126" t="str" cm="1">
        <f t="array" ref="D37">INDEX('Questions global'!$A:$YP,ROW(D36)-ROW($A$2)+4,COLUMN(D36)-COLUMN($A$2)+1+$B$1)</f>
        <v/>
      </c>
      <c r="E37" s="104" t="str" cm="1">
        <f t="array" aca="1" ref="E37" ca="1">INDEX('Questions global'!$A:$YP,ROW(E36)-ROW($A$2)+4,COLUMN(E36)-COLUMN($A$2)+1+$B$1)</f>
        <v xml:space="preserve">   </v>
      </c>
      <c r="F37" s="105" t="str" cm="1">
        <f t="array" ref="F37">INDEX('Questions global'!$A:$YP,ROW(F36)-ROW($A$2)+4,COLUMN(F36)-COLUMN($A$2)+1+$B$1)</f>
        <v xml:space="preserve"> </v>
      </c>
      <c r="G37" s="112" t="str" cm="1">
        <f t="array" ref="G37">INDEX('Questions global'!$A:$YP,ROW(G36)-ROW($A$2)+4,COLUMN(G36)-COLUMN($A$2)+1+$B$1)</f>
        <v/>
      </c>
      <c r="H37" s="104" t="str" cm="1">
        <f t="array" aca="1" ref="H37" ca="1">INDEX('Questions global'!$A:$YP,ROW(H36)-ROW($A$2)+4,COLUMN(H36)-COLUMN($A$2)+1+$B$1)</f>
        <v/>
      </c>
      <c r="I37" s="119" t="str" cm="1">
        <f t="array" aca="1" ref="I37" ca="1">INDEX('Questions global'!$A:$YP,ROW(I36)-ROW($A$2)+4,COLUMN(I36)-COLUMN($A$2)+1+$B$1)</f>
        <v/>
      </c>
    </row>
    <row r="38" spans="1:9" ht="16.5" customHeight="1" x14ac:dyDescent="0.3">
      <c r="A38" s="118" cm="1">
        <f t="array" ref="A38">INDEX('Questions global'!$A:$YP,ROW(A37)-ROW($A$2)+4,COLUMN(A37)-COLUMN($A$2)+1+$B$1)</f>
        <v>37</v>
      </c>
      <c r="B38" s="106" t="str" cm="1">
        <f t="array" ref="B38">INDEX('Questions global'!$A:$YP,ROW(B37)-ROW($A$2)+4,COLUMN(B37)-COLUMN($A$2)+1+$B$1)</f>
        <v/>
      </c>
      <c r="C38" s="106" t="str" cm="1">
        <f t="array" ref="C38">INDEX('Questions global'!$A:$YP,ROW(C37)-ROW($A$2)+4,COLUMN(C37)-COLUMN($A$2)+1+$B$1)</f>
        <v/>
      </c>
      <c r="D38" s="126" t="str" cm="1">
        <f t="array" ref="D38">INDEX('Questions global'!$A:$YP,ROW(D37)-ROW($A$2)+4,COLUMN(D37)-COLUMN($A$2)+1+$B$1)</f>
        <v/>
      </c>
      <c r="E38" s="104" t="str" cm="1">
        <f t="array" aca="1" ref="E38" ca="1">INDEX('Questions global'!$A:$YP,ROW(E37)-ROW($A$2)+4,COLUMN(E37)-COLUMN($A$2)+1+$B$1)</f>
        <v xml:space="preserve">   </v>
      </c>
      <c r="F38" s="105" t="str" cm="1">
        <f t="array" ref="F38">INDEX('Questions global'!$A:$YP,ROW(F37)-ROW($A$2)+4,COLUMN(F37)-COLUMN($A$2)+1+$B$1)</f>
        <v xml:space="preserve"> </v>
      </c>
      <c r="G38" s="112" t="str" cm="1">
        <f t="array" ref="G38">INDEX('Questions global'!$A:$YP,ROW(G37)-ROW($A$2)+4,COLUMN(G37)-COLUMN($A$2)+1+$B$1)</f>
        <v/>
      </c>
      <c r="H38" s="104" t="str" cm="1">
        <f t="array" aca="1" ref="H38" ca="1">INDEX('Questions global'!$A:$YP,ROW(H37)-ROW($A$2)+4,COLUMN(H37)-COLUMN($A$2)+1+$B$1)</f>
        <v/>
      </c>
      <c r="I38" s="119" t="str" cm="1">
        <f t="array" aca="1" ref="I38" ca="1">INDEX('Questions global'!$A:$YP,ROW(I37)-ROW($A$2)+4,COLUMN(I37)-COLUMN($A$2)+1+$B$1)</f>
        <v/>
      </c>
    </row>
    <row r="39" spans="1:9" ht="16.5" customHeight="1" x14ac:dyDescent="0.3">
      <c r="A39" s="118" cm="1">
        <f t="array" ref="A39">INDEX('Questions global'!$A:$YP,ROW(A38)-ROW($A$2)+4,COLUMN(A38)-COLUMN($A$2)+1+$B$1)</f>
        <v>38</v>
      </c>
      <c r="B39" s="106" t="str" cm="1">
        <f t="array" ref="B39">INDEX('Questions global'!$A:$YP,ROW(B38)-ROW($A$2)+4,COLUMN(B38)-COLUMN($A$2)+1+$B$1)</f>
        <v/>
      </c>
      <c r="C39" s="106" t="str" cm="1">
        <f t="array" ref="C39">INDEX('Questions global'!$A:$YP,ROW(C38)-ROW($A$2)+4,COLUMN(C38)-COLUMN($A$2)+1+$B$1)</f>
        <v/>
      </c>
      <c r="D39" s="126" t="str" cm="1">
        <f t="array" ref="D39">INDEX('Questions global'!$A:$YP,ROW(D38)-ROW($A$2)+4,COLUMN(D38)-COLUMN($A$2)+1+$B$1)</f>
        <v/>
      </c>
      <c r="E39" s="104" t="str" cm="1">
        <f t="array" aca="1" ref="E39" ca="1">INDEX('Questions global'!$A:$YP,ROW(E38)-ROW($A$2)+4,COLUMN(E38)-COLUMN($A$2)+1+$B$1)</f>
        <v xml:space="preserve">   </v>
      </c>
      <c r="F39" s="105" t="str" cm="1">
        <f t="array" ref="F39">INDEX('Questions global'!$A:$YP,ROW(F38)-ROW($A$2)+4,COLUMN(F38)-COLUMN($A$2)+1+$B$1)</f>
        <v xml:space="preserve"> </v>
      </c>
      <c r="G39" s="112" t="str" cm="1">
        <f t="array" ref="G39">INDEX('Questions global'!$A:$YP,ROW(G38)-ROW($A$2)+4,COLUMN(G38)-COLUMN($A$2)+1+$B$1)</f>
        <v/>
      </c>
      <c r="H39" s="104" t="str" cm="1">
        <f t="array" aca="1" ref="H39" ca="1">INDEX('Questions global'!$A:$YP,ROW(H38)-ROW($A$2)+4,COLUMN(H38)-COLUMN($A$2)+1+$B$1)</f>
        <v/>
      </c>
      <c r="I39" s="119" t="str" cm="1">
        <f t="array" aca="1" ref="I39" ca="1">INDEX('Questions global'!$A:$YP,ROW(I38)-ROW($A$2)+4,COLUMN(I38)-COLUMN($A$2)+1+$B$1)</f>
        <v/>
      </c>
    </row>
    <row r="40" spans="1:9" ht="16.5" customHeight="1" x14ac:dyDescent="0.3">
      <c r="A40" s="118" cm="1">
        <f t="array" ref="A40">INDEX('Questions global'!$A:$YP,ROW(A39)-ROW($A$2)+4,COLUMN(A39)-COLUMN($A$2)+1+$B$1)</f>
        <v>39</v>
      </c>
      <c r="B40" s="106" t="str" cm="1">
        <f t="array" ref="B40">INDEX('Questions global'!$A:$YP,ROW(B39)-ROW($A$2)+4,COLUMN(B39)-COLUMN($A$2)+1+$B$1)</f>
        <v/>
      </c>
      <c r="C40" s="106" t="str" cm="1">
        <f t="array" ref="C40">INDEX('Questions global'!$A:$YP,ROW(C39)-ROW($A$2)+4,COLUMN(C39)-COLUMN($A$2)+1+$B$1)</f>
        <v/>
      </c>
      <c r="D40" s="126" t="str" cm="1">
        <f t="array" ref="D40">INDEX('Questions global'!$A:$YP,ROW(D39)-ROW($A$2)+4,COLUMN(D39)-COLUMN($A$2)+1+$B$1)</f>
        <v/>
      </c>
      <c r="E40" s="104" t="str" cm="1">
        <f t="array" aca="1" ref="E40" ca="1">INDEX('Questions global'!$A:$YP,ROW(E39)-ROW($A$2)+4,COLUMN(E39)-COLUMN($A$2)+1+$B$1)</f>
        <v xml:space="preserve">   </v>
      </c>
      <c r="F40" s="105" t="str" cm="1">
        <f t="array" ref="F40">INDEX('Questions global'!$A:$YP,ROW(F39)-ROW($A$2)+4,COLUMN(F39)-COLUMN($A$2)+1+$B$1)</f>
        <v xml:space="preserve"> </v>
      </c>
      <c r="G40" s="112" t="str" cm="1">
        <f t="array" ref="G40">INDEX('Questions global'!$A:$YP,ROW(G39)-ROW($A$2)+4,COLUMN(G39)-COLUMN($A$2)+1+$B$1)</f>
        <v/>
      </c>
      <c r="H40" s="104" t="str" cm="1">
        <f t="array" aca="1" ref="H40" ca="1">INDEX('Questions global'!$A:$YP,ROW(H39)-ROW($A$2)+4,COLUMN(H39)-COLUMN($A$2)+1+$B$1)</f>
        <v/>
      </c>
      <c r="I40" s="119" t="str" cm="1">
        <f t="array" aca="1" ref="I40" ca="1">INDEX('Questions global'!$A:$YP,ROW(I39)-ROW($A$2)+4,COLUMN(I39)-COLUMN($A$2)+1+$B$1)</f>
        <v/>
      </c>
    </row>
    <row r="41" spans="1:9" ht="16.5" customHeight="1" x14ac:dyDescent="0.3">
      <c r="A41" s="118" cm="1">
        <f t="array" ref="A41">INDEX('Questions global'!$A:$YP,ROW(A40)-ROW($A$2)+4,COLUMN(A40)-COLUMN($A$2)+1+$B$1)</f>
        <v>40</v>
      </c>
      <c r="B41" s="106" t="str" cm="1">
        <f t="array" ref="B41">INDEX('Questions global'!$A:$YP,ROW(B40)-ROW($A$2)+4,COLUMN(B40)-COLUMN($A$2)+1+$B$1)</f>
        <v/>
      </c>
      <c r="C41" s="106" t="str" cm="1">
        <f t="array" ref="C41">INDEX('Questions global'!$A:$YP,ROW(C40)-ROW($A$2)+4,COLUMN(C40)-COLUMN($A$2)+1+$B$1)</f>
        <v/>
      </c>
      <c r="D41" s="126" t="str" cm="1">
        <f t="array" ref="D41">INDEX('Questions global'!$A:$YP,ROW(D40)-ROW($A$2)+4,COLUMN(D40)-COLUMN($A$2)+1+$B$1)</f>
        <v/>
      </c>
      <c r="E41" s="104" t="str" cm="1">
        <f t="array" aca="1" ref="E41" ca="1">INDEX('Questions global'!$A:$YP,ROW(E40)-ROW($A$2)+4,COLUMN(E40)-COLUMN($A$2)+1+$B$1)</f>
        <v xml:space="preserve">   </v>
      </c>
      <c r="F41" s="105" t="str" cm="1">
        <f t="array" ref="F41">INDEX('Questions global'!$A:$YP,ROW(F40)-ROW($A$2)+4,COLUMN(F40)-COLUMN($A$2)+1+$B$1)</f>
        <v xml:space="preserve"> </v>
      </c>
      <c r="G41" s="112" t="str" cm="1">
        <f t="array" ref="G41">INDEX('Questions global'!$A:$YP,ROW(G40)-ROW($A$2)+4,COLUMN(G40)-COLUMN($A$2)+1+$B$1)</f>
        <v/>
      </c>
      <c r="H41" s="104" t="str" cm="1">
        <f t="array" aca="1" ref="H41" ca="1">INDEX('Questions global'!$A:$YP,ROW(H40)-ROW($A$2)+4,COLUMN(H40)-COLUMN($A$2)+1+$B$1)</f>
        <v/>
      </c>
      <c r="I41" s="119" t="str" cm="1">
        <f t="array" aca="1" ref="I41" ca="1">INDEX('Questions global'!$A:$YP,ROW(I40)-ROW($A$2)+4,COLUMN(I40)-COLUMN($A$2)+1+$B$1)</f>
        <v/>
      </c>
    </row>
    <row r="42" spans="1:9" ht="16.5" customHeight="1" x14ac:dyDescent="0.3">
      <c r="A42" s="118" cm="1">
        <f t="array" ref="A42">INDEX('Questions global'!$A:$YP,ROW(A41)-ROW($A$2)+4,COLUMN(A41)-COLUMN($A$2)+1+$B$1)</f>
        <v>41</v>
      </c>
      <c r="B42" s="106" t="str" cm="1">
        <f t="array" ref="B42">INDEX('Questions global'!$A:$YP,ROW(B41)-ROW($A$2)+4,COLUMN(B41)-COLUMN($A$2)+1+$B$1)</f>
        <v/>
      </c>
      <c r="C42" s="106" t="str" cm="1">
        <f t="array" ref="C42">INDEX('Questions global'!$A:$YP,ROW(C41)-ROW($A$2)+4,COLUMN(C41)-COLUMN($A$2)+1+$B$1)</f>
        <v/>
      </c>
      <c r="D42" s="126" t="str" cm="1">
        <f t="array" ref="D42">INDEX('Questions global'!$A:$YP,ROW(D41)-ROW($A$2)+4,COLUMN(D41)-COLUMN($A$2)+1+$B$1)</f>
        <v/>
      </c>
      <c r="E42" s="104" t="str" cm="1">
        <f t="array" aca="1" ref="E42" ca="1">INDEX('Questions global'!$A:$YP,ROW(E41)-ROW($A$2)+4,COLUMN(E41)-COLUMN($A$2)+1+$B$1)</f>
        <v xml:space="preserve">   </v>
      </c>
      <c r="F42" s="105" t="str" cm="1">
        <f t="array" ref="F42">INDEX('Questions global'!$A:$YP,ROW(F41)-ROW($A$2)+4,COLUMN(F41)-COLUMN($A$2)+1+$B$1)</f>
        <v xml:space="preserve"> </v>
      </c>
      <c r="G42" s="112" t="str" cm="1">
        <f t="array" ref="G42">INDEX('Questions global'!$A:$YP,ROW(G41)-ROW($A$2)+4,COLUMN(G41)-COLUMN($A$2)+1+$B$1)</f>
        <v/>
      </c>
      <c r="H42" s="104" t="str" cm="1">
        <f t="array" aca="1" ref="H42" ca="1">INDEX('Questions global'!$A:$YP,ROW(H41)-ROW($A$2)+4,COLUMN(H41)-COLUMN($A$2)+1+$B$1)</f>
        <v/>
      </c>
      <c r="I42" s="119" t="str" cm="1">
        <f t="array" aca="1" ref="I42" ca="1">INDEX('Questions global'!$A:$YP,ROW(I41)-ROW($A$2)+4,COLUMN(I41)-COLUMN($A$2)+1+$B$1)</f>
        <v/>
      </c>
    </row>
    <row r="43" spans="1:9" ht="16.5" customHeight="1" x14ac:dyDescent="0.3">
      <c r="A43" s="118" cm="1">
        <f t="array" ref="A43">INDEX('Questions global'!$A:$YP,ROW(A42)-ROW($A$2)+4,COLUMN(A42)-COLUMN($A$2)+1+$B$1)</f>
        <v>42</v>
      </c>
      <c r="B43" s="106" t="str" cm="1">
        <f t="array" ref="B43">INDEX('Questions global'!$A:$YP,ROW(B42)-ROW($A$2)+4,COLUMN(B42)-COLUMN($A$2)+1+$B$1)</f>
        <v/>
      </c>
      <c r="C43" s="106" t="str" cm="1">
        <f t="array" ref="C43">INDEX('Questions global'!$A:$YP,ROW(C42)-ROW($A$2)+4,COLUMN(C42)-COLUMN($A$2)+1+$B$1)</f>
        <v/>
      </c>
      <c r="D43" s="126" t="str" cm="1">
        <f t="array" ref="D43">INDEX('Questions global'!$A:$YP,ROW(D42)-ROW($A$2)+4,COLUMN(D42)-COLUMN($A$2)+1+$B$1)</f>
        <v/>
      </c>
      <c r="E43" s="104" t="str" cm="1">
        <f t="array" aca="1" ref="E43" ca="1">INDEX('Questions global'!$A:$YP,ROW(E42)-ROW($A$2)+4,COLUMN(E42)-COLUMN($A$2)+1+$B$1)</f>
        <v xml:space="preserve">   </v>
      </c>
      <c r="F43" s="105" t="str" cm="1">
        <f t="array" ref="F43">INDEX('Questions global'!$A:$YP,ROW(F42)-ROW($A$2)+4,COLUMN(F42)-COLUMN($A$2)+1+$B$1)</f>
        <v xml:space="preserve"> </v>
      </c>
      <c r="G43" s="112" t="str" cm="1">
        <f t="array" ref="G43">INDEX('Questions global'!$A:$YP,ROW(G42)-ROW($A$2)+4,COLUMN(G42)-COLUMN($A$2)+1+$B$1)</f>
        <v/>
      </c>
      <c r="H43" s="104" t="str" cm="1">
        <f t="array" aca="1" ref="H43" ca="1">INDEX('Questions global'!$A:$YP,ROW(H42)-ROW($A$2)+4,COLUMN(H42)-COLUMN($A$2)+1+$B$1)</f>
        <v/>
      </c>
      <c r="I43" s="119" t="str" cm="1">
        <f t="array" aca="1" ref="I43" ca="1">INDEX('Questions global'!$A:$YP,ROW(I42)-ROW($A$2)+4,COLUMN(I42)-COLUMN($A$2)+1+$B$1)</f>
        <v/>
      </c>
    </row>
    <row r="44" spans="1:9" ht="16.5" customHeight="1" x14ac:dyDescent="0.3">
      <c r="A44" s="118" cm="1">
        <f t="array" ref="A44">INDEX('Questions global'!$A:$YP,ROW(A43)-ROW($A$2)+4,COLUMN(A43)-COLUMN($A$2)+1+$B$1)</f>
        <v>43</v>
      </c>
      <c r="B44" s="106" t="str" cm="1">
        <f t="array" ref="B44">INDEX('Questions global'!$A:$YP,ROW(B43)-ROW($A$2)+4,COLUMN(B43)-COLUMN($A$2)+1+$B$1)</f>
        <v/>
      </c>
      <c r="C44" s="106" t="str" cm="1">
        <f t="array" ref="C44">INDEX('Questions global'!$A:$YP,ROW(C43)-ROW($A$2)+4,COLUMN(C43)-COLUMN($A$2)+1+$B$1)</f>
        <v/>
      </c>
      <c r="D44" s="126" t="str" cm="1">
        <f t="array" ref="D44">INDEX('Questions global'!$A:$YP,ROW(D43)-ROW($A$2)+4,COLUMN(D43)-COLUMN($A$2)+1+$B$1)</f>
        <v/>
      </c>
      <c r="E44" s="104" t="str" cm="1">
        <f t="array" aca="1" ref="E44" ca="1">INDEX('Questions global'!$A:$YP,ROW(E43)-ROW($A$2)+4,COLUMN(E43)-COLUMN($A$2)+1+$B$1)</f>
        <v xml:space="preserve">   </v>
      </c>
      <c r="F44" s="105" t="str" cm="1">
        <f t="array" ref="F44">INDEX('Questions global'!$A:$YP,ROW(F43)-ROW($A$2)+4,COLUMN(F43)-COLUMN($A$2)+1+$B$1)</f>
        <v xml:space="preserve"> </v>
      </c>
      <c r="G44" s="112" t="str" cm="1">
        <f t="array" ref="G44">INDEX('Questions global'!$A:$YP,ROW(G43)-ROW($A$2)+4,COLUMN(G43)-COLUMN($A$2)+1+$B$1)</f>
        <v/>
      </c>
      <c r="H44" s="104" t="str" cm="1">
        <f t="array" aca="1" ref="H44" ca="1">INDEX('Questions global'!$A:$YP,ROW(H43)-ROW($A$2)+4,COLUMN(H43)-COLUMN($A$2)+1+$B$1)</f>
        <v/>
      </c>
      <c r="I44" s="119" t="str" cm="1">
        <f t="array" aca="1" ref="I44" ca="1">INDEX('Questions global'!$A:$YP,ROW(I43)-ROW($A$2)+4,COLUMN(I43)-COLUMN($A$2)+1+$B$1)</f>
        <v/>
      </c>
    </row>
    <row r="45" spans="1:9" ht="16.5" customHeight="1" x14ac:dyDescent="0.3">
      <c r="A45" s="118" cm="1">
        <f t="array" ref="A45">INDEX('Questions global'!$A:$YP,ROW(A44)-ROW($A$2)+4,COLUMN(A44)-COLUMN($A$2)+1+$B$1)</f>
        <v>44</v>
      </c>
      <c r="B45" s="106" t="str" cm="1">
        <f t="array" ref="B45">INDEX('Questions global'!$A:$YP,ROW(B44)-ROW($A$2)+4,COLUMN(B44)-COLUMN($A$2)+1+$B$1)</f>
        <v/>
      </c>
      <c r="C45" s="106" t="str" cm="1">
        <f t="array" ref="C45">INDEX('Questions global'!$A:$YP,ROW(C44)-ROW($A$2)+4,COLUMN(C44)-COLUMN($A$2)+1+$B$1)</f>
        <v/>
      </c>
      <c r="D45" s="126" t="str" cm="1">
        <f t="array" ref="D45">INDEX('Questions global'!$A:$YP,ROW(D44)-ROW($A$2)+4,COLUMN(D44)-COLUMN($A$2)+1+$B$1)</f>
        <v/>
      </c>
      <c r="E45" s="104" t="str" cm="1">
        <f t="array" aca="1" ref="E45" ca="1">INDEX('Questions global'!$A:$YP,ROW(E44)-ROW($A$2)+4,COLUMN(E44)-COLUMN($A$2)+1+$B$1)</f>
        <v xml:space="preserve">   </v>
      </c>
      <c r="F45" s="105" t="str" cm="1">
        <f t="array" ref="F45">INDEX('Questions global'!$A:$YP,ROW(F44)-ROW($A$2)+4,COLUMN(F44)-COLUMN($A$2)+1+$B$1)</f>
        <v xml:space="preserve"> </v>
      </c>
      <c r="G45" s="112" t="str" cm="1">
        <f t="array" ref="G45">INDEX('Questions global'!$A:$YP,ROW(G44)-ROW($A$2)+4,COLUMN(G44)-COLUMN($A$2)+1+$B$1)</f>
        <v/>
      </c>
      <c r="H45" s="104" t="str" cm="1">
        <f t="array" aca="1" ref="H45" ca="1">INDEX('Questions global'!$A:$YP,ROW(H44)-ROW($A$2)+4,COLUMN(H44)-COLUMN($A$2)+1+$B$1)</f>
        <v/>
      </c>
      <c r="I45" s="119" t="str" cm="1">
        <f t="array" aca="1" ref="I45" ca="1">INDEX('Questions global'!$A:$YP,ROW(I44)-ROW($A$2)+4,COLUMN(I44)-COLUMN($A$2)+1+$B$1)</f>
        <v/>
      </c>
    </row>
    <row r="46" spans="1:9" ht="16.5" customHeight="1" x14ac:dyDescent="0.3">
      <c r="A46" s="118" cm="1">
        <f t="array" ref="A46">INDEX('Questions global'!$A:$YP,ROW(A45)-ROW($A$2)+4,COLUMN(A45)-COLUMN($A$2)+1+$B$1)</f>
        <v>45</v>
      </c>
      <c r="B46" s="106" t="str" cm="1">
        <f t="array" ref="B46">INDEX('Questions global'!$A:$YP,ROW(B45)-ROW($A$2)+4,COLUMN(B45)-COLUMN($A$2)+1+$B$1)</f>
        <v/>
      </c>
      <c r="C46" s="106" t="str" cm="1">
        <f t="array" ref="C46">INDEX('Questions global'!$A:$YP,ROW(C45)-ROW($A$2)+4,COLUMN(C45)-COLUMN($A$2)+1+$B$1)</f>
        <v/>
      </c>
      <c r="D46" s="126" t="str" cm="1">
        <f t="array" ref="D46">INDEX('Questions global'!$A:$YP,ROW(D45)-ROW($A$2)+4,COLUMN(D45)-COLUMN($A$2)+1+$B$1)</f>
        <v/>
      </c>
      <c r="E46" s="104" t="str" cm="1">
        <f t="array" aca="1" ref="E46" ca="1">INDEX('Questions global'!$A:$YP,ROW(E45)-ROW($A$2)+4,COLUMN(E45)-COLUMN($A$2)+1+$B$1)</f>
        <v xml:space="preserve">   </v>
      </c>
      <c r="F46" s="105" t="str" cm="1">
        <f t="array" ref="F46">INDEX('Questions global'!$A:$YP,ROW(F45)-ROW($A$2)+4,COLUMN(F45)-COLUMN($A$2)+1+$B$1)</f>
        <v xml:space="preserve"> </v>
      </c>
      <c r="G46" s="112" t="str" cm="1">
        <f t="array" ref="G46">INDEX('Questions global'!$A:$YP,ROW(G45)-ROW($A$2)+4,COLUMN(G45)-COLUMN($A$2)+1+$B$1)</f>
        <v/>
      </c>
      <c r="H46" s="104" t="str" cm="1">
        <f t="array" aca="1" ref="H46" ca="1">INDEX('Questions global'!$A:$YP,ROW(H45)-ROW($A$2)+4,COLUMN(H45)-COLUMN($A$2)+1+$B$1)</f>
        <v/>
      </c>
      <c r="I46" s="119" t="str" cm="1">
        <f t="array" aca="1" ref="I46" ca="1">INDEX('Questions global'!$A:$YP,ROW(I45)-ROW($A$2)+4,COLUMN(I45)-COLUMN($A$2)+1+$B$1)</f>
        <v/>
      </c>
    </row>
    <row r="47" spans="1:9" ht="16.5" customHeight="1" x14ac:dyDescent="0.3">
      <c r="A47" s="118" cm="1">
        <f t="array" ref="A47">INDEX('Questions global'!$A:$YP,ROW(A46)-ROW($A$2)+4,COLUMN(A46)-COLUMN($A$2)+1+$B$1)</f>
        <v>46</v>
      </c>
      <c r="B47" s="106" t="str" cm="1">
        <f t="array" ref="B47">INDEX('Questions global'!$A:$YP,ROW(B46)-ROW($A$2)+4,COLUMN(B46)-COLUMN($A$2)+1+$B$1)</f>
        <v/>
      </c>
      <c r="C47" s="106" t="str" cm="1">
        <f t="array" ref="C47">INDEX('Questions global'!$A:$YP,ROW(C46)-ROW($A$2)+4,COLUMN(C46)-COLUMN($A$2)+1+$B$1)</f>
        <v/>
      </c>
      <c r="D47" s="126" t="str" cm="1">
        <f t="array" ref="D47">INDEX('Questions global'!$A:$YP,ROW(D46)-ROW($A$2)+4,COLUMN(D46)-COLUMN($A$2)+1+$B$1)</f>
        <v/>
      </c>
      <c r="E47" s="104" t="str" cm="1">
        <f t="array" aca="1" ref="E47" ca="1">INDEX('Questions global'!$A:$YP,ROW(E46)-ROW($A$2)+4,COLUMN(E46)-COLUMN($A$2)+1+$B$1)</f>
        <v xml:space="preserve">   </v>
      </c>
      <c r="F47" s="105" t="str" cm="1">
        <f t="array" ref="F47">INDEX('Questions global'!$A:$YP,ROW(F46)-ROW($A$2)+4,COLUMN(F46)-COLUMN($A$2)+1+$B$1)</f>
        <v xml:space="preserve"> </v>
      </c>
      <c r="G47" s="112" t="str" cm="1">
        <f t="array" ref="G47">INDEX('Questions global'!$A:$YP,ROW(G46)-ROW($A$2)+4,COLUMN(G46)-COLUMN($A$2)+1+$B$1)</f>
        <v/>
      </c>
      <c r="H47" s="104" t="str" cm="1">
        <f t="array" aca="1" ref="H47" ca="1">INDEX('Questions global'!$A:$YP,ROW(H46)-ROW($A$2)+4,COLUMN(H46)-COLUMN($A$2)+1+$B$1)</f>
        <v/>
      </c>
      <c r="I47" s="119" t="str" cm="1">
        <f t="array" aca="1" ref="I47" ca="1">INDEX('Questions global'!$A:$YP,ROW(I46)-ROW($A$2)+4,COLUMN(I46)-COLUMN($A$2)+1+$B$1)</f>
        <v/>
      </c>
    </row>
    <row r="48" spans="1:9" ht="16.5" customHeight="1" x14ac:dyDescent="0.3">
      <c r="A48" s="118" cm="1">
        <f t="array" ref="A48">INDEX('Questions global'!$A:$YP,ROW(A47)-ROW($A$2)+4,COLUMN(A47)-COLUMN($A$2)+1+$B$1)</f>
        <v>47</v>
      </c>
      <c r="B48" s="106" t="str" cm="1">
        <f t="array" ref="B48">INDEX('Questions global'!$A:$YP,ROW(B47)-ROW($A$2)+4,COLUMN(B47)-COLUMN($A$2)+1+$B$1)</f>
        <v/>
      </c>
      <c r="C48" s="106" t="str" cm="1">
        <f t="array" ref="C48">INDEX('Questions global'!$A:$YP,ROW(C47)-ROW($A$2)+4,COLUMN(C47)-COLUMN($A$2)+1+$B$1)</f>
        <v/>
      </c>
      <c r="D48" s="126" t="str" cm="1">
        <f t="array" ref="D48">INDEX('Questions global'!$A:$YP,ROW(D47)-ROW($A$2)+4,COLUMN(D47)-COLUMN($A$2)+1+$B$1)</f>
        <v/>
      </c>
      <c r="E48" s="104" t="str" cm="1">
        <f t="array" aca="1" ref="E48" ca="1">INDEX('Questions global'!$A:$YP,ROW(E47)-ROW($A$2)+4,COLUMN(E47)-COLUMN($A$2)+1+$B$1)</f>
        <v xml:space="preserve">   </v>
      </c>
      <c r="F48" s="105" t="str" cm="1">
        <f t="array" ref="F48">INDEX('Questions global'!$A:$YP,ROW(F47)-ROW($A$2)+4,COLUMN(F47)-COLUMN($A$2)+1+$B$1)</f>
        <v xml:space="preserve"> </v>
      </c>
      <c r="G48" s="112" t="str" cm="1">
        <f t="array" ref="G48">INDEX('Questions global'!$A:$YP,ROW(G47)-ROW($A$2)+4,COLUMN(G47)-COLUMN($A$2)+1+$B$1)</f>
        <v/>
      </c>
      <c r="H48" s="104" t="str" cm="1">
        <f t="array" aca="1" ref="H48" ca="1">INDEX('Questions global'!$A:$YP,ROW(H47)-ROW($A$2)+4,COLUMN(H47)-COLUMN($A$2)+1+$B$1)</f>
        <v/>
      </c>
      <c r="I48" s="119" t="str" cm="1">
        <f t="array" aca="1" ref="I48" ca="1">INDEX('Questions global'!$A:$YP,ROW(I47)-ROW($A$2)+4,COLUMN(I47)-COLUMN($A$2)+1+$B$1)</f>
        <v/>
      </c>
    </row>
    <row r="49" spans="1:9" ht="16.5" customHeight="1" x14ac:dyDescent="0.3">
      <c r="A49" s="118" cm="1">
        <f t="array" ref="A49">INDEX('Questions global'!$A:$YP,ROW(A48)-ROW($A$2)+4,COLUMN(A48)-COLUMN($A$2)+1+$B$1)</f>
        <v>48</v>
      </c>
      <c r="B49" s="106" t="str" cm="1">
        <f t="array" ref="B49">INDEX('Questions global'!$A:$YP,ROW(B48)-ROW($A$2)+4,COLUMN(B48)-COLUMN($A$2)+1+$B$1)</f>
        <v/>
      </c>
      <c r="C49" s="106" t="str" cm="1">
        <f t="array" ref="C49">INDEX('Questions global'!$A:$YP,ROW(C48)-ROW($A$2)+4,COLUMN(C48)-COLUMN($A$2)+1+$B$1)</f>
        <v/>
      </c>
      <c r="D49" s="126" t="str" cm="1">
        <f t="array" ref="D49">INDEX('Questions global'!$A:$YP,ROW(D48)-ROW($A$2)+4,COLUMN(D48)-COLUMN($A$2)+1+$B$1)</f>
        <v/>
      </c>
      <c r="E49" s="104" t="str" cm="1">
        <f t="array" aca="1" ref="E49" ca="1">INDEX('Questions global'!$A:$YP,ROW(E48)-ROW($A$2)+4,COLUMN(E48)-COLUMN($A$2)+1+$B$1)</f>
        <v xml:space="preserve">   </v>
      </c>
      <c r="F49" s="105" t="str" cm="1">
        <f t="array" ref="F49">INDEX('Questions global'!$A:$YP,ROW(F48)-ROW($A$2)+4,COLUMN(F48)-COLUMN($A$2)+1+$B$1)</f>
        <v xml:space="preserve"> </v>
      </c>
      <c r="G49" s="112" t="str" cm="1">
        <f t="array" ref="G49">INDEX('Questions global'!$A:$YP,ROW(G48)-ROW($A$2)+4,COLUMN(G48)-COLUMN($A$2)+1+$B$1)</f>
        <v/>
      </c>
      <c r="H49" s="104" t="str" cm="1">
        <f t="array" aca="1" ref="H49" ca="1">INDEX('Questions global'!$A:$YP,ROW(H48)-ROW($A$2)+4,COLUMN(H48)-COLUMN($A$2)+1+$B$1)</f>
        <v/>
      </c>
      <c r="I49" s="119" t="str" cm="1">
        <f t="array" aca="1" ref="I49" ca="1">INDEX('Questions global'!$A:$YP,ROW(I48)-ROW($A$2)+4,COLUMN(I48)-COLUMN($A$2)+1+$B$1)</f>
        <v/>
      </c>
    </row>
    <row r="50" spans="1:9" ht="16.5" customHeight="1" x14ac:dyDescent="0.3">
      <c r="A50" s="118" cm="1">
        <f t="array" ref="A50">INDEX('Questions global'!$A:$YP,ROW(A49)-ROW($A$2)+4,COLUMN(A49)-COLUMN($A$2)+1+$B$1)</f>
        <v>49</v>
      </c>
      <c r="B50" s="106" t="str" cm="1">
        <f t="array" ref="B50">INDEX('Questions global'!$A:$YP,ROW(B49)-ROW($A$2)+4,COLUMN(B49)-COLUMN($A$2)+1+$B$1)</f>
        <v/>
      </c>
      <c r="C50" s="106" t="str" cm="1">
        <f t="array" ref="C50">INDEX('Questions global'!$A:$YP,ROW(C49)-ROW($A$2)+4,COLUMN(C49)-COLUMN($A$2)+1+$B$1)</f>
        <v/>
      </c>
      <c r="D50" s="126" t="str" cm="1">
        <f t="array" ref="D50">INDEX('Questions global'!$A:$YP,ROW(D49)-ROW($A$2)+4,COLUMN(D49)-COLUMN($A$2)+1+$B$1)</f>
        <v/>
      </c>
      <c r="E50" s="104" t="str" cm="1">
        <f t="array" aca="1" ref="E50" ca="1">INDEX('Questions global'!$A:$YP,ROW(E49)-ROW($A$2)+4,COLUMN(E49)-COLUMN($A$2)+1+$B$1)</f>
        <v xml:space="preserve">   </v>
      </c>
      <c r="F50" s="105" t="str" cm="1">
        <f t="array" ref="F50">INDEX('Questions global'!$A:$YP,ROW(F49)-ROW($A$2)+4,COLUMN(F49)-COLUMN($A$2)+1+$B$1)</f>
        <v xml:space="preserve"> </v>
      </c>
      <c r="G50" s="112" t="str" cm="1">
        <f t="array" ref="G50">INDEX('Questions global'!$A:$YP,ROW(G49)-ROW($A$2)+4,COLUMN(G49)-COLUMN($A$2)+1+$B$1)</f>
        <v/>
      </c>
      <c r="H50" s="104" t="str" cm="1">
        <f t="array" aca="1" ref="H50" ca="1">INDEX('Questions global'!$A:$YP,ROW(H49)-ROW($A$2)+4,COLUMN(H49)-COLUMN($A$2)+1+$B$1)</f>
        <v/>
      </c>
      <c r="I50" s="119" t="str" cm="1">
        <f t="array" aca="1" ref="I50" ca="1">INDEX('Questions global'!$A:$YP,ROW(I49)-ROW($A$2)+4,COLUMN(I49)-COLUMN($A$2)+1+$B$1)</f>
        <v/>
      </c>
    </row>
    <row r="51" spans="1:9" ht="16.5" customHeight="1" x14ac:dyDescent="0.3">
      <c r="A51" s="118" cm="1">
        <f t="array" ref="A51">INDEX('Questions global'!$A:$YP,ROW(A50)-ROW($A$2)+4,COLUMN(A50)-COLUMN($A$2)+1+$B$1)</f>
        <v>50</v>
      </c>
      <c r="B51" s="106" t="str" cm="1">
        <f t="array" ref="B51">INDEX('Questions global'!$A:$YP,ROW(B50)-ROW($A$2)+4,COLUMN(B50)-COLUMN($A$2)+1+$B$1)</f>
        <v/>
      </c>
      <c r="C51" s="106" t="str" cm="1">
        <f t="array" ref="C51">INDEX('Questions global'!$A:$YP,ROW(C50)-ROW($A$2)+4,COLUMN(C50)-COLUMN($A$2)+1+$B$1)</f>
        <v/>
      </c>
      <c r="D51" s="126" t="str" cm="1">
        <f t="array" ref="D51">INDEX('Questions global'!$A:$YP,ROW(D50)-ROW($A$2)+4,COLUMN(D50)-COLUMN($A$2)+1+$B$1)</f>
        <v/>
      </c>
      <c r="E51" s="104" t="str" cm="1">
        <f t="array" aca="1" ref="E51" ca="1">INDEX('Questions global'!$A:$YP,ROW(E50)-ROW($A$2)+4,COLUMN(E50)-COLUMN($A$2)+1+$B$1)</f>
        <v xml:space="preserve">   </v>
      </c>
      <c r="F51" s="105" t="str" cm="1">
        <f t="array" ref="F51">INDEX('Questions global'!$A:$YP,ROW(F50)-ROW($A$2)+4,COLUMN(F50)-COLUMN($A$2)+1+$B$1)</f>
        <v xml:space="preserve"> </v>
      </c>
      <c r="G51" s="112" t="str" cm="1">
        <f t="array" ref="G51">INDEX('Questions global'!$A:$YP,ROW(G50)-ROW($A$2)+4,COLUMN(G50)-COLUMN($A$2)+1+$B$1)</f>
        <v/>
      </c>
      <c r="H51" s="104" t="str" cm="1">
        <f t="array" aca="1" ref="H51" ca="1">INDEX('Questions global'!$A:$YP,ROW(H50)-ROW($A$2)+4,COLUMN(H50)-COLUMN($A$2)+1+$B$1)</f>
        <v/>
      </c>
      <c r="I51" s="119" t="str" cm="1">
        <f t="array" aca="1" ref="I51" ca="1">INDEX('Questions global'!$A:$YP,ROW(I50)-ROW($A$2)+4,COLUMN(I50)-COLUMN($A$2)+1+$B$1)</f>
        <v/>
      </c>
    </row>
    <row r="52" spans="1:9" ht="16.5" customHeight="1" x14ac:dyDescent="0.3">
      <c r="A52" s="118" cm="1">
        <f t="array" ref="A52">INDEX('Questions global'!$A:$YP,ROW(A51)-ROW($A$2)+4,COLUMN(A51)-COLUMN($A$2)+1+$B$1)</f>
        <v>51</v>
      </c>
      <c r="B52" s="106" t="str" cm="1">
        <f t="array" ref="B52">INDEX('Questions global'!$A:$YP,ROW(B51)-ROW($A$2)+4,COLUMN(B51)-COLUMN($A$2)+1+$B$1)</f>
        <v/>
      </c>
      <c r="C52" s="106" t="str" cm="1">
        <f t="array" ref="C52">INDEX('Questions global'!$A:$YP,ROW(C51)-ROW($A$2)+4,COLUMN(C51)-COLUMN($A$2)+1+$B$1)</f>
        <v/>
      </c>
      <c r="D52" s="126" t="str" cm="1">
        <f t="array" ref="D52">INDEX('Questions global'!$A:$YP,ROW(D51)-ROW($A$2)+4,COLUMN(D51)-COLUMN($A$2)+1+$B$1)</f>
        <v/>
      </c>
      <c r="E52" s="104" t="str" cm="1">
        <f t="array" aca="1" ref="E52" ca="1">INDEX('Questions global'!$A:$YP,ROW(E51)-ROW($A$2)+4,COLUMN(E51)-COLUMN($A$2)+1+$B$1)</f>
        <v xml:space="preserve">   </v>
      </c>
      <c r="F52" s="105" t="str" cm="1">
        <f t="array" ref="F52">INDEX('Questions global'!$A:$YP,ROW(F51)-ROW($A$2)+4,COLUMN(F51)-COLUMN($A$2)+1+$B$1)</f>
        <v xml:space="preserve"> </v>
      </c>
      <c r="G52" s="112" t="str" cm="1">
        <f t="array" ref="G52">INDEX('Questions global'!$A:$YP,ROW(G51)-ROW($A$2)+4,COLUMN(G51)-COLUMN($A$2)+1+$B$1)</f>
        <v/>
      </c>
      <c r="H52" s="104" t="str" cm="1">
        <f t="array" aca="1" ref="H52" ca="1">INDEX('Questions global'!$A:$YP,ROW(H51)-ROW($A$2)+4,COLUMN(H51)-COLUMN($A$2)+1+$B$1)</f>
        <v/>
      </c>
      <c r="I52" s="119" t="str" cm="1">
        <f t="array" aca="1" ref="I52" ca="1">INDEX('Questions global'!$A:$YP,ROW(I51)-ROW($A$2)+4,COLUMN(I51)-COLUMN($A$2)+1+$B$1)</f>
        <v/>
      </c>
    </row>
    <row r="53" spans="1:9" ht="16.5" customHeight="1" x14ac:dyDescent="0.3">
      <c r="A53" s="118" cm="1">
        <f t="array" ref="A53">INDEX('Questions global'!$A:$YP,ROW(A52)-ROW($A$2)+4,COLUMN(A52)-COLUMN($A$2)+1+$B$1)</f>
        <v>52</v>
      </c>
      <c r="B53" s="106" t="str" cm="1">
        <f t="array" ref="B53">INDEX('Questions global'!$A:$YP,ROW(B52)-ROW($A$2)+4,COLUMN(B52)-COLUMN($A$2)+1+$B$1)</f>
        <v/>
      </c>
      <c r="C53" s="106" t="str" cm="1">
        <f t="array" ref="C53">INDEX('Questions global'!$A:$YP,ROW(C52)-ROW($A$2)+4,COLUMN(C52)-COLUMN($A$2)+1+$B$1)</f>
        <v/>
      </c>
      <c r="D53" s="126" t="str" cm="1">
        <f t="array" ref="D53">INDEX('Questions global'!$A:$YP,ROW(D52)-ROW($A$2)+4,COLUMN(D52)-COLUMN($A$2)+1+$B$1)</f>
        <v/>
      </c>
      <c r="E53" s="104" t="str" cm="1">
        <f t="array" aca="1" ref="E53" ca="1">INDEX('Questions global'!$A:$YP,ROW(E52)-ROW($A$2)+4,COLUMN(E52)-COLUMN($A$2)+1+$B$1)</f>
        <v xml:space="preserve">   </v>
      </c>
      <c r="F53" s="105" t="str" cm="1">
        <f t="array" ref="F53">INDEX('Questions global'!$A:$YP,ROW(F52)-ROW($A$2)+4,COLUMN(F52)-COLUMN($A$2)+1+$B$1)</f>
        <v xml:space="preserve"> </v>
      </c>
      <c r="G53" s="112" t="str" cm="1">
        <f t="array" ref="G53">INDEX('Questions global'!$A:$YP,ROW(G52)-ROW($A$2)+4,COLUMN(G52)-COLUMN($A$2)+1+$B$1)</f>
        <v/>
      </c>
      <c r="H53" s="104" t="str" cm="1">
        <f t="array" aca="1" ref="H53" ca="1">INDEX('Questions global'!$A:$YP,ROW(H52)-ROW($A$2)+4,COLUMN(H52)-COLUMN($A$2)+1+$B$1)</f>
        <v/>
      </c>
      <c r="I53" s="119" t="str" cm="1">
        <f t="array" aca="1" ref="I53" ca="1">INDEX('Questions global'!$A:$YP,ROW(I52)-ROW($A$2)+4,COLUMN(I52)-COLUMN($A$2)+1+$B$1)</f>
        <v/>
      </c>
    </row>
    <row r="54" spans="1:9" x14ac:dyDescent="0.3">
      <c r="A54" s="118" cm="1">
        <f t="array" ref="A54">INDEX('Questions global'!$A:$YP,ROW(A53)-ROW($A$2)+4,COLUMN(A53)-COLUMN($A$2)+1+$B$1)</f>
        <v>53</v>
      </c>
      <c r="B54" s="106" t="str" cm="1">
        <f t="array" ref="B54">INDEX('Questions global'!$A:$YP,ROW(B53)-ROW($A$2)+4,COLUMN(B53)-COLUMN($A$2)+1+$B$1)</f>
        <v/>
      </c>
      <c r="C54" s="106" t="str" cm="1">
        <f t="array" ref="C54">INDEX('Questions global'!$A:$YP,ROW(C53)-ROW($A$2)+4,COLUMN(C53)-COLUMN($A$2)+1+$B$1)</f>
        <v/>
      </c>
      <c r="D54" s="126" t="str" cm="1">
        <f t="array" ref="D54">INDEX('Questions global'!$A:$YP,ROW(D53)-ROW($A$2)+4,COLUMN(D53)-COLUMN($A$2)+1+$B$1)</f>
        <v/>
      </c>
      <c r="E54" s="104" t="str" cm="1">
        <f t="array" aca="1" ref="E54" ca="1">INDEX('Questions global'!$A:$YP,ROW(E53)-ROW($A$2)+4,COLUMN(E53)-COLUMN($A$2)+1+$B$1)</f>
        <v xml:space="preserve">   </v>
      </c>
      <c r="F54" s="105" t="str" cm="1">
        <f t="array" ref="F54">INDEX('Questions global'!$A:$YP,ROW(F53)-ROW($A$2)+4,COLUMN(F53)-COLUMN($A$2)+1+$B$1)</f>
        <v xml:space="preserve"> </v>
      </c>
      <c r="G54" s="112" t="str" cm="1">
        <f t="array" ref="G54">INDEX('Questions global'!$A:$YP,ROW(G53)-ROW($A$2)+4,COLUMN(G53)-COLUMN($A$2)+1+$B$1)</f>
        <v/>
      </c>
      <c r="H54" s="104" t="str" cm="1">
        <f t="array" aca="1" ref="H54" ca="1">INDEX('Questions global'!$A:$YP,ROW(H53)-ROW($A$2)+4,COLUMN(H53)-COLUMN($A$2)+1+$B$1)</f>
        <v/>
      </c>
      <c r="I54" s="119" t="str" cm="1">
        <f t="array" aca="1" ref="I54" ca="1">INDEX('Questions global'!$A:$YP,ROW(I53)-ROW($A$2)+4,COLUMN(I53)-COLUMN($A$2)+1+$B$1)</f>
        <v/>
      </c>
    </row>
    <row r="55" spans="1:9" x14ac:dyDescent="0.3">
      <c r="A55" s="118" cm="1">
        <f t="array" ref="A55">INDEX('Questions global'!$A:$YP,ROW(A54)-ROW($A$2)+4,COLUMN(A54)-COLUMN($A$2)+1+$B$1)</f>
        <v>54</v>
      </c>
      <c r="B55" s="106" t="str" cm="1">
        <f t="array" ref="B55">INDEX('Questions global'!$A:$YP,ROW(B54)-ROW($A$2)+4,COLUMN(B54)-COLUMN($A$2)+1+$B$1)</f>
        <v/>
      </c>
      <c r="C55" s="106" t="str" cm="1">
        <f t="array" ref="C55">INDEX('Questions global'!$A:$YP,ROW(C54)-ROW($A$2)+4,COLUMN(C54)-COLUMN($A$2)+1+$B$1)</f>
        <v/>
      </c>
      <c r="D55" s="126" t="str" cm="1">
        <f t="array" ref="D55">INDEX('Questions global'!$A:$YP,ROW(D54)-ROW($A$2)+4,COLUMN(D54)-COLUMN($A$2)+1+$B$1)</f>
        <v/>
      </c>
      <c r="E55" s="104" t="str" cm="1">
        <f t="array" aca="1" ref="E55" ca="1">INDEX('Questions global'!$A:$YP,ROW(E54)-ROW($A$2)+4,COLUMN(E54)-COLUMN($A$2)+1+$B$1)</f>
        <v xml:space="preserve">   </v>
      </c>
      <c r="F55" s="105" t="str" cm="1">
        <f t="array" ref="F55">INDEX('Questions global'!$A:$YP,ROW(F54)-ROW($A$2)+4,COLUMN(F54)-COLUMN($A$2)+1+$B$1)</f>
        <v xml:space="preserve"> </v>
      </c>
      <c r="G55" s="112" t="str" cm="1">
        <f t="array" ref="G55">INDEX('Questions global'!$A:$YP,ROW(G54)-ROW($A$2)+4,COLUMN(G54)-COLUMN($A$2)+1+$B$1)</f>
        <v/>
      </c>
      <c r="H55" s="104" t="str" cm="1">
        <f t="array" aca="1" ref="H55" ca="1">INDEX('Questions global'!$A:$YP,ROW(H54)-ROW($A$2)+4,COLUMN(H54)-COLUMN($A$2)+1+$B$1)</f>
        <v/>
      </c>
      <c r="I55" s="119" t="str" cm="1">
        <f t="array" aca="1" ref="I55" ca="1">INDEX('Questions global'!$A:$YP,ROW(I54)-ROW($A$2)+4,COLUMN(I54)-COLUMN($A$2)+1+$B$1)</f>
        <v/>
      </c>
    </row>
    <row r="56" spans="1:9" x14ac:dyDescent="0.3">
      <c r="A56" s="118" cm="1">
        <f t="array" ref="A56">INDEX('Questions global'!$A:$YP,ROW(A55)-ROW($A$2)+4,COLUMN(A55)-COLUMN($A$2)+1+$B$1)</f>
        <v>55</v>
      </c>
      <c r="B56" s="106" t="str" cm="1">
        <f t="array" ref="B56">INDEX('Questions global'!$A:$YP,ROW(B55)-ROW($A$2)+4,COLUMN(B55)-COLUMN($A$2)+1+$B$1)</f>
        <v/>
      </c>
      <c r="C56" s="106" t="str" cm="1">
        <f t="array" ref="C56">INDEX('Questions global'!$A:$YP,ROW(C55)-ROW($A$2)+4,COLUMN(C55)-COLUMN($A$2)+1+$B$1)</f>
        <v/>
      </c>
      <c r="D56" s="126" t="str" cm="1">
        <f t="array" ref="D56">INDEX('Questions global'!$A:$YP,ROW(D55)-ROW($A$2)+4,COLUMN(D55)-COLUMN($A$2)+1+$B$1)</f>
        <v/>
      </c>
      <c r="E56" s="104" t="str" cm="1">
        <f t="array" aca="1" ref="E56" ca="1">INDEX('Questions global'!$A:$YP,ROW(E55)-ROW($A$2)+4,COLUMN(E55)-COLUMN($A$2)+1+$B$1)</f>
        <v xml:space="preserve">   </v>
      </c>
      <c r="F56" s="105" t="str" cm="1">
        <f t="array" ref="F56">INDEX('Questions global'!$A:$YP,ROW(F55)-ROW($A$2)+4,COLUMN(F55)-COLUMN($A$2)+1+$B$1)</f>
        <v xml:space="preserve"> </v>
      </c>
      <c r="G56" s="112" t="str" cm="1">
        <f t="array" ref="G56">INDEX('Questions global'!$A:$YP,ROW(G55)-ROW($A$2)+4,COLUMN(G55)-COLUMN($A$2)+1+$B$1)</f>
        <v/>
      </c>
      <c r="H56" s="104" t="str" cm="1">
        <f t="array" aca="1" ref="H56" ca="1">INDEX('Questions global'!$A:$YP,ROW(H55)-ROW($A$2)+4,COLUMN(H55)-COLUMN($A$2)+1+$B$1)</f>
        <v/>
      </c>
      <c r="I56" s="119" t="str" cm="1">
        <f t="array" aca="1" ref="I56" ca="1">INDEX('Questions global'!$A:$YP,ROW(I55)-ROW($A$2)+4,COLUMN(I55)-COLUMN($A$2)+1+$B$1)</f>
        <v/>
      </c>
    </row>
    <row r="57" spans="1:9" x14ac:dyDescent="0.3">
      <c r="A57" s="118" cm="1">
        <f t="array" ref="A57">INDEX('Questions global'!$A:$YP,ROW(A56)-ROW($A$2)+4,COLUMN(A56)-COLUMN($A$2)+1+$B$1)</f>
        <v>56</v>
      </c>
      <c r="B57" s="106" t="str" cm="1">
        <f t="array" ref="B57">INDEX('Questions global'!$A:$YP,ROW(B56)-ROW($A$2)+4,COLUMN(B56)-COLUMN($A$2)+1+$B$1)</f>
        <v/>
      </c>
      <c r="C57" s="106" t="str" cm="1">
        <f t="array" ref="C57">INDEX('Questions global'!$A:$YP,ROW(C56)-ROW($A$2)+4,COLUMN(C56)-COLUMN($A$2)+1+$B$1)</f>
        <v/>
      </c>
      <c r="D57" s="126" t="str" cm="1">
        <f t="array" ref="D57">INDEX('Questions global'!$A:$YP,ROW(D56)-ROW($A$2)+4,COLUMN(D56)-COLUMN($A$2)+1+$B$1)</f>
        <v/>
      </c>
      <c r="E57" s="104" t="str" cm="1">
        <f t="array" aca="1" ref="E57" ca="1">INDEX('Questions global'!$A:$YP,ROW(E56)-ROW($A$2)+4,COLUMN(E56)-COLUMN($A$2)+1+$B$1)</f>
        <v xml:space="preserve">   </v>
      </c>
      <c r="F57" s="105" t="str" cm="1">
        <f t="array" ref="F57">INDEX('Questions global'!$A:$YP,ROW(F56)-ROW($A$2)+4,COLUMN(F56)-COLUMN($A$2)+1+$B$1)</f>
        <v xml:space="preserve"> </v>
      </c>
      <c r="G57" s="112" t="str" cm="1">
        <f t="array" ref="G57">INDEX('Questions global'!$A:$YP,ROW(G56)-ROW($A$2)+4,COLUMN(G56)-COLUMN($A$2)+1+$B$1)</f>
        <v/>
      </c>
      <c r="H57" s="104" t="str" cm="1">
        <f t="array" aca="1" ref="H57" ca="1">INDEX('Questions global'!$A:$YP,ROW(H56)-ROW($A$2)+4,COLUMN(H56)-COLUMN($A$2)+1+$B$1)</f>
        <v/>
      </c>
      <c r="I57" s="119" t="str" cm="1">
        <f t="array" aca="1" ref="I57" ca="1">INDEX('Questions global'!$A:$YP,ROW(I56)-ROW($A$2)+4,COLUMN(I56)-COLUMN($A$2)+1+$B$1)</f>
        <v/>
      </c>
    </row>
    <row r="58" spans="1:9" x14ac:dyDescent="0.3">
      <c r="A58" s="118" cm="1">
        <f t="array" ref="A58">INDEX('Questions global'!$A:$YP,ROW(A57)-ROW($A$2)+4,COLUMN(A57)-COLUMN($A$2)+1+$B$1)</f>
        <v>57</v>
      </c>
      <c r="B58" s="106" t="str" cm="1">
        <f t="array" ref="B58">INDEX('Questions global'!$A:$YP,ROW(B57)-ROW($A$2)+4,COLUMN(B57)-COLUMN($A$2)+1+$B$1)</f>
        <v/>
      </c>
      <c r="C58" s="106" t="str" cm="1">
        <f t="array" ref="C58">INDEX('Questions global'!$A:$YP,ROW(C57)-ROW($A$2)+4,COLUMN(C57)-COLUMN($A$2)+1+$B$1)</f>
        <v/>
      </c>
      <c r="D58" s="126" t="str" cm="1">
        <f t="array" ref="D58">INDEX('Questions global'!$A:$YP,ROW(D57)-ROW($A$2)+4,COLUMN(D57)-COLUMN($A$2)+1+$B$1)</f>
        <v/>
      </c>
      <c r="E58" s="104" t="str" cm="1">
        <f t="array" aca="1" ref="E58" ca="1">INDEX('Questions global'!$A:$YP,ROW(E57)-ROW($A$2)+4,COLUMN(E57)-COLUMN($A$2)+1+$B$1)</f>
        <v xml:space="preserve">   </v>
      </c>
      <c r="F58" s="105" t="str" cm="1">
        <f t="array" ref="F58">INDEX('Questions global'!$A:$YP,ROW(F57)-ROW($A$2)+4,COLUMN(F57)-COLUMN($A$2)+1+$B$1)</f>
        <v xml:space="preserve"> </v>
      </c>
      <c r="G58" s="112" t="str" cm="1">
        <f t="array" ref="G58">INDEX('Questions global'!$A:$YP,ROW(G57)-ROW($A$2)+4,COLUMN(G57)-COLUMN($A$2)+1+$B$1)</f>
        <v/>
      </c>
      <c r="H58" s="104" t="str" cm="1">
        <f t="array" aca="1" ref="H58" ca="1">INDEX('Questions global'!$A:$YP,ROW(H57)-ROW($A$2)+4,COLUMN(H57)-COLUMN($A$2)+1+$B$1)</f>
        <v/>
      </c>
      <c r="I58" s="119" t="str" cm="1">
        <f t="array" aca="1" ref="I58" ca="1">INDEX('Questions global'!$A:$YP,ROW(I57)-ROW($A$2)+4,COLUMN(I57)-COLUMN($A$2)+1+$B$1)</f>
        <v/>
      </c>
    </row>
    <row r="59" spans="1:9" x14ac:dyDescent="0.3">
      <c r="A59" s="118" cm="1">
        <f t="array" ref="A59">INDEX('Questions global'!$A:$YP,ROW(A58)-ROW($A$2)+4,COLUMN(A58)-COLUMN($A$2)+1+$B$1)</f>
        <v>58</v>
      </c>
      <c r="B59" s="106" t="str" cm="1">
        <f t="array" ref="B59">INDEX('Questions global'!$A:$YP,ROW(B58)-ROW($A$2)+4,COLUMN(B58)-COLUMN($A$2)+1+$B$1)</f>
        <v/>
      </c>
      <c r="C59" s="106" t="str" cm="1">
        <f t="array" ref="C59">INDEX('Questions global'!$A:$YP,ROW(C58)-ROW($A$2)+4,COLUMN(C58)-COLUMN($A$2)+1+$B$1)</f>
        <v/>
      </c>
      <c r="D59" s="126" t="str" cm="1">
        <f t="array" ref="D59">INDEX('Questions global'!$A:$YP,ROW(D58)-ROW($A$2)+4,COLUMN(D58)-COLUMN($A$2)+1+$B$1)</f>
        <v/>
      </c>
      <c r="E59" s="104" t="str" cm="1">
        <f t="array" aca="1" ref="E59" ca="1">INDEX('Questions global'!$A:$YP,ROW(E58)-ROW($A$2)+4,COLUMN(E58)-COLUMN($A$2)+1+$B$1)</f>
        <v xml:space="preserve">   </v>
      </c>
      <c r="F59" s="105" t="str" cm="1">
        <f t="array" ref="F59">INDEX('Questions global'!$A:$YP,ROW(F58)-ROW($A$2)+4,COLUMN(F58)-COLUMN($A$2)+1+$B$1)</f>
        <v xml:space="preserve"> </v>
      </c>
      <c r="G59" s="112" t="str" cm="1">
        <f t="array" ref="G59">INDEX('Questions global'!$A:$YP,ROW(G58)-ROW($A$2)+4,COLUMN(G58)-COLUMN($A$2)+1+$B$1)</f>
        <v/>
      </c>
      <c r="H59" s="104" t="str" cm="1">
        <f t="array" aca="1" ref="H59" ca="1">INDEX('Questions global'!$A:$YP,ROW(H58)-ROW($A$2)+4,COLUMN(H58)-COLUMN($A$2)+1+$B$1)</f>
        <v/>
      </c>
      <c r="I59" s="119" t="str" cm="1">
        <f t="array" aca="1" ref="I59" ca="1">INDEX('Questions global'!$A:$YP,ROW(I58)-ROW($A$2)+4,COLUMN(I58)-COLUMN($A$2)+1+$B$1)</f>
        <v/>
      </c>
    </row>
    <row r="60" spans="1:9" x14ac:dyDescent="0.3">
      <c r="A60" s="118" cm="1">
        <f t="array" ref="A60">INDEX('Questions global'!$A:$YP,ROW(A59)-ROW($A$2)+4,COLUMN(A59)-COLUMN($A$2)+1+$B$1)</f>
        <v>59</v>
      </c>
      <c r="B60" s="106" t="str" cm="1">
        <f t="array" ref="B60">INDEX('Questions global'!$A:$YP,ROW(B59)-ROW($A$2)+4,COLUMN(B59)-COLUMN($A$2)+1+$B$1)</f>
        <v/>
      </c>
      <c r="C60" s="106" t="str" cm="1">
        <f t="array" ref="C60">INDEX('Questions global'!$A:$YP,ROW(C59)-ROW($A$2)+4,COLUMN(C59)-COLUMN($A$2)+1+$B$1)</f>
        <v/>
      </c>
      <c r="D60" s="126" t="str" cm="1">
        <f t="array" ref="D60">INDEX('Questions global'!$A:$YP,ROW(D59)-ROW($A$2)+4,COLUMN(D59)-COLUMN($A$2)+1+$B$1)</f>
        <v/>
      </c>
      <c r="E60" s="104" t="str" cm="1">
        <f t="array" aca="1" ref="E60" ca="1">INDEX('Questions global'!$A:$YP,ROW(E59)-ROW($A$2)+4,COLUMN(E59)-COLUMN($A$2)+1+$B$1)</f>
        <v xml:space="preserve">   </v>
      </c>
      <c r="F60" s="105" t="str" cm="1">
        <f t="array" ref="F60">INDEX('Questions global'!$A:$YP,ROW(F59)-ROW($A$2)+4,COLUMN(F59)-COLUMN($A$2)+1+$B$1)</f>
        <v xml:space="preserve"> </v>
      </c>
      <c r="G60" s="112" t="str" cm="1">
        <f t="array" ref="G60">INDEX('Questions global'!$A:$YP,ROW(G59)-ROW($A$2)+4,COLUMN(G59)-COLUMN($A$2)+1+$B$1)</f>
        <v/>
      </c>
      <c r="H60" s="104" t="str" cm="1">
        <f t="array" aca="1" ref="H60" ca="1">INDEX('Questions global'!$A:$YP,ROW(H59)-ROW($A$2)+4,COLUMN(H59)-COLUMN($A$2)+1+$B$1)</f>
        <v/>
      </c>
      <c r="I60" s="119" t="str" cm="1">
        <f t="array" aca="1" ref="I60" ca="1">INDEX('Questions global'!$A:$YP,ROW(I59)-ROW($A$2)+4,COLUMN(I59)-COLUMN($A$2)+1+$B$1)</f>
        <v/>
      </c>
    </row>
    <row r="61" spans="1:9" x14ac:dyDescent="0.3">
      <c r="A61" s="118" cm="1">
        <f t="array" ref="A61">INDEX('Questions global'!$A:$YP,ROW(A60)-ROW($A$2)+4,COLUMN(A60)-COLUMN($A$2)+1+$B$1)</f>
        <v>60</v>
      </c>
      <c r="B61" s="106" t="str" cm="1">
        <f t="array" ref="B61">INDEX('Questions global'!$A:$YP,ROW(B60)-ROW($A$2)+4,COLUMN(B60)-COLUMN($A$2)+1+$B$1)</f>
        <v/>
      </c>
      <c r="C61" s="106" t="str" cm="1">
        <f t="array" ref="C61">INDEX('Questions global'!$A:$YP,ROW(C60)-ROW($A$2)+4,COLUMN(C60)-COLUMN($A$2)+1+$B$1)</f>
        <v/>
      </c>
      <c r="D61" s="126" t="str" cm="1">
        <f t="array" ref="D61">INDEX('Questions global'!$A:$YP,ROW(D60)-ROW($A$2)+4,COLUMN(D60)-COLUMN($A$2)+1+$B$1)</f>
        <v/>
      </c>
      <c r="E61" s="104" t="str" cm="1">
        <f t="array" aca="1" ref="E61" ca="1">INDEX('Questions global'!$A:$YP,ROW(E60)-ROW($A$2)+4,COLUMN(E60)-COLUMN($A$2)+1+$B$1)</f>
        <v xml:space="preserve">   </v>
      </c>
      <c r="F61" s="105" t="str" cm="1">
        <f t="array" ref="F61">INDEX('Questions global'!$A:$YP,ROW(F60)-ROW($A$2)+4,COLUMN(F60)-COLUMN($A$2)+1+$B$1)</f>
        <v xml:space="preserve"> </v>
      </c>
      <c r="G61" s="112" t="str" cm="1">
        <f t="array" ref="G61">INDEX('Questions global'!$A:$YP,ROW(G60)-ROW($A$2)+4,COLUMN(G60)-COLUMN($A$2)+1+$B$1)</f>
        <v/>
      </c>
      <c r="H61" s="104" t="str" cm="1">
        <f t="array" aca="1" ref="H61" ca="1">INDEX('Questions global'!$A:$YP,ROW(H60)-ROW($A$2)+4,COLUMN(H60)-COLUMN($A$2)+1+$B$1)</f>
        <v/>
      </c>
      <c r="I61" s="119" t="str" cm="1">
        <f t="array" aca="1" ref="I61" ca="1">INDEX('Questions global'!$A:$YP,ROW(I60)-ROW($A$2)+4,COLUMN(I60)-COLUMN($A$2)+1+$B$1)</f>
        <v/>
      </c>
    </row>
    <row r="62" spans="1:9" x14ac:dyDescent="0.3">
      <c r="A62" s="118" cm="1">
        <f t="array" ref="A62">INDEX('Questions global'!$A:$YP,ROW(A61)-ROW($A$2)+4,COLUMN(A61)-COLUMN($A$2)+1+$B$1)</f>
        <v>61</v>
      </c>
      <c r="B62" s="106" t="str" cm="1">
        <f t="array" ref="B62">INDEX('Questions global'!$A:$YP,ROW(B61)-ROW($A$2)+4,COLUMN(B61)-COLUMN($A$2)+1+$B$1)</f>
        <v/>
      </c>
      <c r="C62" s="106" t="str" cm="1">
        <f t="array" ref="C62">INDEX('Questions global'!$A:$YP,ROW(C61)-ROW($A$2)+4,COLUMN(C61)-COLUMN($A$2)+1+$B$1)</f>
        <v/>
      </c>
      <c r="D62" s="126" t="str" cm="1">
        <f t="array" ref="D62">INDEX('Questions global'!$A:$YP,ROW(D61)-ROW($A$2)+4,COLUMN(D61)-COLUMN($A$2)+1+$B$1)</f>
        <v/>
      </c>
      <c r="E62" s="104" t="str" cm="1">
        <f t="array" aca="1" ref="E62" ca="1">INDEX('Questions global'!$A:$YP,ROW(E61)-ROW($A$2)+4,COLUMN(E61)-COLUMN($A$2)+1+$B$1)</f>
        <v xml:space="preserve">   </v>
      </c>
      <c r="F62" s="105" t="str" cm="1">
        <f t="array" ref="F62">INDEX('Questions global'!$A:$YP,ROW(F61)-ROW($A$2)+4,COLUMN(F61)-COLUMN($A$2)+1+$B$1)</f>
        <v xml:space="preserve"> </v>
      </c>
      <c r="G62" s="112" t="str" cm="1">
        <f t="array" ref="G62">INDEX('Questions global'!$A:$YP,ROW(G61)-ROW($A$2)+4,COLUMN(G61)-COLUMN($A$2)+1+$B$1)</f>
        <v/>
      </c>
      <c r="H62" s="104" t="str" cm="1">
        <f t="array" aca="1" ref="H62" ca="1">INDEX('Questions global'!$A:$YP,ROW(H61)-ROW($A$2)+4,COLUMN(H61)-COLUMN($A$2)+1+$B$1)</f>
        <v/>
      </c>
      <c r="I62" s="119" t="str" cm="1">
        <f t="array" aca="1" ref="I62" ca="1">INDEX('Questions global'!$A:$YP,ROW(I61)-ROW($A$2)+4,COLUMN(I61)-COLUMN($A$2)+1+$B$1)</f>
        <v/>
      </c>
    </row>
    <row r="63" spans="1:9" x14ac:dyDescent="0.3">
      <c r="A63" s="118" cm="1">
        <f t="array" ref="A63">INDEX('Questions global'!$A:$YP,ROW(A62)-ROW($A$2)+4,COLUMN(A62)-COLUMN($A$2)+1+$B$1)</f>
        <v>62</v>
      </c>
      <c r="B63" s="106" t="str" cm="1">
        <f t="array" ref="B63">INDEX('Questions global'!$A:$YP,ROW(B62)-ROW($A$2)+4,COLUMN(B62)-COLUMN($A$2)+1+$B$1)</f>
        <v/>
      </c>
      <c r="C63" s="106" t="str" cm="1">
        <f t="array" ref="C63">INDEX('Questions global'!$A:$YP,ROW(C62)-ROW($A$2)+4,COLUMN(C62)-COLUMN($A$2)+1+$B$1)</f>
        <v/>
      </c>
      <c r="D63" s="126" t="str" cm="1">
        <f t="array" ref="D63">INDEX('Questions global'!$A:$YP,ROW(D62)-ROW($A$2)+4,COLUMN(D62)-COLUMN($A$2)+1+$B$1)</f>
        <v/>
      </c>
      <c r="E63" s="104" t="str" cm="1">
        <f t="array" aca="1" ref="E63" ca="1">INDEX('Questions global'!$A:$YP,ROW(E62)-ROW($A$2)+4,COLUMN(E62)-COLUMN($A$2)+1+$B$1)</f>
        <v xml:space="preserve">   </v>
      </c>
      <c r="F63" s="105" t="str" cm="1">
        <f t="array" ref="F63">INDEX('Questions global'!$A:$YP,ROW(F62)-ROW($A$2)+4,COLUMN(F62)-COLUMN($A$2)+1+$B$1)</f>
        <v xml:space="preserve"> </v>
      </c>
      <c r="G63" s="112" t="str" cm="1">
        <f t="array" ref="G63">INDEX('Questions global'!$A:$YP,ROW(G62)-ROW($A$2)+4,COLUMN(G62)-COLUMN($A$2)+1+$B$1)</f>
        <v/>
      </c>
      <c r="H63" s="104" t="str" cm="1">
        <f t="array" aca="1" ref="H63" ca="1">INDEX('Questions global'!$A:$YP,ROW(H62)-ROW($A$2)+4,COLUMN(H62)-COLUMN($A$2)+1+$B$1)</f>
        <v/>
      </c>
      <c r="I63" s="119" t="str" cm="1">
        <f t="array" aca="1" ref="I63" ca="1">INDEX('Questions global'!$A:$YP,ROW(I62)-ROW($A$2)+4,COLUMN(I62)-COLUMN($A$2)+1+$B$1)</f>
        <v/>
      </c>
    </row>
    <row r="64" spans="1:9" x14ac:dyDescent="0.3">
      <c r="A64" s="118" cm="1">
        <f t="array" ref="A64">INDEX('Questions global'!$A:$YP,ROW(A63)-ROW($A$2)+4,COLUMN(A63)-COLUMN($A$2)+1+$B$1)</f>
        <v>63</v>
      </c>
      <c r="B64" s="106" t="str" cm="1">
        <f t="array" ref="B64">INDEX('Questions global'!$A:$YP,ROW(B63)-ROW($A$2)+4,COLUMN(B63)-COLUMN($A$2)+1+$B$1)</f>
        <v/>
      </c>
      <c r="C64" s="106" t="str" cm="1">
        <f t="array" ref="C64">INDEX('Questions global'!$A:$YP,ROW(C63)-ROW($A$2)+4,COLUMN(C63)-COLUMN($A$2)+1+$B$1)</f>
        <v/>
      </c>
      <c r="D64" s="126" t="str" cm="1">
        <f t="array" ref="D64">INDEX('Questions global'!$A:$YP,ROW(D63)-ROW($A$2)+4,COLUMN(D63)-COLUMN($A$2)+1+$B$1)</f>
        <v/>
      </c>
      <c r="E64" s="104" t="str" cm="1">
        <f t="array" aca="1" ref="E64" ca="1">INDEX('Questions global'!$A:$YP,ROW(E63)-ROW($A$2)+4,COLUMN(E63)-COLUMN($A$2)+1+$B$1)</f>
        <v xml:space="preserve">   </v>
      </c>
      <c r="F64" s="105" t="str" cm="1">
        <f t="array" ref="F64">INDEX('Questions global'!$A:$YP,ROW(F63)-ROW($A$2)+4,COLUMN(F63)-COLUMN($A$2)+1+$B$1)</f>
        <v xml:space="preserve"> </v>
      </c>
      <c r="G64" s="112" t="str" cm="1">
        <f t="array" ref="G64">INDEX('Questions global'!$A:$YP,ROW(G63)-ROW($A$2)+4,COLUMN(G63)-COLUMN($A$2)+1+$B$1)</f>
        <v/>
      </c>
      <c r="H64" s="104" t="str" cm="1">
        <f t="array" aca="1" ref="H64" ca="1">INDEX('Questions global'!$A:$YP,ROW(H63)-ROW($A$2)+4,COLUMN(H63)-COLUMN($A$2)+1+$B$1)</f>
        <v/>
      </c>
      <c r="I64" s="119" t="str" cm="1">
        <f t="array" aca="1" ref="I64" ca="1">INDEX('Questions global'!$A:$YP,ROW(I63)-ROW($A$2)+4,COLUMN(I63)-COLUMN($A$2)+1+$B$1)</f>
        <v/>
      </c>
    </row>
    <row r="65" spans="1:9" x14ac:dyDescent="0.3">
      <c r="A65" s="118" cm="1">
        <f t="array" ref="A65">INDEX('Questions global'!$A:$YP,ROW(A64)-ROW($A$2)+4,COLUMN(A64)-COLUMN($A$2)+1+$B$1)</f>
        <v>64</v>
      </c>
      <c r="B65" s="106" t="str" cm="1">
        <f t="array" ref="B65">INDEX('Questions global'!$A:$YP,ROW(B64)-ROW($A$2)+4,COLUMN(B64)-COLUMN($A$2)+1+$B$1)</f>
        <v/>
      </c>
      <c r="C65" s="106" t="str" cm="1">
        <f t="array" ref="C65">INDEX('Questions global'!$A:$YP,ROW(C64)-ROW($A$2)+4,COLUMN(C64)-COLUMN($A$2)+1+$B$1)</f>
        <v/>
      </c>
      <c r="D65" s="126" t="str" cm="1">
        <f t="array" ref="D65">INDEX('Questions global'!$A:$YP,ROW(D64)-ROW($A$2)+4,COLUMN(D64)-COLUMN($A$2)+1+$B$1)</f>
        <v/>
      </c>
      <c r="E65" s="104" t="str" cm="1">
        <f t="array" aca="1" ref="E65" ca="1">INDEX('Questions global'!$A:$YP,ROW(E64)-ROW($A$2)+4,COLUMN(E64)-COLUMN($A$2)+1+$B$1)</f>
        <v xml:space="preserve">   </v>
      </c>
      <c r="F65" s="105" t="str" cm="1">
        <f t="array" ref="F65">INDEX('Questions global'!$A:$YP,ROW(F64)-ROW($A$2)+4,COLUMN(F64)-COLUMN($A$2)+1+$B$1)</f>
        <v xml:space="preserve"> </v>
      </c>
      <c r="G65" s="112" t="str" cm="1">
        <f t="array" ref="G65">INDEX('Questions global'!$A:$YP,ROW(G64)-ROW($A$2)+4,COLUMN(G64)-COLUMN($A$2)+1+$B$1)</f>
        <v/>
      </c>
      <c r="H65" s="104" t="str" cm="1">
        <f t="array" aca="1" ref="H65" ca="1">INDEX('Questions global'!$A:$YP,ROW(H64)-ROW($A$2)+4,COLUMN(H64)-COLUMN($A$2)+1+$B$1)</f>
        <v/>
      </c>
      <c r="I65" s="119" t="str" cm="1">
        <f t="array" aca="1" ref="I65" ca="1">INDEX('Questions global'!$A:$YP,ROW(I64)-ROW($A$2)+4,COLUMN(I64)-COLUMN($A$2)+1+$B$1)</f>
        <v/>
      </c>
    </row>
    <row r="66" spans="1:9" x14ac:dyDescent="0.3">
      <c r="A66" s="118" cm="1">
        <f t="array" ref="A66">INDEX('Questions global'!$A:$YP,ROW(A65)-ROW($A$2)+4,COLUMN(A65)-COLUMN($A$2)+1+$B$1)</f>
        <v>65</v>
      </c>
      <c r="B66" s="106" t="str" cm="1">
        <f t="array" ref="B66">INDEX('Questions global'!$A:$YP,ROW(B65)-ROW($A$2)+4,COLUMN(B65)-COLUMN($A$2)+1+$B$1)</f>
        <v/>
      </c>
      <c r="C66" s="106" t="str" cm="1">
        <f t="array" ref="C66">INDEX('Questions global'!$A:$YP,ROW(C65)-ROW($A$2)+4,COLUMN(C65)-COLUMN($A$2)+1+$B$1)</f>
        <v/>
      </c>
      <c r="D66" s="126" t="str" cm="1">
        <f t="array" ref="D66">INDEX('Questions global'!$A:$YP,ROW(D65)-ROW($A$2)+4,COLUMN(D65)-COLUMN($A$2)+1+$B$1)</f>
        <v/>
      </c>
      <c r="E66" s="104" t="str" cm="1">
        <f t="array" aca="1" ref="E66" ca="1">INDEX('Questions global'!$A:$YP,ROW(E65)-ROW($A$2)+4,COLUMN(E65)-COLUMN($A$2)+1+$B$1)</f>
        <v xml:space="preserve">   </v>
      </c>
      <c r="F66" s="105" t="str" cm="1">
        <f t="array" ref="F66">INDEX('Questions global'!$A:$YP,ROW(F65)-ROW($A$2)+4,COLUMN(F65)-COLUMN($A$2)+1+$B$1)</f>
        <v xml:space="preserve"> </v>
      </c>
      <c r="G66" s="112" t="str" cm="1">
        <f t="array" ref="G66">INDEX('Questions global'!$A:$YP,ROW(G65)-ROW($A$2)+4,COLUMN(G65)-COLUMN($A$2)+1+$B$1)</f>
        <v/>
      </c>
      <c r="H66" s="104" t="str" cm="1">
        <f t="array" aca="1" ref="H66" ca="1">INDEX('Questions global'!$A:$YP,ROW(H65)-ROW($A$2)+4,COLUMN(H65)-COLUMN($A$2)+1+$B$1)</f>
        <v/>
      </c>
      <c r="I66" s="119" t="str" cm="1">
        <f t="array" aca="1" ref="I66" ca="1">INDEX('Questions global'!$A:$YP,ROW(I65)-ROW($A$2)+4,COLUMN(I65)-COLUMN($A$2)+1+$B$1)</f>
        <v/>
      </c>
    </row>
    <row r="67" spans="1:9" x14ac:dyDescent="0.3">
      <c r="A67" s="118" cm="1">
        <f t="array" ref="A67">INDEX('Questions global'!$A:$YP,ROW(A66)-ROW($A$2)+4,COLUMN(A66)-COLUMN($A$2)+1+$B$1)</f>
        <v>66</v>
      </c>
      <c r="B67" s="106" t="str" cm="1">
        <f t="array" ref="B67">INDEX('Questions global'!$A:$YP,ROW(B66)-ROW($A$2)+4,COLUMN(B66)-COLUMN($A$2)+1+$B$1)</f>
        <v/>
      </c>
      <c r="C67" s="106" t="str" cm="1">
        <f t="array" ref="C67">INDEX('Questions global'!$A:$YP,ROW(C66)-ROW($A$2)+4,COLUMN(C66)-COLUMN($A$2)+1+$B$1)</f>
        <v/>
      </c>
      <c r="D67" s="126" t="str" cm="1">
        <f t="array" ref="D67">INDEX('Questions global'!$A:$YP,ROW(D66)-ROW($A$2)+4,COLUMN(D66)-COLUMN($A$2)+1+$B$1)</f>
        <v/>
      </c>
      <c r="E67" s="104" t="str" cm="1">
        <f t="array" aca="1" ref="E67" ca="1">INDEX('Questions global'!$A:$YP,ROW(E66)-ROW($A$2)+4,COLUMN(E66)-COLUMN($A$2)+1+$B$1)</f>
        <v xml:space="preserve">   </v>
      </c>
      <c r="F67" s="105" t="str" cm="1">
        <f t="array" ref="F67">INDEX('Questions global'!$A:$YP,ROW(F66)-ROW($A$2)+4,COLUMN(F66)-COLUMN($A$2)+1+$B$1)</f>
        <v xml:space="preserve"> </v>
      </c>
      <c r="G67" s="112" t="str" cm="1">
        <f t="array" ref="G67">INDEX('Questions global'!$A:$YP,ROW(G66)-ROW($A$2)+4,COLUMN(G66)-COLUMN($A$2)+1+$B$1)</f>
        <v/>
      </c>
      <c r="H67" s="104" t="str" cm="1">
        <f t="array" aca="1" ref="H67" ca="1">INDEX('Questions global'!$A:$YP,ROW(H66)-ROW($A$2)+4,COLUMN(H66)-COLUMN($A$2)+1+$B$1)</f>
        <v/>
      </c>
      <c r="I67" s="119" t="str" cm="1">
        <f t="array" aca="1" ref="I67" ca="1">INDEX('Questions global'!$A:$YP,ROW(I66)-ROW($A$2)+4,COLUMN(I66)-COLUMN($A$2)+1+$B$1)</f>
        <v/>
      </c>
    </row>
    <row r="68" spans="1:9" x14ac:dyDescent="0.3">
      <c r="A68" s="118" cm="1">
        <f t="array" ref="A68">INDEX('Questions global'!$A:$YP,ROW(A67)-ROW($A$2)+4,COLUMN(A67)-COLUMN($A$2)+1+$B$1)</f>
        <v>67</v>
      </c>
      <c r="B68" s="106" t="str" cm="1">
        <f t="array" ref="B68">INDEX('Questions global'!$A:$YP,ROW(B67)-ROW($A$2)+4,COLUMN(B67)-COLUMN($A$2)+1+$B$1)</f>
        <v/>
      </c>
      <c r="C68" s="106" t="str" cm="1">
        <f t="array" ref="C68">INDEX('Questions global'!$A:$YP,ROW(C67)-ROW($A$2)+4,COLUMN(C67)-COLUMN($A$2)+1+$B$1)</f>
        <v/>
      </c>
      <c r="D68" s="126" t="str" cm="1">
        <f t="array" ref="D68">INDEX('Questions global'!$A:$YP,ROW(D67)-ROW($A$2)+4,COLUMN(D67)-COLUMN($A$2)+1+$B$1)</f>
        <v/>
      </c>
      <c r="E68" s="104" t="str" cm="1">
        <f t="array" aca="1" ref="E68" ca="1">INDEX('Questions global'!$A:$YP,ROW(E67)-ROW($A$2)+4,COLUMN(E67)-COLUMN($A$2)+1+$B$1)</f>
        <v xml:space="preserve">   </v>
      </c>
      <c r="F68" s="105" t="str" cm="1">
        <f t="array" ref="F68">INDEX('Questions global'!$A:$YP,ROW(F67)-ROW($A$2)+4,COLUMN(F67)-COLUMN($A$2)+1+$B$1)</f>
        <v xml:space="preserve"> </v>
      </c>
      <c r="G68" s="112" t="str" cm="1">
        <f t="array" ref="G68">INDEX('Questions global'!$A:$YP,ROW(G67)-ROW($A$2)+4,COLUMN(G67)-COLUMN($A$2)+1+$B$1)</f>
        <v/>
      </c>
      <c r="H68" s="104" t="str" cm="1">
        <f t="array" aca="1" ref="H68" ca="1">INDEX('Questions global'!$A:$YP,ROW(H67)-ROW($A$2)+4,COLUMN(H67)-COLUMN($A$2)+1+$B$1)</f>
        <v/>
      </c>
      <c r="I68" s="119" t="str" cm="1">
        <f t="array" aca="1" ref="I68" ca="1">INDEX('Questions global'!$A:$YP,ROW(I67)-ROW($A$2)+4,COLUMN(I67)-COLUMN($A$2)+1+$B$1)</f>
        <v/>
      </c>
    </row>
    <row r="69" spans="1:9" x14ac:dyDescent="0.3">
      <c r="A69" s="118" cm="1">
        <f t="array" ref="A69">INDEX('Questions global'!$A:$YP,ROW(A68)-ROW($A$2)+4,COLUMN(A68)-COLUMN($A$2)+1+$B$1)</f>
        <v>68</v>
      </c>
      <c r="B69" s="106" t="str" cm="1">
        <f t="array" ref="B69">INDEX('Questions global'!$A:$YP,ROW(B68)-ROW($A$2)+4,COLUMN(B68)-COLUMN($A$2)+1+$B$1)</f>
        <v/>
      </c>
      <c r="C69" s="106" t="str" cm="1">
        <f t="array" ref="C69">INDEX('Questions global'!$A:$YP,ROW(C68)-ROW($A$2)+4,COLUMN(C68)-COLUMN($A$2)+1+$B$1)</f>
        <v/>
      </c>
      <c r="D69" s="126" t="str" cm="1">
        <f t="array" ref="D69">INDEX('Questions global'!$A:$YP,ROW(D68)-ROW($A$2)+4,COLUMN(D68)-COLUMN($A$2)+1+$B$1)</f>
        <v/>
      </c>
      <c r="E69" s="104" t="str" cm="1">
        <f t="array" aca="1" ref="E69" ca="1">INDEX('Questions global'!$A:$YP,ROW(E68)-ROW($A$2)+4,COLUMN(E68)-COLUMN($A$2)+1+$B$1)</f>
        <v xml:space="preserve">   </v>
      </c>
      <c r="F69" s="105" t="str" cm="1">
        <f t="array" ref="F69">INDEX('Questions global'!$A:$YP,ROW(F68)-ROW($A$2)+4,COLUMN(F68)-COLUMN($A$2)+1+$B$1)</f>
        <v xml:space="preserve"> </v>
      </c>
      <c r="G69" s="112" t="str" cm="1">
        <f t="array" ref="G69">INDEX('Questions global'!$A:$YP,ROW(G68)-ROW($A$2)+4,COLUMN(G68)-COLUMN($A$2)+1+$B$1)</f>
        <v/>
      </c>
      <c r="H69" s="104" t="str" cm="1">
        <f t="array" aca="1" ref="H69" ca="1">INDEX('Questions global'!$A:$YP,ROW(H68)-ROW($A$2)+4,COLUMN(H68)-COLUMN($A$2)+1+$B$1)</f>
        <v/>
      </c>
      <c r="I69" s="119" t="str" cm="1">
        <f t="array" aca="1" ref="I69" ca="1">INDEX('Questions global'!$A:$YP,ROW(I68)-ROW($A$2)+4,COLUMN(I68)-COLUMN($A$2)+1+$B$1)</f>
        <v/>
      </c>
    </row>
    <row r="70" spans="1:9" x14ac:dyDescent="0.3">
      <c r="A70" s="118" cm="1">
        <f t="array" ref="A70">INDEX('Questions global'!$A:$YP,ROW(A69)-ROW($A$2)+4,COLUMN(A69)-COLUMN($A$2)+1+$B$1)</f>
        <v>69</v>
      </c>
      <c r="B70" s="106" t="str" cm="1">
        <f t="array" ref="B70">INDEX('Questions global'!$A:$YP,ROW(B69)-ROW($A$2)+4,COLUMN(B69)-COLUMN($A$2)+1+$B$1)</f>
        <v/>
      </c>
      <c r="C70" s="106" t="str" cm="1">
        <f t="array" ref="C70">INDEX('Questions global'!$A:$YP,ROW(C69)-ROW($A$2)+4,COLUMN(C69)-COLUMN($A$2)+1+$B$1)</f>
        <v/>
      </c>
      <c r="D70" s="126" t="str" cm="1">
        <f t="array" ref="D70">INDEX('Questions global'!$A:$YP,ROW(D69)-ROW($A$2)+4,COLUMN(D69)-COLUMN($A$2)+1+$B$1)</f>
        <v/>
      </c>
      <c r="E70" s="104" t="str" cm="1">
        <f t="array" aca="1" ref="E70" ca="1">INDEX('Questions global'!$A:$YP,ROW(E69)-ROW($A$2)+4,COLUMN(E69)-COLUMN($A$2)+1+$B$1)</f>
        <v xml:space="preserve">   </v>
      </c>
      <c r="F70" s="105" t="str" cm="1">
        <f t="array" ref="F70">INDEX('Questions global'!$A:$YP,ROW(F69)-ROW($A$2)+4,COLUMN(F69)-COLUMN($A$2)+1+$B$1)</f>
        <v xml:space="preserve"> </v>
      </c>
      <c r="G70" s="112" t="str" cm="1">
        <f t="array" ref="G70">INDEX('Questions global'!$A:$YP,ROW(G69)-ROW($A$2)+4,COLUMN(G69)-COLUMN($A$2)+1+$B$1)</f>
        <v/>
      </c>
      <c r="H70" s="104" t="str" cm="1">
        <f t="array" aca="1" ref="H70" ca="1">INDEX('Questions global'!$A:$YP,ROW(H69)-ROW($A$2)+4,COLUMN(H69)-COLUMN($A$2)+1+$B$1)</f>
        <v/>
      </c>
      <c r="I70" s="119" t="str" cm="1">
        <f t="array" aca="1" ref="I70" ca="1">INDEX('Questions global'!$A:$YP,ROW(I69)-ROW($A$2)+4,COLUMN(I69)-COLUMN($A$2)+1+$B$1)</f>
        <v/>
      </c>
    </row>
    <row r="71" spans="1:9" x14ac:dyDescent="0.3">
      <c r="A71" s="118" cm="1">
        <f t="array" ref="A71">INDEX('Questions global'!$A:$YP,ROW(A70)-ROW($A$2)+4,COLUMN(A70)-COLUMN($A$2)+1+$B$1)</f>
        <v>70</v>
      </c>
      <c r="B71" s="106" t="str" cm="1">
        <f t="array" ref="B71">INDEX('Questions global'!$A:$YP,ROW(B70)-ROW($A$2)+4,COLUMN(B70)-COLUMN($A$2)+1+$B$1)</f>
        <v/>
      </c>
      <c r="C71" s="106" t="str" cm="1">
        <f t="array" ref="C71">INDEX('Questions global'!$A:$YP,ROW(C70)-ROW($A$2)+4,COLUMN(C70)-COLUMN($A$2)+1+$B$1)</f>
        <v/>
      </c>
      <c r="D71" s="126" t="str" cm="1">
        <f t="array" ref="D71">INDEX('Questions global'!$A:$YP,ROW(D70)-ROW($A$2)+4,COLUMN(D70)-COLUMN($A$2)+1+$B$1)</f>
        <v/>
      </c>
      <c r="E71" s="104" t="str" cm="1">
        <f t="array" aca="1" ref="E71" ca="1">INDEX('Questions global'!$A:$YP,ROW(E70)-ROW($A$2)+4,COLUMN(E70)-COLUMN($A$2)+1+$B$1)</f>
        <v xml:space="preserve">   </v>
      </c>
      <c r="F71" s="105" t="str" cm="1">
        <f t="array" ref="F71">INDEX('Questions global'!$A:$YP,ROW(F70)-ROW($A$2)+4,COLUMN(F70)-COLUMN($A$2)+1+$B$1)</f>
        <v xml:space="preserve"> </v>
      </c>
      <c r="G71" s="112" t="str" cm="1">
        <f t="array" ref="G71">INDEX('Questions global'!$A:$YP,ROW(G70)-ROW($A$2)+4,COLUMN(G70)-COLUMN($A$2)+1+$B$1)</f>
        <v/>
      </c>
      <c r="H71" s="104" cm="1">
        <f t="array" ref="H71">INDEX('Questions global'!$A:$YP,ROW(H70)-ROW($A$2)+4,COLUMN(H70)-COLUMN($A$2)+1+$B$1)</f>
        <v>0</v>
      </c>
      <c r="I71" s="119" cm="1">
        <f t="array" ref="I71">INDEX('Questions global'!$A:$YP,ROW(I70)-ROW($A$2)+4,COLUMN(I70)-COLUMN($A$2)+1+$B$1)</f>
        <v>0</v>
      </c>
    </row>
    <row r="72" spans="1:9" ht="15" thickBot="1" x14ac:dyDescent="0.35">
      <c r="A72" s="120" cm="1">
        <f t="array" ref="A72">INDEX('Questions global'!$A:$YP,ROW(A71)-ROW($A$2)+4,COLUMN(A71)-COLUMN($A$2)+1+$B$1)</f>
        <v>0</v>
      </c>
      <c r="B72" s="106" cm="1">
        <f t="array" ref="B72">INDEX('Questions global'!$A:$YP,ROW(B71)-ROW($A$2)+4,COLUMN(B71)-COLUMN($A$2)+1+$B$1)</f>
        <v>0</v>
      </c>
      <c r="C72" s="121" cm="1">
        <f t="array" ref="C72">INDEX('Questions global'!$A:$YP,ROW(C71)-ROW($A$2)+4,COLUMN(C71)-COLUMN($A$2)+1+$B$1)</f>
        <v>0</v>
      </c>
      <c r="D72" s="127" cm="1">
        <f t="array" ref="D72">INDEX('Questions global'!$A:$YP,ROW(D71)-ROW($A$2)+4,COLUMN(D71)-COLUMN($A$2)+1+$B$1)</f>
        <v>0</v>
      </c>
      <c r="E72" s="124" cm="1">
        <f t="array" ref="E72">INDEX('Questions global'!$A:$YP,ROW(E71)-ROW($A$2)+4,COLUMN(E71)-COLUMN($A$2)+1+$B$1)</f>
        <v>0</v>
      </c>
      <c r="F72" s="122" cm="1">
        <f t="array" ref="F72">INDEX('Questions global'!$A:$YP,ROW(F71)-ROW($A$2)+4,COLUMN(F71)-COLUMN($A$2)+1+$B$1)</f>
        <v>0</v>
      </c>
      <c r="G72" s="123" cm="1">
        <f t="array" ref="G72">INDEX('Questions global'!$A:$YP,ROW(G71)-ROW($A$2)+4,COLUMN(G71)-COLUMN($A$2)+1+$B$1)</f>
        <v>0</v>
      </c>
      <c r="H72" s="124" cm="1">
        <f t="array" ref="H72">INDEX('Questions global'!$A:$YP,ROW(H71)-ROW($A$2)+4,COLUMN(H71)-COLUMN($A$2)+1+$B$1)</f>
        <v>0</v>
      </c>
      <c r="I72" s="125" cm="1">
        <f t="array" ref="I72">INDEX('Questions global'!$A:$YP,ROW(I71)-ROW($A$2)+4,COLUMN(I71)-COLUMN($A$2)+1+$B$1)</f>
        <v>0</v>
      </c>
    </row>
    <row r="73" spans="1:9" ht="15" thickTop="1" x14ac:dyDescent="0.3"/>
  </sheetData>
  <conditionalFormatting sqref="G3:G72">
    <cfRule type="cellIs" dxfId="5" priority="3" operator="equal">
      <formula>"NON"</formula>
    </cfRule>
    <cfRule type="cellIs" dxfId="4" priority="4" operator="equal">
      <formula>"OUI"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5EEF-853A-48DA-8018-42DA7BF80ADE}">
  <sheetPr>
    <tabColor rgb="FFFFFF00"/>
  </sheetPr>
  <dimension ref="A1:I73"/>
  <sheetViews>
    <sheetView zoomScale="70" zoomScaleNormal="70" workbookViewId="0">
      <selection activeCell="F1" sqref="F1"/>
    </sheetView>
  </sheetViews>
  <sheetFormatPr baseColWidth="10" defaultRowHeight="14.4" outlineLevelCol="1" x14ac:dyDescent="0.3"/>
  <cols>
    <col min="1" max="1" width="20.44140625" bestFit="1" customWidth="1"/>
    <col min="2" max="2" width="9.44140625" bestFit="1" customWidth="1"/>
    <col min="3" max="3" width="27.6640625" customWidth="1"/>
    <col min="4" max="4" width="14.5546875" bestFit="1" customWidth="1" outlineLevel="1"/>
    <col min="5" max="5" width="11.109375" bestFit="1" customWidth="1"/>
    <col min="6" max="6" width="54.33203125" bestFit="1" customWidth="1"/>
    <col min="7" max="7" width="11.6640625" bestFit="1" customWidth="1"/>
    <col min="8" max="8" width="29.5546875" customWidth="1"/>
    <col min="9" max="9" width="11.21875" bestFit="1" customWidth="1"/>
  </cols>
  <sheetData>
    <row r="1" spans="1:9" ht="24.6" thickTop="1" thickBot="1" x14ac:dyDescent="0.35">
      <c r="A1" s="173" t="s">
        <v>98</v>
      </c>
      <c r="B1" s="173">
        <f>27+9+9</f>
        <v>45</v>
      </c>
      <c r="C1" s="174"/>
      <c r="D1" s="174"/>
      <c r="E1" s="174"/>
      <c r="F1" s="174" t="str" cm="1">
        <f t="array" ref="F1">IFERROR(INDEX('Questions global'!$A:$YP,1,1+$B$1), "")</f>
        <v>Entreprise 6</v>
      </c>
      <c r="G1" s="174"/>
      <c r="H1" s="174"/>
      <c r="I1" s="174"/>
    </row>
    <row r="2" spans="1:9" ht="16.5" customHeight="1" thickTop="1" x14ac:dyDescent="0.3">
      <c r="A2" s="113" t="s">
        <v>77</v>
      </c>
      <c r="B2" s="114" t="s">
        <v>80</v>
      </c>
      <c r="C2" s="115" t="s">
        <v>81</v>
      </c>
      <c r="D2" s="142" t="s">
        <v>88</v>
      </c>
      <c r="E2" s="142" t="s">
        <v>83</v>
      </c>
      <c r="F2" s="116" t="s">
        <v>78</v>
      </c>
      <c r="G2" s="117" t="s">
        <v>1</v>
      </c>
      <c r="H2" s="144" t="s">
        <v>104</v>
      </c>
      <c r="I2" s="145" t="s">
        <v>105</v>
      </c>
    </row>
    <row r="3" spans="1:9" ht="16.5" customHeight="1" x14ac:dyDescent="0.3">
      <c r="A3" s="118" cm="1">
        <f t="array" ref="A3">INDEX('Questions global'!$A:$YP,ROW(A2)-ROW($A$2)+4,COLUMN(A2)-COLUMN($A$2)+1+$B$1)</f>
        <v>2</v>
      </c>
      <c r="B3" s="106" t="str" cm="1">
        <f t="array" ref="B3">INDEX('Questions global'!$A:$YP,ROW(B2)-ROW($A$2)+4,COLUMN(B2)-COLUMN($A$2)+1+$B$1)</f>
        <v/>
      </c>
      <c r="C3" s="106" t="str" cm="1">
        <f t="array" ref="C3">INDEX('Questions global'!$A:$YP,ROW(C2)-ROW($A$2)+4,COLUMN(C2)-COLUMN($A$2)+1+$B$1)</f>
        <v/>
      </c>
      <c r="D3" s="126" t="str" cm="1">
        <f t="array" ref="D3">INDEX('Questions global'!$A:$YP,ROW(D2)-ROW($A$2)+4,COLUMN(D2)-COLUMN($A$2)+1+$B$1)</f>
        <v/>
      </c>
      <c r="E3" s="104" t="str" cm="1">
        <f t="array" aca="1" ref="E3" ca="1">INDEX('Questions global'!$A:$YP,ROW(E2)-ROW($A$2)+4,COLUMN(E2)-COLUMN($A$2)+1+$B$1)</f>
        <v xml:space="preserve">   </v>
      </c>
      <c r="F3" s="105" t="str" cm="1">
        <f t="array" ref="F3">INDEX('Questions global'!$A:$YP,ROW(F2)-ROW($A$2)+4,COLUMN(F2)-COLUMN($A$2)+1+$B$1)</f>
        <v xml:space="preserve"> </v>
      </c>
      <c r="G3" s="112" t="str" cm="1">
        <f t="array" ref="G3">INDEX('Questions global'!$A:$YP,ROW(G2)-ROW($A$2)+4,COLUMN(G2)-COLUMN($A$2)+1+$B$1)</f>
        <v/>
      </c>
      <c r="H3" s="104" t="str" cm="1">
        <f t="array" aca="1" ref="H3" ca="1">INDEX('Questions global'!$A:$YP,ROW(H2)-ROW($A$2)+4,COLUMN(H2)-COLUMN($A$2)+1+$B$1)</f>
        <v/>
      </c>
      <c r="I3" s="119" t="str" cm="1">
        <f t="array" aca="1" ref="I3" ca="1">INDEX('Questions global'!$A:$YP,ROW(I2)-ROW($A$2)+4,COLUMN(I2)-COLUMN($A$2)+1+$B$1)</f>
        <v/>
      </c>
    </row>
    <row r="4" spans="1:9" ht="15" customHeight="1" x14ac:dyDescent="0.3">
      <c r="A4" s="118" cm="1">
        <f t="array" ref="A4">INDEX('Questions global'!$A:$YP,ROW(A3)-ROW($A$2)+4,COLUMN(A3)-COLUMN($A$2)+1+$B$1)</f>
        <v>3</v>
      </c>
      <c r="B4" s="106" t="str" cm="1">
        <f t="array" ref="B4">INDEX('Questions global'!$A:$YP,ROW(B3)-ROW($A$2)+4,COLUMN(B3)-COLUMN($A$2)+1+$B$1)</f>
        <v/>
      </c>
      <c r="C4" s="106" t="str" cm="1">
        <f t="array" ref="C4">INDEX('Questions global'!$A:$YP,ROW(C3)-ROW($A$2)+4,COLUMN(C3)-COLUMN($A$2)+1+$B$1)</f>
        <v/>
      </c>
      <c r="D4" s="126" t="str" cm="1">
        <f t="array" ref="D4">INDEX('Questions global'!$A:$YP,ROW(D3)-ROW($A$2)+4,COLUMN(D3)-COLUMN($A$2)+1+$B$1)</f>
        <v/>
      </c>
      <c r="E4" s="104" t="str" cm="1">
        <f t="array" aca="1" ref="E4" ca="1">INDEX('Questions global'!$A:$YP,ROW(E3)-ROW($A$2)+4,COLUMN(E3)-COLUMN($A$2)+1+$B$1)</f>
        <v xml:space="preserve">   </v>
      </c>
      <c r="F4" s="105" t="str" cm="1">
        <f t="array" ref="F4">INDEX('Questions global'!$A:$YP,ROW(F3)-ROW($A$2)+4,COLUMN(F3)-COLUMN($A$2)+1+$B$1)</f>
        <v xml:space="preserve"> </v>
      </c>
      <c r="G4" s="112" t="str" cm="1">
        <f t="array" ref="G4">INDEX('Questions global'!$A:$YP,ROW(G3)-ROW($A$2)+4,COLUMN(G3)-COLUMN($A$2)+1+$B$1)</f>
        <v/>
      </c>
      <c r="H4" s="104" t="str" cm="1">
        <f t="array" aca="1" ref="H4" ca="1">INDEX('Questions global'!$A:$YP,ROW(H3)-ROW($A$2)+4,COLUMN(H3)-COLUMN($A$2)+1+$B$1)</f>
        <v/>
      </c>
      <c r="I4" s="119" t="str" cm="1">
        <f t="array" aca="1" ref="I4" ca="1">INDEX('Questions global'!$A:$YP,ROW(I3)-ROW($A$2)+4,COLUMN(I3)-COLUMN($A$2)+1+$B$1)</f>
        <v/>
      </c>
    </row>
    <row r="5" spans="1:9" ht="15" customHeight="1" x14ac:dyDescent="0.3">
      <c r="A5" s="118" cm="1">
        <f t="array" ref="A5">INDEX('Questions global'!$A:$YP,ROW(A4)-ROW($A$2)+4,COLUMN(A4)-COLUMN($A$2)+1+$B$1)</f>
        <v>4</v>
      </c>
      <c r="B5" s="106" t="str" cm="1">
        <f t="array" ref="B5">INDEX('Questions global'!$A:$YP,ROW(B4)-ROW($A$2)+4,COLUMN(B4)-COLUMN($A$2)+1+$B$1)</f>
        <v/>
      </c>
      <c r="C5" s="106" t="str" cm="1">
        <f t="array" ref="C5">INDEX('Questions global'!$A:$YP,ROW(C4)-ROW($A$2)+4,COLUMN(C4)-COLUMN($A$2)+1+$B$1)</f>
        <v/>
      </c>
      <c r="D5" s="126" t="str" cm="1">
        <f t="array" ref="D5">INDEX('Questions global'!$A:$YP,ROW(D4)-ROW($A$2)+4,COLUMN(D4)-COLUMN($A$2)+1+$B$1)</f>
        <v/>
      </c>
      <c r="E5" s="104" t="str" cm="1">
        <f t="array" aca="1" ref="E5" ca="1">INDEX('Questions global'!$A:$YP,ROW(E4)-ROW($A$2)+4,COLUMN(E4)-COLUMN($A$2)+1+$B$1)</f>
        <v xml:space="preserve">   </v>
      </c>
      <c r="F5" s="105" t="str" cm="1">
        <f t="array" ref="F5">INDEX('Questions global'!$A:$YP,ROW(F4)-ROW($A$2)+4,COLUMN(F4)-COLUMN($A$2)+1+$B$1)</f>
        <v xml:space="preserve"> </v>
      </c>
      <c r="G5" s="112" t="str" cm="1">
        <f t="array" ref="G5">INDEX('Questions global'!$A:$YP,ROW(G4)-ROW($A$2)+4,COLUMN(G4)-COLUMN($A$2)+1+$B$1)</f>
        <v/>
      </c>
      <c r="H5" s="104" t="str" cm="1">
        <f t="array" aca="1" ref="H5" ca="1">INDEX('Questions global'!$A:$YP,ROW(H4)-ROW($A$2)+4,COLUMN(H4)-COLUMN($A$2)+1+$B$1)</f>
        <v/>
      </c>
      <c r="I5" s="119" t="str" cm="1">
        <f t="array" aca="1" ref="I5" ca="1">INDEX('Questions global'!$A:$YP,ROW(I4)-ROW($A$2)+4,COLUMN(I4)-COLUMN($A$2)+1+$B$1)</f>
        <v/>
      </c>
    </row>
    <row r="6" spans="1:9" ht="15" customHeight="1" x14ac:dyDescent="0.3">
      <c r="A6" s="118" cm="1">
        <f t="array" ref="A6">INDEX('Questions global'!$A:$YP,ROW(A5)-ROW($A$2)+4,COLUMN(A5)-COLUMN($A$2)+1+$B$1)</f>
        <v>5</v>
      </c>
      <c r="B6" s="106" t="str" cm="1">
        <f t="array" ref="B6">INDEX('Questions global'!$A:$YP,ROW(B5)-ROW($A$2)+4,COLUMN(B5)-COLUMN($A$2)+1+$B$1)</f>
        <v/>
      </c>
      <c r="C6" s="106" t="str" cm="1">
        <f t="array" ref="C6">INDEX('Questions global'!$A:$YP,ROW(C5)-ROW($A$2)+4,COLUMN(C5)-COLUMN($A$2)+1+$B$1)</f>
        <v/>
      </c>
      <c r="D6" s="126" t="str" cm="1">
        <f t="array" ref="D6">INDEX('Questions global'!$A:$YP,ROW(D5)-ROW($A$2)+4,COLUMN(D5)-COLUMN($A$2)+1+$B$1)</f>
        <v/>
      </c>
      <c r="E6" s="104" t="str" cm="1">
        <f t="array" aca="1" ref="E6" ca="1">INDEX('Questions global'!$A:$YP,ROW(E5)-ROW($A$2)+4,COLUMN(E5)-COLUMN($A$2)+1+$B$1)</f>
        <v xml:space="preserve">   </v>
      </c>
      <c r="F6" s="105" t="str" cm="1">
        <f t="array" ref="F6">INDEX('Questions global'!$A:$YP,ROW(F5)-ROW($A$2)+4,COLUMN(F5)-COLUMN($A$2)+1+$B$1)</f>
        <v xml:space="preserve"> </v>
      </c>
      <c r="G6" s="112" t="str" cm="1">
        <f t="array" ref="G6">INDEX('Questions global'!$A:$YP,ROW(G5)-ROW($A$2)+4,COLUMN(G5)-COLUMN($A$2)+1+$B$1)</f>
        <v/>
      </c>
      <c r="H6" s="104" t="str" cm="1">
        <f t="array" aca="1" ref="H6" ca="1">INDEX('Questions global'!$A:$YP,ROW(H5)-ROW($A$2)+4,COLUMN(H5)-COLUMN($A$2)+1+$B$1)</f>
        <v/>
      </c>
      <c r="I6" s="119" t="str" cm="1">
        <f t="array" aca="1" ref="I6" ca="1">INDEX('Questions global'!$A:$YP,ROW(I5)-ROW($A$2)+4,COLUMN(I5)-COLUMN($A$2)+1+$B$1)</f>
        <v/>
      </c>
    </row>
    <row r="7" spans="1:9" ht="15" customHeight="1" x14ac:dyDescent="0.3">
      <c r="A7" s="118" cm="1">
        <f t="array" ref="A7">INDEX('Questions global'!$A:$YP,ROW(A6)-ROW($A$2)+4,COLUMN(A6)-COLUMN($A$2)+1+$B$1)</f>
        <v>6</v>
      </c>
      <c r="B7" s="106" t="str" cm="1">
        <f t="array" ref="B7">INDEX('Questions global'!$A:$YP,ROW(B6)-ROW($A$2)+4,COLUMN(B6)-COLUMN($A$2)+1+$B$1)</f>
        <v/>
      </c>
      <c r="C7" s="106" t="str" cm="1">
        <f t="array" ref="C7">INDEX('Questions global'!$A:$YP,ROW(C6)-ROW($A$2)+4,COLUMN(C6)-COLUMN($A$2)+1+$B$1)</f>
        <v/>
      </c>
      <c r="D7" s="126" t="str" cm="1">
        <f t="array" ref="D7">INDEX('Questions global'!$A:$YP,ROW(D6)-ROW($A$2)+4,COLUMN(D6)-COLUMN($A$2)+1+$B$1)</f>
        <v/>
      </c>
      <c r="E7" s="104" t="str" cm="1">
        <f t="array" aca="1" ref="E7" ca="1">INDEX('Questions global'!$A:$YP,ROW(E6)-ROW($A$2)+4,COLUMN(E6)-COLUMN($A$2)+1+$B$1)</f>
        <v xml:space="preserve">   </v>
      </c>
      <c r="F7" s="105" t="str" cm="1">
        <f t="array" ref="F7">INDEX('Questions global'!$A:$YP,ROW(F6)-ROW($A$2)+4,COLUMN(F6)-COLUMN($A$2)+1+$B$1)</f>
        <v xml:space="preserve"> </v>
      </c>
      <c r="G7" s="112" t="str" cm="1">
        <f t="array" ref="G7">INDEX('Questions global'!$A:$YP,ROW(G6)-ROW($A$2)+4,COLUMN(G6)-COLUMN($A$2)+1+$B$1)</f>
        <v/>
      </c>
      <c r="H7" s="104" t="str" cm="1">
        <f t="array" aca="1" ref="H7" ca="1">INDEX('Questions global'!$A:$YP,ROW(H6)-ROW($A$2)+4,COLUMN(H6)-COLUMN($A$2)+1+$B$1)</f>
        <v/>
      </c>
      <c r="I7" s="119" t="str" cm="1">
        <f t="array" aca="1" ref="I7" ca="1">INDEX('Questions global'!$A:$YP,ROW(I6)-ROW($A$2)+4,COLUMN(I6)-COLUMN($A$2)+1+$B$1)</f>
        <v/>
      </c>
    </row>
    <row r="8" spans="1:9" ht="15" customHeight="1" x14ac:dyDescent="0.3">
      <c r="A8" s="118" cm="1">
        <f t="array" ref="A8">INDEX('Questions global'!$A:$YP,ROW(A7)-ROW($A$2)+4,COLUMN(A7)-COLUMN($A$2)+1+$B$1)</f>
        <v>7</v>
      </c>
      <c r="B8" s="106" t="str" cm="1">
        <f t="array" ref="B8">INDEX('Questions global'!$A:$YP,ROW(B7)-ROW($A$2)+4,COLUMN(B7)-COLUMN($A$2)+1+$B$1)</f>
        <v/>
      </c>
      <c r="C8" s="106" t="str" cm="1">
        <f t="array" ref="C8">INDEX('Questions global'!$A:$YP,ROW(C7)-ROW($A$2)+4,COLUMN(C7)-COLUMN($A$2)+1+$B$1)</f>
        <v/>
      </c>
      <c r="D8" s="126" t="str" cm="1">
        <f t="array" ref="D8">INDEX('Questions global'!$A:$YP,ROW(D7)-ROW($A$2)+4,COLUMN(D7)-COLUMN($A$2)+1+$B$1)</f>
        <v/>
      </c>
      <c r="E8" s="104" t="str" cm="1">
        <f t="array" aca="1" ref="E8" ca="1">INDEX('Questions global'!$A:$YP,ROW(E7)-ROW($A$2)+4,COLUMN(E7)-COLUMN($A$2)+1+$B$1)</f>
        <v xml:space="preserve">   </v>
      </c>
      <c r="F8" s="105" t="str" cm="1">
        <f t="array" ref="F8">INDEX('Questions global'!$A:$YP,ROW(F7)-ROW($A$2)+4,COLUMN(F7)-COLUMN($A$2)+1+$B$1)</f>
        <v xml:space="preserve"> </v>
      </c>
      <c r="G8" s="112" t="str" cm="1">
        <f t="array" ref="G8">INDEX('Questions global'!$A:$YP,ROW(G7)-ROW($A$2)+4,COLUMN(G7)-COLUMN($A$2)+1+$B$1)</f>
        <v/>
      </c>
      <c r="H8" s="104" t="str" cm="1">
        <f t="array" aca="1" ref="H8" ca="1">INDEX('Questions global'!$A:$YP,ROW(H7)-ROW($A$2)+4,COLUMN(H7)-COLUMN($A$2)+1+$B$1)</f>
        <v/>
      </c>
      <c r="I8" s="119" t="str" cm="1">
        <f t="array" aca="1" ref="I8" ca="1">INDEX('Questions global'!$A:$YP,ROW(I7)-ROW($A$2)+4,COLUMN(I7)-COLUMN($A$2)+1+$B$1)</f>
        <v/>
      </c>
    </row>
    <row r="9" spans="1:9" ht="15" customHeight="1" x14ac:dyDescent="0.3">
      <c r="A9" s="118" cm="1">
        <f t="array" ref="A9">INDEX('Questions global'!$A:$YP,ROW(A8)-ROW($A$2)+4,COLUMN(A8)-COLUMN($A$2)+1+$B$1)</f>
        <v>8</v>
      </c>
      <c r="B9" s="106" t="str" cm="1">
        <f t="array" ref="B9">INDEX('Questions global'!$A:$YP,ROW(B8)-ROW($A$2)+4,COLUMN(B8)-COLUMN($A$2)+1+$B$1)</f>
        <v/>
      </c>
      <c r="C9" s="106" t="str" cm="1">
        <f t="array" ref="C9">INDEX('Questions global'!$A:$YP,ROW(C8)-ROW($A$2)+4,COLUMN(C8)-COLUMN($A$2)+1+$B$1)</f>
        <v/>
      </c>
      <c r="D9" s="126" t="str" cm="1">
        <f t="array" ref="D9">INDEX('Questions global'!$A:$YP,ROW(D8)-ROW($A$2)+4,COLUMN(D8)-COLUMN($A$2)+1+$B$1)</f>
        <v/>
      </c>
      <c r="E9" s="104" t="str" cm="1">
        <f t="array" aca="1" ref="E9" ca="1">INDEX('Questions global'!$A:$YP,ROW(E8)-ROW($A$2)+4,COLUMN(E8)-COLUMN($A$2)+1+$B$1)</f>
        <v xml:space="preserve">   </v>
      </c>
      <c r="F9" s="105" t="str" cm="1">
        <f t="array" ref="F9">INDEX('Questions global'!$A:$YP,ROW(F8)-ROW($A$2)+4,COLUMN(F8)-COLUMN($A$2)+1+$B$1)</f>
        <v xml:space="preserve"> </v>
      </c>
      <c r="G9" s="112" t="str" cm="1">
        <f t="array" ref="G9">INDEX('Questions global'!$A:$YP,ROW(G8)-ROW($A$2)+4,COLUMN(G8)-COLUMN($A$2)+1+$B$1)</f>
        <v/>
      </c>
      <c r="H9" s="104" t="str" cm="1">
        <f t="array" aca="1" ref="H9" ca="1">INDEX('Questions global'!$A:$YP,ROW(H8)-ROW($A$2)+4,COLUMN(H8)-COLUMN($A$2)+1+$B$1)</f>
        <v/>
      </c>
      <c r="I9" s="119" t="str" cm="1">
        <f t="array" aca="1" ref="I9" ca="1">INDEX('Questions global'!$A:$YP,ROW(I8)-ROW($A$2)+4,COLUMN(I8)-COLUMN($A$2)+1+$B$1)</f>
        <v/>
      </c>
    </row>
    <row r="10" spans="1:9" ht="15" customHeight="1" x14ac:dyDescent="0.3">
      <c r="A10" s="118" cm="1">
        <f t="array" ref="A10">INDEX('Questions global'!$A:$YP,ROW(A9)-ROW($A$2)+4,COLUMN(A9)-COLUMN($A$2)+1+$B$1)</f>
        <v>9</v>
      </c>
      <c r="B10" s="106" t="str" cm="1">
        <f t="array" ref="B10">INDEX('Questions global'!$A:$YP,ROW(B9)-ROW($A$2)+4,COLUMN(B9)-COLUMN($A$2)+1+$B$1)</f>
        <v/>
      </c>
      <c r="C10" s="106" t="str" cm="1">
        <f t="array" ref="C10">INDEX('Questions global'!$A:$YP,ROW(C9)-ROW($A$2)+4,COLUMN(C9)-COLUMN($A$2)+1+$B$1)</f>
        <v/>
      </c>
      <c r="D10" s="126" t="str" cm="1">
        <f t="array" ref="D10">INDEX('Questions global'!$A:$YP,ROW(D9)-ROW($A$2)+4,COLUMN(D9)-COLUMN($A$2)+1+$B$1)</f>
        <v/>
      </c>
      <c r="E10" s="104" t="str" cm="1">
        <f t="array" aca="1" ref="E10" ca="1">INDEX('Questions global'!$A:$YP,ROW(E9)-ROW($A$2)+4,COLUMN(E9)-COLUMN($A$2)+1+$B$1)</f>
        <v xml:space="preserve">   </v>
      </c>
      <c r="F10" s="105" t="str" cm="1">
        <f t="array" ref="F10">INDEX('Questions global'!$A:$YP,ROW(F9)-ROW($A$2)+4,COLUMN(F9)-COLUMN($A$2)+1+$B$1)</f>
        <v xml:space="preserve"> </v>
      </c>
      <c r="G10" s="112" t="str" cm="1">
        <f t="array" ref="G10">INDEX('Questions global'!$A:$YP,ROW(G9)-ROW($A$2)+4,COLUMN(G9)-COLUMN($A$2)+1+$B$1)</f>
        <v/>
      </c>
      <c r="H10" s="104" t="str" cm="1">
        <f t="array" aca="1" ref="H10" ca="1">INDEX('Questions global'!$A:$YP,ROW(H9)-ROW($A$2)+4,COLUMN(H9)-COLUMN($A$2)+1+$B$1)</f>
        <v/>
      </c>
      <c r="I10" s="119" t="str" cm="1">
        <f t="array" aca="1" ref="I10" ca="1">INDEX('Questions global'!$A:$YP,ROW(I9)-ROW($A$2)+4,COLUMN(I9)-COLUMN($A$2)+1+$B$1)</f>
        <v/>
      </c>
    </row>
    <row r="11" spans="1:9" ht="15" customHeight="1" x14ac:dyDescent="0.3">
      <c r="A11" s="118" cm="1">
        <f t="array" ref="A11">INDEX('Questions global'!$A:$YP,ROW(A10)-ROW($A$2)+4,COLUMN(A10)-COLUMN($A$2)+1+$B$1)</f>
        <v>10</v>
      </c>
      <c r="B11" s="106" t="str" cm="1">
        <f t="array" ref="B11">INDEX('Questions global'!$A:$YP,ROW(B10)-ROW($A$2)+4,COLUMN(B10)-COLUMN($A$2)+1+$B$1)</f>
        <v/>
      </c>
      <c r="C11" s="106" t="str" cm="1">
        <f t="array" ref="C11">INDEX('Questions global'!$A:$YP,ROW(C10)-ROW($A$2)+4,COLUMN(C10)-COLUMN($A$2)+1+$B$1)</f>
        <v/>
      </c>
      <c r="D11" s="126" t="str" cm="1">
        <f t="array" ref="D11">INDEX('Questions global'!$A:$YP,ROW(D10)-ROW($A$2)+4,COLUMN(D10)-COLUMN($A$2)+1+$B$1)</f>
        <v/>
      </c>
      <c r="E11" s="104" t="str" cm="1">
        <f t="array" aca="1" ref="E11" ca="1">INDEX('Questions global'!$A:$YP,ROW(E10)-ROW($A$2)+4,COLUMN(E10)-COLUMN($A$2)+1+$B$1)</f>
        <v xml:space="preserve">   </v>
      </c>
      <c r="F11" s="105" t="str" cm="1">
        <f t="array" ref="F11">INDEX('Questions global'!$A:$YP,ROW(F10)-ROW($A$2)+4,COLUMN(F10)-COLUMN($A$2)+1+$B$1)</f>
        <v xml:space="preserve"> </v>
      </c>
      <c r="G11" s="112" t="str" cm="1">
        <f t="array" ref="G11">INDEX('Questions global'!$A:$YP,ROW(G10)-ROW($A$2)+4,COLUMN(G10)-COLUMN($A$2)+1+$B$1)</f>
        <v/>
      </c>
      <c r="H11" s="104" t="str" cm="1">
        <f t="array" aca="1" ref="H11" ca="1">INDEX('Questions global'!$A:$YP,ROW(H10)-ROW($A$2)+4,COLUMN(H10)-COLUMN($A$2)+1+$B$1)</f>
        <v/>
      </c>
      <c r="I11" s="119" t="str" cm="1">
        <f t="array" aca="1" ref="I11" ca="1">INDEX('Questions global'!$A:$YP,ROW(I10)-ROW($A$2)+4,COLUMN(I10)-COLUMN($A$2)+1+$B$1)</f>
        <v/>
      </c>
    </row>
    <row r="12" spans="1:9" ht="15" customHeight="1" x14ac:dyDescent="0.3">
      <c r="A12" s="118" cm="1">
        <f t="array" ref="A12">INDEX('Questions global'!$A:$YP,ROW(A11)-ROW($A$2)+4,COLUMN(A11)-COLUMN($A$2)+1+$B$1)</f>
        <v>11</v>
      </c>
      <c r="B12" s="106" t="str" cm="1">
        <f t="array" ref="B12">INDEX('Questions global'!$A:$YP,ROW(B11)-ROW($A$2)+4,COLUMN(B11)-COLUMN($A$2)+1+$B$1)</f>
        <v/>
      </c>
      <c r="C12" s="106" t="str" cm="1">
        <f t="array" ref="C12">INDEX('Questions global'!$A:$YP,ROW(C11)-ROW($A$2)+4,COLUMN(C11)-COLUMN($A$2)+1+$B$1)</f>
        <v/>
      </c>
      <c r="D12" s="126" t="str" cm="1">
        <f t="array" ref="D12">INDEX('Questions global'!$A:$YP,ROW(D11)-ROW($A$2)+4,COLUMN(D11)-COLUMN($A$2)+1+$B$1)</f>
        <v/>
      </c>
      <c r="E12" s="104" t="str" cm="1">
        <f t="array" aca="1" ref="E12" ca="1">INDEX('Questions global'!$A:$YP,ROW(E11)-ROW($A$2)+4,COLUMN(E11)-COLUMN($A$2)+1+$B$1)</f>
        <v xml:space="preserve">   </v>
      </c>
      <c r="F12" s="105" t="str" cm="1">
        <f t="array" ref="F12">INDEX('Questions global'!$A:$YP,ROW(F11)-ROW($A$2)+4,COLUMN(F11)-COLUMN($A$2)+1+$B$1)</f>
        <v xml:space="preserve"> </v>
      </c>
      <c r="G12" s="112" t="str" cm="1">
        <f t="array" ref="G12">INDEX('Questions global'!$A:$YP,ROW(G11)-ROW($A$2)+4,COLUMN(G11)-COLUMN($A$2)+1+$B$1)</f>
        <v/>
      </c>
      <c r="H12" s="104" t="str" cm="1">
        <f t="array" aca="1" ref="H12" ca="1">INDEX('Questions global'!$A:$YP,ROW(H11)-ROW($A$2)+4,COLUMN(H11)-COLUMN($A$2)+1+$B$1)</f>
        <v/>
      </c>
      <c r="I12" s="119" t="str" cm="1">
        <f t="array" aca="1" ref="I12" ca="1">INDEX('Questions global'!$A:$YP,ROW(I11)-ROW($A$2)+4,COLUMN(I11)-COLUMN($A$2)+1+$B$1)</f>
        <v/>
      </c>
    </row>
    <row r="13" spans="1:9" ht="15" customHeight="1" x14ac:dyDescent="0.3">
      <c r="A13" s="118" cm="1">
        <f t="array" ref="A13">INDEX('Questions global'!$A:$YP,ROW(A12)-ROW($A$2)+4,COLUMN(A12)-COLUMN($A$2)+1+$B$1)</f>
        <v>12</v>
      </c>
      <c r="B13" s="106" t="str" cm="1">
        <f t="array" ref="B13">INDEX('Questions global'!$A:$YP,ROW(B12)-ROW($A$2)+4,COLUMN(B12)-COLUMN($A$2)+1+$B$1)</f>
        <v/>
      </c>
      <c r="C13" s="106" t="str" cm="1">
        <f t="array" ref="C13">INDEX('Questions global'!$A:$YP,ROW(C12)-ROW($A$2)+4,COLUMN(C12)-COLUMN($A$2)+1+$B$1)</f>
        <v/>
      </c>
      <c r="D13" s="126" t="str" cm="1">
        <f t="array" ref="D13">INDEX('Questions global'!$A:$YP,ROW(D12)-ROW($A$2)+4,COLUMN(D12)-COLUMN($A$2)+1+$B$1)</f>
        <v/>
      </c>
      <c r="E13" s="104" t="str" cm="1">
        <f t="array" aca="1" ref="E13" ca="1">INDEX('Questions global'!$A:$YP,ROW(E12)-ROW($A$2)+4,COLUMN(E12)-COLUMN($A$2)+1+$B$1)</f>
        <v xml:space="preserve">   </v>
      </c>
      <c r="F13" s="105" t="str" cm="1">
        <f t="array" ref="F13">INDEX('Questions global'!$A:$YP,ROW(F12)-ROW($A$2)+4,COLUMN(F12)-COLUMN($A$2)+1+$B$1)</f>
        <v xml:space="preserve"> </v>
      </c>
      <c r="G13" s="112" t="str" cm="1">
        <f t="array" ref="G13">INDEX('Questions global'!$A:$YP,ROW(G12)-ROW($A$2)+4,COLUMN(G12)-COLUMN($A$2)+1+$B$1)</f>
        <v/>
      </c>
      <c r="H13" s="104" t="str" cm="1">
        <f t="array" aca="1" ref="H13" ca="1">INDEX('Questions global'!$A:$YP,ROW(H12)-ROW($A$2)+4,COLUMN(H12)-COLUMN($A$2)+1+$B$1)</f>
        <v/>
      </c>
      <c r="I13" s="119" t="str" cm="1">
        <f t="array" aca="1" ref="I13" ca="1">INDEX('Questions global'!$A:$YP,ROW(I12)-ROW($A$2)+4,COLUMN(I12)-COLUMN($A$2)+1+$B$1)</f>
        <v/>
      </c>
    </row>
    <row r="14" spans="1:9" ht="15" customHeight="1" x14ac:dyDescent="0.3">
      <c r="A14" s="118" cm="1">
        <f t="array" ref="A14">INDEX('Questions global'!$A:$YP,ROW(A13)-ROW($A$2)+4,COLUMN(A13)-COLUMN($A$2)+1+$B$1)</f>
        <v>13</v>
      </c>
      <c r="B14" s="106" t="str" cm="1">
        <f t="array" ref="B14">INDEX('Questions global'!$A:$YP,ROW(B13)-ROW($A$2)+4,COLUMN(B13)-COLUMN($A$2)+1+$B$1)</f>
        <v/>
      </c>
      <c r="C14" s="106" t="str" cm="1">
        <f t="array" ref="C14">INDEX('Questions global'!$A:$YP,ROW(C13)-ROW($A$2)+4,COLUMN(C13)-COLUMN($A$2)+1+$B$1)</f>
        <v/>
      </c>
      <c r="D14" s="126" t="str" cm="1">
        <f t="array" ref="D14">INDEX('Questions global'!$A:$YP,ROW(D13)-ROW($A$2)+4,COLUMN(D13)-COLUMN($A$2)+1+$B$1)</f>
        <v/>
      </c>
      <c r="E14" s="104" t="str" cm="1">
        <f t="array" aca="1" ref="E14" ca="1">INDEX('Questions global'!$A:$YP,ROW(E13)-ROW($A$2)+4,COLUMN(E13)-COLUMN($A$2)+1+$B$1)</f>
        <v xml:space="preserve">   </v>
      </c>
      <c r="F14" s="105" t="str" cm="1">
        <f t="array" ref="F14">INDEX('Questions global'!$A:$YP,ROW(F13)-ROW($A$2)+4,COLUMN(F13)-COLUMN($A$2)+1+$B$1)</f>
        <v xml:space="preserve"> </v>
      </c>
      <c r="G14" s="112" t="str" cm="1">
        <f t="array" ref="G14">INDEX('Questions global'!$A:$YP,ROW(G13)-ROW($A$2)+4,COLUMN(G13)-COLUMN($A$2)+1+$B$1)</f>
        <v/>
      </c>
      <c r="H14" s="104" t="str" cm="1">
        <f t="array" aca="1" ref="H14" ca="1">INDEX('Questions global'!$A:$YP,ROW(H13)-ROW($A$2)+4,COLUMN(H13)-COLUMN($A$2)+1+$B$1)</f>
        <v/>
      </c>
      <c r="I14" s="119" t="str" cm="1">
        <f t="array" aca="1" ref="I14" ca="1">INDEX('Questions global'!$A:$YP,ROW(I13)-ROW($A$2)+4,COLUMN(I13)-COLUMN($A$2)+1+$B$1)</f>
        <v/>
      </c>
    </row>
    <row r="15" spans="1:9" ht="15" customHeight="1" x14ac:dyDescent="0.3">
      <c r="A15" s="118" cm="1">
        <f t="array" ref="A15">INDEX('Questions global'!$A:$YP,ROW(A14)-ROW($A$2)+4,COLUMN(A14)-COLUMN($A$2)+1+$B$1)</f>
        <v>14</v>
      </c>
      <c r="B15" s="106" t="str" cm="1">
        <f t="array" ref="B15">INDEX('Questions global'!$A:$YP,ROW(B14)-ROW($A$2)+4,COLUMN(B14)-COLUMN($A$2)+1+$B$1)</f>
        <v/>
      </c>
      <c r="C15" s="106" t="str" cm="1">
        <f t="array" ref="C15">INDEX('Questions global'!$A:$YP,ROW(C14)-ROW($A$2)+4,COLUMN(C14)-COLUMN($A$2)+1+$B$1)</f>
        <v/>
      </c>
      <c r="D15" s="126" t="str" cm="1">
        <f t="array" ref="D15">INDEX('Questions global'!$A:$YP,ROW(D14)-ROW($A$2)+4,COLUMN(D14)-COLUMN($A$2)+1+$B$1)</f>
        <v/>
      </c>
      <c r="E15" s="104" t="str" cm="1">
        <f t="array" aca="1" ref="E15" ca="1">INDEX('Questions global'!$A:$YP,ROW(E14)-ROW($A$2)+4,COLUMN(E14)-COLUMN($A$2)+1+$B$1)</f>
        <v xml:space="preserve">   </v>
      </c>
      <c r="F15" s="105" t="str" cm="1">
        <f t="array" ref="F15">INDEX('Questions global'!$A:$YP,ROW(F14)-ROW($A$2)+4,COLUMN(F14)-COLUMN($A$2)+1+$B$1)</f>
        <v xml:space="preserve"> </v>
      </c>
      <c r="G15" s="112" t="str" cm="1">
        <f t="array" ref="G15">INDEX('Questions global'!$A:$YP,ROW(G14)-ROW($A$2)+4,COLUMN(G14)-COLUMN($A$2)+1+$B$1)</f>
        <v/>
      </c>
      <c r="H15" s="104" t="str" cm="1">
        <f t="array" aca="1" ref="H15" ca="1">INDEX('Questions global'!$A:$YP,ROW(H14)-ROW($A$2)+4,COLUMN(H14)-COLUMN($A$2)+1+$B$1)</f>
        <v/>
      </c>
      <c r="I15" s="119" t="str" cm="1">
        <f t="array" aca="1" ref="I15" ca="1">INDEX('Questions global'!$A:$YP,ROW(I14)-ROW($A$2)+4,COLUMN(I14)-COLUMN($A$2)+1+$B$1)</f>
        <v/>
      </c>
    </row>
    <row r="16" spans="1:9" ht="15" customHeight="1" x14ac:dyDescent="0.3">
      <c r="A16" s="118" cm="1">
        <f t="array" ref="A16">INDEX('Questions global'!$A:$YP,ROW(A15)-ROW($A$2)+4,COLUMN(A15)-COLUMN($A$2)+1+$B$1)</f>
        <v>15</v>
      </c>
      <c r="B16" s="106" t="str" cm="1">
        <f t="array" ref="B16">INDEX('Questions global'!$A:$YP,ROW(B15)-ROW($A$2)+4,COLUMN(B15)-COLUMN($A$2)+1+$B$1)</f>
        <v/>
      </c>
      <c r="C16" s="106" t="str" cm="1">
        <f t="array" ref="C16">INDEX('Questions global'!$A:$YP,ROW(C15)-ROW($A$2)+4,COLUMN(C15)-COLUMN($A$2)+1+$B$1)</f>
        <v/>
      </c>
      <c r="D16" s="126" t="str" cm="1">
        <f t="array" ref="D16">INDEX('Questions global'!$A:$YP,ROW(D15)-ROW($A$2)+4,COLUMN(D15)-COLUMN($A$2)+1+$B$1)</f>
        <v/>
      </c>
      <c r="E16" s="104" t="str" cm="1">
        <f t="array" aca="1" ref="E16" ca="1">INDEX('Questions global'!$A:$YP,ROW(E15)-ROW($A$2)+4,COLUMN(E15)-COLUMN($A$2)+1+$B$1)</f>
        <v xml:space="preserve">   </v>
      </c>
      <c r="F16" s="105" t="str" cm="1">
        <f t="array" ref="F16">INDEX('Questions global'!$A:$YP,ROW(F15)-ROW($A$2)+4,COLUMN(F15)-COLUMN($A$2)+1+$B$1)</f>
        <v xml:space="preserve"> </v>
      </c>
      <c r="G16" s="112" t="str" cm="1">
        <f t="array" ref="G16">INDEX('Questions global'!$A:$YP,ROW(G15)-ROW($A$2)+4,COLUMN(G15)-COLUMN($A$2)+1+$B$1)</f>
        <v/>
      </c>
      <c r="H16" s="104" t="str" cm="1">
        <f t="array" aca="1" ref="H16" ca="1">INDEX('Questions global'!$A:$YP,ROW(H15)-ROW($A$2)+4,COLUMN(H15)-COLUMN($A$2)+1+$B$1)</f>
        <v/>
      </c>
      <c r="I16" s="119" t="str" cm="1">
        <f t="array" aca="1" ref="I16" ca="1">INDEX('Questions global'!$A:$YP,ROW(I15)-ROW($A$2)+4,COLUMN(I15)-COLUMN($A$2)+1+$B$1)</f>
        <v/>
      </c>
    </row>
    <row r="17" spans="1:9" ht="15" customHeight="1" x14ac:dyDescent="0.3">
      <c r="A17" s="118" cm="1">
        <f t="array" ref="A17">INDEX('Questions global'!$A:$YP,ROW(A16)-ROW($A$2)+4,COLUMN(A16)-COLUMN($A$2)+1+$B$1)</f>
        <v>16</v>
      </c>
      <c r="B17" s="106" t="str" cm="1">
        <f t="array" ref="B17">INDEX('Questions global'!$A:$YP,ROW(B16)-ROW($A$2)+4,COLUMN(B16)-COLUMN($A$2)+1+$B$1)</f>
        <v/>
      </c>
      <c r="C17" s="106" t="str" cm="1">
        <f t="array" ref="C17">INDEX('Questions global'!$A:$YP,ROW(C16)-ROW($A$2)+4,COLUMN(C16)-COLUMN($A$2)+1+$B$1)</f>
        <v/>
      </c>
      <c r="D17" s="126" t="str" cm="1">
        <f t="array" ref="D17">INDEX('Questions global'!$A:$YP,ROW(D16)-ROW($A$2)+4,COLUMN(D16)-COLUMN($A$2)+1+$B$1)</f>
        <v/>
      </c>
      <c r="E17" s="104" t="str" cm="1">
        <f t="array" aca="1" ref="E17" ca="1">INDEX('Questions global'!$A:$YP,ROW(E16)-ROW($A$2)+4,COLUMN(E16)-COLUMN($A$2)+1+$B$1)</f>
        <v xml:space="preserve">   </v>
      </c>
      <c r="F17" s="105" t="str" cm="1">
        <f t="array" ref="F17">INDEX('Questions global'!$A:$YP,ROW(F16)-ROW($A$2)+4,COLUMN(F16)-COLUMN($A$2)+1+$B$1)</f>
        <v xml:space="preserve"> </v>
      </c>
      <c r="G17" s="112" t="str" cm="1">
        <f t="array" ref="G17">INDEX('Questions global'!$A:$YP,ROW(G16)-ROW($A$2)+4,COLUMN(G16)-COLUMN($A$2)+1+$B$1)</f>
        <v/>
      </c>
      <c r="H17" s="104" t="str" cm="1">
        <f t="array" aca="1" ref="H17" ca="1">INDEX('Questions global'!$A:$YP,ROW(H16)-ROW($A$2)+4,COLUMN(H16)-COLUMN($A$2)+1+$B$1)</f>
        <v/>
      </c>
      <c r="I17" s="119" t="str" cm="1">
        <f t="array" aca="1" ref="I17" ca="1">INDEX('Questions global'!$A:$YP,ROW(I16)-ROW($A$2)+4,COLUMN(I16)-COLUMN($A$2)+1+$B$1)</f>
        <v/>
      </c>
    </row>
    <row r="18" spans="1:9" ht="15" customHeight="1" x14ac:dyDescent="0.3">
      <c r="A18" s="118" cm="1">
        <f t="array" ref="A18">INDEX('Questions global'!$A:$YP,ROW(A17)-ROW($A$2)+4,COLUMN(A17)-COLUMN($A$2)+1+$B$1)</f>
        <v>17</v>
      </c>
      <c r="B18" s="106" t="str" cm="1">
        <f t="array" ref="B18">INDEX('Questions global'!$A:$YP,ROW(B17)-ROW($A$2)+4,COLUMN(B17)-COLUMN($A$2)+1+$B$1)</f>
        <v/>
      </c>
      <c r="C18" s="106" t="str" cm="1">
        <f t="array" ref="C18">INDEX('Questions global'!$A:$YP,ROW(C17)-ROW($A$2)+4,COLUMN(C17)-COLUMN($A$2)+1+$B$1)</f>
        <v/>
      </c>
      <c r="D18" s="126" t="str" cm="1">
        <f t="array" ref="D18">INDEX('Questions global'!$A:$YP,ROW(D17)-ROW($A$2)+4,COLUMN(D17)-COLUMN($A$2)+1+$B$1)</f>
        <v/>
      </c>
      <c r="E18" s="104" t="str" cm="1">
        <f t="array" aca="1" ref="E18" ca="1">INDEX('Questions global'!$A:$YP,ROW(E17)-ROW($A$2)+4,COLUMN(E17)-COLUMN($A$2)+1+$B$1)</f>
        <v xml:space="preserve">   </v>
      </c>
      <c r="F18" s="105" t="str" cm="1">
        <f t="array" ref="F18">INDEX('Questions global'!$A:$YP,ROW(F17)-ROW($A$2)+4,COLUMN(F17)-COLUMN($A$2)+1+$B$1)</f>
        <v xml:space="preserve"> </v>
      </c>
      <c r="G18" s="112" t="str" cm="1">
        <f t="array" ref="G18">INDEX('Questions global'!$A:$YP,ROW(G17)-ROW($A$2)+4,COLUMN(G17)-COLUMN($A$2)+1+$B$1)</f>
        <v/>
      </c>
      <c r="H18" s="104" t="str" cm="1">
        <f t="array" aca="1" ref="H18" ca="1">INDEX('Questions global'!$A:$YP,ROW(H17)-ROW($A$2)+4,COLUMN(H17)-COLUMN($A$2)+1+$B$1)</f>
        <v/>
      </c>
      <c r="I18" s="119" t="str" cm="1">
        <f t="array" aca="1" ref="I18" ca="1">INDEX('Questions global'!$A:$YP,ROW(I17)-ROW($A$2)+4,COLUMN(I17)-COLUMN($A$2)+1+$B$1)</f>
        <v/>
      </c>
    </row>
    <row r="19" spans="1:9" ht="15" customHeight="1" x14ac:dyDescent="0.3">
      <c r="A19" s="118" cm="1">
        <f t="array" ref="A19">INDEX('Questions global'!$A:$YP,ROW(A18)-ROW($A$2)+4,COLUMN(A18)-COLUMN($A$2)+1+$B$1)</f>
        <v>18</v>
      </c>
      <c r="B19" s="106" t="str" cm="1">
        <f t="array" ref="B19">INDEX('Questions global'!$A:$YP,ROW(B18)-ROW($A$2)+4,COLUMN(B18)-COLUMN($A$2)+1+$B$1)</f>
        <v/>
      </c>
      <c r="C19" s="106" t="str" cm="1">
        <f t="array" ref="C19">INDEX('Questions global'!$A:$YP,ROW(C18)-ROW($A$2)+4,COLUMN(C18)-COLUMN($A$2)+1+$B$1)</f>
        <v/>
      </c>
      <c r="D19" s="126" t="str" cm="1">
        <f t="array" ref="D19">INDEX('Questions global'!$A:$YP,ROW(D18)-ROW($A$2)+4,COLUMN(D18)-COLUMN($A$2)+1+$B$1)</f>
        <v/>
      </c>
      <c r="E19" s="104" t="str" cm="1">
        <f t="array" aca="1" ref="E19" ca="1">INDEX('Questions global'!$A:$YP,ROW(E18)-ROW($A$2)+4,COLUMN(E18)-COLUMN($A$2)+1+$B$1)</f>
        <v xml:space="preserve">   </v>
      </c>
      <c r="F19" s="105" t="str" cm="1">
        <f t="array" ref="F19">INDEX('Questions global'!$A:$YP,ROW(F18)-ROW($A$2)+4,COLUMN(F18)-COLUMN($A$2)+1+$B$1)</f>
        <v xml:space="preserve"> </v>
      </c>
      <c r="G19" s="112" t="str" cm="1">
        <f t="array" ref="G19">INDEX('Questions global'!$A:$YP,ROW(G18)-ROW($A$2)+4,COLUMN(G18)-COLUMN($A$2)+1+$B$1)</f>
        <v/>
      </c>
      <c r="H19" s="104" t="str" cm="1">
        <f t="array" aca="1" ref="H19" ca="1">INDEX('Questions global'!$A:$YP,ROW(H18)-ROW($A$2)+4,COLUMN(H18)-COLUMN($A$2)+1+$B$1)</f>
        <v/>
      </c>
      <c r="I19" s="119" t="str" cm="1">
        <f t="array" aca="1" ref="I19" ca="1">INDEX('Questions global'!$A:$YP,ROW(I18)-ROW($A$2)+4,COLUMN(I18)-COLUMN($A$2)+1+$B$1)</f>
        <v/>
      </c>
    </row>
    <row r="20" spans="1:9" ht="15" customHeight="1" x14ac:dyDescent="0.3">
      <c r="A20" s="118" cm="1">
        <f t="array" ref="A20">INDEX('Questions global'!$A:$YP,ROW(A19)-ROW($A$2)+4,COLUMN(A19)-COLUMN($A$2)+1+$B$1)</f>
        <v>19</v>
      </c>
      <c r="B20" s="106" t="str" cm="1">
        <f t="array" ref="B20">INDEX('Questions global'!$A:$YP,ROW(B19)-ROW($A$2)+4,COLUMN(B19)-COLUMN($A$2)+1+$B$1)</f>
        <v/>
      </c>
      <c r="C20" s="106" t="str" cm="1">
        <f t="array" ref="C20">INDEX('Questions global'!$A:$YP,ROW(C19)-ROW($A$2)+4,COLUMN(C19)-COLUMN($A$2)+1+$B$1)</f>
        <v/>
      </c>
      <c r="D20" s="126" t="str" cm="1">
        <f t="array" ref="D20">INDEX('Questions global'!$A:$YP,ROW(D19)-ROW($A$2)+4,COLUMN(D19)-COLUMN($A$2)+1+$B$1)</f>
        <v/>
      </c>
      <c r="E20" s="104" t="str" cm="1">
        <f t="array" aca="1" ref="E20" ca="1">INDEX('Questions global'!$A:$YP,ROW(E19)-ROW($A$2)+4,COLUMN(E19)-COLUMN($A$2)+1+$B$1)</f>
        <v xml:space="preserve">   </v>
      </c>
      <c r="F20" s="105" t="str" cm="1">
        <f t="array" ref="F20">INDEX('Questions global'!$A:$YP,ROW(F19)-ROW($A$2)+4,COLUMN(F19)-COLUMN($A$2)+1+$B$1)</f>
        <v xml:space="preserve"> </v>
      </c>
      <c r="G20" s="112" t="str" cm="1">
        <f t="array" ref="G20">INDEX('Questions global'!$A:$YP,ROW(G19)-ROW($A$2)+4,COLUMN(G19)-COLUMN($A$2)+1+$B$1)</f>
        <v/>
      </c>
      <c r="H20" s="104" t="str" cm="1">
        <f t="array" aca="1" ref="H20" ca="1">INDEX('Questions global'!$A:$YP,ROW(H19)-ROW($A$2)+4,COLUMN(H19)-COLUMN($A$2)+1+$B$1)</f>
        <v/>
      </c>
      <c r="I20" s="119" t="str" cm="1">
        <f t="array" aca="1" ref="I20" ca="1">INDEX('Questions global'!$A:$YP,ROW(I19)-ROW($A$2)+4,COLUMN(I19)-COLUMN($A$2)+1+$B$1)</f>
        <v/>
      </c>
    </row>
    <row r="21" spans="1:9" ht="15" customHeight="1" x14ac:dyDescent="0.3">
      <c r="A21" s="118" cm="1">
        <f t="array" ref="A21">INDEX('Questions global'!$A:$YP,ROW(A20)-ROW($A$2)+4,COLUMN(A20)-COLUMN($A$2)+1+$B$1)</f>
        <v>20</v>
      </c>
      <c r="B21" s="106" t="str" cm="1">
        <f t="array" ref="B21">INDEX('Questions global'!$A:$YP,ROW(B20)-ROW($A$2)+4,COLUMN(B20)-COLUMN($A$2)+1+$B$1)</f>
        <v/>
      </c>
      <c r="C21" s="106" t="str" cm="1">
        <f t="array" ref="C21">INDEX('Questions global'!$A:$YP,ROW(C20)-ROW($A$2)+4,COLUMN(C20)-COLUMN($A$2)+1+$B$1)</f>
        <v/>
      </c>
      <c r="D21" s="126" t="str" cm="1">
        <f t="array" ref="D21">INDEX('Questions global'!$A:$YP,ROW(D20)-ROW($A$2)+4,COLUMN(D20)-COLUMN($A$2)+1+$B$1)</f>
        <v/>
      </c>
      <c r="E21" s="104" t="str" cm="1">
        <f t="array" aca="1" ref="E21" ca="1">INDEX('Questions global'!$A:$YP,ROW(E20)-ROW($A$2)+4,COLUMN(E20)-COLUMN($A$2)+1+$B$1)</f>
        <v xml:space="preserve">   </v>
      </c>
      <c r="F21" s="105" t="str" cm="1">
        <f t="array" ref="F21">INDEX('Questions global'!$A:$YP,ROW(F20)-ROW($A$2)+4,COLUMN(F20)-COLUMN($A$2)+1+$B$1)</f>
        <v xml:space="preserve"> </v>
      </c>
      <c r="G21" s="112" t="str" cm="1">
        <f t="array" ref="G21">INDEX('Questions global'!$A:$YP,ROW(G20)-ROW($A$2)+4,COLUMN(G20)-COLUMN($A$2)+1+$B$1)</f>
        <v/>
      </c>
      <c r="H21" s="104" t="str" cm="1">
        <f t="array" aca="1" ref="H21" ca="1">INDEX('Questions global'!$A:$YP,ROW(H20)-ROW($A$2)+4,COLUMN(H20)-COLUMN($A$2)+1+$B$1)</f>
        <v/>
      </c>
      <c r="I21" s="119" t="str" cm="1">
        <f t="array" aca="1" ref="I21" ca="1">INDEX('Questions global'!$A:$YP,ROW(I20)-ROW($A$2)+4,COLUMN(I20)-COLUMN($A$2)+1+$B$1)</f>
        <v/>
      </c>
    </row>
    <row r="22" spans="1:9" ht="15" customHeight="1" x14ac:dyDescent="0.3">
      <c r="A22" s="118" cm="1">
        <f t="array" ref="A22">INDEX('Questions global'!$A:$YP,ROW(A21)-ROW($A$2)+4,COLUMN(A21)-COLUMN($A$2)+1+$B$1)</f>
        <v>21</v>
      </c>
      <c r="B22" s="106" t="str" cm="1">
        <f t="array" ref="B22">INDEX('Questions global'!$A:$YP,ROW(B21)-ROW($A$2)+4,COLUMN(B21)-COLUMN($A$2)+1+$B$1)</f>
        <v/>
      </c>
      <c r="C22" s="106" t="str" cm="1">
        <f t="array" ref="C22">INDEX('Questions global'!$A:$YP,ROW(C21)-ROW($A$2)+4,COLUMN(C21)-COLUMN($A$2)+1+$B$1)</f>
        <v/>
      </c>
      <c r="D22" s="126" t="str" cm="1">
        <f t="array" ref="D22">INDEX('Questions global'!$A:$YP,ROW(D21)-ROW($A$2)+4,COLUMN(D21)-COLUMN($A$2)+1+$B$1)</f>
        <v/>
      </c>
      <c r="E22" s="104" t="str" cm="1">
        <f t="array" aca="1" ref="E22" ca="1">INDEX('Questions global'!$A:$YP,ROW(E21)-ROW($A$2)+4,COLUMN(E21)-COLUMN($A$2)+1+$B$1)</f>
        <v xml:space="preserve">   </v>
      </c>
      <c r="F22" s="105" t="str" cm="1">
        <f t="array" ref="F22">INDEX('Questions global'!$A:$YP,ROW(F21)-ROW($A$2)+4,COLUMN(F21)-COLUMN($A$2)+1+$B$1)</f>
        <v xml:space="preserve"> </v>
      </c>
      <c r="G22" s="112" t="str" cm="1">
        <f t="array" ref="G22">INDEX('Questions global'!$A:$YP,ROW(G21)-ROW($A$2)+4,COLUMN(G21)-COLUMN($A$2)+1+$B$1)</f>
        <v/>
      </c>
      <c r="H22" s="104" t="str" cm="1">
        <f t="array" aca="1" ref="H22" ca="1">INDEX('Questions global'!$A:$YP,ROW(H21)-ROW($A$2)+4,COLUMN(H21)-COLUMN($A$2)+1+$B$1)</f>
        <v/>
      </c>
      <c r="I22" s="119" t="str" cm="1">
        <f t="array" aca="1" ref="I22" ca="1">INDEX('Questions global'!$A:$YP,ROW(I21)-ROW($A$2)+4,COLUMN(I21)-COLUMN($A$2)+1+$B$1)</f>
        <v/>
      </c>
    </row>
    <row r="23" spans="1:9" ht="15" customHeight="1" x14ac:dyDescent="0.3">
      <c r="A23" s="118" cm="1">
        <f t="array" ref="A23">INDEX('Questions global'!$A:$YP,ROW(A22)-ROW($A$2)+4,COLUMN(A22)-COLUMN($A$2)+1+$B$1)</f>
        <v>22</v>
      </c>
      <c r="B23" s="106" t="str" cm="1">
        <f t="array" ref="B23">INDEX('Questions global'!$A:$YP,ROW(B22)-ROW($A$2)+4,COLUMN(B22)-COLUMN($A$2)+1+$B$1)</f>
        <v/>
      </c>
      <c r="C23" s="106" t="str" cm="1">
        <f t="array" ref="C23">INDEX('Questions global'!$A:$YP,ROW(C22)-ROW($A$2)+4,COLUMN(C22)-COLUMN($A$2)+1+$B$1)</f>
        <v/>
      </c>
      <c r="D23" s="126" t="str" cm="1">
        <f t="array" ref="D23">INDEX('Questions global'!$A:$YP,ROW(D22)-ROW($A$2)+4,COLUMN(D22)-COLUMN($A$2)+1+$B$1)</f>
        <v/>
      </c>
      <c r="E23" s="104" t="str" cm="1">
        <f t="array" aca="1" ref="E23" ca="1">INDEX('Questions global'!$A:$YP,ROW(E22)-ROW($A$2)+4,COLUMN(E22)-COLUMN($A$2)+1+$B$1)</f>
        <v xml:space="preserve">   </v>
      </c>
      <c r="F23" s="105" t="str" cm="1">
        <f t="array" ref="F23">INDEX('Questions global'!$A:$YP,ROW(F22)-ROW($A$2)+4,COLUMN(F22)-COLUMN($A$2)+1+$B$1)</f>
        <v xml:space="preserve"> </v>
      </c>
      <c r="G23" s="112" t="str" cm="1">
        <f t="array" ref="G23">INDEX('Questions global'!$A:$YP,ROW(G22)-ROW($A$2)+4,COLUMN(G22)-COLUMN($A$2)+1+$B$1)</f>
        <v/>
      </c>
      <c r="H23" s="104" t="str" cm="1">
        <f t="array" aca="1" ref="H23" ca="1">INDEX('Questions global'!$A:$YP,ROW(H22)-ROW($A$2)+4,COLUMN(H22)-COLUMN($A$2)+1+$B$1)</f>
        <v/>
      </c>
      <c r="I23" s="119" t="str" cm="1">
        <f t="array" aca="1" ref="I23" ca="1">INDEX('Questions global'!$A:$YP,ROW(I22)-ROW($A$2)+4,COLUMN(I22)-COLUMN($A$2)+1+$B$1)</f>
        <v/>
      </c>
    </row>
    <row r="24" spans="1:9" ht="15" customHeight="1" x14ac:dyDescent="0.3">
      <c r="A24" s="118" cm="1">
        <f t="array" ref="A24">INDEX('Questions global'!$A:$YP,ROW(A23)-ROW($A$2)+4,COLUMN(A23)-COLUMN($A$2)+1+$B$1)</f>
        <v>23</v>
      </c>
      <c r="B24" s="106" t="str" cm="1">
        <f t="array" ref="B24">INDEX('Questions global'!$A:$YP,ROW(B23)-ROW($A$2)+4,COLUMN(B23)-COLUMN($A$2)+1+$B$1)</f>
        <v/>
      </c>
      <c r="C24" s="106" t="str" cm="1">
        <f t="array" ref="C24">INDEX('Questions global'!$A:$YP,ROW(C23)-ROW($A$2)+4,COLUMN(C23)-COLUMN($A$2)+1+$B$1)</f>
        <v/>
      </c>
      <c r="D24" s="126" t="str" cm="1">
        <f t="array" ref="D24">INDEX('Questions global'!$A:$YP,ROW(D23)-ROW($A$2)+4,COLUMN(D23)-COLUMN($A$2)+1+$B$1)</f>
        <v/>
      </c>
      <c r="E24" s="104" t="str" cm="1">
        <f t="array" aca="1" ref="E24" ca="1">INDEX('Questions global'!$A:$YP,ROW(E23)-ROW($A$2)+4,COLUMN(E23)-COLUMN($A$2)+1+$B$1)</f>
        <v xml:space="preserve">   </v>
      </c>
      <c r="F24" s="105" t="str" cm="1">
        <f t="array" ref="F24">INDEX('Questions global'!$A:$YP,ROW(F23)-ROW($A$2)+4,COLUMN(F23)-COLUMN($A$2)+1+$B$1)</f>
        <v xml:space="preserve"> </v>
      </c>
      <c r="G24" s="112" t="str" cm="1">
        <f t="array" ref="G24">INDEX('Questions global'!$A:$YP,ROW(G23)-ROW($A$2)+4,COLUMN(G23)-COLUMN($A$2)+1+$B$1)</f>
        <v/>
      </c>
      <c r="H24" s="104" t="str" cm="1">
        <f t="array" aca="1" ref="H24" ca="1">INDEX('Questions global'!$A:$YP,ROW(H23)-ROW($A$2)+4,COLUMN(H23)-COLUMN($A$2)+1+$B$1)</f>
        <v/>
      </c>
      <c r="I24" s="119" t="str" cm="1">
        <f t="array" aca="1" ref="I24" ca="1">INDEX('Questions global'!$A:$YP,ROW(I23)-ROW($A$2)+4,COLUMN(I23)-COLUMN($A$2)+1+$B$1)</f>
        <v/>
      </c>
    </row>
    <row r="25" spans="1:9" ht="15" customHeight="1" x14ac:dyDescent="0.3">
      <c r="A25" s="118" cm="1">
        <f t="array" ref="A25">INDEX('Questions global'!$A:$YP,ROW(A24)-ROW($A$2)+4,COLUMN(A24)-COLUMN($A$2)+1+$B$1)</f>
        <v>24</v>
      </c>
      <c r="B25" s="106" t="str" cm="1">
        <f t="array" ref="B25">INDEX('Questions global'!$A:$YP,ROW(B24)-ROW($A$2)+4,COLUMN(B24)-COLUMN($A$2)+1+$B$1)</f>
        <v/>
      </c>
      <c r="C25" s="106" t="str" cm="1">
        <f t="array" ref="C25">INDEX('Questions global'!$A:$YP,ROW(C24)-ROW($A$2)+4,COLUMN(C24)-COLUMN($A$2)+1+$B$1)</f>
        <v/>
      </c>
      <c r="D25" s="126" t="str" cm="1">
        <f t="array" ref="D25">INDEX('Questions global'!$A:$YP,ROW(D24)-ROW($A$2)+4,COLUMN(D24)-COLUMN($A$2)+1+$B$1)</f>
        <v/>
      </c>
      <c r="E25" s="104" t="str" cm="1">
        <f t="array" aca="1" ref="E25" ca="1">INDEX('Questions global'!$A:$YP,ROW(E24)-ROW($A$2)+4,COLUMN(E24)-COLUMN($A$2)+1+$B$1)</f>
        <v xml:space="preserve">   </v>
      </c>
      <c r="F25" s="105" t="str" cm="1">
        <f t="array" ref="F25">INDEX('Questions global'!$A:$YP,ROW(F24)-ROW($A$2)+4,COLUMN(F24)-COLUMN($A$2)+1+$B$1)</f>
        <v xml:space="preserve"> </v>
      </c>
      <c r="G25" s="112" t="str" cm="1">
        <f t="array" ref="G25">INDEX('Questions global'!$A:$YP,ROW(G24)-ROW($A$2)+4,COLUMN(G24)-COLUMN($A$2)+1+$B$1)</f>
        <v/>
      </c>
      <c r="H25" s="104" t="str" cm="1">
        <f t="array" aca="1" ref="H25" ca="1">INDEX('Questions global'!$A:$YP,ROW(H24)-ROW($A$2)+4,COLUMN(H24)-COLUMN($A$2)+1+$B$1)</f>
        <v/>
      </c>
      <c r="I25" s="119" t="str" cm="1">
        <f t="array" aca="1" ref="I25" ca="1">INDEX('Questions global'!$A:$YP,ROW(I24)-ROW($A$2)+4,COLUMN(I24)-COLUMN($A$2)+1+$B$1)</f>
        <v/>
      </c>
    </row>
    <row r="26" spans="1:9" ht="15" customHeight="1" x14ac:dyDescent="0.3">
      <c r="A26" s="118" cm="1">
        <f t="array" ref="A26">INDEX('Questions global'!$A:$YP,ROW(A25)-ROW($A$2)+4,COLUMN(A25)-COLUMN($A$2)+1+$B$1)</f>
        <v>25</v>
      </c>
      <c r="B26" s="106" t="str" cm="1">
        <f t="array" ref="B26">INDEX('Questions global'!$A:$YP,ROW(B25)-ROW($A$2)+4,COLUMN(B25)-COLUMN($A$2)+1+$B$1)</f>
        <v/>
      </c>
      <c r="C26" s="106" t="str" cm="1">
        <f t="array" ref="C26">INDEX('Questions global'!$A:$YP,ROW(C25)-ROW($A$2)+4,COLUMN(C25)-COLUMN($A$2)+1+$B$1)</f>
        <v/>
      </c>
      <c r="D26" s="126" t="str" cm="1">
        <f t="array" ref="D26">INDEX('Questions global'!$A:$YP,ROW(D25)-ROW($A$2)+4,COLUMN(D25)-COLUMN($A$2)+1+$B$1)</f>
        <v/>
      </c>
      <c r="E26" s="104" t="str" cm="1">
        <f t="array" aca="1" ref="E26" ca="1">INDEX('Questions global'!$A:$YP,ROW(E25)-ROW($A$2)+4,COLUMN(E25)-COLUMN($A$2)+1+$B$1)</f>
        <v xml:space="preserve">   </v>
      </c>
      <c r="F26" s="105" t="str" cm="1">
        <f t="array" ref="F26">INDEX('Questions global'!$A:$YP,ROW(F25)-ROW($A$2)+4,COLUMN(F25)-COLUMN($A$2)+1+$B$1)</f>
        <v xml:space="preserve"> </v>
      </c>
      <c r="G26" s="112" t="str" cm="1">
        <f t="array" ref="G26">INDEX('Questions global'!$A:$YP,ROW(G25)-ROW($A$2)+4,COLUMN(G25)-COLUMN($A$2)+1+$B$1)</f>
        <v/>
      </c>
      <c r="H26" s="104" t="str" cm="1">
        <f t="array" aca="1" ref="H26" ca="1">INDEX('Questions global'!$A:$YP,ROW(H25)-ROW($A$2)+4,COLUMN(H25)-COLUMN($A$2)+1+$B$1)</f>
        <v/>
      </c>
      <c r="I26" s="119" t="str" cm="1">
        <f t="array" aca="1" ref="I26" ca="1">INDEX('Questions global'!$A:$YP,ROW(I25)-ROW($A$2)+4,COLUMN(I25)-COLUMN($A$2)+1+$B$1)</f>
        <v/>
      </c>
    </row>
    <row r="27" spans="1:9" ht="15" customHeight="1" x14ac:dyDescent="0.3">
      <c r="A27" s="118" cm="1">
        <f t="array" ref="A27">INDEX('Questions global'!$A:$YP,ROW(A26)-ROW($A$2)+4,COLUMN(A26)-COLUMN($A$2)+1+$B$1)</f>
        <v>26</v>
      </c>
      <c r="B27" s="106" t="str" cm="1">
        <f t="array" ref="B27">INDEX('Questions global'!$A:$YP,ROW(B26)-ROW($A$2)+4,COLUMN(B26)-COLUMN($A$2)+1+$B$1)</f>
        <v/>
      </c>
      <c r="C27" s="106" t="str" cm="1">
        <f t="array" ref="C27">INDEX('Questions global'!$A:$YP,ROW(C26)-ROW($A$2)+4,COLUMN(C26)-COLUMN($A$2)+1+$B$1)</f>
        <v/>
      </c>
      <c r="D27" s="126" t="str" cm="1">
        <f t="array" ref="D27">INDEX('Questions global'!$A:$YP,ROW(D26)-ROW($A$2)+4,COLUMN(D26)-COLUMN($A$2)+1+$B$1)</f>
        <v/>
      </c>
      <c r="E27" s="104" t="str" cm="1">
        <f t="array" aca="1" ref="E27" ca="1">INDEX('Questions global'!$A:$YP,ROW(E26)-ROW($A$2)+4,COLUMN(E26)-COLUMN($A$2)+1+$B$1)</f>
        <v xml:space="preserve">   </v>
      </c>
      <c r="F27" s="105" t="str" cm="1">
        <f t="array" ref="F27">INDEX('Questions global'!$A:$YP,ROW(F26)-ROW($A$2)+4,COLUMN(F26)-COLUMN($A$2)+1+$B$1)</f>
        <v xml:space="preserve"> </v>
      </c>
      <c r="G27" s="112" t="str" cm="1">
        <f t="array" ref="G27">INDEX('Questions global'!$A:$YP,ROW(G26)-ROW($A$2)+4,COLUMN(G26)-COLUMN($A$2)+1+$B$1)</f>
        <v/>
      </c>
      <c r="H27" s="104" t="str" cm="1">
        <f t="array" aca="1" ref="H27" ca="1">INDEX('Questions global'!$A:$YP,ROW(H26)-ROW($A$2)+4,COLUMN(H26)-COLUMN($A$2)+1+$B$1)</f>
        <v/>
      </c>
      <c r="I27" s="119" t="str" cm="1">
        <f t="array" aca="1" ref="I27" ca="1">INDEX('Questions global'!$A:$YP,ROW(I26)-ROW($A$2)+4,COLUMN(I26)-COLUMN($A$2)+1+$B$1)</f>
        <v/>
      </c>
    </row>
    <row r="28" spans="1:9" ht="15" customHeight="1" x14ac:dyDescent="0.3">
      <c r="A28" s="118" cm="1">
        <f t="array" ref="A28">INDEX('Questions global'!$A:$YP,ROW(A27)-ROW($A$2)+4,COLUMN(A27)-COLUMN($A$2)+1+$B$1)</f>
        <v>27</v>
      </c>
      <c r="B28" s="106" t="str" cm="1">
        <f t="array" ref="B28">INDEX('Questions global'!$A:$YP,ROW(B27)-ROW($A$2)+4,COLUMN(B27)-COLUMN($A$2)+1+$B$1)</f>
        <v/>
      </c>
      <c r="C28" s="106" t="str" cm="1">
        <f t="array" ref="C28">INDEX('Questions global'!$A:$YP,ROW(C27)-ROW($A$2)+4,COLUMN(C27)-COLUMN($A$2)+1+$B$1)</f>
        <v/>
      </c>
      <c r="D28" s="126" t="str" cm="1">
        <f t="array" ref="D28">INDEX('Questions global'!$A:$YP,ROW(D27)-ROW($A$2)+4,COLUMN(D27)-COLUMN($A$2)+1+$B$1)</f>
        <v/>
      </c>
      <c r="E28" s="104" t="str" cm="1">
        <f t="array" aca="1" ref="E28" ca="1">INDEX('Questions global'!$A:$YP,ROW(E27)-ROW($A$2)+4,COLUMN(E27)-COLUMN($A$2)+1+$B$1)</f>
        <v xml:space="preserve">   </v>
      </c>
      <c r="F28" s="105" t="str" cm="1">
        <f t="array" ref="F28">INDEX('Questions global'!$A:$YP,ROW(F27)-ROW($A$2)+4,COLUMN(F27)-COLUMN($A$2)+1+$B$1)</f>
        <v xml:space="preserve"> </v>
      </c>
      <c r="G28" s="112" t="str" cm="1">
        <f t="array" ref="G28">INDEX('Questions global'!$A:$YP,ROW(G27)-ROW($A$2)+4,COLUMN(G27)-COLUMN($A$2)+1+$B$1)</f>
        <v/>
      </c>
      <c r="H28" s="104" t="str" cm="1">
        <f t="array" aca="1" ref="H28" ca="1">INDEX('Questions global'!$A:$YP,ROW(H27)-ROW($A$2)+4,COLUMN(H27)-COLUMN($A$2)+1+$B$1)</f>
        <v/>
      </c>
      <c r="I28" s="119" t="str" cm="1">
        <f t="array" aca="1" ref="I28" ca="1">INDEX('Questions global'!$A:$YP,ROW(I27)-ROW($A$2)+4,COLUMN(I27)-COLUMN($A$2)+1+$B$1)</f>
        <v/>
      </c>
    </row>
    <row r="29" spans="1:9" ht="15" customHeight="1" x14ac:dyDescent="0.3">
      <c r="A29" s="118" cm="1">
        <f t="array" ref="A29">INDEX('Questions global'!$A:$YP,ROW(A28)-ROW($A$2)+4,COLUMN(A28)-COLUMN($A$2)+1+$B$1)</f>
        <v>28</v>
      </c>
      <c r="B29" s="106" t="str" cm="1">
        <f t="array" ref="B29">INDEX('Questions global'!$A:$YP,ROW(B28)-ROW($A$2)+4,COLUMN(B28)-COLUMN($A$2)+1+$B$1)</f>
        <v/>
      </c>
      <c r="C29" s="106" t="str" cm="1">
        <f t="array" ref="C29">INDEX('Questions global'!$A:$YP,ROW(C28)-ROW($A$2)+4,COLUMN(C28)-COLUMN($A$2)+1+$B$1)</f>
        <v/>
      </c>
      <c r="D29" s="126" t="str" cm="1">
        <f t="array" ref="D29">INDEX('Questions global'!$A:$YP,ROW(D28)-ROW($A$2)+4,COLUMN(D28)-COLUMN($A$2)+1+$B$1)</f>
        <v/>
      </c>
      <c r="E29" s="104" t="str" cm="1">
        <f t="array" aca="1" ref="E29" ca="1">INDEX('Questions global'!$A:$YP,ROW(E28)-ROW($A$2)+4,COLUMN(E28)-COLUMN($A$2)+1+$B$1)</f>
        <v xml:space="preserve">   </v>
      </c>
      <c r="F29" s="105" t="str" cm="1">
        <f t="array" ref="F29">INDEX('Questions global'!$A:$YP,ROW(F28)-ROW($A$2)+4,COLUMN(F28)-COLUMN($A$2)+1+$B$1)</f>
        <v xml:space="preserve"> </v>
      </c>
      <c r="G29" s="112" t="str" cm="1">
        <f t="array" ref="G29">INDEX('Questions global'!$A:$YP,ROW(G28)-ROW($A$2)+4,COLUMN(G28)-COLUMN($A$2)+1+$B$1)</f>
        <v/>
      </c>
      <c r="H29" s="104" t="str" cm="1">
        <f t="array" aca="1" ref="H29" ca="1">INDEX('Questions global'!$A:$YP,ROW(H28)-ROW($A$2)+4,COLUMN(H28)-COLUMN($A$2)+1+$B$1)</f>
        <v/>
      </c>
      <c r="I29" s="119" t="str" cm="1">
        <f t="array" aca="1" ref="I29" ca="1">INDEX('Questions global'!$A:$YP,ROW(I28)-ROW($A$2)+4,COLUMN(I28)-COLUMN($A$2)+1+$B$1)</f>
        <v/>
      </c>
    </row>
    <row r="30" spans="1:9" ht="15" customHeight="1" x14ac:dyDescent="0.3">
      <c r="A30" s="118" cm="1">
        <f t="array" ref="A30">INDEX('Questions global'!$A:$YP,ROW(A29)-ROW($A$2)+4,COLUMN(A29)-COLUMN($A$2)+1+$B$1)</f>
        <v>29</v>
      </c>
      <c r="B30" s="106" t="str" cm="1">
        <f t="array" ref="B30">INDEX('Questions global'!$A:$YP,ROW(B29)-ROW($A$2)+4,COLUMN(B29)-COLUMN($A$2)+1+$B$1)</f>
        <v/>
      </c>
      <c r="C30" s="106" t="str" cm="1">
        <f t="array" ref="C30">INDEX('Questions global'!$A:$YP,ROW(C29)-ROW($A$2)+4,COLUMN(C29)-COLUMN($A$2)+1+$B$1)</f>
        <v/>
      </c>
      <c r="D30" s="126" t="str" cm="1">
        <f t="array" ref="D30">INDEX('Questions global'!$A:$YP,ROW(D29)-ROW($A$2)+4,COLUMN(D29)-COLUMN($A$2)+1+$B$1)</f>
        <v/>
      </c>
      <c r="E30" s="104" t="str" cm="1">
        <f t="array" aca="1" ref="E30" ca="1">INDEX('Questions global'!$A:$YP,ROW(E29)-ROW($A$2)+4,COLUMN(E29)-COLUMN($A$2)+1+$B$1)</f>
        <v xml:space="preserve">   </v>
      </c>
      <c r="F30" s="105" t="str" cm="1">
        <f t="array" ref="F30">INDEX('Questions global'!$A:$YP,ROW(F29)-ROW($A$2)+4,COLUMN(F29)-COLUMN($A$2)+1+$B$1)</f>
        <v xml:space="preserve"> </v>
      </c>
      <c r="G30" s="112" t="str" cm="1">
        <f t="array" ref="G30">INDEX('Questions global'!$A:$YP,ROW(G29)-ROW($A$2)+4,COLUMN(G29)-COLUMN($A$2)+1+$B$1)</f>
        <v/>
      </c>
      <c r="H30" s="104" t="str" cm="1">
        <f t="array" aca="1" ref="H30" ca="1">INDEX('Questions global'!$A:$YP,ROW(H29)-ROW($A$2)+4,COLUMN(H29)-COLUMN($A$2)+1+$B$1)</f>
        <v/>
      </c>
      <c r="I30" s="119" t="str" cm="1">
        <f t="array" aca="1" ref="I30" ca="1">INDEX('Questions global'!$A:$YP,ROW(I29)-ROW($A$2)+4,COLUMN(I29)-COLUMN($A$2)+1+$B$1)</f>
        <v/>
      </c>
    </row>
    <row r="31" spans="1:9" ht="15" customHeight="1" x14ac:dyDescent="0.3">
      <c r="A31" s="118" cm="1">
        <f t="array" ref="A31">INDEX('Questions global'!$A:$YP,ROW(A30)-ROW($A$2)+4,COLUMN(A30)-COLUMN($A$2)+1+$B$1)</f>
        <v>30</v>
      </c>
      <c r="B31" s="106" t="str" cm="1">
        <f t="array" ref="B31">INDEX('Questions global'!$A:$YP,ROW(B30)-ROW($A$2)+4,COLUMN(B30)-COLUMN($A$2)+1+$B$1)</f>
        <v/>
      </c>
      <c r="C31" s="106" t="str" cm="1">
        <f t="array" ref="C31">INDEX('Questions global'!$A:$YP,ROW(C30)-ROW($A$2)+4,COLUMN(C30)-COLUMN($A$2)+1+$B$1)</f>
        <v/>
      </c>
      <c r="D31" s="126" t="str" cm="1">
        <f t="array" ref="D31">INDEX('Questions global'!$A:$YP,ROW(D30)-ROW($A$2)+4,COLUMN(D30)-COLUMN($A$2)+1+$B$1)</f>
        <v/>
      </c>
      <c r="E31" s="104" t="str" cm="1">
        <f t="array" aca="1" ref="E31" ca="1">INDEX('Questions global'!$A:$YP,ROW(E30)-ROW($A$2)+4,COLUMN(E30)-COLUMN($A$2)+1+$B$1)</f>
        <v xml:space="preserve">   </v>
      </c>
      <c r="F31" s="105" t="str" cm="1">
        <f t="array" ref="F31">INDEX('Questions global'!$A:$YP,ROW(F30)-ROW($A$2)+4,COLUMN(F30)-COLUMN($A$2)+1+$B$1)</f>
        <v xml:space="preserve"> </v>
      </c>
      <c r="G31" s="112" t="str" cm="1">
        <f t="array" ref="G31">INDEX('Questions global'!$A:$YP,ROW(G30)-ROW($A$2)+4,COLUMN(G30)-COLUMN($A$2)+1+$B$1)</f>
        <v/>
      </c>
      <c r="H31" s="104" t="str" cm="1">
        <f t="array" aca="1" ref="H31" ca="1">INDEX('Questions global'!$A:$YP,ROW(H30)-ROW($A$2)+4,COLUMN(H30)-COLUMN($A$2)+1+$B$1)</f>
        <v/>
      </c>
      <c r="I31" s="119" t="str" cm="1">
        <f t="array" aca="1" ref="I31" ca="1">INDEX('Questions global'!$A:$YP,ROW(I30)-ROW($A$2)+4,COLUMN(I30)-COLUMN($A$2)+1+$B$1)</f>
        <v/>
      </c>
    </row>
    <row r="32" spans="1:9" ht="15" customHeight="1" x14ac:dyDescent="0.3">
      <c r="A32" s="118" cm="1">
        <f t="array" ref="A32">INDEX('Questions global'!$A:$YP,ROW(A31)-ROW($A$2)+4,COLUMN(A31)-COLUMN($A$2)+1+$B$1)</f>
        <v>31</v>
      </c>
      <c r="B32" s="106" t="str" cm="1">
        <f t="array" ref="B32">INDEX('Questions global'!$A:$YP,ROW(B31)-ROW($A$2)+4,COLUMN(B31)-COLUMN($A$2)+1+$B$1)</f>
        <v/>
      </c>
      <c r="C32" s="106" t="str" cm="1">
        <f t="array" ref="C32">INDEX('Questions global'!$A:$YP,ROW(C31)-ROW($A$2)+4,COLUMN(C31)-COLUMN($A$2)+1+$B$1)</f>
        <v/>
      </c>
      <c r="D32" s="126" t="str" cm="1">
        <f t="array" ref="D32">INDEX('Questions global'!$A:$YP,ROW(D31)-ROW($A$2)+4,COLUMN(D31)-COLUMN($A$2)+1+$B$1)</f>
        <v/>
      </c>
      <c r="E32" s="104" t="str" cm="1">
        <f t="array" aca="1" ref="E32" ca="1">INDEX('Questions global'!$A:$YP,ROW(E31)-ROW($A$2)+4,COLUMN(E31)-COLUMN($A$2)+1+$B$1)</f>
        <v xml:space="preserve">   </v>
      </c>
      <c r="F32" s="105" t="str" cm="1">
        <f t="array" ref="F32">INDEX('Questions global'!$A:$YP,ROW(F31)-ROW($A$2)+4,COLUMN(F31)-COLUMN($A$2)+1+$B$1)</f>
        <v xml:space="preserve"> </v>
      </c>
      <c r="G32" s="112" t="str" cm="1">
        <f t="array" ref="G32">INDEX('Questions global'!$A:$YP,ROW(G31)-ROW($A$2)+4,COLUMN(G31)-COLUMN($A$2)+1+$B$1)</f>
        <v/>
      </c>
      <c r="H32" s="104" t="str" cm="1">
        <f t="array" aca="1" ref="H32" ca="1">INDEX('Questions global'!$A:$YP,ROW(H31)-ROW($A$2)+4,COLUMN(H31)-COLUMN($A$2)+1+$B$1)</f>
        <v/>
      </c>
      <c r="I32" s="119" t="str" cm="1">
        <f t="array" aca="1" ref="I32" ca="1">INDEX('Questions global'!$A:$YP,ROW(I31)-ROW($A$2)+4,COLUMN(I31)-COLUMN($A$2)+1+$B$1)</f>
        <v/>
      </c>
    </row>
    <row r="33" spans="1:9" ht="15" customHeight="1" x14ac:dyDescent="0.3">
      <c r="A33" s="118" cm="1">
        <f t="array" ref="A33">INDEX('Questions global'!$A:$YP,ROW(A32)-ROW($A$2)+4,COLUMN(A32)-COLUMN($A$2)+1+$B$1)</f>
        <v>32</v>
      </c>
      <c r="B33" s="106" t="str" cm="1">
        <f t="array" ref="B33">INDEX('Questions global'!$A:$YP,ROW(B32)-ROW($A$2)+4,COLUMN(B32)-COLUMN($A$2)+1+$B$1)</f>
        <v/>
      </c>
      <c r="C33" s="106" t="str" cm="1">
        <f t="array" ref="C33">INDEX('Questions global'!$A:$YP,ROW(C32)-ROW($A$2)+4,COLUMN(C32)-COLUMN($A$2)+1+$B$1)</f>
        <v/>
      </c>
      <c r="D33" s="126" t="str" cm="1">
        <f t="array" ref="D33">INDEX('Questions global'!$A:$YP,ROW(D32)-ROW($A$2)+4,COLUMN(D32)-COLUMN($A$2)+1+$B$1)</f>
        <v/>
      </c>
      <c r="E33" s="104" t="str" cm="1">
        <f t="array" aca="1" ref="E33" ca="1">INDEX('Questions global'!$A:$YP,ROW(E32)-ROW($A$2)+4,COLUMN(E32)-COLUMN($A$2)+1+$B$1)</f>
        <v xml:space="preserve">   </v>
      </c>
      <c r="F33" s="105" t="str" cm="1">
        <f t="array" ref="F33">INDEX('Questions global'!$A:$YP,ROW(F32)-ROW($A$2)+4,COLUMN(F32)-COLUMN($A$2)+1+$B$1)</f>
        <v xml:space="preserve"> </v>
      </c>
      <c r="G33" s="112" t="str" cm="1">
        <f t="array" ref="G33">INDEX('Questions global'!$A:$YP,ROW(G32)-ROW($A$2)+4,COLUMN(G32)-COLUMN($A$2)+1+$B$1)</f>
        <v/>
      </c>
      <c r="H33" s="104" t="str" cm="1">
        <f t="array" aca="1" ref="H33" ca="1">INDEX('Questions global'!$A:$YP,ROW(H32)-ROW($A$2)+4,COLUMN(H32)-COLUMN($A$2)+1+$B$1)</f>
        <v/>
      </c>
      <c r="I33" s="119" t="str" cm="1">
        <f t="array" aca="1" ref="I33" ca="1">INDEX('Questions global'!$A:$YP,ROW(I32)-ROW($A$2)+4,COLUMN(I32)-COLUMN($A$2)+1+$B$1)</f>
        <v/>
      </c>
    </row>
    <row r="34" spans="1:9" ht="15" customHeight="1" x14ac:dyDescent="0.3">
      <c r="A34" s="118" cm="1">
        <f t="array" ref="A34">INDEX('Questions global'!$A:$YP,ROW(A33)-ROW($A$2)+4,COLUMN(A33)-COLUMN($A$2)+1+$B$1)</f>
        <v>33</v>
      </c>
      <c r="B34" s="106" t="str" cm="1">
        <f t="array" ref="B34">INDEX('Questions global'!$A:$YP,ROW(B33)-ROW($A$2)+4,COLUMN(B33)-COLUMN($A$2)+1+$B$1)</f>
        <v/>
      </c>
      <c r="C34" s="106" t="str" cm="1">
        <f t="array" ref="C34">INDEX('Questions global'!$A:$YP,ROW(C33)-ROW($A$2)+4,COLUMN(C33)-COLUMN($A$2)+1+$B$1)</f>
        <v/>
      </c>
      <c r="D34" s="126" t="str" cm="1">
        <f t="array" ref="D34">INDEX('Questions global'!$A:$YP,ROW(D33)-ROW($A$2)+4,COLUMN(D33)-COLUMN($A$2)+1+$B$1)</f>
        <v/>
      </c>
      <c r="E34" s="104" t="str" cm="1">
        <f t="array" aca="1" ref="E34" ca="1">INDEX('Questions global'!$A:$YP,ROW(E33)-ROW($A$2)+4,COLUMN(E33)-COLUMN($A$2)+1+$B$1)</f>
        <v xml:space="preserve">   </v>
      </c>
      <c r="F34" s="105" t="str" cm="1">
        <f t="array" ref="F34">INDEX('Questions global'!$A:$YP,ROW(F33)-ROW($A$2)+4,COLUMN(F33)-COLUMN($A$2)+1+$B$1)</f>
        <v xml:space="preserve"> </v>
      </c>
      <c r="G34" s="112" t="str" cm="1">
        <f t="array" ref="G34">INDEX('Questions global'!$A:$YP,ROW(G33)-ROW($A$2)+4,COLUMN(G33)-COLUMN($A$2)+1+$B$1)</f>
        <v/>
      </c>
      <c r="H34" s="104" t="str" cm="1">
        <f t="array" aca="1" ref="H34" ca="1">INDEX('Questions global'!$A:$YP,ROW(H33)-ROW($A$2)+4,COLUMN(H33)-COLUMN($A$2)+1+$B$1)</f>
        <v/>
      </c>
      <c r="I34" s="119" t="str" cm="1">
        <f t="array" aca="1" ref="I34" ca="1">INDEX('Questions global'!$A:$YP,ROW(I33)-ROW($A$2)+4,COLUMN(I33)-COLUMN($A$2)+1+$B$1)</f>
        <v/>
      </c>
    </row>
    <row r="35" spans="1:9" ht="15" customHeight="1" x14ac:dyDescent="0.3">
      <c r="A35" s="118" cm="1">
        <f t="array" ref="A35">INDEX('Questions global'!$A:$YP,ROW(A34)-ROW($A$2)+4,COLUMN(A34)-COLUMN($A$2)+1+$B$1)</f>
        <v>34</v>
      </c>
      <c r="B35" s="106" t="str" cm="1">
        <f t="array" ref="B35">INDEX('Questions global'!$A:$YP,ROW(B34)-ROW($A$2)+4,COLUMN(B34)-COLUMN($A$2)+1+$B$1)</f>
        <v/>
      </c>
      <c r="C35" s="106" t="str" cm="1">
        <f t="array" ref="C35">INDEX('Questions global'!$A:$YP,ROW(C34)-ROW($A$2)+4,COLUMN(C34)-COLUMN($A$2)+1+$B$1)</f>
        <v/>
      </c>
      <c r="D35" s="126" t="str" cm="1">
        <f t="array" ref="D35">INDEX('Questions global'!$A:$YP,ROW(D34)-ROW($A$2)+4,COLUMN(D34)-COLUMN($A$2)+1+$B$1)</f>
        <v/>
      </c>
      <c r="E35" s="104" t="str" cm="1">
        <f t="array" aca="1" ref="E35" ca="1">INDEX('Questions global'!$A:$YP,ROW(E34)-ROW($A$2)+4,COLUMN(E34)-COLUMN($A$2)+1+$B$1)</f>
        <v xml:space="preserve">   </v>
      </c>
      <c r="F35" s="105" t="str" cm="1">
        <f t="array" ref="F35">INDEX('Questions global'!$A:$YP,ROW(F34)-ROW($A$2)+4,COLUMN(F34)-COLUMN($A$2)+1+$B$1)</f>
        <v xml:space="preserve"> </v>
      </c>
      <c r="G35" s="112" t="str" cm="1">
        <f t="array" ref="G35">INDEX('Questions global'!$A:$YP,ROW(G34)-ROW($A$2)+4,COLUMN(G34)-COLUMN($A$2)+1+$B$1)</f>
        <v/>
      </c>
      <c r="H35" s="104" t="str" cm="1">
        <f t="array" aca="1" ref="H35" ca="1">INDEX('Questions global'!$A:$YP,ROW(H34)-ROW($A$2)+4,COLUMN(H34)-COLUMN($A$2)+1+$B$1)</f>
        <v/>
      </c>
      <c r="I35" s="119" t="str" cm="1">
        <f t="array" aca="1" ref="I35" ca="1">INDEX('Questions global'!$A:$YP,ROW(I34)-ROW($A$2)+4,COLUMN(I34)-COLUMN($A$2)+1+$B$1)</f>
        <v/>
      </c>
    </row>
    <row r="36" spans="1:9" ht="15" customHeight="1" x14ac:dyDescent="0.3">
      <c r="A36" s="118" cm="1">
        <f t="array" ref="A36">INDEX('Questions global'!$A:$YP,ROW(A35)-ROW($A$2)+4,COLUMN(A35)-COLUMN($A$2)+1+$B$1)</f>
        <v>35</v>
      </c>
      <c r="B36" s="106" t="str" cm="1">
        <f t="array" ref="B36">INDEX('Questions global'!$A:$YP,ROW(B35)-ROW($A$2)+4,COLUMN(B35)-COLUMN($A$2)+1+$B$1)</f>
        <v/>
      </c>
      <c r="C36" s="106" t="str" cm="1">
        <f t="array" ref="C36">INDEX('Questions global'!$A:$YP,ROW(C35)-ROW($A$2)+4,COLUMN(C35)-COLUMN($A$2)+1+$B$1)</f>
        <v/>
      </c>
      <c r="D36" s="126" t="str" cm="1">
        <f t="array" ref="D36">INDEX('Questions global'!$A:$YP,ROW(D35)-ROW($A$2)+4,COLUMN(D35)-COLUMN($A$2)+1+$B$1)</f>
        <v/>
      </c>
      <c r="E36" s="104" t="str" cm="1">
        <f t="array" aca="1" ref="E36" ca="1">INDEX('Questions global'!$A:$YP,ROW(E35)-ROW($A$2)+4,COLUMN(E35)-COLUMN($A$2)+1+$B$1)</f>
        <v xml:space="preserve">   </v>
      </c>
      <c r="F36" s="105" t="str" cm="1">
        <f t="array" ref="F36">INDEX('Questions global'!$A:$YP,ROW(F35)-ROW($A$2)+4,COLUMN(F35)-COLUMN($A$2)+1+$B$1)</f>
        <v xml:space="preserve"> </v>
      </c>
      <c r="G36" s="112" t="str" cm="1">
        <f t="array" ref="G36">INDEX('Questions global'!$A:$YP,ROW(G35)-ROW($A$2)+4,COLUMN(G35)-COLUMN($A$2)+1+$B$1)</f>
        <v/>
      </c>
      <c r="H36" s="104" t="str" cm="1">
        <f t="array" aca="1" ref="H36" ca="1">INDEX('Questions global'!$A:$YP,ROW(H35)-ROW($A$2)+4,COLUMN(H35)-COLUMN($A$2)+1+$B$1)</f>
        <v/>
      </c>
      <c r="I36" s="119" t="str" cm="1">
        <f t="array" aca="1" ref="I36" ca="1">INDEX('Questions global'!$A:$YP,ROW(I35)-ROW($A$2)+4,COLUMN(I35)-COLUMN($A$2)+1+$B$1)</f>
        <v/>
      </c>
    </row>
    <row r="37" spans="1:9" ht="16.5" customHeight="1" x14ac:dyDescent="0.3">
      <c r="A37" s="118" cm="1">
        <f t="array" ref="A37">INDEX('Questions global'!$A:$YP,ROW(A36)-ROW($A$2)+4,COLUMN(A36)-COLUMN($A$2)+1+$B$1)</f>
        <v>36</v>
      </c>
      <c r="B37" s="106" t="str" cm="1">
        <f t="array" ref="B37">INDEX('Questions global'!$A:$YP,ROW(B36)-ROW($A$2)+4,COLUMN(B36)-COLUMN($A$2)+1+$B$1)</f>
        <v/>
      </c>
      <c r="C37" s="106" t="str" cm="1">
        <f t="array" ref="C37">INDEX('Questions global'!$A:$YP,ROW(C36)-ROW($A$2)+4,COLUMN(C36)-COLUMN($A$2)+1+$B$1)</f>
        <v/>
      </c>
      <c r="D37" s="126" t="str" cm="1">
        <f t="array" ref="D37">INDEX('Questions global'!$A:$YP,ROW(D36)-ROW($A$2)+4,COLUMN(D36)-COLUMN($A$2)+1+$B$1)</f>
        <v/>
      </c>
      <c r="E37" s="104" t="str" cm="1">
        <f t="array" aca="1" ref="E37" ca="1">INDEX('Questions global'!$A:$YP,ROW(E36)-ROW($A$2)+4,COLUMN(E36)-COLUMN($A$2)+1+$B$1)</f>
        <v xml:space="preserve">   </v>
      </c>
      <c r="F37" s="105" t="str" cm="1">
        <f t="array" ref="F37">INDEX('Questions global'!$A:$YP,ROW(F36)-ROW($A$2)+4,COLUMN(F36)-COLUMN($A$2)+1+$B$1)</f>
        <v xml:space="preserve"> </v>
      </c>
      <c r="G37" s="112" t="str" cm="1">
        <f t="array" ref="G37">INDEX('Questions global'!$A:$YP,ROW(G36)-ROW($A$2)+4,COLUMN(G36)-COLUMN($A$2)+1+$B$1)</f>
        <v/>
      </c>
      <c r="H37" s="104" t="str" cm="1">
        <f t="array" aca="1" ref="H37" ca="1">INDEX('Questions global'!$A:$YP,ROW(H36)-ROW($A$2)+4,COLUMN(H36)-COLUMN($A$2)+1+$B$1)</f>
        <v/>
      </c>
      <c r="I37" s="119" t="str" cm="1">
        <f t="array" aca="1" ref="I37" ca="1">INDEX('Questions global'!$A:$YP,ROW(I36)-ROW($A$2)+4,COLUMN(I36)-COLUMN($A$2)+1+$B$1)</f>
        <v/>
      </c>
    </row>
    <row r="38" spans="1:9" ht="16.5" customHeight="1" x14ac:dyDescent="0.3">
      <c r="A38" s="118" cm="1">
        <f t="array" ref="A38">INDEX('Questions global'!$A:$YP,ROW(A37)-ROW($A$2)+4,COLUMN(A37)-COLUMN($A$2)+1+$B$1)</f>
        <v>37</v>
      </c>
      <c r="B38" s="106" t="str" cm="1">
        <f t="array" ref="B38">INDEX('Questions global'!$A:$YP,ROW(B37)-ROW($A$2)+4,COLUMN(B37)-COLUMN($A$2)+1+$B$1)</f>
        <v/>
      </c>
      <c r="C38" s="106" t="str" cm="1">
        <f t="array" ref="C38">INDEX('Questions global'!$A:$YP,ROW(C37)-ROW($A$2)+4,COLUMN(C37)-COLUMN($A$2)+1+$B$1)</f>
        <v/>
      </c>
      <c r="D38" s="126" t="str" cm="1">
        <f t="array" ref="D38">INDEX('Questions global'!$A:$YP,ROW(D37)-ROW($A$2)+4,COLUMN(D37)-COLUMN($A$2)+1+$B$1)</f>
        <v/>
      </c>
      <c r="E38" s="104" t="str" cm="1">
        <f t="array" aca="1" ref="E38" ca="1">INDEX('Questions global'!$A:$YP,ROW(E37)-ROW($A$2)+4,COLUMN(E37)-COLUMN($A$2)+1+$B$1)</f>
        <v xml:space="preserve">   </v>
      </c>
      <c r="F38" s="105" t="str" cm="1">
        <f t="array" ref="F38">INDEX('Questions global'!$A:$YP,ROW(F37)-ROW($A$2)+4,COLUMN(F37)-COLUMN($A$2)+1+$B$1)</f>
        <v xml:space="preserve"> </v>
      </c>
      <c r="G38" s="112" t="str" cm="1">
        <f t="array" ref="G38">INDEX('Questions global'!$A:$YP,ROW(G37)-ROW($A$2)+4,COLUMN(G37)-COLUMN($A$2)+1+$B$1)</f>
        <v/>
      </c>
      <c r="H38" s="104" t="str" cm="1">
        <f t="array" aca="1" ref="H38" ca="1">INDEX('Questions global'!$A:$YP,ROW(H37)-ROW($A$2)+4,COLUMN(H37)-COLUMN($A$2)+1+$B$1)</f>
        <v/>
      </c>
      <c r="I38" s="119" t="str" cm="1">
        <f t="array" aca="1" ref="I38" ca="1">INDEX('Questions global'!$A:$YP,ROW(I37)-ROW($A$2)+4,COLUMN(I37)-COLUMN($A$2)+1+$B$1)</f>
        <v/>
      </c>
    </row>
    <row r="39" spans="1:9" ht="16.5" customHeight="1" x14ac:dyDescent="0.3">
      <c r="A39" s="118" cm="1">
        <f t="array" ref="A39">INDEX('Questions global'!$A:$YP,ROW(A38)-ROW($A$2)+4,COLUMN(A38)-COLUMN($A$2)+1+$B$1)</f>
        <v>38</v>
      </c>
      <c r="B39" s="106" t="str" cm="1">
        <f t="array" ref="B39">INDEX('Questions global'!$A:$YP,ROW(B38)-ROW($A$2)+4,COLUMN(B38)-COLUMN($A$2)+1+$B$1)</f>
        <v/>
      </c>
      <c r="C39" s="106" t="str" cm="1">
        <f t="array" ref="C39">INDEX('Questions global'!$A:$YP,ROW(C38)-ROW($A$2)+4,COLUMN(C38)-COLUMN($A$2)+1+$B$1)</f>
        <v/>
      </c>
      <c r="D39" s="126" t="str" cm="1">
        <f t="array" ref="D39">INDEX('Questions global'!$A:$YP,ROW(D38)-ROW($A$2)+4,COLUMN(D38)-COLUMN($A$2)+1+$B$1)</f>
        <v/>
      </c>
      <c r="E39" s="104" t="str" cm="1">
        <f t="array" aca="1" ref="E39" ca="1">INDEX('Questions global'!$A:$YP,ROW(E38)-ROW($A$2)+4,COLUMN(E38)-COLUMN($A$2)+1+$B$1)</f>
        <v xml:space="preserve">   </v>
      </c>
      <c r="F39" s="105" t="str" cm="1">
        <f t="array" ref="F39">INDEX('Questions global'!$A:$YP,ROW(F38)-ROW($A$2)+4,COLUMN(F38)-COLUMN($A$2)+1+$B$1)</f>
        <v xml:space="preserve"> </v>
      </c>
      <c r="G39" s="112" t="str" cm="1">
        <f t="array" ref="G39">INDEX('Questions global'!$A:$YP,ROW(G38)-ROW($A$2)+4,COLUMN(G38)-COLUMN($A$2)+1+$B$1)</f>
        <v/>
      </c>
      <c r="H39" s="104" t="str" cm="1">
        <f t="array" aca="1" ref="H39" ca="1">INDEX('Questions global'!$A:$YP,ROW(H38)-ROW($A$2)+4,COLUMN(H38)-COLUMN($A$2)+1+$B$1)</f>
        <v/>
      </c>
      <c r="I39" s="119" t="str" cm="1">
        <f t="array" aca="1" ref="I39" ca="1">INDEX('Questions global'!$A:$YP,ROW(I38)-ROW($A$2)+4,COLUMN(I38)-COLUMN($A$2)+1+$B$1)</f>
        <v/>
      </c>
    </row>
    <row r="40" spans="1:9" ht="16.5" customHeight="1" x14ac:dyDescent="0.3">
      <c r="A40" s="118" cm="1">
        <f t="array" ref="A40">INDEX('Questions global'!$A:$YP,ROW(A39)-ROW($A$2)+4,COLUMN(A39)-COLUMN($A$2)+1+$B$1)</f>
        <v>39</v>
      </c>
      <c r="B40" s="106" t="str" cm="1">
        <f t="array" ref="B40">INDEX('Questions global'!$A:$YP,ROW(B39)-ROW($A$2)+4,COLUMN(B39)-COLUMN($A$2)+1+$B$1)</f>
        <v/>
      </c>
      <c r="C40" s="106" t="str" cm="1">
        <f t="array" ref="C40">INDEX('Questions global'!$A:$YP,ROW(C39)-ROW($A$2)+4,COLUMN(C39)-COLUMN($A$2)+1+$B$1)</f>
        <v/>
      </c>
      <c r="D40" s="126" t="str" cm="1">
        <f t="array" ref="D40">INDEX('Questions global'!$A:$YP,ROW(D39)-ROW($A$2)+4,COLUMN(D39)-COLUMN($A$2)+1+$B$1)</f>
        <v/>
      </c>
      <c r="E40" s="104" t="str" cm="1">
        <f t="array" aca="1" ref="E40" ca="1">INDEX('Questions global'!$A:$YP,ROW(E39)-ROW($A$2)+4,COLUMN(E39)-COLUMN($A$2)+1+$B$1)</f>
        <v xml:space="preserve">   </v>
      </c>
      <c r="F40" s="105" t="str" cm="1">
        <f t="array" ref="F40">INDEX('Questions global'!$A:$YP,ROW(F39)-ROW($A$2)+4,COLUMN(F39)-COLUMN($A$2)+1+$B$1)</f>
        <v xml:space="preserve"> </v>
      </c>
      <c r="G40" s="112" t="str" cm="1">
        <f t="array" ref="G40">INDEX('Questions global'!$A:$YP,ROW(G39)-ROW($A$2)+4,COLUMN(G39)-COLUMN($A$2)+1+$B$1)</f>
        <v/>
      </c>
      <c r="H40" s="104" t="str" cm="1">
        <f t="array" aca="1" ref="H40" ca="1">INDEX('Questions global'!$A:$YP,ROW(H39)-ROW($A$2)+4,COLUMN(H39)-COLUMN($A$2)+1+$B$1)</f>
        <v/>
      </c>
      <c r="I40" s="119" t="str" cm="1">
        <f t="array" aca="1" ref="I40" ca="1">INDEX('Questions global'!$A:$YP,ROW(I39)-ROW($A$2)+4,COLUMN(I39)-COLUMN($A$2)+1+$B$1)</f>
        <v/>
      </c>
    </row>
    <row r="41" spans="1:9" ht="16.5" customHeight="1" x14ac:dyDescent="0.3">
      <c r="A41" s="118" cm="1">
        <f t="array" ref="A41">INDEX('Questions global'!$A:$YP,ROW(A40)-ROW($A$2)+4,COLUMN(A40)-COLUMN($A$2)+1+$B$1)</f>
        <v>40</v>
      </c>
      <c r="B41" s="106" t="str" cm="1">
        <f t="array" ref="B41">INDEX('Questions global'!$A:$YP,ROW(B40)-ROW($A$2)+4,COLUMN(B40)-COLUMN($A$2)+1+$B$1)</f>
        <v/>
      </c>
      <c r="C41" s="106" t="str" cm="1">
        <f t="array" ref="C41">INDEX('Questions global'!$A:$YP,ROW(C40)-ROW($A$2)+4,COLUMN(C40)-COLUMN($A$2)+1+$B$1)</f>
        <v/>
      </c>
      <c r="D41" s="126" t="str" cm="1">
        <f t="array" ref="D41">INDEX('Questions global'!$A:$YP,ROW(D40)-ROW($A$2)+4,COLUMN(D40)-COLUMN($A$2)+1+$B$1)</f>
        <v/>
      </c>
      <c r="E41" s="104" t="str" cm="1">
        <f t="array" aca="1" ref="E41" ca="1">INDEX('Questions global'!$A:$YP,ROW(E40)-ROW($A$2)+4,COLUMN(E40)-COLUMN($A$2)+1+$B$1)</f>
        <v xml:space="preserve">   </v>
      </c>
      <c r="F41" s="105" t="str" cm="1">
        <f t="array" ref="F41">INDEX('Questions global'!$A:$YP,ROW(F40)-ROW($A$2)+4,COLUMN(F40)-COLUMN($A$2)+1+$B$1)</f>
        <v xml:space="preserve"> </v>
      </c>
      <c r="G41" s="112" t="str" cm="1">
        <f t="array" ref="G41">INDEX('Questions global'!$A:$YP,ROW(G40)-ROW($A$2)+4,COLUMN(G40)-COLUMN($A$2)+1+$B$1)</f>
        <v/>
      </c>
      <c r="H41" s="104" t="str" cm="1">
        <f t="array" aca="1" ref="H41" ca="1">INDEX('Questions global'!$A:$YP,ROW(H40)-ROW($A$2)+4,COLUMN(H40)-COLUMN($A$2)+1+$B$1)</f>
        <v/>
      </c>
      <c r="I41" s="119" t="str" cm="1">
        <f t="array" aca="1" ref="I41" ca="1">INDEX('Questions global'!$A:$YP,ROW(I40)-ROW($A$2)+4,COLUMN(I40)-COLUMN($A$2)+1+$B$1)</f>
        <v/>
      </c>
    </row>
    <row r="42" spans="1:9" ht="16.5" customHeight="1" x14ac:dyDescent="0.3">
      <c r="A42" s="118" cm="1">
        <f t="array" ref="A42">INDEX('Questions global'!$A:$YP,ROW(A41)-ROW($A$2)+4,COLUMN(A41)-COLUMN($A$2)+1+$B$1)</f>
        <v>41</v>
      </c>
      <c r="B42" s="106" t="str" cm="1">
        <f t="array" ref="B42">INDEX('Questions global'!$A:$YP,ROW(B41)-ROW($A$2)+4,COLUMN(B41)-COLUMN($A$2)+1+$B$1)</f>
        <v/>
      </c>
      <c r="C42" s="106" t="str" cm="1">
        <f t="array" ref="C42">INDEX('Questions global'!$A:$YP,ROW(C41)-ROW($A$2)+4,COLUMN(C41)-COLUMN($A$2)+1+$B$1)</f>
        <v/>
      </c>
      <c r="D42" s="126" t="str" cm="1">
        <f t="array" ref="D42">INDEX('Questions global'!$A:$YP,ROW(D41)-ROW($A$2)+4,COLUMN(D41)-COLUMN($A$2)+1+$B$1)</f>
        <v/>
      </c>
      <c r="E42" s="104" t="str" cm="1">
        <f t="array" aca="1" ref="E42" ca="1">INDEX('Questions global'!$A:$YP,ROW(E41)-ROW($A$2)+4,COLUMN(E41)-COLUMN($A$2)+1+$B$1)</f>
        <v xml:space="preserve">   </v>
      </c>
      <c r="F42" s="105" t="str" cm="1">
        <f t="array" ref="F42">INDEX('Questions global'!$A:$YP,ROW(F41)-ROW($A$2)+4,COLUMN(F41)-COLUMN($A$2)+1+$B$1)</f>
        <v xml:space="preserve"> </v>
      </c>
      <c r="G42" s="112" t="str" cm="1">
        <f t="array" ref="G42">INDEX('Questions global'!$A:$YP,ROW(G41)-ROW($A$2)+4,COLUMN(G41)-COLUMN($A$2)+1+$B$1)</f>
        <v/>
      </c>
      <c r="H42" s="104" t="str" cm="1">
        <f t="array" aca="1" ref="H42" ca="1">INDEX('Questions global'!$A:$YP,ROW(H41)-ROW($A$2)+4,COLUMN(H41)-COLUMN($A$2)+1+$B$1)</f>
        <v/>
      </c>
      <c r="I42" s="119" t="str" cm="1">
        <f t="array" aca="1" ref="I42" ca="1">INDEX('Questions global'!$A:$YP,ROW(I41)-ROW($A$2)+4,COLUMN(I41)-COLUMN($A$2)+1+$B$1)</f>
        <v/>
      </c>
    </row>
    <row r="43" spans="1:9" ht="16.5" customHeight="1" x14ac:dyDescent="0.3">
      <c r="A43" s="118" cm="1">
        <f t="array" ref="A43">INDEX('Questions global'!$A:$YP,ROW(A42)-ROW($A$2)+4,COLUMN(A42)-COLUMN($A$2)+1+$B$1)</f>
        <v>42</v>
      </c>
      <c r="B43" s="106" t="str" cm="1">
        <f t="array" ref="B43">INDEX('Questions global'!$A:$YP,ROW(B42)-ROW($A$2)+4,COLUMN(B42)-COLUMN($A$2)+1+$B$1)</f>
        <v/>
      </c>
      <c r="C43" s="106" t="str" cm="1">
        <f t="array" ref="C43">INDEX('Questions global'!$A:$YP,ROW(C42)-ROW($A$2)+4,COLUMN(C42)-COLUMN($A$2)+1+$B$1)</f>
        <v/>
      </c>
      <c r="D43" s="126" t="str" cm="1">
        <f t="array" ref="D43">INDEX('Questions global'!$A:$YP,ROW(D42)-ROW($A$2)+4,COLUMN(D42)-COLUMN($A$2)+1+$B$1)</f>
        <v/>
      </c>
      <c r="E43" s="104" t="str" cm="1">
        <f t="array" aca="1" ref="E43" ca="1">INDEX('Questions global'!$A:$YP,ROW(E42)-ROW($A$2)+4,COLUMN(E42)-COLUMN($A$2)+1+$B$1)</f>
        <v xml:space="preserve">   </v>
      </c>
      <c r="F43" s="105" t="str" cm="1">
        <f t="array" ref="F43">INDEX('Questions global'!$A:$YP,ROW(F42)-ROW($A$2)+4,COLUMN(F42)-COLUMN($A$2)+1+$B$1)</f>
        <v xml:space="preserve"> </v>
      </c>
      <c r="G43" s="112" t="str" cm="1">
        <f t="array" ref="G43">INDEX('Questions global'!$A:$YP,ROW(G42)-ROW($A$2)+4,COLUMN(G42)-COLUMN($A$2)+1+$B$1)</f>
        <v/>
      </c>
      <c r="H43" s="104" t="str" cm="1">
        <f t="array" aca="1" ref="H43" ca="1">INDEX('Questions global'!$A:$YP,ROW(H42)-ROW($A$2)+4,COLUMN(H42)-COLUMN($A$2)+1+$B$1)</f>
        <v/>
      </c>
      <c r="I43" s="119" t="str" cm="1">
        <f t="array" aca="1" ref="I43" ca="1">INDEX('Questions global'!$A:$YP,ROW(I42)-ROW($A$2)+4,COLUMN(I42)-COLUMN($A$2)+1+$B$1)</f>
        <v/>
      </c>
    </row>
    <row r="44" spans="1:9" ht="16.5" customHeight="1" x14ac:dyDescent="0.3">
      <c r="A44" s="118" cm="1">
        <f t="array" ref="A44">INDEX('Questions global'!$A:$YP,ROW(A43)-ROW($A$2)+4,COLUMN(A43)-COLUMN($A$2)+1+$B$1)</f>
        <v>43</v>
      </c>
      <c r="B44" s="106" t="str" cm="1">
        <f t="array" ref="B44">INDEX('Questions global'!$A:$YP,ROW(B43)-ROW($A$2)+4,COLUMN(B43)-COLUMN($A$2)+1+$B$1)</f>
        <v/>
      </c>
      <c r="C44" s="106" t="str" cm="1">
        <f t="array" ref="C44">INDEX('Questions global'!$A:$YP,ROW(C43)-ROW($A$2)+4,COLUMN(C43)-COLUMN($A$2)+1+$B$1)</f>
        <v/>
      </c>
      <c r="D44" s="126" t="str" cm="1">
        <f t="array" ref="D44">INDEX('Questions global'!$A:$YP,ROW(D43)-ROW($A$2)+4,COLUMN(D43)-COLUMN($A$2)+1+$B$1)</f>
        <v/>
      </c>
      <c r="E44" s="104" t="str" cm="1">
        <f t="array" aca="1" ref="E44" ca="1">INDEX('Questions global'!$A:$YP,ROW(E43)-ROW($A$2)+4,COLUMN(E43)-COLUMN($A$2)+1+$B$1)</f>
        <v xml:space="preserve">   </v>
      </c>
      <c r="F44" s="105" t="str" cm="1">
        <f t="array" ref="F44">INDEX('Questions global'!$A:$YP,ROW(F43)-ROW($A$2)+4,COLUMN(F43)-COLUMN($A$2)+1+$B$1)</f>
        <v xml:space="preserve"> </v>
      </c>
      <c r="G44" s="112" t="str" cm="1">
        <f t="array" ref="G44">INDEX('Questions global'!$A:$YP,ROW(G43)-ROW($A$2)+4,COLUMN(G43)-COLUMN($A$2)+1+$B$1)</f>
        <v/>
      </c>
      <c r="H44" s="104" t="str" cm="1">
        <f t="array" aca="1" ref="H44" ca="1">INDEX('Questions global'!$A:$YP,ROW(H43)-ROW($A$2)+4,COLUMN(H43)-COLUMN($A$2)+1+$B$1)</f>
        <v/>
      </c>
      <c r="I44" s="119" t="str" cm="1">
        <f t="array" aca="1" ref="I44" ca="1">INDEX('Questions global'!$A:$YP,ROW(I43)-ROW($A$2)+4,COLUMN(I43)-COLUMN($A$2)+1+$B$1)</f>
        <v/>
      </c>
    </row>
    <row r="45" spans="1:9" ht="16.5" customHeight="1" x14ac:dyDescent="0.3">
      <c r="A45" s="118" cm="1">
        <f t="array" ref="A45">INDEX('Questions global'!$A:$YP,ROW(A44)-ROW($A$2)+4,COLUMN(A44)-COLUMN($A$2)+1+$B$1)</f>
        <v>44</v>
      </c>
      <c r="B45" s="106" t="str" cm="1">
        <f t="array" ref="B45">INDEX('Questions global'!$A:$YP,ROW(B44)-ROW($A$2)+4,COLUMN(B44)-COLUMN($A$2)+1+$B$1)</f>
        <v/>
      </c>
      <c r="C45" s="106" t="str" cm="1">
        <f t="array" ref="C45">INDEX('Questions global'!$A:$YP,ROW(C44)-ROW($A$2)+4,COLUMN(C44)-COLUMN($A$2)+1+$B$1)</f>
        <v/>
      </c>
      <c r="D45" s="126" t="str" cm="1">
        <f t="array" ref="D45">INDEX('Questions global'!$A:$YP,ROW(D44)-ROW($A$2)+4,COLUMN(D44)-COLUMN($A$2)+1+$B$1)</f>
        <v/>
      </c>
      <c r="E45" s="104" t="str" cm="1">
        <f t="array" aca="1" ref="E45" ca="1">INDEX('Questions global'!$A:$YP,ROW(E44)-ROW($A$2)+4,COLUMN(E44)-COLUMN($A$2)+1+$B$1)</f>
        <v xml:space="preserve">   </v>
      </c>
      <c r="F45" s="105" t="str" cm="1">
        <f t="array" ref="F45">INDEX('Questions global'!$A:$YP,ROW(F44)-ROW($A$2)+4,COLUMN(F44)-COLUMN($A$2)+1+$B$1)</f>
        <v xml:space="preserve"> </v>
      </c>
      <c r="G45" s="112" t="str" cm="1">
        <f t="array" ref="G45">INDEX('Questions global'!$A:$YP,ROW(G44)-ROW($A$2)+4,COLUMN(G44)-COLUMN($A$2)+1+$B$1)</f>
        <v/>
      </c>
      <c r="H45" s="104" t="str" cm="1">
        <f t="array" aca="1" ref="H45" ca="1">INDEX('Questions global'!$A:$YP,ROW(H44)-ROW($A$2)+4,COLUMN(H44)-COLUMN($A$2)+1+$B$1)</f>
        <v/>
      </c>
      <c r="I45" s="119" t="str" cm="1">
        <f t="array" aca="1" ref="I45" ca="1">INDEX('Questions global'!$A:$YP,ROW(I44)-ROW($A$2)+4,COLUMN(I44)-COLUMN($A$2)+1+$B$1)</f>
        <v/>
      </c>
    </row>
    <row r="46" spans="1:9" ht="16.5" customHeight="1" x14ac:dyDescent="0.3">
      <c r="A46" s="118" cm="1">
        <f t="array" ref="A46">INDEX('Questions global'!$A:$YP,ROW(A45)-ROW($A$2)+4,COLUMN(A45)-COLUMN($A$2)+1+$B$1)</f>
        <v>45</v>
      </c>
      <c r="B46" s="106" t="str" cm="1">
        <f t="array" ref="B46">INDEX('Questions global'!$A:$YP,ROW(B45)-ROW($A$2)+4,COLUMN(B45)-COLUMN($A$2)+1+$B$1)</f>
        <v/>
      </c>
      <c r="C46" s="106" t="str" cm="1">
        <f t="array" ref="C46">INDEX('Questions global'!$A:$YP,ROW(C45)-ROW($A$2)+4,COLUMN(C45)-COLUMN($A$2)+1+$B$1)</f>
        <v/>
      </c>
      <c r="D46" s="126" t="str" cm="1">
        <f t="array" ref="D46">INDEX('Questions global'!$A:$YP,ROW(D45)-ROW($A$2)+4,COLUMN(D45)-COLUMN($A$2)+1+$B$1)</f>
        <v/>
      </c>
      <c r="E46" s="104" t="str" cm="1">
        <f t="array" aca="1" ref="E46" ca="1">INDEX('Questions global'!$A:$YP,ROW(E45)-ROW($A$2)+4,COLUMN(E45)-COLUMN($A$2)+1+$B$1)</f>
        <v xml:space="preserve">   </v>
      </c>
      <c r="F46" s="105" t="str" cm="1">
        <f t="array" ref="F46">INDEX('Questions global'!$A:$YP,ROW(F45)-ROW($A$2)+4,COLUMN(F45)-COLUMN($A$2)+1+$B$1)</f>
        <v xml:space="preserve"> </v>
      </c>
      <c r="G46" s="112" t="str" cm="1">
        <f t="array" ref="G46">INDEX('Questions global'!$A:$YP,ROW(G45)-ROW($A$2)+4,COLUMN(G45)-COLUMN($A$2)+1+$B$1)</f>
        <v/>
      </c>
      <c r="H46" s="104" t="str" cm="1">
        <f t="array" aca="1" ref="H46" ca="1">INDEX('Questions global'!$A:$YP,ROW(H45)-ROW($A$2)+4,COLUMN(H45)-COLUMN($A$2)+1+$B$1)</f>
        <v/>
      </c>
      <c r="I46" s="119" t="str" cm="1">
        <f t="array" aca="1" ref="I46" ca="1">INDEX('Questions global'!$A:$YP,ROW(I45)-ROW($A$2)+4,COLUMN(I45)-COLUMN($A$2)+1+$B$1)</f>
        <v/>
      </c>
    </row>
    <row r="47" spans="1:9" ht="16.5" customHeight="1" x14ac:dyDescent="0.3">
      <c r="A47" s="118" cm="1">
        <f t="array" ref="A47">INDEX('Questions global'!$A:$YP,ROW(A46)-ROW($A$2)+4,COLUMN(A46)-COLUMN($A$2)+1+$B$1)</f>
        <v>46</v>
      </c>
      <c r="B47" s="106" t="str" cm="1">
        <f t="array" ref="B47">INDEX('Questions global'!$A:$YP,ROW(B46)-ROW($A$2)+4,COLUMN(B46)-COLUMN($A$2)+1+$B$1)</f>
        <v/>
      </c>
      <c r="C47" s="106" t="str" cm="1">
        <f t="array" ref="C47">INDEX('Questions global'!$A:$YP,ROW(C46)-ROW($A$2)+4,COLUMN(C46)-COLUMN($A$2)+1+$B$1)</f>
        <v/>
      </c>
      <c r="D47" s="126" t="str" cm="1">
        <f t="array" ref="D47">INDEX('Questions global'!$A:$YP,ROW(D46)-ROW($A$2)+4,COLUMN(D46)-COLUMN($A$2)+1+$B$1)</f>
        <v/>
      </c>
      <c r="E47" s="104" t="str" cm="1">
        <f t="array" aca="1" ref="E47" ca="1">INDEX('Questions global'!$A:$YP,ROW(E46)-ROW($A$2)+4,COLUMN(E46)-COLUMN($A$2)+1+$B$1)</f>
        <v xml:space="preserve">   </v>
      </c>
      <c r="F47" s="105" t="str" cm="1">
        <f t="array" ref="F47">INDEX('Questions global'!$A:$YP,ROW(F46)-ROW($A$2)+4,COLUMN(F46)-COLUMN($A$2)+1+$B$1)</f>
        <v xml:space="preserve"> </v>
      </c>
      <c r="G47" s="112" t="str" cm="1">
        <f t="array" ref="G47">INDEX('Questions global'!$A:$YP,ROW(G46)-ROW($A$2)+4,COLUMN(G46)-COLUMN($A$2)+1+$B$1)</f>
        <v/>
      </c>
      <c r="H47" s="104" t="str" cm="1">
        <f t="array" aca="1" ref="H47" ca="1">INDEX('Questions global'!$A:$YP,ROW(H46)-ROW($A$2)+4,COLUMN(H46)-COLUMN($A$2)+1+$B$1)</f>
        <v/>
      </c>
      <c r="I47" s="119" t="str" cm="1">
        <f t="array" aca="1" ref="I47" ca="1">INDEX('Questions global'!$A:$YP,ROW(I46)-ROW($A$2)+4,COLUMN(I46)-COLUMN($A$2)+1+$B$1)</f>
        <v/>
      </c>
    </row>
    <row r="48" spans="1:9" ht="16.5" customHeight="1" x14ac:dyDescent="0.3">
      <c r="A48" s="118" cm="1">
        <f t="array" ref="A48">INDEX('Questions global'!$A:$YP,ROW(A47)-ROW($A$2)+4,COLUMN(A47)-COLUMN($A$2)+1+$B$1)</f>
        <v>47</v>
      </c>
      <c r="B48" s="106" t="str" cm="1">
        <f t="array" ref="B48">INDEX('Questions global'!$A:$YP,ROW(B47)-ROW($A$2)+4,COLUMN(B47)-COLUMN($A$2)+1+$B$1)</f>
        <v/>
      </c>
      <c r="C48" s="106" t="str" cm="1">
        <f t="array" ref="C48">INDEX('Questions global'!$A:$YP,ROW(C47)-ROW($A$2)+4,COLUMN(C47)-COLUMN($A$2)+1+$B$1)</f>
        <v/>
      </c>
      <c r="D48" s="126" t="str" cm="1">
        <f t="array" ref="D48">INDEX('Questions global'!$A:$YP,ROW(D47)-ROW($A$2)+4,COLUMN(D47)-COLUMN($A$2)+1+$B$1)</f>
        <v/>
      </c>
      <c r="E48" s="104" t="str" cm="1">
        <f t="array" aca="1" ref="E48" ca="1">INDEX('Questions global'!$A:$YP,ROW(E47)-ROW($A$2)+4,COLUMN(E47)-COLUMN($A$2)+1+$B$1)</f>
        <v xml:space="preserve">   </v>
      </c>
      <c r="F48" s="105" t="str" cm="1">
        <f t="array" ref="F48">INDEX('Questions global'!$A:$YP,ROW(F47)-ROW($A$2)+4,COLUMN(F47)-COLUMN($A$2)+1+$B$1)</f>
        <v xml:space="preserve"> </v>
      </c>
      <c r="G48" s="112" t="str" cm="1">
        <f t="array" ref="G48">INDEX('Questions global'!$A:$YP,ROW(G47)-ROW($A$2)+4,COLUMN(G47)-COLUMN($A$2)+1+$B$1)</f>
        <v/>
      </c>
      <c r="H48" s="104" t="str" cm="1">
        <f t="array" aca="1" ref="H48" ca="1">INDEX('Questions global'!$A:$YP,ROW(H47)-ROW($A$2)+4,COLUMN(H47)-COLUMN($A$2)+1+$B$1)</f>
        <v/>
      </c>
      <c r="I48" s="119" t="str" cm="1">
        <f t="array" aca="1" ref="I48" ca="1">INDEX('Questions global'!$A:$YP,ROW(I47)-ROW($A$2)+4,COLUMN(I47)-COLUMN($A$2)+1+$B$1)</f>
        <v/>
      </c>
    </row>
    <row r="49" spans="1:9" ht="16.5" customHeight="1" x14ac:dyDescent="0.3">
      <c r="A49" s="118" cm="1">
        <f t="array" ref="A49">INDEX('Questions global'!$A:$YP,ROW(A48)-ROW($A$2)+4,COLUMN(A48)-COLUMN($A$2)+1+$B$1)</f>
        <v>48</v>
      </c>
      <c r="B49" s="106" t="str" cm="1">
        <f t="array" ref="B49">INDEX('Questions global'!$A:$YP,ROW(B48)-ROW($A$2)+4,COLUMN(B48)-COLUMN($A$2)+1+$B$1)</f>
        <v/>
      </c>
      <c r="C49" s="106" t="str" cm="1">
        <f t="array" ref="C49">INDEX('Questions global'!$A:$YP,ROW(C48)-ROW($A$2)+4,COLUMN(C48)-COLUMN($A$2)+1+$B$1)</f>
        <v/>
      </c>
      <c r="D49" s="126" t="str" cm="1">
        <f t="array" ref="D49">INDEX('Questions global'!$A:$YP,ROW(D48)-ROW($A$2)+4,COLUMN(D48)-COLUMN($A$2)+1+$B$1)</f>
        <v/>
      </c>
      <c r="E49" s="104" t="str" cm="1">
        <f t="array" aca="1" ref="E49" ca="1">INDEX('Questions global'!$A:$YP,ROW(E48)-ROW($A$2)+4,COLUMN(E48)-COLUMN($A$2)+1+$B$1)</f>
        <v xml:space="preserve">   </v>
      </c>
      <c r="F49" s="105" t="str" cm="1">
        <f t="array" ref="F49">INDEX('Questions global'!$A:$YP,ROW(F48)-ROW($A$2)+4,COLUMN(F48)-COLUMN($A$2)+1+$B$1)</f>
        <v xml:space="preserve"> </v>
      </c>
      <c r="G49" s="112" t="str" cm="1">
        <f t="array" ref="G49">INDEX('Questions global'!$A:$YP,ROW(G48)-ROW($A$2)+4,COLUMN(G48)-COLUMN($A$2)+1+$B$1)</f>
        <v/>
      </c>
      <c r="H49" s="104" t="str" cm="1">
        <f t="array" aca="1" ref="H49" ca="1">INDEX('Questions global'!$A:$YP,ROW(H48)-ROW($A$2)+4,COLUMN(H48)-COLUMN($A$2)+1+$B$1)</f>
        <v/>
      </c>
      <c r="I49" s="119" t="str" cm="1">
        <f t="array" aca="1" ref="I49" ca="1">INDEX('Questions global'!$A:$YP,ROW(I48)-ROW($A$2)+4,COLUMN(I48)-COLUMN($A$2)+1+$B$1)</f>
        <v/>
      </c>
    </row>
    <row r="50" spans="1:9" ht="16.5" customHeight="1" x14ac:dyDescent="0.3">
      <c r="A50" s="118" cm="1">
        <f t="array" ref="A50">INDEX('Questions global'!$A:$YP,ROW(A49)-ROW($A$2)+4,COLUMN(A49)-COLUMN($A$2)+1+$B$1)</f>
        <v>49</v>
      </c>
      <c r="B50" s="106" t="str" cm="1">
        <f t="array" ref="B50">INDEX('Questions global'!$A:$YP,ROW(B49)-ROW($A$2)+4,COLUMN(B49)-COLUMN($A$2)+1+$B$1)</f>
        <v/>
      </c>
      <c r="C50" s="106" t="str" cm="1">
        <f t="array" ref="C50">INDEX('Questions global'!$A:$YP,ROW(C49)-ROW($A$2)+4,COLUMN(C49)-COLUMN($A$2)+1+$B$1)</f>
        <v/>
      </c>
      <c r="D50" s="126" t="str" cm="1">
        <f t="array" ref="D50">INDEX('Questions global'!$A:$YP,ROW(D49)-ROW($A$2)+4,COLUMN(D49)-COLUMN($A$2)+1+$B$1)</f>
        <v/>
      </c>
      <c r="E50" s="104" t="str" cm="1">
        <f t="array" aca="1" ref="E50" ca="1">INDEX('Questions global'!$A:$YP,ROW(E49)-ROW($A$2)+4,COLUMN(E49)-COLUMN($A$2)+1+$B$1)</f>
        <v xml:space="preserve">   </v>
      </c>
      <c r="F50" s="105" t="str" cm="1">
        <f t="array" ref="F50">INDEX('Questions global'!$A:$YP,ROW(F49)-ROW($A$2)+4,COLUMN(F49)-COLUMN($A$2)+1+$B$1)</f>
        <v xml:space="preserve"> </v>
      </c>
      <c r="G50" s="112" t="str" cm="1">
        <f t="array" ref="G50">INDEX('Questions global'!$A:$YP,ROW(G49)-ROW($A$2)+4,COLUMN(G49)-COLUMN($A$2)+1+$B$1)</f>
        <v/>
      </c>
      <c r="H50" s="104" t="str" cm="1">
        <f t="array" aca="1" ref="H50" ca="1">INDEX('Questions global'!$A:$YP,ROW(H49)-ROW($A$2)+4,COLUMN(H49)-COLUMN($A$2)+1+$B$1)</f>
        <v/>
      </c>
      <c r="I50" s="119" t="str" cm="1">
        <f t="array" aca="1" ref="I50" ca="1">INDEX('Questions global'!$A:$YP,ROW(I49)-ROW($A$2)+4,COLUMN(I49)-COLUMN($A$2)+1+$B$1)</f>
        <v/>
      </c>
    </row>
    <row r="51" spans="1:9" ht="16.5" customHeight="1" x14ac:dyDescent="0.3">
      <c r="A51" s="118" cm="1">
        <f t="array" ref="A51">INDEX('Questions global'!$A:$YP,ROW(A50)-ROW($A$2)+4,COLUMN(A50)-COLUMN($A$2)+1+$B$1)</f>
        <v>50</v>
      </c>
      <c r="B51" s="106" t="str" cm="1">
        <f t="array" ref="B51">INDEX('Questions global'!$A:$YP,ROW(B50)-ROW($A$2)+4,COLUMN(B50)-COLUMN($A$2)+1+$B$1)</f>
        <v/>
      </c>
      <c r="C51" s="106" t="str" cm="1">
        <f t="array" ref="C51">INDEX('Questions global'!$A:$YP,ROW(C50)-ROW($A$2)+4,COLUMN(C50)-COLUMN($A$2)+1+$B$1)</f>
        <v/>
      </c>
      <c r="D51" s="126" t="str" cm="1">
        <f t="array" ref="D51">INDEX('Questions global'!$A:$YP,ROW(D50)-ROW($A$2)+4,COLUMN(D50)-COLUMN($A$2)+1+$B$1)</f>
        <v/>
      </c>
      <c r="E51" s="104" t="str" cm="1">
        <f t="array" aca="1" ref="E51" ca="1">INDEX('Questions global'!$A:$YP,ROW(E50)-ROW($A$2)+4,COLUMN(E50)-COLUMN($A$2)+1+$B$1)</f>
        <v xml:space="preserve">   </v>
      </c>
      <c r="F51" s="105" t="str" cm="1">
        <f t="array" ref="F51">INDEX('Questions global'!$A:$YP,ROW(F50)-ROW($A$2)+4,COLUMN(F50)-COLUMN($A$2)+1+$B$1)</f>
        <v xml:space="preserve"> </v>
      </c>
      <c r="G51" s="112" t="str" cm="1">
        <f t="array" ref="G51">INDEX('Questions global'!$A:$YP,ROW(G50)-ROW($A$2)+4,COLUMN(G50)-COLUMN($A$2)+1+$B$1)</f>
        <v/>
      </c>
      <c r="H51" s="104" t="str" cm="1">
        <f t="array" aca="1" ref="H51" ca="1">INDEX('Questions global'!$A:$YP,ROW(H50)-ROW($A$2)+4,COLUMN(H50)-COLUMN($A$2)+1+$B$1)</f>
        <v/>
      </c>
      <c r="I51" s="119" t="str" cm="1">
        <f t="array" aca="1" ref="I51" ca="1">INDEX('Questions global'!$A:$YP,ROW(I50)-ROW($A$2)+4,COLUMN(I50)-COLUMN($A$2)+1+$B$1)</f>
        <v/>
      </c>
    </row>
    <row r="52" spans="1:9" ht="16.5" customHeight="1" x14ac:dyDescent="0.3">
      <c r="A52" s="118" cm="1">
        <f t="array" ref="A52">INDEX('Questions global'!$A:$YP,ROW(A51)-ROW($A$2)+4,COLUMN(A51)-COLUMN($A$2)+1+$B$1)</f>
        <v>51</v>
      </c>
      <c r="B52" s="106" t="str" cm="1">
        <f t="array" ref="B52">INDEX('Questions global'!$A:$YP,ROW(B51)-ROW($A$2)+4,COLUMN(B51)-COLUMN($A$2)+1+$B$1)</f>
        <v/>
      </c>
      <c r="C52" s="106" t="str" cm="1">
        <f t="array" ref="C52">INDEX('Questions global'!$A:$YP,ROW(C51)-ROW($A$2)+4,COLUMN(C51)-COLUMN($A$2)+1+$B$1)</f>
        <v/>
      </c>
      <c r="D52" s="126" t="str" cm="1">
        <f t="array" ref="D52">INDEX('Questions global'!$A:$YP,ROW(D51)-ROW($A$2)+4,COLUMN(D51)-COLUMN($A$2)+1+$B$1)</f>
        <v/>
      </c>
      <c r="E52" s="104" t="str" cm="1">
        <f t="array" aca="1" ref="E52" ca="1">INDEX('Questions global'!$A:$YP,ROW(E51)-ROW($A$2)+4,COLUMN(E51)-COLUMN($A$2)+1+$B$1)</f>
        <v xml:space="preserve">   </v>
      </c>
      <c r="F52" s="105" t="str" cm="1">
        <f t="array" ref="F52">INDEX('Questions global'!$A:$YP,ROW(F51)-ROW($A$2)+4,COLUMN(F51)-COLUMN($A$2)+1+$B$1)</f>
        <v xml:space="preserve"> </v>
      </c>
      <c r="G52" s="112" t="str" cm="1">
        <f t="array" ref="G52">INDEX('Questions global'!$A:$YP,ROW(G51)-ROW($A$2)+4,COLUMN(G51)-COLUMN($A$2)+1+$B$1)</f>
        <v/>
      </c>
      <c r="H52" s="104" t="str" cm="1">
        <f t="array" aca="1" ref="H52" ca="1">INDEX('Questions global'!$A:$YP,ROW(H51)-ROW($A$2)+4,COLUMN(H51)-COLUMN($A$2)+1+$B$1)</f>
        <v/>
      </c>
      <c r="I52" s="119" t="str" cm="1">
        <f t="array" aca="1" ref="I52" ca="1">INDEX('Questions global'!$A:$YP,ROW(I51)-ROW($A$2)+4,COLUMN(I51)-COLUMN($A$2)+1+$B$1)</f>
        <v/>
      </c>
    </row>
    <row r="53" spans="1:9" ht="16.5" customHeight="1" x14ac:dyDescent="0.3">
      <c r="A53" s="118" cm="1">
        <f t="array" ref="A53">INDEX('Questions global'!$A:$YP,ROW(A52)-ROW($A$2)+4,COLUMN(A52)-COLUMN($A$2)+1+$B$1)</f>
        <v>52</v>
      </c>
      <c r="B53" s="106" t="str" cm="1">
        <f t="array" ref="B53">INDEX('Questions global'!$A:$YP,ROW(B52)-ROW($A$2)+4,COLUMN(B52)-COLUMN($A$2)+1+$B$1)</f>
        <v/>
      </c>
      <c r="C53" s="106" t="str" cm="1">
        <f t="array" ref="C53">INDEX('Questions global'!$A:$YP,ROW(C52)-ROW($A$2)+4,COLUMN(C52)-COLUMN($A$2)+1+$B$1)</f>
        <v/>
      </c>
      <c r="D53" s="126" t="str" cm="1">
        <f t="array" ref="D53">INDEX('Questions global'!$A:$YP,ROW(D52)-ROW($A$2)+4,COLUMN(D52)-COLUMN($A$2)+1+$B$1)</f>
        <v/>
      </c>
      <c r="E53" s="104" t="str" cm="1">
        <f t="array" aca="1" ref="E53" ca="1">INDEX('Questions global'!$A:$YP,ROW(E52)-ROW($A$2)+4,COLUMN(E52)-COLUMN($A$2)+1+$B$1)</f>
        <v xml:space="preserve">   </v>
      </c>
      <c r="F53" s="105" t="str" cm="1">
        <f t="array" ref="F53">INDEX('Questions global'!$A:$YP,ROW(F52)-ROW($A$2)+4,COLUMN(F52)-COLUMN($A$2)+1+$B$1)</f>
        <v xml:space="preserve"> </v>
      </c>
      <c r="G53" s="112" t="str" cm="1">
        <f t="array" ref="G53">INDEX('Questions global'!$A:$YP,ROW(G52)-ROW($A$2)+4,COLUMN(G52)-COLUMN($A$2)+1+$B$1)</f>
        <v/>
      </c>
      <c r="H53" s="104" t="str" cm="1">
        <f t="array" aca="1" ref="H53" ca="1">INDEX('Questions global'!$A:$YP,ROW(H52)-ROW($A$2)+4,COLUMN(H52)-COLUMN($A$2)+1+$B$1)</f>
        <v/>
      </c>
      <c r="I53" s="119" t="str" cm="1">
        <f t="array" aca="1" ref="I53" ca="1">INDEX('Questions global'!$A:$YP,ROW(I52)-ROW($A$2)+4,COLUMN(I52)-COLUMN($A$2)+1+$B$1)</f>
        <v/>
      </c>
    </row>
    <row r="54" spans="1:9" x14ac:dyDescent="0.3">
      <c r="A54" s="118" cm="1">
        <f t="array" ref="A54">INDEX('Questions global'!$A:$YP,ROW(A53)-ROW($A$2)+4,COLUMN(A53)-COLUMN($A$2)+1+$B$1)</f>
        <v>53</v>
      </c>
      <c r="B54" s="106" t="str" cm="1">
        <f t="array" ref="B54">INDEX('Questions global'!$A:$YP,ROW(B53)-ROW($A$2)+4,COLUMN(B53)-COLUMN($A$2)+1+$B$1)</f>
        <v/>
      </c>
      <c r="C54" s="106" t="str" cm="1">
        <f t="array" ref="C54">INDEX('Questions global'!$A:$YP,ROW(C53)-ROW($A$2)+4,COLUMN(C53)-COLUMN($A$2)+1+$B$1)</f>
        <v/>
      </c>
      <c r="D54" s="126" t="str" cm="1">
        <f t="array" ref="D54">INDEX('Questions global'!$A:$YP,ROW(D53)-ROW($A$2)+4,COLUMN(D53)-COLUMN($A$2)+1+$B$1)</f>
        <v/>
      </c>
      <c r="E54" s="104" t="str" cm="1">
        <f t="array" aca="1" ref="E54" ca="1">INDEX('Questions global'!$A:$YP,ROW(E53)-ROW($A$2)+4,COLUMN(E53)-COLUMN($A$2)+1+$B$1)</f>
        <v xml:space="preserve">   </v>
      </c>
      <c r="F54" s="105" t="str" cm="1">
        <f t="array" ref="F54">INDEX('Questions global'!$A:$YP,ROW(F53)-ROW($A$2)+4,COLUMN(F53)-COLUMN($A$2)+1+$B$1)</f>
        <v xml:space="preserve"> </v>
      </c>
      <c r="G54" s="112" t="str" cm="1">
        <f t="array" ref="G54">INDEX('Questions global'!$A:$YP,ROW(G53)-ROW($A$2)+4,COLUMN(G53)-COLUMN($A$2)+1+$B$1)</f>
        <v/>
      </c>
      <c r="H54" s="104" t="str" cm="1">
        <f t="array" aca="1" ref="H54" ca="1">INDEX('Questions global'!$A:$YP,ROW(H53)-ROW($A$2)+4,COLUMN(H53)-COLUMN($A$2)+1+$B$1)</f>
        <v/>
      </c>
      <c r="I54" s="119" t="str" cm="1">
        <f t="array" aca="1" ref="I54" ca="1">INDEX('Questions global'!$A:$YP,ROW(I53)-ROW($A$2)+4,COLUMN(I53)-COLUMN($A$2)+1+$B$1)</f>
        <v/>
      </c>
    </row>
    <row r="55" spans="1:9" x14ac:dyDescent="0.3">
      <c r="A55" s="118" cm="1">
        <f t="array" ref="A55">INDEX('Questions global'!$A:$YP,ROW(A54)-ROW($A$2)+4,COLUMN(A54)-COLUMN($A$2)+1+$B$1)</f>
        <v>54</v>
      </c>
      <c r="B55" s="106" t="str" cm="1">
        <f t="array" ref="B55">INDEX('Questions global'!$A:$YP,ROW(B54)-ROW($A$2)+4,COLUMN(B54)-COLUMN($A$2)+1+$B$1)</f>
        <v/>
      </c>
      <c r="C55" s="106" t="str" cm="1">
        <f t="array" ref="C55">INDEX('Questions global'!$A:$YP,ROW(C54)-ROW($A$2)+4,COLUMN(C54)-COLUMN($A$2)+1+$B$1)</f>
        <v/>
      </c>
      <c r="D55" s="126" t="str" cm="1">
        <f t="array" ref="D55">INDEX('Questions global'!$A:$YP,ROW(D54)-ROW($A$2)+4,COLUMN(D54)-COLUMN($A$2)+1+$B$1)</f>
        <v/>
      </c>
      <c r="E55" s="104" t="str" cm="1">
        <f t="array" aca="1" ref="E55" ca="1">INDEX('Questions global'!$A:$YP,ROW(E54)-ROW($A$2)+4,COLUMN(E54)-COLUMN($A$2)+1+$B$1)</f>
        <v xml:space="preserve">   </v>
      </c>
      <c r="F55" s="105" t="str" cm="1">
        <f t="array" ref="F55">INDEX('Questions global'!$A:$YP,ROW(F54)-ROW($A$2)+4,COLUMN(F54)-COLUMN($A$2)+1+$B$1)</f>
        <v xml:space="preserve"> </v>
      </c>
      <c r="G55" s="112" t="str" cm="1">
        <f t="array" ref="G55">INDEX('Questions global'!$A:$YP,ROW(G54)-ROW($A$2)+4,COLUMN(G54)-COLUMN($A$2)+1+$B$1)</f>
        <v/>
      </c>
      <c r="H55" s="104" t="str" cm="1">
        <f t="array" aca="1" ref="H55" ca="1">INDEX('Questions global'!$A:$YP,ROW(H54)-ROW($A$2)+4,COLUMN(H54)-COLUMN($A$2)+1+$B$1)</f>
        <v/>
      </c>
      <c r="I55" s="119" t="str" cm="1">
        <f t="array" aca="1" ref="I55" ca="1">INDEX('Questions global'!$A:$YP,ROW(I54)-ROW($A$2)+4,COLUMN(I54)-COLUMN($A$2)+1+$B$1)</f>
        <v/>
      </c>
    </row>
    <row r="56" spans="1:9" x14ac:dyDescent="0.3">
      <c r="A56" s="118" cm="1">
        <f t="array" ref="A56">INDEX('Questions global'!$A:$YP,ROW(A55)-ROW($A$2)+4,COLUMN(A55)-COLUMN($A$2)+1+$B$1)</f>
        <v>55</v>
      </c>
      <c r="B56" s="106" t="str" cm="1">
        <f t="array" ref="B56">INDEX('Questions global'!$A:$YP,ROW(B55)-ROW($A$2)+4,COLUMN(B55)-COLUMN($A$2)+1+$B$1)</f>
        <v/>
      </c>
      <c r="C56" s="106" t="str" cm="1">
        <f t="array" ref="C56">INDEX('Questions global'!$A:$YP,ROW(C55)-ROW($A$2)+4,COLUMN(C55)-COLUMN($A$2)+1+$B$1)</f>
        <v/>
      </c>
      <c r="D56" s="126" t="str" cm="1">
        <f t="array" ref="D56">INDEX('Questions global'!$A:$YP,ROW(D55)-ROW($A$2)+4,COLUMN(D55)-COLUMN($A$2)+1+$B$1)</f>
        <v/>
      </c>
      <c r="E56" s="104" t="str" cm="1">
        <f t="array" aca="1" ref="E56" ca="1">INDEX('Questions global'!$A:$YP,ROW(E55)-ROW($A$2)+4,COLUMN(E55)-COLUMN($A$2)+1+$B$1)</f>
        <v xml:space="preserve">   </v>
      </c>
      <c r="F56" s="105" t="str" cm="1">
        <f t="array" ref="F56">INDEX('Questions global'!$A:$YP,ROW(F55)-ROW($A$2)+4,COLUMN(F55)-COLUMN($A$2)+1+$B$1)</f>
        <v xml:space="preserve"> </v>
      </c>
      <c r="G56" s="112" t="str" cm="1">
        <f t="array" ref="G56">INDEX('Questions global'!$A:$YP,ROW(G55)-ROW($A$2)+4,COLUMN(G55)-COLUMN($A$2)+1+$B$1)</f>
        <v/>
      </c>
      <c r="H56" s="104" t="str" cm="1">
        <f t="array" aca="1" ref="H56" ca="1">INDEX('Questions global'!$A:$YP,ROW(H55)-ROW($A$2)+4,COLUMN(H55)-COLUMN($A$2)+1+$B$1)</f>
        <v/>
      </c>
      <c r="I56" s="119" t="str" cm="1">
        <f t="array" aca="1" ref="I56" ca="1">INDEX('Questions global'!$A:$YP,ROW(I55)-ROW($A$2)+4,COLUMN(I55)-COLUMN($A$2)+1+$B$1)</f>
        <v/>
      </c>
    </row>
    <row r="57" spans="1:9" x14ac:dyDescent="0.3">
      <c r="A57" s="118" cm="1">
        <f t="array" ref="A57">INDEX('Questions global'!$A:$YP,ROW(A56)-ROW($A$2)+4,COLUMN(A56)-COLUMN($A$2)+1+$B$1)</f>
        <v>56</v>
      </c>
      <c r="B57" s="106" t="str" cm="1">
        <f t="array" ref="B57">INDEX('Questions global'!$A:$YP,ROW(B56)-ROW($A$2)+4,COLUMN(B56)-COLUMN($A$2)+1+$B$1)</f>
        <v/>
      </c>
      <c r="C57" s="106" t="str" cm="1">
        <f t="array" ref="C57">INDEX('Questions global'!$A:$YP,ROW(C56)-ROW($A$2)+4,COLUMN(C56)-COLUMN($A$2)+1+$B$1)</f>
        <v/>
      </c>
      <c r="D57" s="126" t="str" cm="1">
        <f t="array" ref="D57">INDEX('Questions global'!$A:$YP,ROW(D56)-ROW($A$2)+4,COLUMN(D56)-COLUMN($A$2)+1+$B$1)</f>
        <v/>
      </c>
      <c r="E57" s="104" t="str" cm="1">
        <f t="array" aca="1" ref="E57" ca="1">INDEX('Questions global'!$A:$YP,ROW(E56)-ROW($A$2)+4,COLUMN(E56)-COLUMN($A$2)+1+$B$1)</f>
        <v xml:space="preserve">   </v>
      </c>
      <c r="F57" s="105" t="str" cm="1">
        <f t="array" ref="F57">INDEX('Questions global'!$A:$YP,ROW(F56)-ROW($A$2)+4,COLUMN(F56)-COLUMN($A$2)+1+$B$1)</f>
        <v xml:space="preserve"> </v>
      </c>
      <c r="G57" s="112" t="str" cm="1">
        <f t="array" ref="G57">INDEX('Questions global'!$A:$YP,ROW(G56)-ROW($A$2)+4,COLUMN(G56)-COLUMN($A$2)+1+$B$1)</f>
        <v/>
      </c>
      <c r="H57" s="104" t="str" cm="1">
        <f t="array" aca="1" ref="H57" ca="1">INDEX('Questions global'!$A:$YP,ROW(H56)-ROW($A$2)+4,COLUMN(H56)-COLUMN($A$2)+1+$B$1)</f>
        <v/>
      </c>
      <c r="I57" s="119" t="str" cm="1">
        <f t="array" aca="1" ref="I57" ca="1">INDEX('Questions global'!$A:$YP,ROW(I56)-ROW($A$2)+4,COLUMN(I56)-COLUMN($A$2)+1+$B$1)</f>
        <v/>
      </c>
    </row>
    <row r="58" spans="1:9" x14ac:dyDescent="0.3">
      <c r="A58" s="118" cm="1">
        <f t="array" ref="A58">INDEX('Questions global'!$A:$YP,ROW(A57)-ROW($A$2)+4,COLUMN(A57)-COLUMN($A$2)+1+$B$1)</f>
        <v>57</v>
      </c>
      <c r="B58" s="106" t="str" cm="1">
        <f t="array" ref="B58">INDEX('Questions global'!$A:$YP,ROW(B57)-ROW($A$2)+4,COLUMN(B57)-COLUMN($A$2)+1+$B$1)</f>
        <v/>
      </c>
      <c r="C58" s="106" t="str" cm="1">
        <f t="array" ref="C58">INDEX('Questions global'!$A:$YP,ROW(C57)-ROW($A$2)+4,COLUMN(C57)-COLUMN($A$2)+1+$B$1)</f>
        <v/>
      </c>
      <c r="D58" s="126" t="str" cm="1">
        <f t="array" ref="D58">INDEX('Questions global'!$A:$YP,ROW(D57)-ROW($A$2)+4,COLUMN(D57)-COLUMN($A$2)+1+$B$1)</f>
        <v/>
      </c>
      <c r="E58" s="104" t="str" cm="1">
        <f t="array" aca="1" ref="E58" ca="1">INDEX('Questions global'!$A:$YP,ROW(E57)-ROW($A$2)+4,COLUMN(E57)-COLUMN($A$2)+1+$B$1)</f>
        <v xml:space="preserve">   </v>
      </c>
      <c r="F58" s="105" t="str" cm="1">
        <f t="array" ref="F58">INDEX('Questions global'!$A:$YP,ROW(F57)-ROW($A$2)+4,COLUMN(F57)-COLUMN($A$2)+1+$B$1)</f>
        <v xml:space="preserve"> </v>
      </c>
      <c r="G58" s="112" t="str" cm="1">
        <f t="array" ref="G58">INDEX('Questions global'!$A:$YP,ROW(G57)-ROW($A$2)+4,COLUMN(G57)-COLUMN($A$2)+1+$B$1)</f>
        <v/>
      </c>
      <c r="H58" s="104" t="str" cm="1">
        <f t="array" aca="1" ref="H58" ca="1">INDEX('Questions global'!$A:$YP,ROW(H57)-ROW($A$2)+4,COLUMN(H57)-COLUMN($A$2)+1+$B$1)</f>
        <v/>
      </c>
      <c r="I58" s="119" t="str" cm="1">
        <f t="array" aca="1" ref="I58" ca="1">INDEX('Questions global'!$A:$YP,ROW(I57)-ROW($A$2)+4,COLUMN(I57)-COLUMN($A$2)+1+$B$1)</f>
        <v/>
      </c>
    </row>
    <row r="59" spans="1:9" x14ac:dyDescent="0.3">
      <c r="A59" s="118" cm="1">
        <f t="array" ref="A59">INDEX('Questions global'!$A:$YP,ROW(A58)-ROW($A$2)+4,COLUMN(A58)-COLUMN($A$2)+1+$B$1)</f>
        <v>58</v>
      </c>
      <c r="B59" s="106" t="str" cm="1">
        <f t="array" ref="B59">INDEX('Questions global'!$A:$YP,ROW(B58)-ROW($A$2)+4,COLUMN(B58)-COLUMN($A$2)+1+$B$1)</f>
        <v/>
      </c>
      <c r="C59" s="106" t="str" cm="1">
        <f t="array" ref="C59">INDEX('Questions global'!$A:$YP,ROW(C58)-ROW($A$2)+4,COLUMN(C58)-COLUMN($A$2)+1+$B$1)</f>
        <v/>
      </c>
      <c r="D59" s="126" t="str" cm="1">
        <f t="array" ref="D59">INDEX('Questions global'!$A:$YP,ROW(D58)-ROW($A$2)+4,COLUMN(D58)-COLUMN($A$2)+1+$B$1)</f>
        <v/>
      </c>
      <c r="E59" s="104" t="str" cm="1">
        <f t="array" aca="1" ref="E59" ca="1">INDEX('Questions global'!$A:$YP,ROW(E58)-ROW($A$2)+4,COLUMN(E58)-COLUMN($A$2)+1+$B$1)</f>
        <v xml:space="preserve">   </v>
      </c>
      <c r="F59" s="105" t="str" cm="1">
        <f t="array" ref="F59">INDEX('Questions global'!$A:$YP,ROW(F58)-ROW($A$2)+4,COLUMN(F58)-COLUMN($A$2)+1+$B$1)</f>
        <v xml:space="preserve"> </v>
      </c>
      <c r="G59" s="112" t="str" cm="1">
        <f t="array" ref="G59">INDEX('Questions global'!$A:$YP,ROW(G58)-ROW($A$2)+4,COLUMN(G58)-COLUMN($A$2)+1+$B$1)</f>
        <v/>
      </c>
      <c r="H59" s="104" t="str" cm="1">
        <f t="array" aca="1" ref="H59" ca="1">INDEX('Questions global'!$A:$YP,ROW(H58)-ROW($A$2)+4,COLUMN(H58)-COLUMN($A$2)+1+$B$1)</f>
        <v/>
      </c>
      <c r="I59" s="119" t="str" cm="1">
        <f t="array" aca="1" ref="I59" ca="1">INDEX('Questions global'!$A:$YP,ROW(I58)-ROW($A$2)+4,COLUMN(I58)-COLUMN($A$2)+1+$B$1)</f>
        <v/>
      </c>
    </row>
    <row r="60" spans="1:9" x14ac:dyDescent="0.3">
      <c r="A60" s="118" cm="1">
        <f t="array" ref="A60">INDEX('Questions global'!$A:$YP,ROW(A59)-ROW($A$2)+4,COLUMN(A59)-COLUMN($A$2)+1+$B$1)</f>
        <v>59</v>
      </c>
      <c r="B60" s="106" t="str" cm="1">
        <f t="array" ref="B60">INDEX('Questions global'!$A:$YP,ROW(B59)-ROW($A$2)+4,COLUMN(B59)-COLUMN($A$2)+1+$B$1)</f>
        <v/>
      </c>
      <c r="C60" s="106" t="str" cm="1">
        <f t="array" ref="C60">INDEX('Questions global'!$A:$YP,ROW(C59)-ROW($A$2)+4,COLUMN(C59)-COLUMN($A$2)+1+$B$1)</f>
        <v/>
      </c>
      <c r="D60" s="126" t="str" cm="1">
        <f t="array" ref="D60">INDEX('Questions global'!$A:$YP,ROW(D59)-ROW($A$2)+4,COLUMN(D59)-COLUMN($A$2)+1+$B$1)</f>
        <v/>
      </c>
      <c r="E60" s="104" t="str" cm="1">
        <f t="array" aca="1" ref="E60" ca="1">INDEX('Questions global'!$A:$YP,ROW(E59)-ROW($A$2)+4,COLUMN(E59)-COLUMN($A$2)+1+$B$1)</f>
        <v xml:space="preserve">   </v>
      </c>
      <c r="F60" s="105" t="str" cm="1">
        <f t="array" ref="F60">INDEX('Questions global'!$A:$YP,ROW(F59)-ROW($A$2)+4,COLUMN(F59)-COLUMN($A$2)+1+$B$1)</f>
        <v xml:space="preserve"> </v>
      </c>
      <c r="G60" s="112" t="str" cm="1">
        <f t="array" ref="G60">INDEX('Questions global'!$A:$YP,ROW(G59)-ROW($A$2)+4,COLUMN(G59)-COLUMN($A$2)+1+$B$1)</f>
        <v/>
      </c>
      <c r="H60" s="104" t="str" cm="1">
        <f t="array" aca="1" ref="H60" ca="1">INDEX('Questions global'!$A:$YP,ROW(H59)-ROW($A$2)+4,COLUMN(H59)-COLUMN($A$2)+1+$B$1)</f>
        <v/>
      </c>
      <c r="I60" s="119" t="str" cm="1">
        <f t="array" aca="1" ref="I60" ca="1">INDEX('Questions global'!$A:$YP,ROW(I59)-ROW($A$2)+4,COLUMN(I59)-COLUMN($A$2)+1+$B$1)</f>
        <v/>
      </c>
    </row>
    <row r="61" spans="1:9" x14ac:dyDescent="0.3">
      <c r="A61" s="118" cm="1">
        <f t="array" ref="A61">INDEX('Questions global'!$A:$YP,ROW(A60)-ROW($A$2)+4,COLUMN(A60)-COLUMN($A$2)+1+$B$1)</f>
        <v>60</v>
      </c>
      <c r="B61" s="106" t="str" cm="1">
        <f t="array" ref="B61">INDEX('Questions global'!$A:$YP,ROW(B60)-ROW($A$2)+4,COLUMN(B60)-COLUMN($A$2)+1+$B$1)</f>
        <v/>
      </c>
      <c r="C61" s="106" t="str" cm="1">
        <f t="array" ref="C61">INDEX('Questions global'!$A:$YP,ROW(C60)-ROW($A$2)+4,COLUMN(C60)-COLUMN($A$2)+1+$B$1)</f>
        <v/>
      </c>
      <c r="D61" s="126" t="str" cm="1">
        <f t="array" ref="D61">INDEX('Questions global'!$A:$YP,ROW(D60)-ROW($A$2)+4,COLUMN(D60)-COLUMN($A$2)+1+$B$1)</f>
        <v/>
      </c>
      <c r="E61" s="104" t="str" cm="1">
        <f t="array" aca="1" ref="E61" ca="1">INDEX('Questions global'!$A:$YP,ROW(E60)-ROW($A$2)+4,COLUMN(E60)-COLUMN($A$2)+1+$B$1)</f>
        <v xml:space="preserve">   </v>
      </c>
      <c r="F61" s="105" t="str" cm="1">
        <f t="array" ref="F61">INDEX('Questions global'!$A:$YP,ROW(F60)-ROW($A$2)+4,COLUMN(F60)-COLUMN($A$2)+1+$B$1)</f>
        <v xml:space="preserve"> </v>
      </c>
      <c r="G61" s="112" t="str" cm="1">
        <f t="array" ref="G61">INDEX('Questions global'!$A:$YP,ROW(G60)-ROW($A$2)+4,COLUMN(G60)-COLUMN($A$2)+1+$B$1)</f>
        <v/>
      </c>
      <c r="H61" s="104" t="str" cm="1">
        <f t="array" aca="1" ref="H61" ca="1">INDEX('Questions global'!$A:$YP,ROW(H60)-ROW($A$2)+4,COLUMN(H60)-COLUMN($A$2)+1+$B$1)</f>
        <v/>
      </c>
      <c r="I61" s="119" t="str" cm="1">
        <f t="array" aca="1" ref="I61" ca="1">INDEX('Questions global'!$A:$YP,ROW(I60)-ROW($A$2)+4,COLUMN(I60)-COLUMN($A$2)+1+$B$1)</f>
        <v/>
      </c>
    </row>
    <row r="62" spans="1:9" x14ac:dyDescent="0.3">
      <c r="A62" s="118" cm="1">
        <f t="array" ref="A62">INDEX('Questions global'!$A:$YP,ROW(A61)-ROW($A$2)+4,COLUMN(A61)-COLUMN($A$2)+1+$B$1)</f>
        <v>61</v>
      </c>
      <c r="B62" s="106" t="str" cm="1">
        <f t="array" ref="B62">INDEX('Questions global'!$A:$YP,ROW(B61)-ROW($A$2)+4,COLUMN(B61)-COLUMN($A$2)+1+$B$1)</f>
        <v/>
      </c>
      <c r="C62" s="106" t="str" cm="1">
        <f t="array" ref="C62">INDEX('Questions global'!$A:$YP,ROW(C61)-ROW($A$2)+4,COLUMN(C61)-COLUMN($A$2)+1+$B$1)</f>
        <v/>
      </c>
      <c r="D62" s="126" t="str" cm="1">
        <f t="array" ref="D62">INDEX('Questions global'!$A:$YP,ROW(D61)-ROW($A$2)+4,COLUMN(D61)-COLUMN($A$2)+1+$B$1)</f>
        <v/>
      </c>
      <c r="E62" s="104" t="str" cm="1">
        <f t="array" aca="1" ref="E62" ca="1">INDEX('Questions global'!$A:$YP,ROW(E61)-ROW($A$2)+4,COLUMN(E61)-COLUMN($A$2)+1+$B$1)</f>
        <v xml:space="preserve">   </v>
      </c>
      <c r="F62" s="105" t="str" cm="1">
        <f t="array" ref="F62">INDEX('Questions global'!$A:$YP,ROW(F61)-ROW($A$2)+4,COLUMN(F61)-COLUMN($A$2)+1+$B$1)</f>
        <v xml:space="preserve"> </v>
      </c>
      <c r="G62" s="112" t="str" cm="1">
        <f t="array" ref="G62">INDEX('Questions global'!$A:$YP,ROW(G61)-ROW($A$2)+4,COLUMN(G61)-COLUMN($A$2)+1+$B$1)</f>
        <v/>
      </c>
      <c r="H62" s="104" t="str" cm="1">
        <f t="array" aca="1" ref="H62" ca="1">INDEX('Questions global'!$A:$YP,ROW(H61)-ROW($A$2)+4,COLUMN(H61)-COLUMN($A$2)+1+$B$1)</f>
        <v/>
      </c>
      <c r="I62" s="119" t="str" cm="1">
        <f t="array" aca="1" ref="I62" ca="1">INDEX('Questions global'!$A:$YP,ROW(I61)-ROW($A$2)+4,COLUMN(I61)-COLUMN($A$2)+1+$B$1)</f>
        <v/>
      </c>
    </row>
    <row r="63" spans="1:9" x14ac:dyDescent="0.3">
      <c r="A63" s="118" cm="1">
        <f t="array" ref="A63">INDEX('Questions global'!$A:$YP,ROW(A62)-ROW($A$2)+4,COLUMN(A62)-COLUMN($A$2)+1+$B$1)</f>
        <v>62</v>
      </c>
      <c r="B63" s="106" t="str" cm="1">
        <f t="array" ref="B63">INDEX('Questions global'!$A:$YP,ROW(B62)-ROW($A$2)+4,COLUMN(B62)-COLUMN($A$2)+1+$B$1)</f>
        <v/>
      </c>
      <c r="C63" s="106" t="str" cm="1">
        <f t="array" ref="C63">INDEX('Questions global'!$A:$YP,ROW(C62)-ROW($A$2)+4,COLUMN(C62)-COLUMN($A$2)+1+$B$1)</f>
        <v/>
      </c>
      <c r="D63" s="126" t="str" cm="1">
        <f t="array" ref="D63">INDEX('Questions global'!$A:$YP,ROW(D62)-ROW($A$2)+4,COLUMN(D62)-COLUMN($A$2)+1+$B$1)</f>
        <v/>
      </c>
      <c r="E63" s="104" t="str" cm="1">
        <f t="array" aca="1" ref="E63" ca="1">INDEX('Questions global'!$A:$YP,ROW(E62)-ROW($A$2)+4,COLUMN(E62)-COLUMN($A$2)+1+$B$1)</f>
        <v xml:space="preserve">   </v>
      </c>
      <c r="F63" s="105" t="str" cm="1">
        <f t="array" ref="F63">INDEX('Questions global'!$A:$YP,ROW(F62)-ROW($A$2)+4,COLUMN(F62)-COLUMN($A$2)+1+$B$1)</f>
        <v xml:space="preserve"> </v>
      </c>
      <c r="G63" s="112" t="str" cm="1">
        <f t="array" ref="G63">INDEX('Questions global'!$A:$YP,ROW(G62)-ROW($A$2)+4,COLUMN(G62)-COLUMN($A$2)+1+$B$1)</f>
        <v/>
      </c>
      <c r="H63" s="104" t="str" cm="1">
        <f t="array" aca="1" ref="H63" ca="1">INDEX('Questions global'!$A:$YP,ROW(H62)-ROW($A$2)+4,COLUMN(H62)-COLUMN($A$2)+1+$B$1)</f>
        <v/>
      </c>
      <c r="I63" s="119" t="str" cm="1">
        <f t="array" aca="1" ref="I63" ca="1">INDEX('Questions global'!$A:$YP,ROW(I62)-ROW($A$2)+4,COLUMN(I62)-COLUMN($A$2)+1+$B$1)</f>
        <v/>
      </c>
    </row>
    <row r="64" spans="1:9" x14ac:dyDescent="0.3">
      <c r="A64" s="118" cm="1">
        <f t="array" ref="A64">INDEX('Questions global'!$A:$YP,ROW(A63)-ROW($A$2)+4,COLUMN(A63)-COLUMN($A$2)+1+$B$1)</f>
        <v>63</v>
      </c>
      <c r="B64" s="106" t="str" cm="1">
        <f t="array" ref="B64">INDEX('Questions global'!$A:$YP,ROW(B63)-ROW($A$2)+4,COLUMN(B63)-COLUMN($A$2)+1+$B$1)</f>
        <v/>
      </c>
      <c r="C64" s="106" t="str" cm="1">
        <f t="array" ref="C64">INDEX('Questions global'!$A:$YP,ROW(C63)-ROW($A$2)+4,COLUMN(C63)-COLUMN($A$2)+1+$B$1)</f>
        <v/>
      </c>
      <c r="D64" s="126" t="str" cm="1">
        <f t="array" ref="D64">INDEX('Questions global'!$A:$YP,ROW(D63)-ROW($A$2)+4,COLUMN(D63)-COLUMN($A$2)+1+$B$1)</f>
        <v/>
      </c>
      <c r="E64" s="104" t="str" cm="1">
        <f t="array" aca="1" ref="E64" ca="1">INDEX('Questions global'!$A:$YP,ROW(E63)-ROW($A$2)+4,COLUMN(E63)-COLUMN($A$2)+1+$B$1)</f>
        <v xml:space="preserve">   </v>
      </c>
      <c r="F64" s="105" t="str" cm="1">
        <f t="array" ref="F64">INDEX('Questions global'!$A:$YP,ROW(F63)-ROW($A$2)+4,COLUMN(F63)-COLUMN($A$2)+1+$B$1)</f>
        <v xml:space="preserve"> </v>
      </c>
      <c r="G64" s="112" t="str" cm="1">
        <f t="array" ref="G64">INDEX('Questions global'!$A:$YP,ROW(G63)-ROW($A$2)+4,COLUMN(G63)-COLUMN($A$2)+1+$B$1)</f>
        <v/>
      </c>
      <c r="H64" s="104" t="str" cm="1">
        <f t="array" aca="1" ref="H64" ca="1">INDEX('Questions global'!$A:$YP,ROW(H63)-ROW($A$2)+4,COLUMN(H63)-COLUMN($A$2)+1+$B$1)</f>
        <v/>
      </c>
      <c r="I64" s="119" t="str" cm="1">
        <f t="array" aca="1" ref="I64" ca="1">INDEX('Questions global'!$A:$YP,ROW(I63)-ROW($A$2)+4,COLUMN(I63)-COLUMN($A$2)+1+$B$1)</f>
        <v/>
      </c>
    </row>
    <row r="65" spans="1:9" x14ac:dyDescent="0.3">
      <c r="A65" s="118" cm="1">
        <f t="array" ref="A65">INDEX('Questions global'!$A:$YP,ROW(A64)-ROW($A$2)+4,COLUMN(A64)-COLUMN($A$2)+1+$B$1)</f>
        <v>64</v>
      </c>
      <c r="B65" s="106" t="str" cm="1">
        <f t="array" ref="B65">INDEX('Questions global'!$A:$YP,ROW(B64)-ROW($A$2)+4,COLUMN(B64)-COLUMN($A$2)+1+$B$1)</f>
        <v/>
      </c>
      <c r="C65" s="106" t="str" cm="1">
        <f t="array" ref="C65">INDEX('Questions global'!$A:$YP,ROW(C64)-ROW($A$2)+4,COLUMN(C64)-COLUMN($A$2)+1+$B$1)</f>
        <v/>
      </c>
      <c r="D65" s="126" t="str" cm="1">
        <f t="array" ref="D65">INDEX('Questions global'!$A:$YP,ROW(D64)-ROW($A$2)+4,COLUMN(D64)-COLUMN($A$2)+1+$B$1)</f>
        <v/>
      </c>
      <c r="E65" s="104" t="str" cm="1">
        <f t="array" aca="1" ref="E65" ca="1">INDEX('Questions global'!$A:$YP,ROW(E64)-ROW($A$2)+4,COLUMN(E64)-COLUMN($A$2)+1+$B$1)</f>
        <v xml:space="preserve">   </v>
      </c>
      <c r="F65" s="105" t="str" cm="1">
        <f t="array" ref="F65">INDEX('Questions global'!$A:$YP,ROW(F64)-ROW($A$2)+4,COLUMN(F64)-COLUMN($A$2)+1+$B$1)</f>
        <v xml:space="preserve"> </v>
      </c>
      <c r="G65" s="112" t="str" cm="1">
        <f t="array" ref="G65">INDEX('Questions global'!$A:$YP,ROW(G64)-ROW($A$2)+4,COLUMN(G64)-COLUMN($A$2)+1+$B$1)</f>
        <v/>
      </c>
      <c r="H65" s="104" t="str" cm="1">
        <f t="array" aca="1" ref="H65" ca="1">INDEX('Questions global'!$A:$YP,ROW(H64)-ROW($A$2)+4,COLUMN(H64)-COLUMN($A$2)+1+$B$1)</f>
        <v/>
      </c>
      <c r="I65" s="119" t="str" cm="1">
        <f t="array" aca="1" ref="I65" ca="1">INDEX('Questions global'!$A:$YP,ROW(I64)-ROW($A$2)+4,COLUMN(I64)-COLUMN($A$2)+1+$B$1)</f>
        <v/>
      </c>
    </row>
    <row r="66" spans="1:9" x14ac:dyDescent="0.3">
      <c r="A66" s="118" cm="1">
        <f t="array" ref="A66">INDEX('Questions global'!$A:$YP,ROW(A65)-ROW($A$2)+4,COLUMN(A65)-COLUMN($A$2)+1+$B$1)</f>
        <v>65</v>
      </c>
      <c r="B66" s="106" t="str" cm="1">
        <f t="array" ref="B66">INDEX('Questions global'!$A:$YP,ROW(B65)-ROW($A$2)+4,COLUMN(B65)-COLUMN($A$2)+1+$B$1)</f>
        <v/>
      </c>
      <c r="C66" s="106" t="str" cm="1">
        <f t="array" ref="C66">INDEX('Questions global'!$A:$YP,ROW(C65)-ROW($A$2)+4,COLUMN(C65)-COLUMN($A$2)+1+$B$1)</f>
        <v/>
      </c>
      <c r="D66" s="126" t="str" cm="1">
        <f t="array" ref="D66">INDEX('Questions global'!$A:$YP,ROW(D65)-ROW($A$2)+4,COLUMN(D65)-COLUMN($A$2)+1+$B$1)</f>
        <v/>
      </c>
      <c r="E66" s="104" t="str" cm="1">
        <f t="array" aca="1" ref="E66" ca="1">INDEX('Questions global'!$A:$YP,ROW(E65)-ROW($A$2)+4,COLUMN(E65)-COLUMN($A$2)+1+$B$1)</f>
        <v xml:space="preserve">   </v>
      </c>
      <c r="F66" s="105" t="str" cm="1">
        <f t="array" ref="F66">INDEX('Questions global'!$A:$YP,ROW(F65)-ROW($A$2)+4,COLUMN(F65)-COLUMN($A$2)+1+$B$1)</f>
        <v xml:space="preserve"> </v>
      </c>
      <c r="G66" s="112" t="str" cm="1">
        <f t="array" ref="G66">INDEX('Questions global'!$A:$YP,ROW(G65)-ROW($A$2)+4,COLUMN(G65)-COLUMN($A$2)+1+$B$1)</f>
        <v/>
      </c>
      <c r="H66" s="104" t="str" cm="1">
        <f t="array" aca="1" ref="H66" ca="1">INDEX('Questions global'!$A:$YP,ROW(H65)-ROW($A$2)+4,COLUMN(H65)-COLUMN($A$2)+1+$B$1)</f>
        <v/>
      </c>
      <c r="I66" s="119" t="str" cm="1">
        <f t="array" aca="1" ref="I66" ca="1">INDEX('Questions global'!$A:$YP,ROW(I65)-ROW($A$2)+4,COLUMN(I65)-COLUMN($A$2)+1+$B$1)</f>
        <v/>
      </c>
    </row>
    <row r="67" spans="1:9" x14ac:dyDescent="0.3">
      <c r="A67" s="118" cm="1">
        <f t="array" ref="A67">INDEX('Questions global'!$A:$YP,ROW(A66)-ROW($A$2)+4,COLUMN(A66)-COLUMN($A$2)+1+$B$1)</f>
        <v>66</v>
      </c>
      <c r="B67" s="106" t="str" cm="1">
        <f t="array" ref="B67">INDEX('Questions global'!$A:$YP,ROW(B66)-ROW($A$2)+4,COLUMN(B66)-COLUMN($A$2)+1+$B$1)</f>
        <v/>
      </c>
      <c r="C67" s="106" t="str" cm="1">
        <f t="array" ref="C67">INDEX('Questions global'!$A:$YP,ROW(C66)-ROW($A$2)+4,COLUMN(C66)-COLUMN($A$2)+1+$B$1)</f>
        <v/>
      </c>
      <c r="D67" s="126" t="str" cm="1">
        <f t="array" ref="D67">INDEX('Questions global'!$A:$YP,ROW(D66)-ROW($A$2)+4,COLUMN(D66)-COLUMN($A$2)+1+$B$1)</f>
        <v/>
      </c>
      <c r="E67" s="104" t="str" cm="1">
        <f t="array" aca="1" ref="E67" ca="1">INDEX('Questions global'!$A:$YP,ROW(E66)-ROW($A$2)+4,COLUMN(E66)-COLUMN($A$2)+1+$B$1)</f>
        <v xml:space="preserve">   </v>
      </c>
      <c r="F67" s="105" t="str" cm="1">
        <f t="array" ref="F67">INDEX('Questions global'!$A:$YP,ROW(F66)-ROW($A$2)+4,COLUMN(F66)-COLUMN($A$2)+1+$B$1)</f>
        <v xml:space="preserve"> </v>
      </c>
      <c r="G67" s="112" t="str" cm="1">
        <f t="array" ref="G67">INDEX('Questions global'!$A:$YP,ROW(G66)-ROW($A$2)+4,COLUMN(G66)-COLUMN($A$2)+1+$B$1)</f>
        <v/>
      </c>
      <c r="H67" s="104" t="str" cm="1">
        <f t="array" aca="1" ref="H67" ca="1">INDEX('Questions global'!$A:$YP,ROW(H66)-ROW($A$2)+4,COLUMN(H66)-COLUMN($A$2)+1+$B$1)</f>
        <v/>
      </c>
      <c r="I67" s="119" t="str" cm="1">
        <f t="array" aca="1" ref="I67" ca="1">INDEX('Questions global'!$A:$YP,ROW(I66)-ROW($A$2)+4,COLUMN(I66)-COLUMN($A$2)+1+$B$1)</f>
        <v/>
      </c>
    </row>
    <row r="68" spans="1:9" x14ac:dyDescent="0.3">
      <c r="A68" s="118" cm="1">
        <f t="array" ref="A68">INDEX('Questions global'!$A:$YP,ROW(A67)-ROW($A$2)+4,COLUMN(A67)-COLUMN($A$2)+1+$B$1)</f>
        <v>67</v>
      </c>
      <c r="B68" s="106" t="str" cm="1">
        <f t="array" ref="B68">INDEX('Questions global'!$A:$YP,ROW(B67)-ROW($A$2)+4,COLUMN(B67)-COLUMN($A$2)+1+$B$1)</f>
        <v/>
      </c>
      <c r="C68" s="106" t="str" cm="1">
        <f t="array" ref="C68">INDEX('Questions global'!$A:$YP,ROW(C67)-ROW($A$2)+4,COLUMN(C67)-COLUMN($A$2)+1+$B$1)</f>
        <v/>
      </c>
      <c r="D68" s="126" t="str" cm="1">
        <f t="array" ref="D68">INDEX('Questions global'!$A:$YP,ROW(D67)-ROW($A$2)+4,COLUMN(D67)-COLUMN($A$2)+1+$B$1)</f>
        <v/>
      </c>
      <c r="E68" s="104" t="str" cm="1">
        <f t="array" aca="1" ref="E68" ca="1">INDEX('Questions global'!$A:$YP,ROW(E67)-ROW($A$2)+4,COLUMN(E67)-COLUMN($A$2)+1+$B$1)</f>
        <v xml:space="preserve">   </v>
      </c>
      <c r="F68" s="105" t="str" cm="1">
        <f t="array" ref="F68">INDEX('Questions global'!$A:$YP,ROW(F67)-ROW($A$2)+4,COLUMN(F67)-COLUMN($A$2)+1+$B$1)</f>
        <v xml:space="preserve"> </v>
      </c>
      <c r="G68" s="112" t="str" cm="1">
        <f t="array" ref="G68">INDEX('Questions global'!$A:$YP,ROW(G67)-ROW($A$2)+4,COLUMN(G67)-COLUMN($A$2)+1+$B$1)</f>
        <v/>
      </c>
      <c r="H68" s="104" t="str" cm="1">
        <f t="array" aca="1" ref="H68" ca="1">INDEX('Questions global'!$A:$YP,ROW(H67)-ROW($A$2)+4,COLUMN(H67)-COLUMN($A$2)+1+$B$1)</f>
        <v/>
      </c>
      <c r="I68" s="119" t="str" cm="1">
        <f t="array" aca="1" ref="I68" ca="1">INDEX('Questions global'!$A:$YP,ROW(I67)-ROW($A$2)+4,COLUMN(I67)-COLUMN($A$2)+1+$B$1)</f>
        <v/>
      </c>
    </row>
    <row r="69" spans="1:9" x14ac:dyDescent="0.3">
      <c r="A69" s="118" cm="1">
        <f t="array" ref="A69">INDEX('Questions global'!$A:$YP,ROW(A68)-ROW($A$2)+4,COLUMN(A68)-COLUMN($A$2)+1+$B$1)</f>
        <v>68</v>
      </c>
      <c r="B69" s="106" t="str" cm="1">
        <f t="array" ref="B69">INDEX('Questions global'!$A:$YP,ROW(B68)-ROW($A$2)+4,COLUMN(B68)-COLUMN($A$2)+1+$B$1)</f>
        <v/>
      </c>
      <c r="C69" s="106" t="str" cm="1">
        <f t="array" ref="C69">INDEX('Questions global'!$A:$YP,ROW(C68)-ROW($A$2)+4,COLUMN(C68)-COLUMN($A$2)+1+$B$1)</f>
        <v/>
      </c>
      <c r="D69" s="126" t="str" cm="1">
        <f t="array" ref="D69">INDEX('Questions global'!$A:$YP,ROW(D68)-ROW($A$2)+4,COLUMN(D68)-COLUMN($A$2)+1+$B$1)</f>
        <v/>
      </c>
      <c r="E69" s="104" t="str" cm="1">
        <f t="array" aca="1" ref="E69" ca="1">INDEX('Questions global'!$A:$YP,ROW(E68)-ROW($A$2)+4,COLUMN(E68)-COLUMN($A$2)+1+$B$1)</f>
        <v xml:space="preserve">   </v>
      </c>
      <c r="F69" s="105" t="str" cm="1">
        <f t="array" ref="F69">INDEX('Questions global'!$A:$YP,ROW(F68)-ROW($A$2)+4,COLUMN(F68)-COLUMN($A$2)+1+$B$1)</f>
        <v xml:space="preserve"> </v>
      </c>
      <c r="G69" s="112" t="str" cm="1">
        <f t="array" ref="G69">INDEX('Questions global'!$A:$YP,ROW(G68)-ROW($A$2)+4,COLUMN(G68)-COLUMN($A$2)+1+$B$1)</f>
        <v/>
      </c>
      <c r="H69" s="104" t="str" cm="1">
        <f t="array" aca="1" ref="H69" ca="1">INDEX('Questions global'!$A:$YP,ROW(H68)-ROW($A$2)+4,COLUMN(H68)-COLUMN($A$2)+1+$B$1)</f>
        <v/>
      </c>
      <c r="I69" s="119" t="str" cm="1">
        <f t="array" aca="1" ref="I69" ca="1">INDEX('Questions global'!$A:$YP,ROW(I68)-ROW($A$2)+4,COLUMN(I68)-COLUMN($A$2)+1+$B$1)</f>
        <v/>
      </c>
    </row>
    <row r="70" spans="1:9" x14ac:dyDescent="0.3">
      <c r="A70" s="118" cm="1">
        <f t="array" ref="A70">INDEX('Questions global'!$A:$YP,ROW(A69)-ROW($A$2)+4,COLUMN(A69)-COLUMN($A$2)+1+$B$1)</f>
        <v>69</v>
      </c>
      <c r="B70" s="106" t="str" cm="1">
        <f t="array" ref="B70">INDEX('Questions global'!$A:$YP,ROW(B69)-ROW($A$2)+4,COLUMN(B69)-COLUMN($A$2)+1+$B$1)</f>
        <v/>
      </c>
      <c r="C70" s="106" t="str" cm="1">
        <f t="array" ref="C70">INDEX('Questions global'!$A:$YP,ROW(C69)-ROW($A$2)+4,COLUMN(C69)-COLUMN($A$2)+1+$B$1)</f>
        <v/>
      </c>
      <c r="D70" s="126" t="str" cm="1">
        <f t="array" ref="D70">INDEX('Questions global'!$A:$YP,ROW(D69)-ROW($A$2)+4,COLUMN(D69)-COLUMN($A$2)+1+$B$1)</f>
        <v/>
      </c>
      <c r="E70" s="104" t="str" cm="1">
        <f t="array" aca="1" ref="E70" ca="1">INDEX('Questions global'!$A:$YP,ROW(E69)-ROW($A$2)+4,COLUMN(E69)-COLUMN($A$2)+1+$B$1)</f>
        <v xml:space="preserve">   </v>
      </c>
      <c r="F70" s="105" t="str" cm="1">
        <f t="array" ref="F70">INDEX('Questions global'!$A:$YP,ROW(F69)-ROW($A$2)+4,COLUMN(F69)-COLUMN($A$2)+1+$B$1)</f>
        <v xml:space="preserve"> </v>
      </c>
      <c r="G70" s="112" t="str" cm="1">
        <f t="array" ref="G70">INDEX('Questions global'!$A:$YP,ROW(G69)-ROW($A$2)+4,COLUMN(G69)-COLUMN($A$2)+1+$B$1)</f>
        <v/>
      </c>
      <c r="H70" s="104" t="str" cm="1">
        <f t="array" aca="1" ref="H70" ca="1">INDEX('Questions global'!$A:$YP,ROW(H69)-ROW($A$2)+4,COLUMN(H69)-COLUMN($A$2)+1+$B$1)</f>
        <v/>
      </c>
      <c r="I70" s="119" t="str" cm="1">
        <f t="array" aca="1" ref="I70" ca="1">INDEX('Questions global'!$A:$YP,ROW(I69)-ROW($A$2)+4,COLUMN(I69)-COLUMN($A$2)+1+$B$1)</f>
        <v/>
      </c>
    </row>
    <row r="71" spans="1:9" x14ac:dyDescent="0.3">
      <c r="A71" s="118" cm="1">
        <f t="array" ref="A71">INDEX('Questions global'!$A:$YP,ROW(A70)-ROW($A$2)+4,COLUMN(A70)-COLUMN($A$2)+1+$B$1)</f>
        <v>70</v>
      </c>
      <c r="B71" s="106" t="str" cm="1">
        <f t="array" ref="B71">INDEX('Questions global'!$A:$YP,ROW(B70)-ROW($A$2)+4,COLUMN(B70)-COLUMN($A$2)+1+$B$1)</f>
        <v/>
      </c>
      <c r="C71" s="106" t="str" cm="1">
        <f t="array" ref="C71">INDEX('Questions global'!$A:$YP,ROW(C70)-ROW($A$2)+4,COLUMN(C70)-COLUMN($A$2)+1+$B$1)</f>
        <v/>
      </c>
      <c r="D71" s="126" t="str" cm="1">
        <f t="array" ref="D71">INDEX('Questions global'!$A:$YP,ROW(D70)-ROW($A$2)+4,COLUMN(D70)-COLUMN($A$2)+1+$B$1)</f>
        <v/>
      </c>
      <c r="E71" s="104" t="str" cm="1">
        <f t="array" aca="1" ref="E71" ca="1">INDEX('Questions global'!$A:$YP,ROW(E70)-ROW($A$2)+4,COLUMN(E70)-COLUMN($A$2)+1+$B$1)</f>
        <v xml:space="preserve">   </v>
      </c>
      <c r="F71" s="105" t="str" cm="1">
        <f t="array" ref="F71">INDEX('Questions global'!$A:$YP,ROW(F70)-ROW($A$2)+4,COLUMN(F70)-COLUMN($A$2)+1+$B$1)</f>
        <v xml:space="preserve"> </v>
      </c>
      <c r="G71" s="112" t="str" cm="1">
        <f t="array" ref="G71">INDEX('Questions global'!$A:$YP,ROW(G70)-ROW($A$2)+4,COLUMN(G70)-COLUMN($A$2)+1+$B$1)</f>
        <v/>
      </c>
      <c r="H71" s="104" cm="1">
        <f t="array" ref="H71">INDEX('Questions global'!$A:$YP,ROW(H70)-ROW($A$2)+4,COLUMN(H70)-COLUMN($A$2)+1+$B$1)</f>
        <v>0</v>
      </c>
      <c r="I71" s="119" cm="1">
        <f t="array" ref="I71">INDEX('Questions global'!$A:$YP,ROW(I70)-ROW($A$2)+4,COLUMN(I70)-COLUMN($A$2)+1+$B$1)</f>
        <v>0</v>
      </c>
    </row>
    <row r="72" spans="1:9" ht="15" thickBot="1" x14ac:dyDescent="0.35">
      <c r="A72" s="120" cm="1">
        <f t="array" ref="A72">INDEX('Questions global'!$A:$YP,ROW(A71)-ROW($A$2)+4,COLUMN(A71)-COLUMN($A$2)+1+$B$1)</f>
        <v>0</v>
      </c>
      <c r="B72" s="106" cm="1">
        <f t="array" ref="B72">INDEX('Questions global'!$A:$YP,ROW(B71)-ROW($A$2)+4,COLUMN(B71)-COLUMN($A$2)+1+$B$1)</f>
        <v>0</v>
      </c>
      <c r="C72" s="121" cm="1">
        <f t="array" ref="C72">INDEX('Questions global'!$A:$YP,ROW(C71)-ROW($A$2)+4,COLUMN(C71)-COLUMN($A$2)+1+$B$1)</f>
        <v>0</v>
      </c>
      <c r="D72" s="127" cm="1">
        <f t="array" ref="D72">INDEX('Questions global'!$A:$YP,ROW(D71)-ROW($A$2)+4,COLUMN(D71)-COLUMN($A$2)+1+$B$1)</f>
        <v>0</v>
      </c>
      <c r="E72" s="124" cm="1">
        <f t="array" ref="E72">INDEX('Questions global'!$A:$YP,ROW(E71)-ROW($A$2)+4,COLUMN(E71)-COLUMN($A$2)+1+$B$1)</f>
        <v>0</v>
      </c>
      <c r="F72" s="122" cm="1">
        <f t="array" ref="F72">INDEX('Questions global'!$A:$YP,ROW(F71)-ROW($A$2)+4,COLUMN(F71)-COLUMN($A$2)+1+$B$1)</f>
        <v>0</v>
      </c>
      <c r="G72" s="123" cm="1">
        <f t="array" ref="G72">INDEX('Questions global'!$A:$YP,ROW(G71)-ROW($A$2)+4,COLUMN(G71)-COLUMN($A$2)+1+$B$1)</f>
        <v>0</v>
      </c>
      <c r="H72" s="124" cm="1">
        <f t="array" ref="H72">INDEX('Questions global'!$A:$YP,ROW(H71)-ROW($A$2)+4,COLUMN(H71)-COLUMN($A$2)+1+$B$1)</f>
        <v>0</v>
      </c>
      <c r="I72" s="125" cm="1">
        <f t="array" ref="I72">INDEX('Questions global'!$A:$YP,ROW(I71)-ROW($A$2)+4,COLUMN(I71)-COLUMN($A$2)+1+$B$1)</f>
        <v>0</v>
      </c>
    </row>
    <row r="73" spans="1:9" ht="15" thickTop="1" x14ac:dyDescent="0.3"/>
  </sheetData>
  <conditionalFormatting sqref="G3:G72">
    <cfRule type="cellIs" dxfId="1" priority="1" operator="equal">
      <formula>"NON"</formula>
    </cfRule>
    <cfRule type="cellIs" dxfId="0" priority="2" operator="equal">
      <formula>"OUI"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60CCB98AB09A4F9ED216CC44ECB412" ma:contentTypeVersion="14" ma:contentTypeDescription="Create a new document." ma:contentTypeScope="" ma:versionID="af4cee79dff5ce66f9db5dc7a8793b8b">
  <xsd:schema xmlns:xsd="http://www.w3.org/2001/XMLSchema" xmlns:xs="http://www.w3.org/2001/XMLSchema" xmlns:p="http://schemas.microsoft.com/office/2006/metadata/properties" xmlns:ns2="b1a2ac40-0c8a-4765-8d3e-1350fec22d44" xmlns:ns3="fd4e99d7-8989-4b83-b4f4-be90479a7c2c" targetNamespace="http://schemas.microsoft.com/office/2006/metadata/properties" ma:root="true" ma:fieldsID="9c43b2e3637a5cbb4a6b17b0d8e9e5bc" ns2:_="" ns3:_="">
    <xsd:import namespace="b1a2ac40-0c8a-4765-8d3e-1350fec22d44"/>
    <xsd:import namespace="fd4e99d7-8989-4b83-b4f4-be90479a7c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a2ac40-0c8a-4765-8d3e-1350fec22d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6d6082f-4704-4d38-86b5-cca0f713ce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4e99d7-8989-4b83-b4f4-be90479a7c2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ba4fd74-3c2d-47b3-a463-c86ee53b8f5f}" ma:internalName="TaxCatchAll" ma:showField="CatchAllData" ma:web="fd4e99d7-8989-4b83-b4f4-be90479a7c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4e99d7-8989-4b83-b4f4-be90479a7c2c" xsi:nil="true"/>
    <lcf76f155ced4ddcb4097134ff3c332f xmlns="b1a2ac40-0c8a-4765-8d3e-1350fec22d4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F47DFC-9D47-4F1C-BAFA-0D6F9569DF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a2ac40-0c8a-4765-8d3e-1350fec22d44"/>
    <ds:schemaRef ds:uri="fd4e99d7-8989-4b83-b4f4-be90479a7c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9F8B48-A43A-4EBF-BA31-957DD758EC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229A6D-61E2-4C07-ABEE-35410FDDD7BF}">
  <ds:schemaRefs>
    <ds:schemaRef ds:uri="http://purl.org/dc/elements/1.1/"/>
    <ds:schemaRef ds:uri="http://schemas.openxmlformats.org/package/2006/metadata/core-properties"/>
    <ds:schemaRef ds:uri="b1a2ac40-0c8a-4765-8d3e-1350fec22d44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fd4e99d7-8989-4b83-b4f4-be90479a7c2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4</vt:i4>
      </vt:variant>
    </vt:vector>
  </HeadingPairs>
  <TitlesOfParts>
    <vt:vector size="14" baseType="lpstr">
      <vt:lpstr>GARDE</vt:lpstr>
      <vt:lpstr>ETANCHEITE</vt:lpstr>
      <vt:lpstr>Questions global</vt:lpstr>
      <vt:lpstr>Feuille de Donnée</vt:lpstr>
      <vt:lpstr>Questions Entreprise 1</vt:lpstr>
      <vt:lpstr>Questions Entreprise 2</vt:lpstr>
      <vt:lpstr>Questions Entreprise 3</vt:lpstr>
      <vt:lpstr>Questions Entreprise 4</vt:lpstr>
      <vt:lpstr>Questions Entreprise 5</vt:lpstr>
      <vt:lpstr>Questions Entreprise 6</vt:lpstr>
      <vt:lpstr>ETANCHEITE!Impression_des_titres</vt:lpstr>
      <vt:lpstr>Note_sur</vt:lpstr>
      <vt:lpstr>ETANCHEITE!Zone_d_impression</vt:lpstr>
      <vt:lpstr>GARDE!Zone_d_impression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 Michaud</dc:creator>
  <cp:lastModifiedBy>Alban Michaud</cp:lastModifiedBy>
  <cp:lastPrinted>2025-10-06T09:49:14Z</cp:lastPrinted>
  <dcterms:created xsi:type="dcterms:W3CDTF">2023-06-15T08:42:03Z</dcterms:created>
  <dcterms:modified xsi:type="dcterms:W3CDTF">2026-02-24T09:19:10Z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0x010100F660CCB98AB09A4F9ED216CC44ECB412</vt:lpwstr>
  </property>
  <property fmtid="{D5CDD505-2E9C-101B-9397-08002B2CF9AE}" pid="3" name="MediaServiceImageTags">
    <vt:lpwstr/>
  </property>
</Properties>
</file>