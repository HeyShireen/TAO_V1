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mxeco.sharepoint.com/sites/DMX/Shared Documents/General/7_ORGANISATION/LOGICIELS/TAO/"/>
    </mc:Choice>
  </mc:AlternateContent>
  <xr:revisionPtr revIDLastSave="5246" documentId="13_ncr:1_{9D368C21-ACCF-4FC5-8DCE-B00C1B13E378}" xr6:coauthVersionLast="47" xr6:coauthVersionMax="47" xr10:uidLastSave="{2F5F0AC0-CF88-49C5-A8CC-A293FAEC374A}"/>
  <bookViews>
    <workbookView xWindow="-57720" yWindow="-120" windowWidth="29040" windowHeight="15720" activeTab="1" xr2:uid="{00000000-000D-0000-FFFF-FFFF00000000}"/>
  </bookViews>
  <sheets>
    <sheet name="RECAP" sheetId="5" r:id="rId1"/>
    <sheet name="Options" sheetId="7" r:id="rId2"/>
    <sheet name="Variantes" sheetId="6" r:id="rId3"/>
    <sheet name="Feuille Donnée" sheetId="8" r:id="rId4"/>
  </sheets>
  <definedNames>
    <definedName name="_xlnm.Print_Area" localSheetId="0">RECAP!$A$1:$Q$42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7" l="1"/>
  <c r="E16" i="7"/>
  <c r="E17" i="7"/>
  <c r="F20" i="7"/>
  <c r="H20" i="7" s="1"/>
  <c r="E20" i="7"/>
  <c r="F19" i="7"/>
  <c r="H19" i="7" s="1"/>
  <c r="E19" i="7"/>
  <c r="H18" i="7"/>
  <c r="J18" i="7" s="1"/>
  <c r="F18" i="7"/>
  <c r="E18" i="7"/>
  <c r="D18" i="7"/>
  <c r="L34" i="5"/>
  <c r="O34" i="5" s="1"/>
  <c r="K34" i="5"/>
  <c r="E34" i="5"/>
  <c r="A6" i="6"/>
  <c r="A5" i="6"/>
  <c r="A3" i="6"/>
  <c r="A2" i="6"/>
  <c r="A6" i="7"/>
  <c r="A5" i="7"/>
  <c r="A3" i="7"/>
  <c r="A2" i="7"/>
  <c r="A6" i="5"/>
  <c r="A5" i="5"/>
  <c r="A3" i="5"/>
  <c r="A2" i="5"/>
  <c r="N5" i="8" a="1"/>
  <c r="N5" i="8" s="1"/>
  <c r="I19" i="7" l="1"/>
  <c r="J19" i="7"/>
  <c r="J20" i="7"/>
  <c r="I20" i="7"/>
  <c r="I18" i="7"/>
  <c r="M34" i="5"/>
  <c r="N34" i="5"/>
  <c r="M7" i="8"/>
  <c r="I3" i="8" s="1"/>
  <c r="A1" i="6" s="1"/>
  <c r="A1" i="5" l="1"/>
  <c r="A1" i="7"/>
  <c r="N7" i="8"/>
  <c r="M8" i="8" l="1"/>
  <c r="N8" i="8" s="1"/>
  <c r="D15" i="7"/>
  <c r="O22" i="5"/>
  <c r="N15" i="5"/>
  <c r="N14" i="5"/>
  <c r="K14" i="5"/>
  <c r="C14" i="5"/>
  <c r="C32" i="5"/>
  <c r="C26" i="5"/>
  <c r="C22" i="5"/>
  <c r="C19" i="5"/>
  <c r="C17" i="5"/>
  <c r="C15" i="5"/>
  <c r="E33" i="5"/>
  <c r="E35" i="5" s="1"/>
  <c r="E36" i="5" s="1"/>
  <c r="E27" i="5"/>
  <c r="E23" i="5"/>
  <c r="E24" i="5" s="1"/>
  <c r="E25" i="5" s="1"/>
  <c r="E20" i="5"/>
  <c r="E21" i="5" s="1"/>
  <c r="E18" i="5"/>
  <c r="E16" i="5"/>
  <c r="L19" i="5"/>
  <c r="F15" i="7" s="1"/>
  <c r="H15" i="7" s="1"/>
  <c r="K36" i="5"/>
  <c r="K35" i="5"/>
  <c r="K33" i="5"/>
  <c r="K32" i="5"/>
  <c r="K31" i="5"/>
  <c r="K30" i="5"/>
  <c r="K29" i="5"/>
  <c r="K28" i="5"/>
  <c r="K27" i="5"/>
  <c r="K26" i="5"/>
  <c r="K25" i="5"/>
  <c r="K24" i="5"/>
  <c r="P24" i="5" s="1" a="1"/>
  <c r="P24" i="5" s="1"/>
  <c r="K23" i="5"/>
  <c r="K22" i="5"/>
  <c r="K21" i="5"/>
  <c r="K20" i="5"/>
  <c r="K19" i="5"/>
  <c r="K18" i="5"/>
  <c r="K17" i="5"/>
  <c r="K16" i="5"/>
  <c r="K15" i="5"/>
  <c r="L14" i="5"/>
  <c r="P14" i="5" s="1" a="1"/>
  <c r="P14" i="5" s="1"/>
  <c r="L36" i="5"/>
  <c r="L35" i="5"/>
  <c r="L33" i="5"/>
  <c r="L32" i="5"/>
  <c r="O32" i="5" s="1"/>
  <c r="L31" i="5"/>
  <c r="L30" i="5"/>
  <c r="L29" i="5"/>
  <c r="L28" i="5"/>
  <c r="L27" i="5"/>
  <c r="N27" i="5" s="1"/>
  <c r="L26" i="5"/>
  <c r="N26" i="5" s="1"/>
  <c r="L25" i="5"/>
  <c r="N25" i="5" s="1"/>
  <c r="L24" i="5"/>
  <c r="L23" i="5"/>
  <c r="L22" i="5"/>
  <c r="L21" i="5"/>
  <c r="F17" i="7" s="1"/>
  <c r="H17" i="7" s="1"/>
  <c r="L20" i="5"/>
  <c r="L18" i="5"/>
  <c r="L17" i="5"/>
  <c r="O17" i="5" s="1"/>
  <c r="L16" i="5"/>
  <c r="L15" i="5"/>
  <c r="O15" i="5" s="1"/>
  <c r="I17" i="7" l="1"/>
  <c r="J17" i="7"/>
  <c r="N19" i="5"/>
  <c r="P19" i="5" a="1"/>
  <c r="P19" i="5" s="1"/>
  <c r="O16" i="5"/>
  <c r="O18" i="5"/>
  <c r="O27" i="5"/>
  <c r="O21" i="5"/>
  <c r="O26" i="5"/>
  <c r="P25" i="5" a="1"/>
  <c r="P25" i="5" s="1"/>
  <c r="P26" i="5" a="1"/>
  <c r="P26" i="5" s="1"/>
  <c r="P27" i="5" a="1"/>
  <c r="P27" i="5" s="1"/>
  <c r="O35" i="5"/>
  <c r="P22" i="5" a="1"/>
  <c r="P22" i="5" s="1"/>
  <c r="N23" i="5"/>
  <c r="O25" i="5"/>
  <c r="O33" i="5"/>
  <c r="O36" i="5"/>
  <c r="O20" i="5"/>
  <c r="N24" i="5"/>
  <c r="M9" i="8"/>
  <c r="H3" i="8" s="1"/>
  <c r="I15" i="7"/>
  <c r="J15" i="7"/>
  <c r="E28" i="5"/>
  <c r="P28" i="5" s="1" a="1"/>
  <c r="P28" i="5" s="1"/>
  <c r="N33" i="5"/>
  <c r="P15" i="5" a="1"/>
  <c r="P15" i="5" s="1"/>
  <c r="N16" i="5"/>
  <c r="P23" i="5" a="1"/>
  <c r="P23" i="5" s="1"/>
  <c r="N17" i="5"/>
  <c r="P16" i="5" a="1"/>
  <c r="P16" i="5" s="1"/>
  <c r="P32" i="5" a="1"/>
  <c r="P32" i="5" s="1"/>
  <c r="N32" i="5"/>
  <c r="N18" i="5"/>
  <c r="O23" i="5"/>
  <c r="O24" i="5"/>
  <c r="P17" i="5" a="1"/>
  <c r="P17" i="5" s="1"/>
  <c r="P33" i="5" a="1"/>
  <c r="P33" i="5" s="1"/>
  <c r="N35" i="5"/>
  <c r="N36" i="5"/>
  <c r="P18" i="5" a="1"/>
  <c r="P18" i="5" s="1"/>
  <c r="P35" i="5" a="1"/>
  <c r="P35" i="5" s="1"/>
  <c r="N20" i="5"/>
  <c r="O14" i="5"/>
  <c r="F16" i="7"/>
  <c r="H16" i="7" s="1"/>
  <c r="N21" i="5"/>
  <c r="P36" i="5" a="1"/>
  <c r="P36" i="5" s="1"/>
  <c r="N22" i="5"/>
  <c r="P20" i="5" a="1"/>
  <c r="P20" i="5" s="1"/>
  <c r="O19" i="5"/>
  <c r="P21" i="5" a="1"/>
  <c r="P21" i="5" s="1"/>
  <c r="D15" i="6"/>
  <c r="N9" i="8" l="1"/>
  <c r="M10" i="8" s="1"/>
  <c r="A4" i="6" s="1"/>
  <c r="I16" i="7"/>
  <c r="J16" i="7"/>
  <c r="E29" i="5"/>
  <c r="O28" i="5"/>
  <c r="N28" i="5"/>
  <c r="E17" i="6"/>
  <c r="E16" i="6"/>
  <c r="E15" i="6"/>
  <c r="A4" i="5" l="1"/>
  <c r="A4" i="7"/>
  <c r="J3" i="8"/>
  <c r="N10" i="8"/>
  <c r="E30" i="5"/>
  <c r="O29" i="5"/>
  <c r="N29" i="5"/>
  <c r="P29" i="5" a="1"/>
  <c r="P29" i="5" s="1"/>
  <c r="M29" i="5"/>
  <c r="F16" i="6"/>
  <c r="H16" i="6" s="1"/>
  <c r="E31" i="5" l="1"/>
  <c r="P30" i="5" a="1"/>
  <c r="P30" i="5" s="1"/>
  <c r="N30" i="5"/>
  <c r="O30" i="5"/>
  <c r="F15" i="6"/>
  <c r="H15" i="6" s="1"/>
  <c r="J15" i="6" s="1"/>
  <c r="J16" i="6"/>
  <c r="I16" i="6"/>
  <c r="M33" i="5"/>
  <c r="M35" i="5"/>
  <c r="M30" i="5"/>
  <c r="M27" i="5"/>
  <c r="M28" i="5"/>
  <c r="O31" i="5" l="1"/>
  <c r="P31" i="5" a="1"/>
  <c r="P31" i="5" s="1"/>
  <c r="N31" i="5"/>
  <c r="I15" i="6"/>
  <c r="F17" i="6"/>
  <c r="H17" i="6" s="1"/>
  <c r="M19" i="5"/>
  <c r="J17" i="6" l="1"/>
  <c r="I17" i="6"/>
  <c r="M18" i="5"/>
  <c r="M16" i="5"/>
  <c r="M21" i="5"/>
  <c r="M23" i="5"/>
  <c r="M24" i="5"/>
  <c r="M25" i="5"/>
  <c r="M22" i="5"/>
  <c r="M32" i="5"/>
  <c r="M15" i="5"/>
  <c r="M31" i="5"/>
  <c r="M20" i="5"/>
  <c r="M36" i="5"/>
  <c r="M26" i="5"/>
  <c r="M14" i="5"/>
  <c r="M17" i="5"/>
  <c r="Q37" i="5" l="1"/>
  <c r="P37" i="5" l="1"/>
  <c r="C37" i="5"/>
  <c r="P38" i="5" l="1"/>
  <c r="P39" i="5"/>
  <c r="Q38" i="5"/>
  <c r="Q3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<sst xmlns="http://schemas.openxmlformats.org/spreadsheetml/2006/main" count="73" uniqueCount="47">
  <si>
    <t>NUM</t>
  </si>
  <si>
    <t xml:space="preserve">LISTE DES LOTS </t>
  </si>
  <si>
    <t>MOE</t>
  </si>
  <si>
    <t xml:space="preserve">ENTREPRISES </t>
  </si>
  <si>
    <t>ANALYSE</t>
  </si>
  <si>
    <t>Classement</t>
  </si>
  <si>
    <t>MOINS DISANT</t>
  </si>
  <si>
    <t xml:space="preserve">TOTAL HT </t>
  </si>
  <si>
    <t xml:space="preserve">Prix a l'ouverture des offres </t>
  </si>
  <si>
    <t>Ecart ouverture des offres / 2nd Tour</t>
  </si>
  <si>
    <t>Ecarts MOE (€)</t>
  </si>
  <si>
    <t>Ecarts MOE (%)</t>
  </si>
  <si>
    <t>Première offre</t>
  </si>
  <si>
    <t>Erreur entreprise</t>
  </si>
  <si>
    <t>Montant fort</t>
  </si>
  <si>
    <t>Montant faible</t>
  </si>
  <si>
    <t xml:space="preserve">BASE </t>
  </si>
  <si>
    <t>VARIANTE</t>
  </si>
  <si>
    <t>BASE + Variante</t>
  </si>
  <si>
    <t xml:space="preserve">ENTREPRISE </t>
  </si>
  <si>
    <t>Variante</t>
  </si>
  <si>
    <t xml:space="preserve">Tranche ferme </t>
  </si>
  <si>
    <t>Tranche ferme</t>
  </si>
  <si>
    <t>TABLEAU COMPARATIF DES VARIANTES :</t>
  </si>
  <si>
    <t>MIEUX DISANT</t>
  </si>
  <si>
    <t>Poste ajoutés par l'entreprise</t>
  </si>
  <si>
    <t xml:space="preserve">VARIANTE XX - </t>
  </si>
  <si>
    <t>TABLEAU COMPARATIF DES OFFRES TCE</t>
  </si>
  <si>
    <t>TABLEAU COMPARATIF DES OPTIONS :</t>
  </si>
  <si>
    <t xml:space="preserve">données à renseigner </t>
  </si>
  <si>
    <t>Date</t>
  </si>
  <si>
    <t>Phase d'etude</t>
  </si>
  <si>
    <t xml:space="preserve">MAITRISE D'OUVRAGE : </t>
  </si>
  <si>
    <t xml:space="preserve">MAITRISE D'OEUVRE : </t>
  </si>
  <si>
    <t>déscription de l'affaire</t>
  </si>
  <si>
    <t>n° du lot :</t>
  </si>
  <si>
    <t>Nom de l'affaire</t>
  </si>
  <si>
    <t>Indice</t>
  </si>
  <si>
    <t>ACT</t>
  </si>
  <si>
    <t>Calcule du nom de l'indice et de la version</t>
  </si>
  <si>
    <t>Base</t>
  </si>
  <si>
    <t>Substitue</t>
  </si>
  <si>
    <t>resultat</t>
  </si>
  <si>
    <t>DATE</t>
  </si>
  <si>
    <t>MO</t>
  </si>
  <si>
    <t>XX</t>
  </si>
  <si>
    <t xml:space="preserve">Options XX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</si>
</sst>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\ &quot;€&quot;_-;\-* #,##0\ &quot;€&quot;_-;_-* &quot;-&quot;??\ &quot;€&quot;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Arial Narrow"/>
      <family val="2"/>
    </font>
    <font>
      <sz val="11"/>
      <color theme="1"/>
      <name val="Arial Narrow"/>
      <family val="2"/>
    </font>
    <font>
      <sz val="16"/>
      <color theme="1"/>
      <name val="Arial Narrow"/>
      <family val="2"/>
    </font>
    <font>
      <b/>
      <sz val="2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4"/>
      <color theme="1"/>
      <name val="Arial Narrow"/>
      <family val="2"/>
    </font>
    <font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26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16"/>
      <color theme="1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sz val="11"/>
      <color rgb="FFFF0000"/>
      <name val="Arial Narrow"/>
      <family val="2"/>
    </font>
    <font>
      <sz val="12"/>
      <color theme="1"/>
      <name val="Arial Narrow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64" fontId="3" fillId="0" borderId="0" xfId="1" applyNumberFormat="1" applyFont="1"/>
    <xf numFmtId="44" fontId="3" fillId="0" borderId="0" xfId="2" applyFont="1"/>
    <xf numFmtId="1" fontId="3" fillId="0" borderId="0" xfId="0" applyNumberFormat="1" applyFont="1"/>
    <xf numFmtId="0" fontId="3" fillId="0" borderId="1" xfId="0" applyFont="1" applyBorder="1"/>
    <xf numFmtId="0" fontId="3" fillId="0" borderId="10" xfId="0" applyFont="1" applyBorder="1"/>
    <xf numFmtId="0" fontId="3" fillId="0" borderId="3" xfId="0" applyFont="1" applyBorder="1"/>
    <xf numFmtId="3" fontId="7" fillId="0" borderId="0" xfId="0" applyNumberFormat="1" applyFont="1" applyAlignment="1">
      <alignment vertical="center"/>
    </xf>
    <xf numFmtId="0" fontId="7" fillId="0" borderId="32" xfId="0" applyFont="1" applyBorder="1"/>
    <xf numFmtId="3" fontId="7" fillId="0" borderId="21" xfId="0" applyNumberFormat="1" applyFont="1" applyBorder="1" applyAlignment="1">
      <alignment vertical="center"/>
    </xf>
    <xf numFmtId="164" fontId="3" fillId="0" borderId="0" xfId="1" applyNumberFormat="1" applyFont="1" applyAlignment="1">
      <alignment horizontal="right"/>
    </xf>
    <xf numFmtId="9" fontId="3" fillId="0" borderId="25" xfId="4" applyFont="1" applyBorder="1" applyAlignment="1">
      <alignment horizontal="right"/>
    </xf>
    <xf numFmtId="9" fontId="11" fillId="0" borderId="25" xfId="4" applyFont="1" applyBorder="1" applyAlignment="1">
      <alignment horizontal="right"/>
    </xf>
    <xf numFmtId="9" fontId="11" fillId="0" borderId="26" xfId="4" applyFont="1" applyBorder="1" applyAlignment="1">
      <alignment horizontal="right"/>
    </xf>
    <xf numFmtId="9" fontId="11" fillId="0" borderId="27" xfId="4" applyFont="1" applyBorder="1" applyAlignment="1">
      <alignment horizontal="right"/>
    </xf>
    <xf numFmtId="44" fontId="11" fillId="0" borderId="1" xfId="2" applyFont="1" applyFill="1" applyBorder="1"/>
    <xf numFmtId="3" fontId="6" fillId="4" borderId="10" xfId="0" applyNumberFormat="1" applyFont="1" applyFill="1" applyBorder="1" applyAlignment="1">
      <alignment horizontal="left" vertical="center"/>
    </xf>
    <xf numFmtId="3" fontId="6" fillId="4" borderId="14" xfId="0" applyNumberFormat="1" applyFont="1" applyFill="1" applyBorder="1" applyAlignment="1">
      <alignment horizontal="center" vertical="center"/>
    </xf>
    <xf numFmtId="3" fontId="6" fillId="4" borderId="12" xfId="0" applyNumberFormat="1" applyFont="1" applyFill="1" applyBorder="1" applyAlignment="1">
      <alignment horizontal="center" vertical="center"/>
    </xf>
    <xf numFmtId="44" fontId="3" fillId="0" borderId="33" xfId="0" applyNumberFormat="1" applyFont="1" applyBorder="1" applyAlignment="1">
      <alignment horizontal="center" vertical="center"/>
    </xf>
    <xf numFmtId="44" fontId="9" fillId="0" borderId="32" xfId="0" applyNumberFormat="1" applyFont="1" applyBorder="1"/>
    <xf numFmtId="3" fontId="13" fillId="0" borderId="10" xfId="0" applyNumberFormat="1" applyFont="1" applyBorder="1" applyAlignment="1">
      <alignment horizontal="center" vertical="center" wrapText="1"/>
    </xf>
    <xf numFmtId="165" fontId="14" fillId="0" borderId="42" xfId="4" applyNumberFormat="1" applyFont="1" applyBorder="1" applyAlignment="1">
      <alignment horizontal="center"/>
    </xf>
    <xf numFmtId="165" fontId="14" fillId="0" borderId="23" xfId="4" applyNumberFormat="1" applyFont="1" applyBorder="1" applyAlignment="1">
      <alignment horizontal="center"/>
    </xf>
    <xf numFmtId="165" fontId="14" fillId="0" borderId="43" xfId="4" applyNumberFormat="1" applyFont="1" applyBorder="1" applyAlignment="1">
      <alignment horizontal="center"/>
    </xf>
    <xf numFmtId="9" fontId="11" fillId="0" borderId="3" xfId="4" applyFont="1" applyBorder="1"/>
    <xf numFmtId="9" fontId="11" fillId="0" borderId="8" xfId="4" applyFont="1" applyBorder="1"/>
    <xf numFmtId="9" fontId="11" fillId="0" borderId="1" xfId="4" applyFont="1" applyBorder="1"/>
    <xf numFmtId="0" fontId="15" fillId="0" borderId="0" xfId="0" applyFont="1"/>
    <xf numFmtId="1" fontId="7" fillId="5" borderId="0" xfId="0" applyNumberFormat="1" applyFont="1" applyFill="1" applyAlignment="1">
      <alignment horizontal="center"/>
    </xf>
    <xf numFmtId="0" fontId="7" fillId="5" borderId="0" xfId="0" applyFont="1" applyFill="1"/>
    <xf numFmtId="0" fontId="7" fillId="2" borderId="0" xfId="0" applyFont="1" applyFill="1"/>
    <xf numFmtId="0" fontId="7" fillId="6" borderId="0" xfId="0" applyFont="1" applyFill="1"/>
    <xf numFmtId="0" fontId="7" fillId="7" borderId="0" xfId="0" applyFont="1" applyFill="1"/>
    <xf numFmtId="3" fontId="6" fillId="4" borderId="10" xfId="0" applyNumberFormat="1" applyFont="1" applyFill="1" applyBorder="1" applyAlignment="1">
      <alignment horizontal="center" vertical="center"/>
    </xf>
    <xf numFmtId="9" fontId="11" fillId="0" borderId="14" xfId="4" applyFont="1" applyBorder="1"/>
    <xf numFmtId="3" fontId="6" fillId="4" borderId="24" xfId="0" applyNumberFormat="1" applyFont="1" applyFill="1" applyBorder="1" applyAlignment="1">
      <alignment horizontal="center" vertical="center"/>
    </xf>
    <xf numFmtId="44" fontId="3" fillId="0" borderId="25" xfId="2" applyFont="1" applyBorder="1" applyAlignment="1">
      <alignment vertical="center"/>
    </xf>
    <xf numFmtId="44" fontId="3" fillId="0" borderId="24" xfId="2" applyFont="1" applyBorder="1" applyAlignment="1">
      <alignment vertical="center"/>
    </xf>
    <xf numFmtId="3" fontId="6" fillId="3" borderId="12" xfId="0" applyNumberFormat="1" applyFont="1" applyFill="1" applyBorder="1" applyAlignment="1">
      <alignment horizontal="center" vertical="center"/>
    </xf>
    <xf numFmtId="3" fontId="6" fillId="3" borderId="24" xfId="0" applyNumberFormat="1" applyFont="1" applyFill="1" applyBorder="1" applyAlignment="1">
      <alignment horizontal="center" vertical="center"/>
    </xf>
    <xf numFmtId="3" fontId="13" fillId="0" borderId="14" xfId="0" applyNumberFormat="1" applyFont="1" applyBorder="1" applyAlignment="1">
      <alignment horizontal="center" vertical="center"/>
    </xf>
    <xf numFmtId="9" fontId="11" fillId="0" borderId="4" xfId="4" applyFont="1" applyBorder="1"/>
    <xf numFmtId="165" fontId="14" fillId="0" borderId="10" xfId="4" applyNumberFormat="1" applyFont="1" applyBorder="1" applyAlignment="1">
      <alignment horizontal="center"/>
    </xf>
    <xf numFmtId="8" fontId="3" fillId="0" borderId="25" xfId="2" applyNumberFormat="1" applyFont="1" applyBorder="1" applyAlignment="1">
      <alignment vertical="center"/>
    </xf>
    <xf numFmtId="8" fontId="3" fillId="0" borderId="24" xfId="2" applyNumberFormat="1" applyFont="1" applyBorder="1" applyAlignment="1">
      <alignment vertical="center"/>
    </xf>
    <xf numFmtId="44" fontId="3" fillId="0" borderId="12" xfId="2" applyFont="1" applyBorder="1" applyAlignment="1">
      <alignment vertical="center"/>
    </xf>
    <xf numFmtId="44" fontId="3" fillId="0" borderId="48" xfId="2" applyFont="1" applyBorder="1" applyAlignment="1">
      <alignment vertical="center"/>
    </xf>
    <xf numFmtId="3" fontId="7" fillId="0" borderId="18" xfId="0" applyNumberFormat="1" applyFont="1" applyBorder="1" applyAlignment="1">
      <alignment horizontal="center" vertical="center" wrapText="1"/>
    </xf>
    <xf numFmtId="3" fontId="7" fillId="0" borderId="12" xfId="0" applyNumberFormat="1" applyFont="1" applyBorder="1" applyAlignment="1">
      <alignment horizontal="center" vertical="center" wrapText="1"/>
    </xf>
    <xf numFmtId="1" fontId="11" fillId="0" borderId="2" xfId="2" applyNumberFormat="1" applyFont="1" applyFill="1" applyBorder="1" applyAlignment="1">
      <alignment horizontal="center" vertical="center"/>
    </xf>
    <xf numFmtId="1" fontId="11" fillId="0" borderId="5" xfId="2" applyNumberFormat="1" applyFont="1" applyFill="1" applyBorder="1" applyAlignment="1">
      <alignment horizontal="center" vertical="center"/>
    </xf>
    <xf numFmtId="1" fontId="11" fillId="0" borderId="7" xfId="2" applyNumberFormat="1" applyFont="1" applyFill="1" applyBorder="1" applyAlignment="1">
      <alignment horizontal="center" vertical="center"/>
    </xf>
    <xf numFmtId="44" fontId="3" fillId="0" borderId="33" xfId="2" applyFont="1" applyFill="1" applyBorder="1"/>
    <xf numFmtId="44" fontId="10" fillId="0" borderId="4" xfId="2" applyFont="1" applyFill="1" applyBorder="1"/>
    <xf numFmtId="44" fontId="3" fillId="2" borderId="32" xfId="2" applyFont="1" applyFill="1" applyBorder="1" applyAlignment="1">
      <alignment vertical="center"/>
    </xf>
    <xf numFmtId="44" fontId="3" fillId="2" borderId="33" xfId="2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7" fillId="0" borderId="0" xfId="0" applyFont="1"/>
    <xf numFmtId="0" fontId="16" fillId="0" borderId="0" xfId="0" applyFont="1"/>
    <xf numFmtId="44" fontId="3" fillId="0" borderId="0" xfId="2" applyFont="1" applyFill="1"/>
    <xf numFmtId="0" fontId="3" fillId="0" borderId="44" xfId="0" applyFont="1" applyBorder="1"/>
    <xf numFmtId="0" fontId="3" fillId="0" borderId="15" xfId="0" applyFont="1" applyBorder="1"/>
    <xf numFmtId="44" fontId="9" fillId="0" borderId="24" xfId="0" applyNumberFormat="1" applyFont="1" applyBorder="1"/>
    <xf numFmtId="3" fontId="13" fillId="0" borderId="28" xfId="0" applyNumberFormat="1" applyFont="1" applyBorder="1" applyAlignment="1">
      <alignment horizontal="center" vertical="center" wrapText="1"/>
    </xf>
    <xf numFmtId="44" fontId="3" fillId="0" borderId="3" xfId="2" applyFont="1" applyFill="1" applyBorder="1"/>
    <xf numFmtId="44" fontId="11" fillId="0" borderId="3" xfId="2" applyFont="1" applyFill="1" applyBorder="1"/>
    <xf numFmtId="44" fontId="11" fillId="0" borderId="8" xfId="2" applyFont="1" applyFill="1" applyBorder="1"/>
    <xf numFmtId="8" fontId="11" fillId="0" borderId="3" xfId="2" applyNumberFormat="1" applyFont="1" applyFill="1" applyBorder="1"/>
    <xf numFmtId="8" fontId="11" fillId="0" borderId="8" xfId="2" applyNumberFormat="1" applyFont="1" applyFill="1" applyBorder="1"/>
    <xf numFmtId="165" fontId="14" fillId="0" borderId="23" xfId="4" applyNumberFormat="1" applyFont="1" applyFill="1" applyBorder="1" applyAlignment="1">
      <alignment horizontal="center"/>
    </xf>
    <xf numFmtId="165" fontId="14" fillId="0" borderId="27" xfId="4" applyNumberFormat="1" applyFont="1" applyFill="1" applyBorder="1" applyAlignment="1">
      <alignment horizontal="center"/>
    </xf>
    <xf numFmtId="9" fontId="3" fillId="0" borderId="12" xfId="4" applyFont="1" applyFill="1" applyBorder="1"/>
    <xf numFmtId="9" fontId="3" fillId="0" borderId="14" xfId="4" applyFont="1" applyFill="1" applyBorder="1"/>
    <xf numFmtId="44" fontId="7" fillId="0" borderId="13" xfId="2" applyFont="1" applyFill="1" applyBorder="1" applyAlignment="1">
      <alignment horizontal="center" vertical="center" wrapText="1"/>
    </xf>
    <xf numFmtId="44" fontId="7" fillId="0" borderId="18" xfId="2" applyFont="1" applyBorder="1" applyAlignment="1">
      <alignment horizontal="center" vertical="center" wrapText="1"/>
    </xf>
    <xf numFmtId="1" fontId="7" fillId="0" borderId="12" xfId="0" applyNumberFormat="1" applyFont="1" applyBorder="1" applyAlignment="1">
      <alignment horizontal="center" vertical="center" wrapText="1"/>
    </xf>
    <xf numFmtId="3" fontId="7" fillId="0" borderId="13" xfId="0" applyNumberFormat="1" applyFont="1" applyBorder="1" applyAlignment="1">
      <alignment horizontal="center" vertical="center" wrapText="1"/>
    </xf>
    <xf numFmtId="3" fontId="7" fillId="0" borderId="22" xfId="0" applyNumberFormat="1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center" vertical="center" wrapText="1"/>
    </xf>
    <xf numFmtId="3" fontId="7" fillId="0" borderId="14" xfId="0" applyNumberFormat="1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 wrapText="1"/>
    </xf>
    <xf numFmtId="3" fontId="7" fillId="0" borderId="49" xfId="0" applyNumberFormat="1" applyFont="1" applyBorder="1" applyAlignment="1">
      <alignment horizontal="center" vertical="center" wrapText="1"/>
    </xf>
    <xf numFmtId="1" fontId="3" fillId="0" borderId="2" xfId="2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44" fontId="3" fillId="0" borderId="29" xfId="2" applyFont="1" applyFill="1" applyBorder="1"/>
    <xf numFmtId="0" fontId="11" fillId="0" borderId="3" xfId="0" applyFont="1" applyBorder="1"/>
    <xf numFmtId="44" fontId="11" fillId="0" borderId="33" xfId="2" applyFont="1" applyFill="1" applyBorder="1"/>
    <xf numFmtId="44" fontId="11" fillId="0" borderId="29" xfId="2" applyFont="1" applyFill="1" applyBorder="1"/>
    <xf numFmtId="44" fontId="12" fillId="0" borderId="4" xfId="2" applyFont="1" applyFill="1" applyBorder="1"/>
    <xf numFmtId="44" fontId="11" fillId="0" borderId="34" xfId="2" applyFont="1" applyFill="1" applyBorder="1"/>
    <xf numFmtId="44" fontId="11" fillId="0" borderId="31" xfId="2" applyFont="1" applyFill="1" applyBorder="1"/>
    <xf numFmtId="44" fontId="11" fillId="0" borderId="9" xfId="2" applyFont="1" applyFill="1" applyBorder="1"/>
    <xf numFmtId="8" fontId="11" fillId="0" borderId="33" xfId="2" applyNumberFormat="1" applyFont="1" applyFill="1" applyBorder="1"/>
    <xf numFmtId="44" fontId="11" fillId="0" borderId="35" xfId="2" applyFont="1" applyFill="1" applyBorder="1"/>
    <xf numFmtId="44" fontId="11" fillId="0" borderId="30" xfId="2" applyFont="1" applyFill="1" applyBorder="1"/>
    <xf numFmtId="44" fontId="11" fillId="0" borderId="6" xfId="2" applyFont="1" applyFill="1" applyBorder="1"/>
    <xf numFmtId="8" fontId="11" fillId="0" borderId="34" xfId="2" applyNumberFormat="1" applyFont="1" applyFill="1" applyBorder="1"/>
    <xf numFmtId="44" fontId="12" fillId="0" borderId="29" xfId="2" applyFont="1" applyFill="1" applyBorder="1"/>
    <xf numFmtId="44" fontId="10" fillId="0" borderId="4" xfId="2" applyFont="1" applyFill="1" applyBorder="1" applyAlignment="1">
      <alignment horizontal="right"/>
    </xf>
    <xf numFmtId="0" fontId="3" fillId="0" borderId="51" xfId="0" applyFont="1" applyBorder="1"/>
    <xf numFmtId="44" fontId="7" fillId="0" borderId="10" xfId="0" applyNumberFormat="1" applyFont="1" applyBorder="1"/>
    <xf numFmtId="44" fontId="11" fillId="0" borderId="5" xfId="2" applyFont="1" applyFill="1" applyBorder="1"/>
    <xf numFmtId="44" fontId="3" fillId="0" borderId="6" xfId="2" applyFont="1" applyFill="1" applyBorder="1"/>
    <xf numFmtId="44" fontId="3" fillId="0" borderId="40" xfId="2" applyFont="1" applyBorder="1" applyAlignment="1">
      <alignment vertical="center"/>
    </xf>
    <xf numFmtId="44" fontId="3" fillId="0" borderId="41" xfId="2" applyFont="1" applyBorder="1" applyAlignment="1">
      <alignment vertical="center"/>
    </xf>
    <xf numFmtId="44" fontId="3" fillId="0" borderId="50" xfId="2" applyFont="1" applyBorder="1" applyAlignment="1">
      <alignment vertical="center"/>
    </xf>
    <xf numFmtId="44" fontId="3" fillId="0" borderId="49" xfId="2" applyFont="1" applyBorder="1" applyAlignment="1">
      <alignment vertical="center"/>
    </xf>
    <xf numFmtId="44" fontId="3" fillId="2" borderId="39" xfId="2" applyFont="1" applyFill="1" applyBorder="1" applyAlignment="1">
      <alignment vertical="center"/>
    </xf>
    <xf numFmtId="0" fontId="7" fillId="2" borderId="12" xfId="0" quotePrefix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44" fontId="3" fillId="2" borderId="19" xfId="2" applyFont="1" applyFill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right"/>
    </xf>
    <xf numFmtId="0" fontId="19" fillId="0" borderId="0" xfId="0" applyFont="1"/>
    <xf numFmtId="0" fontId="20" fillId="0" borderId="0" xfId="0" applyFont="1"/>
    <xf numFmtId="164" fontId="18" fillId="0" borderId="0" xfId="1" applyNumberFormat="1" applyFont="1"/>
    <xf numFmtId="0" fontId="21" fillId="0" borderId="0" xfId="0" applyFont="1"/>
    <xf numFmtId="3" fontId="22" fillId="4" borderId="10" xfId="0" applyNumberFormat="1" applyFont="1" applyFill="1" applyBorder="1" applyAlignment="1">
      <alignment horizontal="center" vertical="center"/>
    </xf>
    <xf numFmtId="3" fontId="23" fillId="0" borderId="10" xfId="0" applyNumberFormat="1" applyFont="1" applyBorder="1" applyAlignment="1">
      <alignment horizontal="center" vertical="center" wrapText="1"/>
    </xf>
    <xf numFmtId="3" fontId="22" fillId="3" borderId="12" xfId="0" applyNumberFormat="1" applyFont="1" applyFill="1" applyBorder="1" applyAlignment="1">
      <alignment horizontal="center" vertical="center"/>
    </xf>
    <xf numFmtId="3" fontId="22" fillId="3" borderId="24" xfId="0" applyNumberFormat="1" applyFont="1" applyFill="1" applyBorder="1" applyAlignment="1">
      <alignment horizontal="center" vertical="center"/>
    </xf>
    <xf numFmtId="3" fontId="22" fillId="4" borderId="12" xfId="0" applyNumberFormat="1" applyFont="1" applyFill="1" applyBorder="1" applyAlignment="1">
      <alignment horizontal="center" vertical="center"/>
    </xf>
    <xf numFmtId="3" fontId="22" fillId="4" borderId="24" xfId="0" applyNumberFormat="1" applyFont="1" applyFill="1" applyBorder="1" applyAlignment="1">
      <alignment horizontal="center" vertical="center"/>
    </xf>
    <xf numFmtId="3" fontId="23" fillId="0" borderId="14" xfId="0" applyNumberFormat="1" applyFont="1" applyBorder="1" applyAlignment="1">
      <alignment horizontal="center" vertical="center"/>
    </xf>
    <xf numFmtId="8" fontId="18" fillId="0" borderId="25" xfId="2" applyNumberFormat="1" applyFont="1" applyBorder="1" applyAlignment="1">
      <alignment vertical="center"/>
    </xf>
    <xf numFmtId="44" fontId="18" fillId="2" borderId="33" xfId="2" applyFont="1" applyFill="1" applyBorder="1" applyAlignment="1">
      <alignment vertical="center"/>
    </xf>
    <xf numFmtId="44" fontId="18" fillId="0" borderId="25" xfId="2" applyFont="1" applyBorder="1" applyAlignment="1">
      <alignment vertical="center"/>
    </xf>
    <xf numFmtId="165" fontId="25" fillId="0" borderId="42" xfId="4" applyNumberFormat="1" applyFont="1" applyBorder="1" applyAlignment="1">
      <alignment horizontal="center"/>
    </xf>
    <xf numFmtId="9" fontId="18" fillId="0" borderId="4" xfId="4" applyFont="1" applyBorder="1"/>
    <xf numFmtId="8" fontId="18" fillId="0" borderId="24" xfId="2" applyNumberFormat="1" applyFont="1" applyBorder="1" applyAlignment="1">
      <alignment vertical="center"/>
    </xf>
    <xf numFmtId="44" fontId="18" fillId="2" borderId="32" xfId="2" applyFont="1" applyFill="1" applyBorder="1" applyAlignment="1">
      <alignment vertical="center"/>
    </xf>
    <xf numFmtId="44" fontId="18" fillId="0" borderId="24" xfId="2" applyFont="1" applyBorder="1" applyAlignment="1">
      <alignment vertical="center"/>
    </xf>
    <xf numFmtId="165" fontId="25" fillId="0" borderId="10" xfId="4" applyNumberFormat="1" applyFont="1" applyBorder="1" applyAlignment="1">
      <alignment horizontal="center"/>
    </xf>
    <xf numFmtId="9" fontId="18" fillId="0" borderId="14" xfId="4" applyFont="1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0" fillId="2" borderId="24" xfId="0" applyNumberForma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textRotation="90"/>
    </xf>
    <xf numFmtId="0" fontId="2" fillId="0" borderId="32" xfId="0" applyFont="1" applyBorder="1" applyAlignment="1">
      <alignment horizontal="center" vertical="center"/>
    </xf>
    <xf numFmtId="0" fontId="26" fillId="4" borderId="52" xfId="0" applyFont="1" applyFill="1" applyBorder="1" applyAlignment="1">
      <alignment horizontal="center" vertical="center"/>
    </xf>
    <xf numFmtId="0" fontId="26" fillId="4" borderId="53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2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4" fontId="11" fillId="0" borderId="33" xfId="0" applyNumberFormat="1" applyFont="1" applyBorder="1" applyAlignment="1">
      <alignment horizontal="center" vertical="center"/>
    </xf>
    <xf numFmtId="44" fontId="11" fillId="0" borderId="21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44" fontId="3" fillId="0" borderId="36" xfId="2" applyFont="1" applyBorder="1" applyAlignment="1">
      <alignment horizontal="center" vertical="center"/>
    </xf>
    <xf numFmtId="44" fontId="3" fillId="0" borderId="38" xfId="2" applyFont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36" xfId="0" quotePrefix="1" applyFont="1" applyFill="1" applyBorder="1" applyAlignment="1">
      <alignment horizontal="center" vertical="center"/>
    </xf>
    <xf numFmtId="0" fontId="7" fillId="2" borderId="38" xfId="0" quotePrefix="1" applyFont="1" applyFill="1" applyBorder="1" applyAlignment="1">
      <alignment horizontal="center" vertical="center"/>
    </xf>
    <xf numFmtId="3" fontId="6" fillId="4" borderId="10" xfId="0" applyNumberFormat="1" applyFont="1" applyFill="1" applyBorder="1" applyAlignment="1">
      <alignment horizontal="center" vertical="center"/>
    </xf>
    <xf numFmtId="3" fontId="6" fillId="4" borderId="11" xfId="0" applyNumberFormat="1" applyFont="1" applyFill="1" applyBorder="1" applyAlignment="1">
      <alignment horizontal="center" vertical="center"/>
    </xf>
    <xf numFmtId="3" fontId="6" fillId="4" borderId="32" xfId="0" applyNumberFormat="1" applyFont="1" applyFill="1" applyBorder="1" applyAlignment="1">
      <alignment horizontal="center" vertical="center"/>
    </xf>
    <xf numFmtId="44" fontId="3" fillId="0" borderId="37" xfId="2" applyFont="1" applyBorder="1" applyAlignment="1">
      <alignment horizontal="center" vertical="center"/>
    </xf>
    <xf numFmtId="0" fontId="7" fillId="2" borderId="15" xfId="0" quotePrefix="1" applyFont="1" applyFill="1" applyBorder="1" applyAlignment="1">
      <alignment horizontal="center" vertical="center"/>
    </xf>
    <xf numFmtId="0" fontId="7" fillId="2" borderId="16" xfId="0" quotePrefix="1" applyFont="1" applyFill="1" applyBorder="1" applyAlignment="1">
      <alignment horizontal="center" vertical="center"/>
    </xf>
    <xf numFmtId="0" fontId="7" fillId="2" borderId="17" xfId="0" quotePrefix="1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44" fontId="18" fillId="0" borderId="33" xfId="0" applyNumberFormat="1" applyFont="1" applyBorder="1" applyAlignment="1">
      <alignment horizontal="center" vertical="center"/>
    </xf>
    <xf numFmtId="44" fontId="18" fillId="0" borderId="40" xfId="0" applyNumberFormat="1" applyFont="1" applyBorder="1" applyAlignment="1">
      <alignment horizontal="center" vertical="center"/>
    </xf>
    <xf numFmtId="44" fontId="18" fillId="0" borderId="41" xfId="0" applyNumberFormat="1" applyFont="1" applyBorder="1" applyAlignment="1">
      <alignment horizontal="center" vertical="center"/>
    </xf>
    <xf numFmtId="8" fontId="11" fillId="0" borderId="33" xfId="0" applyNumberFormat="1" applyFont="1" applyBorder="1" applyAlignment="1">
      <alignment horizontal="right" vertical="center"/>
    </xf>
    <xf numFmtId="0" fontId="11" fillId="0" borderId="35" xfId="0" applyFont="1" applyBorder="1" applyAlignment="1">
      <alignment horizontal="right" vertical="center"/>
    </xf>
    <xf numFmtId="0" fontId="11" fillId="0" borderId="34" xfId="0" applyFont="1" applyBorder="1" applyAlignment="1">
      <alignment horizontal="right" vertical="center"/>
    </xf>
    <xf numFmtId="0" fontId="11" fillId="0" borderId="35" xfId="0" applyFont="1" applyBorder="1" applyAlignment="1">
      <alignment horizontal="center" vertical="center"/>
    </xf>
    <xf numFmtId="0" fontId="7" fillId="2" borderId="37" xfId="0" quotePrefix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47" xfId="0" applyBorder="1" applyAlignment="1">
      <alignment horizontal="center" wrapText="1"/>
    </xf>
    <xf numFmtId="3" fontId="22" fillId="3" borderId="10" xfId="0" applyNumberFormat="1" applyFont="1" applyFill="1" applyBorder="1" applyAlignment="1">
      <alignment horizontal="center" vertical="center"/>
    </xf>
    <xf numFmtId="3" fontId="22" fillId="3" borderId="11" xfId="0" applyNumberFormat="1" applyFont="1" applyFill="1" applyBorder="1" applyAlignment="1">
      <alignment horizontal="center" vertical="center"/>
    </xf>
    <xf numFmtId="3" fontId="22" fillId="3" borderId="32" xfId="0" applyNumberFormat="1" applyFont="1" applyFill="1" applyBorder="1" applyAlignment="1">
      <alignment horizontal="center" vertical="center"/>
    </xf>
    <xf numFmtId="3" fontId="22" fillId="4" borderId="10" xfId="0" applyNumberFormat="1" applyFont="1" applyFill="1" applyBorder="1" applyAlignment="1">
      <alignment horizontal="center" vertical="center"/>
    </xf>
    <xf numFmtId="3" fontId="22" fillId="4" borderId="11" xfId="0" applyNumberFormat="1" applyFont="1" applyFill="1" applyBorder="1" applyAlignment="1">
      <alignment horizontal="center" vertical="center"/>
    </xf>
    <xf numFmtId="3" fontId="22" fillId="4" borderId="32" xfId="0" applyNumberFormat="1" applyFont="1" applyFill="1" applyBorder="1" applyAlignment="1">
      <alignment horizontal="center" vertical="center"/>
    </xf>
    <xf numFmtId="3" fontId="23" fillId="0" borderId="10" xfId="0" applyNumberFormat="1" applyFont="1" applyBorder="1" applyAlignment="1">
      <alignment horizontal="center" vertical="center" wrapText="1"/>
    </xf>
    <xf numFmtId="3" fontId="23" fillId="0" borderId="32" xfId="0" applyNumberFormat="1" applyFont="1" applyBorder="1" applyAlignment="1">
      <alignment horizontal="center" vertical="center" wrapText="1"/>
    </xf>
    <xf numFmtId="44" fontId="18" fillId="2" borderId="45" xfId="2" applyFont="1" applyFill="1" applyBorder="1" applyAlignment="1">
      <alignment horizontal="center" vertical="center"/>
    </xf>
    <xf numFmtId="44" fontId="18" fillId="2" borderId="46" xfId="2" applyFont="1" applyFill="1" applyBorder="1" applyAlignment="1">
      <alignment horizontal="center" vertical="center"/>
    </xf>
    <xf numFmtId="44" fontId="18" fillId="2" borderId="28" xfId="2" applyFont="1" applyFill="1" applyBorder="1" applyAlignment="1">
      <alignment horizontal="center" vertical="center"/>
    </xf>
    <xf numFmtId="44" fontId="24" fillId="2" borderId="45" xfId="2" applyFont="1" applyFill="1" applyBorder="1" applyAlignment="1">
      <alignment horizontal="center" vertical="center"/>
    </xf>
    <xf numFmtId="44" fontId="24" fillId="2" borderId="46" xfId="2" applyFont="1" applyFill="1" applyBorder="1" applyAlignment="1">
      <alignment horizontal="center" vertical="center"/>
    </xf>
    <xf numFmtId="44" fontId="24" fillId="2" borderId="28" xfId="2" applyFont="1" applyFill="1" applyBorder="1" applyAlignment="1">
      <alignment horizontal="center" vertical="center"/>
    </xf>
    <xf numFmtId="44" fontId="18" fillId="0" borderId="45" xfId="2" applyFont="1" applyBorder="1" applyAlignment="1">
      <alignment horizontal="center" vertical="center"/>
    </xf>
    <xf numFmtId="44" fontId="18" fillId="0" borderId="46" xfId="2" applyFont="1" applyBorder="1" applyAlignment="1">
      <alignment horizontal="center" vertical="center"/>
    </xf>
    <xf numFmtId="44" fontId="18" fillId="0" borderId="28" xfId="2" applyFont="1" applyBorder="1" applyAlignment="1">
      <alignment horizontal="center" vertical="center"/>
    </xf>
    <xf numFmtId="44" fontId="3" fillId="2" borderId="45" xfId="2" applyFont="1" applyFill="1" applyBorder="1" applyAlignment="1">
      <alignment horizontal="center" vertical="center"/>
    </xf>
    <xf numFmtId="44" fontId="3" fillId="2" borderId="46" xfId="2" applyFont="1" applyFill="1" applyBorder="1" applyAlignment="1">
      <alignment horizontal="center" vertical="center"/>
    </xf>
    <xf numFmtId="44" fontId="3" fillId="2" borderId="28" xfId="2" applyFont="1" applyFill="1" applyBorder="1" applyAlignment="1">
      <alignment horizontal="center" vertical="center"/>
    </xf>
    <xf numFmtId="44" fontId="17" fillId="2" borderId="45" xfId="2" applyFont="1" applyFill="1" applyBorder="1" applyAlignment="1">
      <alignment horizontal="center" vertical="center"/>
    </xf>
    <xf numFmtId="44" fontId="17" fillId="2" borderId="46" xfId="2" applyFont="1" applyFill="1" applyBorder="1" applyAlignment="1">
      <alignment horizontal="center" vertical="center"/>
    </xf>
    <xf numFmtId="44" fontId="17" fillId="2" borderId="28" xfId="2" applyFont="1" applyFill="1" applyBorder="1" applyAlignment="1">
      <alignment horizontal="center" vertical="center"/>
    </xf>
    <xf numFmtId="44" fontId="3" fillId="0" borderId="45" xfId="2" applyFont="1" applyFill="1" applyBorder="1" applyAlignment="1">
      <alignment horizontal="center" vertical="center"/>
    </xf>
    <xf numFmtId="44" fontId="3" fillId="0" borderId="46" xfId="2" applyFont="1" applyFill="1" applyBorder="1" applyAlignment="1">
      <alignment horizontal="center" vertical="center"/>
    </xf>
    <xf numFmtId="44" fontId="3" fillId="0" borderId="28" xfId="2" applyFont="1" applyFill="1" applyBorder="1" applyAlignment="1">
      <alignment horizontal="center" vertical="center"/>
    </xf>
    <xf numFmtId="3" fontId="13" fillId="0" borderId="10" xfId="0" applyNumberFormat="1" applyFont="1" applyBorder="1" applyAlignment="1">
      <alignment horizontal="center" vertical="center" wrapText="1"/>
    </xf>
    <xf numFmtId="3" fontId="13" fillId="0" borderId="32" xfId="0" applyNumberFormat="1" applyFont="1" applyBorder="1" applyAlignment="1">
      <alignment horizontal="center" vertical="center" wrapText="1"/>
    </xf>
    <xf numFmtId="3" fontId="6" fillId="3" borderId="10" xfId="0" applyNumberFormat="1" applyFont="1" applyFill="1" applyBorder="1" applyAlignment="1">
      <alignment horizontal="center" vertical="center"/>
    </xf>
    <xf numFmtId="3" fontId="6" fillId="3" borderId="11" xfId="0" applyNumberFormat="1" applyFont="1" applyFill="1" applyBorder="1" applyAlignment="1">
      <alignment horizontal="center" vertical="center"/>
    </xf>
    <xf numFmtId="3" fontId="6" fillId="3" borderId="32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</cellXfs>
  <cellStyles count="7">
    <cellStyle name="Milliers" xfId="1" builtinId="3"/>
    <cellStyle name="Monétaire" xfId="2" builtinId="4"/>
    <cellStyle name="Normal" xfId="0" builtinId="0"/>
    <cellStyle name="Normal 4 2" xfId="6" xr:uid="{E6BFAC72-E099-4B08-96D3-D8A7E8D8B60F}"/>
    <cellStyle name="Normal 92" xfId="3" xr:uid="{4C659177-BDD9-4E9B-8C61-645C63A66516}"/>
    <cellStyle name="Pourcentage" xfId="4" builtinId="5"/>
    <cellStyle name="Pourcentage 2" xfId="5" xr:uid="{6872F108-3096-49F3-9400-F93712470433}"/>
  </cellStyles>
  <dxfs count="0"/>
  <tableStyles count="0" defaultTableStyle="TableStyleMedium2" defaultPivotStyle="PivotStyleLight16"/>
  <colors>
    <mruColors>
      <color rgb="FFEAE7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359036</xdr:colOff>
      <xdr:row>4</xdr:row>
      <xdr:rowOff>267149</xdr:rowOff>
    </xdr:from>
    <xdr:ext cx="1977435" cy="1051001"/>
    <xdr:pic>
      <xdr:nvPicPr>
        <xdr:cNvPr id="2" name="Image 1">
          <a:extLst>
            <a:ext uri="{FF2B5EF4-FFF2-40B4-BE49-F238E27FC236}">
              <a16:creationId xmlns:a16="http://schemas.microsoft.com/office/drawing/2014/main" id="{CC2848AA-AAD2-46C7-A2E6-844C371B6F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19" t="30256" r="23736" b="28205"/>
        <a:stretch/>
      </xdr:blipFill>
      <xdr:spPr>
        <a:xfrm>
          <a:off x="13077712" y="1892002"/>
          <a:ext cx="1977435" cy="10510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3AAA-53C4-4EF8-8B99-A2F7507BC12A}">
  <sheetPr>
    <pageSetUpPr fitToPage="1"/>
  </sheetPr>
  <dimension ref="A1:Q41"/>
  <sheetViews>
    <sheetView view="pageBreakPreview" zoomScale="85" zoomScaleNormal="55" zoomScaleSheetLayoutView="85" workbookViewId="0">
      <selection activeCell="D19" sqref="D19"/>
    </sheetView>
  </sheetViews>
  <sheetFormatPr baseColWidth="10" defaultColWidth="11.44140625" defaultRowHeight="13.8" outlineLevelRow="1" outlineLevelCol="1" x14ac:dyDescent="0.25"/>
  <cols>
    <col min="1" max="1" width="11.33203125" style="1" customWidth="1"/>
    <col min="2" max="2" width="59.33203125" style="1" bestFit="1" customWidth="1"/>
    <col min="3" max="3" width="18.5546875" style="1" customWidth="1"/>
    <col min="4" max="5" width="18.5546875" style="1" customWidth="1" outlineLevel="1"/>
    <col min="6" max="6" width="17.109375" style="10" customWidth="1"/>
    <col min="7" max="7" width="23.6640625" style="1" bestFit="1" customWidth="1"/>
    <col min="8" max="8" width="16.6640625" style="9" customWidth="1"/>
    <col min="9" max="9" width="12.5546875" style="9" customWidth="1"/>
    <col min="10" max="10" width="12.5546875" style="9" customWidth="1" outlineLevel="1"/>
    <col min="11" max="11" width="23" style="1" customWidth="1" outlineLevel="1"/>
    <col min="12" max="12" width="21.109375" style="1" bestFit="1" customWidth="1"/>
    <col min="13" max="13" width="20.33203125" style="7" hidden="1" customWidth="1" outlineLevel="1"/>
    <col min="14" max="14" width="17.33203125" style="1" bestFit="1" customWidth="1" collapsed="1"/>
    <col min="15" max="15" width="22.109375" style="1" customWidth="1"/>
    <col min="16" max="17" width="17.88671875" style="1" customWidth="1"/>
    <col min="18" max="21" width="11.44140625" style="1"/>
    <col min="22" max="22" width="12.6640625" style="1" bestFit="1" customWidth="1"/>
    <col min="23" max="23" width="11.44140625" style="1"/>
    <col min="24" max="24" width="11.5546875" style="1" customWidth="1"/>
    <col min="25" max="25" width="22.33203125" style="1" bestFit="1" customWidth="1"/>
    <col min="26" max="16384" width="11.44140625" style="1"/>
  </cols>
  <sheetData>
    <row r="1" spans="1:17" ht="25.2" x14ac:dyDescent="0.45">
      <c r="A1" s="3" t="str">
        <f ca="1">'Feuille Donnée'!I3</f>
        <v>AFFAIRE</v>
      </c>
      <c r="B1" s="3"/>
      <c r="C1" s="3"/>
      <c r="D1" s="3"/>
      <c r="E1" s="3"/>
    </row>
    <row r="2" spans="1:17" ht="25.2" hidden="1" outlineLevel="1" x14ac:dyDescent="0.45">
      <c r="A2" s="3" t="str">
        <f>'Feuille Donnée'!G3</f>
        <v>XX</v>
      </c>
      <c r="B2" s="4"/>
      <c r="C2" s="4"/>
      <c r="D2" s="4"/>
      <c r="E2" s="4"/>
    </row>
    <row r="3" spans="1:17" ht="25.2" hidden="1" outlineLevel="1" x14ac:dyDescent="0.45">
      <c r="A3" s="3" t="str">
        <f>'Feuille Donnée'!E3</f>
        <v>MO</v>
      </c>
      <c r="B3" s="4"/>
      <c r="C3" s="4"/>
      <c r="D3" s="4"/>
      <c r="E3" s="4"/>
    </row>
    <row r="4" spans="1:17" ht="25.2" hidden="1" outlineLevel="1" x14ac:dyDescent="0.45">
      <c r="A4" s="3" t="str">
        <f ca="1">"INDICE : "&amp;'Feuille Donnée'!M10</f>
        <v>INDICE : V0</v>
      </c>
      <c r="B4" s="4"/>
      <c r="C4" s="4"/>
      <c r="D4" s="4"/>
      <c r="E4" s="4"/>
    </row>
    <row r="5" spans="1:17" ht="25.2" hidden="1" outlineLevel="1" x14ac:dyDescent="0.45">
      <c r="A5" s="3" t="str">
        <f>"PHASE D'ETUDE : "&amp;'Feuille Donnée'!D3</f>
        <v>PHASE D'ETUDE : ACT</v>
      </c>
      <c r="B5" s="4"/>
      <c r="C5" s="4"/>
      <c r="D5" s="4"/>
      <c r="E5" s="4"/>
    </row>
    <row r="6" spans="1:17" ht="20.399999999999999" collapsed="1" x14ac:dyDescent="0.35">
      <c r="A6" s="2" t="str">
        <f>"DOCUMENT EN DATE DU : "&amp;'Feuille Donnée'!C3</f>
        <v>DOCUMENT EN DATE DU : DATE</v>
      </c>
      <c r="B6" s="5"/>
      <c r="C6" s="5"/>
      <c r="D6" s="5"/>
      <c r="E6" s="5"/>
    </row>
    <row r="7" spans="1:17" ht="20.399999999999999" x14ac:dyDescent="0.35">
      <c r="A7" s="2"/>
      <c r="B7" s="5"/>
      <c r="C7" s="5"/>
      <c r="D7" s="5"/>
      <c r="E7" s="5"/>
    </row>
    <row r="8" spans="1:17" ht="32.4" x14ac:dyDescent="0.55000000000000004">
      <c r="A8" s="66" t="s">
        <v>27</v>
      </c>
      <c r="B8" s="5"/>
      <c r="C8" s="5"/>
      <c r="D8" s="5"/>
      <c r="E8" s="5"/>
      <c r="L8" s="38" t="s">
        <v>13</v>
      </c>
    </row>
    <row r="9" spans="1:17" ht="20.399999999999999" x14ac:dyDescent="0.35">
      <c r="A9" s="2"/>
      <c r="B9" s="5"/>
      <c r="C9" s="5"/>
      <c r="D9" s="5"/>
      <c r="E9" s="5"/>
      <c r="G9" s="2"/>
      <c r="L9" s="39" t="s">
        <v>14</v>
      </c>
      <c r="N9" s="7"/>
    </row>
    <row r="10" spans="1:17" ht="19.5" customHeight="1" x14ac:dyDescent="0.35">
      <c r="A10" s="35"/>
      <c r="B10" s="5"/>
      <c r="C10" s="5"/>
      <c r="D10" s="5"/>
      <c r="E10" s="5"/>
      <c r="F10" s="36">
        <v>1</v>
      </c>
      <c r="G10" s="37" t="s">
        <v>12</v>
      </c>
      <c r="K10" s="8"/>
      <c r="L10" s="40" t="s">
        <v>15</v>
      </c>
      <c r="M10" s="17"/>
      <c r="N10" s="8"/>
    </row>
    <row r="11" spans="1:17" ht="21" thickBot="1" x14ac:dyDescent="0.4">
      <c r="A11" s="2"/>
    </row>
    <row r="12" spans="1:17" ht="19.2" thickTop="1" thickBot="1" x14ac:dyDescent="0.3">
      <c r="A12" s="14"/>
      <c r="B12" s="16"/>
      <c r="C12" s="166" t="s">
        <v>2</v>
      </c>
      <c r="D12" s="167"/>
      <c r="E12" s="168"/>
      <c r="F12" s="166" t="s">
        <v>3</v>
      </c>
      <c r="G12" s="167"/>
      <c r="H12" s="167"/>
      <c r="I12" s="167"/>
      <c r="J12" s="167"/>
      <c r="K12" s="167"/>
      <c r="L12" s="168"/>
      <c r="M12" s="166" t="s">
        <v>4</v>
      </c>
      <c r="N12" s="167"/>
      <c r="O12" s="167"/>
      <c r="P12" s="167"/>
      <c r="Q12" s="168"/>
    </row>
    <row r="13" spans="1:17" ht="42.6" thickTop="1" thickBot="1" x14ac:dyDescent="0.3">
      <c r="A13" s="23" t="s">
        <v>0</v>
      </c>
      <c r="B13" s="24" t="s">
        <v>1</v>
      </c>
      <c r="C13" s="56" t="s">
        <v>22</v>
      </c>
      <c r="D13" s="55" t="s">
        <v>20</v>
      </c>
      <c r="E13" s="55" t="s">
        <v>21</v>
      </c>
      <c r="F13" s="83" t="s">
        <v>5</v>
      </c>
      <c r="G13" s="84" t="s">
        <v>3</v>
      </c>
      <c r="H13" s="81" t="s">
        <v>22</v>
      </c>
      <c r="I13" s="81" t="s">
        <v>25</v>
      </c>
      <c r="J13" s="82" t="s">
        <v>20</v>
      </c>
      <c r="K13" s="86" t="s">
        <v>8</v>
      </c>
      <c r="L13" s="87" t="s">
        <v>22</v>
      </c>
      <c r="M13" s="71" t="s">
        <v>9</v>
      </c>
      <c r="N13" s="88" t="s">
        <v>10</v>
      </c>
      <c r="O13" s="89" t="s">
        <v>11</v>
      </c>
      <c r="P13" s="85" t="s">
        <v>6</v>
      </c>
      <c r="Q13" s="85" t="s">
        <v>24</v>
      </c>
    </row>
    <row r="14" spans="1:17" customFormat="1" ht="16.8" thickTop="1" thickBot="1" x14ac:dyDescent="0.35">
      <c r="A14" s="116"/>
      <c r="B14" s="117"/>
      <c r="C14" s="53">
        <f>E14</f>
        <v>0</v>
      </c>
      <c r="D14" s="54"/>
      <c r="E14" s="118"/>
      <c r="F14" s="90"/>
      <c r="G14" s="91"/>
      <c r="H14" s="72"/>
      <c r="I14" s="72"/>
      <c r="J14" s="60"/>
      <c r="K14" s="92">
        <f>SUM(H14:J14)</f>
        <v>0</v>
      </c>
      <c r="L14" s="61">
        <f>SUM(H14:J14)</f>
        <v>0</v>
      </c>
      <c r="M14" s="18" t="str">
        <f>IFERROR(1-K14/L14,"-")</f>
        <v>-</v>
      </c>
      <c r="N14" s="29">
        <f>L14-E14</f>
        <v>0</v>
      </c>
      <c r="O14" s="32">
        <f>IFERROR(L14/E14,0)-1</f>
        <v>-1</v>
      </c>
      <c r="P14" s="26" cm="1">
        <f t="array" ref="P14">IF(SUM(L14:L14)=0,(IF(SUM(K14:K14)=0,E14,MIN(IF(K14:K14&lt;&gt;0,K14:K14)))),MIN(IF(L14:L14&lt;&gt;0,L14:L14)))</f>
        <v>0</v>
      </c>
      <c r="Q14" s="26"/>
    </row>
    <row r="15" spans="1:17" customFormat="1" ht="16.2" thickTop="1" x14ac:dyDescent="0.3">
      <c r="A15" s="164"/>
      <c r="B15" s="162"/>
      <c r="C15" s="160">
        <f>E15</f>
        <v>0</v>
      </c>
      <c r="D15" s="54"/>
      <c r="E15" s="115"/>
      <c r="F15" s="57"/>
      <c r="G15" s="93"/>
      <c r="H15" s="73"/>
      <c r="I15" s="73"/>
      <c r="J15" s="94"/>
      <c r="K15" s="95">
        <f t="shared" ref="K15:K36" si="0">SUM(H15:J15)</f>
        <v>0</v>
      </c>
      <c r="L15" s="96">
        <f t="shared" ref="L15:L36" si="1">SUM(H15:J15)</f>
        <v>0</v>
      </c>
      <c r="M15" s="19" t="str">
        <f t="shared" ref="M15:M25" si="2">IFERROR(L15/K15-1,"-")</f>
        <v>-</v>
      </c>
      <c r="N15" s="29">
        <f t="shared" ref="N15:N36" si="3">L15-E15</f>
        <v>0</v>
      </c>
      <c r="O15" s="32">
        <f t="shared" ref="O15:O36" si="4">IFERROR(L15/E15,0)-1</f>
        <v>-1</v>
      </c>
      <c r="P15" s="174" cm="1">
        <f t="array" ref="P15">IF(SUM(L15:L15)=0,(IF(SUM(K15:K15)=0,E15,MIN(IF(K15:K15&lt;&gt;0,K15:K15)))),MIN(IF(L15:L15&lt;&gt;0,L15:L15)))</f>
        <v>0</v>
      </c>
      <c r="Q15" s="157"/>
    </row>
    <row r="16" spans="1:17" customFormat="1" ht="16.2" thickBot="1" x14ac:dyDescent="0.35">
      <c r="A16" s="165"/>
      <c r="B16" s="163"/>
      <c r="C16" s="161"/>
      <c r="D16" s="114"/>
      <c r="E16" s="112">
        <f>E15</f>
        <v>0</v>
      </c>
      <c r="F16" s="59"/>
      <c r="G16" s="11"/>
      <c r="H16" s="74"/>
      <c r="I16" s="74"/>
      <c r="J16" s="97"/>
      <c r="K16" s="98">
        <f t="shared" si="0"/>
        <v>0</v>
      </c>
      <c r="L16" s="99">
        <f t="shared" si="1"/>
        <v>0</v>
      </c>
      <c r="M16" s="21" t="str">
        <f t="shared" si="2"/>
        <v>-</v>
      </c>
      <c r="N16" s="30">
        <f t="shared" si="3"/>
        <v>0</v>
      </c>
      <c r="O16" s="33">
        <f t="shared" si="4"/>
        <v>-1</v>
      </c>
      <c r="P16" s="176">
        <f t="array" ref="P16">IF(SUM(L16:L16)=0,(IF(SUM(K16:K16)=0,E16,MIN(IF(K16:K16&lt;&gt;0,K16:K16)))),MIN(IF(L16:L16&lt;&gt;0,L16:L16)))</f>
        <v>0</v>
      </c>
      <c r="Q16" s="159"/>
    </row>
    <row r="17" spans="1:17" customFormat="1" ht="16.2" thickTop="1" x14ac:dyDescent="0.3">
      <c r="A17" s="164"/>
      <c r="B17" s="162"/>
      <c r="C17" s="160">
        <f>E17</f>
        <v>0</v>
      </c>
      <c r="D17" s="54"/>
      <c r="E17" s="115"/>
      <c r="F17" s="57"/>
      <c r="G17" s="13"/>
      <c r="H17" s="73"/>
      <c r="I17" s="73"/>
      <c r="J17" s="94"/>
      <c r="K17" s="95">
        <f t="shared" si="0"/>
        <v>0</v>
      </c>
      <c r="L17" s="96">
        <f t="shared" si="1"/>
        <v>0</v>
      </c>
      <c r="M17" s="19" t="str">
        <f t="shared" si="2"/>
        <v>-</v>
      </c>
      <c r="N17" s="29">
        <f t="shared" si="3"/>
        <v>0</v>
      </c>
      <c r="O17" s="32">
        <f t="shared" si="4"/>
        <v>-1</v>
      </c>
      <c r="P17" s="174" cm="1">
        <f t="array" ref="P17">IF(SUM(L17:L17)=0,(IF(SUM(K17:K17)=0,E17,MIN(IF(K17:K17&lt;&gt;0,K17:K17)))),MIN(IF(L17:L17&lt;&gt;0,L17:L17)))</f>
        <v>0</v>
      </c>
      <c r="Q17" s="157"/>
    </row>
    <row r="18" spans="1:17" customFormat="1" ht="16.2" thickBot="1" x14ac:dyDescent="0.35">
      <c r="A18" s="165"/>
      <c r="B18" s="163"/>
      <c r="C18" s="161"/>
      <c r="D18" s="114"/>
      <c r="E18" s="112">
        <f>E17</f>
        <v>0</v>
      </c>
      <c r="F18" s="59"/>
      <c r="G18" s="11"/>
      <c r="H18" s="74"/>
      <c r="I18" s="74"/>
      <c r="J18" s="97"/>
      <c r="K18" s="98">
        <f t="shared" si="0"/>
        <v>0</v>
      </c>
      <c r="L18" s="99">
        <f t="shared" si="1"/>
        <v>0</v>
      </c>
      <c r="M18" s="21" t="str">
        <f t="shared" si="2"/>
        <v>-</v>
      </c>
      <c r="N18" s="30">
        <f t="shared" si="3"/>
        <v>0</v>
      </c>
      <c r="O18" s="33">
        <f t="shared" si="4"/>
        <v>-1</v>
      </c>
      <c r="P18" s="176">
        <f t="array" ref="P18">IF(SUM(L18:L18)=0,(IF(SUM(K18:K18)=0,E18,MIN(IF(K18:K18&lt;&gt;0,K18:K18)))),MIN(IF(L18:L18&lt;&gt;0,L18:L18)))</f>
        <v>0</v>
      </c>
      <c r="Q18" s="159"/>
    </row>
    <row r="19" spans="1:17" customFormat="1" ht="16.2" thickTop="1" x14ac:dyDescent="0.3">
      <c r="A19" s="164"/>
      <c r="B19" s="182"/>
      <c r="C19" s="160">
        <f>E19</f>
        <v>0</v>
      </c>
      <c r="D19" s="54"/>
      <c r="E19" s="115"/>
      <c r="F19" s="57"/>
      <c r="G19" s="13"/>
      <c r="H19" s="75"/>
      <c r="I19" s="75"/>
      <c r="J19" s="100"/>
      <c r="K19" s="95">
        <f t="shared" si="0"/>
        <v>0</v>
      </c>
      <c r="L19" s="96">
        <f t="shared" si="1"/>
        <v>0</v>
      </c>
      <c r="M19" s="19" t="str">
        <f t="shared" si="2"/>
        <v>-</v>
      </c>
      <c r="N19" s="29">
        <f t="shared" si="3"/>
        <v>0</v>
      </c>
      <c r="O19" s="32">
        <f t="shared" si="4"/>
        <v>-1</v>
      </c>
      <c r="P19" s="174" cm="1">
        <f t="array" ref="P19">IF(SUM(L19:L19)=0,(IF(SUM(K19:K19)=0,E19,MIN(IF(K19:K19&lt;&gt;0,K19:K19)))),MIN(IF(L19:L19&lt;&gt;0,L19:L19)))</f>
        <v>0</v>
      </c>
      <c r="Q19" s="177"/>
    </row>
    <row r="20" spans="1:17" customFormat="1" ht="15.6" x14ac:dyDescent="0.3">
      <c r="A20" s="181"/>
      <c r="B20" s="183"/>
      <c r="C20" s="169"/>
      <c r="D20" s="113"/>
      <c r="E20" s="111">
        <f>E19</f>
        <v>0</v>
      </c>
      <c r="F20" s="58"/>
      <c r="G20" s="11"/>
      <c r="H20" s="22"/>
      <c r="I20" s="22"/>
      <c r="J20" s="101"/>
      <c r="K20" s="102">
        <f t="shared" si="0"/>
        <v>0</v>
      </c>
      <c r="L20" s="103">
        <f t="shared" si="1"/>
        <v>0</v>
      </c>
      <c r="M20" s="20" t="str">
        <f t="shared" si="2"/>
        <v>-</v>
      </c>
      <c r="N20" s="31">
        <f t="shared" si="3"/>
        <v>0</v>
      </c>
      <c r="O20" s="34">
        <f t="shared" si="4"/>
        <v>-1</v>
      </c>
      <c r="P20" s="175">
        <f t="array" ref="P20">IF(SUM(L20:L20)=0,(IF(SUM(K20:K20)=0,E20,MIN(IF(K20:K20&lt;&gt;0,K20:K20)))),MIN(IF(L20:L20&lt;&gt;0,L20:L20)))</f>
        <v>0</v>
      </c>
      <c r="Q20" s="178"/>
    </row>
    <row r="21" spans="1:17" customFormat="1" ht="16.2" thickBot="1" x14ac:dyDescent="0.35">
      <c r="A21" s="165"/>
      <c r="B21" s="184"/>
      <c r="C21" s="161"/>
      <c r="D21" s="114"/>
      <c r="E21" s="112">
        <f>E20</f>
        <v>0</v>
      </c>
      <c r="F21" s="59"/>
      <c r="G21" s="11"/>
      <c r="H21" s="74"/>
      <c r="I21" s="74"/>
      <c r="J21" s="97"/>
      <c r="K21" s="98">
        <f t="shared" si="0"/>
        <v>0</v>
      </c>
      <c r="L21" s="99">
        <f t="shared" si="1"/>
        <v>0</v>
      </c>
      <c r="M21" s="21" t="str">
        <f t="shared" si="2"/>
        <v>-</v>
      </c>
      <c r="N21" s="30">
        <f t="shared" si="3"/>
        <v>0</v>
      </c>
      <c r="O21" s="33">
        <f t="shared" si="4"/>
        <v>-1</v>
      </c>
      <c r="P21" s="176">
        <f t="array" ref="P21">IF(SUM(L21:L21)=0,(IF(SUM(K21:K21)=0,E21,MIN(IF(K21:K21&lt;&gt;0,K21:K21)))),MIN(IF(L21:L21&lt;&gt;0,L21:L21)))</f>
        <v>0</v>
      </c>
      <c r="Q21" s="179"/>
    </row>
    <row r="22" spans="1:17" customFormat="1" ht="16.2" thickTop="1" x14ac:dyDescent="0.3">
      <c r="A22" s="170"/>
      <c r="B22" s="162"/>
      <c r="C22" s="160">
        <f>E22</f>
        <v>0</v>
      </c>
      <c r="D22" s="54"/>
      <c r="E22" s="115"/>
      <c r="F22" s="57"/>
      <c r="G22" s="13"/>
      <c r="H22" s="73"/>
      <c r="I22" s="75"/>
      <c r="J22" s="100"/>
      <c r="K22" s="95">
        <f t="shared" si="0"/>
        <v>0</v>
      </c>
      <c r="L22" s="96">
        <f t="shared" si="1"/>
        <v>0</v>
      </c>
      <c r="M22" s="19" t="str">
        <f t="shared" si="2"/>
        <v>-</v>
      </c>
      <c r="N22" s="29">
        <f t="shared" si="3"/>
        <v>0</v>
      </c>
      <c r="O22" s="32">
        <f t="shared" si="4"/>
        <v>-1</v>
      </c>
      <c r="P22" s="174" cm="1">
        <f t="array" ref="P22">IF(SUM(L22:L22)=0,(IF(SUM(K22:K22)=0,E22,MIN(IF(K22:K22&lt;&gt;0,K22:K22)))),MIN(IF(L22:L22&lt;&gt;0,L22:L22)))</f>
        <v>0</v>
      </c>
      <c r="Q22" s="157"/>
    </row>
    <row r="23" spans="1:17" customFormat="1" ht="15.6" x14ac:dyDescent="0.3">
      <c r="A23" s="171"/>
      <c r="B23" s="173"/>
      <c r="C23" s="169"/>
      <c r="D23" s="113"/>
      <c r="E23" s="111">
        <f>E22</f>
        <v>0</v>
      </c>
      <c r="F23" s="58"/>
      <c r="G23" s="11"/>
      <c r="H23" s="22"/>
      <c r="I23" s="22"/>
      <c r="J23" s="101"/>
      <c r="K23" s="102">
        <f t="shared" si="0"/>
        <v>0</v>
      </c>
      <c r="L23" s="103">
        <f t="shared" si="1"/>
        <v>0</v>
      </c>
      <c r="M23" s="20" t="str">
        <f t="shared" si="2"/>
        <v>-</v>
      </c>
      <c r="N23" s="31">
        <f t="shared" si="3"/>
        <v>0</v>
      </c>
      <c r="O23" s="34">
        <f t="shared" si="4"/>
        <v>-1</v>
      </c>
      <c r="P23" s="175">
        <f t="array" ref="P23">IF(SUM(L23:L23)=0,(IF(SUM(K23:K23)=0,E23,MIN(IF(K23:K23&lt;&gt;0,K23:K23)))),MIN(IF(L23:L23&lt;&gt;0,L23:L23)))</f>
        <v>0</v>
      </c>
      <c r="Q23" s="180"/>
    </row>
    <row r="24" spans="1:17" customFormat="1" ht="15.6" x14ac:dyDescent="0.3">
      <c r="A24" s="171"/>
      <c r="B24" s="173"/>
      <c r="C24" s="169"/>
      <c r="D24" s="113"/>
      <c r="E24" s="111">
        <f>E23</f>
        <v>0</v>
      </c>
      <c r="F24" s="58"/>
      <c r="G24" s="11"/>
      <c r="H24" s="22"/>
      <c r="I24" s="22"/>
      <c r="J24" s="101"/>
      <c r="K24" s="102">
        <f t="shared" si="0"/>
        <v>0</v>
      </c>
      <c r="L24" s="103">
        <f t="shared" si="1"/>
        <v>0</v>
      </c>
      <c r="M24" s="20" t="str">
        <f t="shared" si="2"/>
        <v>-</v>
      </c>
      <c r="N24" s="31">
        <f t="shared" si="3"/>
        <v>0</v>
      </c>
      <c r="O24" s="34">
        <f t="shared" si="4"/>
        <v>-1</v>
      </c>
      <c r="P24" s="175">
        <f t="array" ref="P24">IF(SUM(L24:L24)=0,(IF(SUM(K24:K24)=0,E24,MIN(IF(K24:K24&lt;&gt;0,K24:K24)))),MIN(IF(L24:L24&lt;&gt;0,L24:L24)))</f>
        <v>0</v>
      </c>
      <c r="Q24" s="180"/>
    </row>
    <row r="25" spans="1:17" customFormat="1" ht="16.2" thickBot="1" x14ac:dyDescent="0.35">
      <c r="A25" s="172"/>
      <c r="B25" s="163"/>
      <c r="C25" s="161"/>
      <c r="D25" s="114"/>
      <c r="E25" s="112">
        <f>E24</f>
        <v>0</v>
      </c>
      <c r="F25" s="59"/>
      <c r="G25" s="11"/>
      <c r="H25" s="74"/>
      <c r="I25" s="76"/>
      <c r="J25" s="104"/>
      <c r="K25" s="98">
        <f t="shared" si="0"/>
        <v>0</v>
      </c>
      <c r="L25" s="99">
        <f t="shared" si="1"/>
        <v>0</v>
      </c>
      <c r="M25" s="21" t="str">
        <f t="shared" si="2"/>
        <v>-</v>
      </c>
      <c r="N25" s="30">
        <f t="shared" si="3"/>
        <v>0</v>
      </c>
      <c r="O25" s="33">
        <f t="shared" si="4"/>
        <v>-1</v>
      </c>
      <c r="P25" s="176">
        <f t="array" ref="P25">IF(SUM(L25:L25)=0,(IF(SUM(K25:K25)=0,E25,MIN(IF(K25:K25&lt;&gt;0,K25:K25)))),MIN(IF(L25:L25&lt;&gt;0,L25:L25)))</f>
        <v>0</v>
      </c>
      <c r="Q25" s="159"/>
    </row>
    <row r="26" spans="1:17" customFormat="1" ht="16.2" thickTop="1" x14ac:dyDescent="0.3">
      <c r="A26" s="170"/>
      <c r="B26" s="162"/>
      <c r="C26" s="160">
        <f>E26</f>
        <v>0</v>
      </c>
      <c r="D26" s="54"/>
      <c r="E26" s="115"/>
      <c r="F26" s="57"/>
      <c r="G26" s="13"/>
      <c r="H26" s="73"/>
      <c r="I26" s="73"/>
      <c r="J26" s="94"/>
      <c r="K26" s="105">
        <f t="shared" si="0"/>
        <v>0</v>
      </c>
      <c r="L26" s="106">
        <f t="shared" si="1"/>
        <v>0</v>
      </c>
      <c r="M26" s="19" t="str">
        <f t="shared" ref="M26:M36" si="5">IFERROR(L26/K26-1,"-")</f>
        <v>-</v>
      </c>
      <c r="N26" s="29">
        <f t="shared" si="3"/>
        <v>0</v>
      </c>
      <c r="O26" s="32">
        <f t="shared" si="4"/>
        <v>-1</v>
      </c>
      <c r="P26" s="174" cm="1">
        <f t="array" ref="P26">IF(SUM(L26:L26)=0,(IF(SUM(K26:K26)=0,E26,MIN(IF(K26:K26&lt;&gt;0,K26:K26)))),MIN(IF(L26:L26&lt;&gt;0,L26:L26)))</f>
        <v>0</v>
      </c>
      <c r="Q26" s="157"/>
    </row>
    <row r="27" spans="1:17" customFormat="1" ht="15.6" x14ac:dyDescent="0.3">
      <c r="A27" s="171"/>
      <c r="B27" s="173"/>
      <c r="C27" s="169"/>
      <c r="D27" s="113"/>
      <c r="E27" s="111">
        <f>E26</f>
        <v>0</v>
      </c>
      <c r="F27" s="58"/>
      <c r="G27" s="11"/>
      <c r="H27" s="22"/>
      <c r="I27" s="22"/>
      <c r="J27" s="101"/>
      <c r="K27" s="102">
        <f t="shared" si="0"/>
        <v>0</v>
      </c>
      <c r="L27" s="103">
        <f t="shared" si="1"/>
        <v>0</v>
      </c>
      <c r="M27" s="20" t="str">
        <f t="shared" si="5"/>
        <v>-</v>
      </c>
      <c r="N27" s="31">
        <f t="shared" si="3"/>
        <v>0</v>
      </c>
      <c r="O27" s="34">
        <f t="shared" si="4"/>
        <v>-1</v>
      </c>
      <c r="P27" s="175">
        <f t="array" ref="P27">IF(SUM(L27:L27)=0,(IF(SUM(K27:K27)=0,E27,MIN(IF(K27:K27&lt;&gt;0,K27:K27)))),MIN(IF(L27:L27&lt;&gt;0,L27:L27)))</f>
        <v>0</v>
      </c>
      <c r="Q27" s="158"/>
    </row>
    <row r="28" spans="1:17" customFormat="1" ht="15.6" x14ac:dyDescent="0.3">
      <c r="A28" s="171"/>
      <c r="B28" s="173"/>
      <c r="C28" s="169"/>
      <c r="D28" s="113"/>
      <c r="E28" s="111">
        <f>E27</f>
        <v>0</v>
      </c>
      <c r="F28" s="58"/>
      <c r="G28" s="11"/>
      <c r="H28" s="22"/>
      <c r="I28" s="22"/>
      <c r="J28" s="101"/>
      <c r="K28" s="102">
        <f t="shared" si="0"/>
        <v>0</v>
      </c>
      <c r="L28" s="103">
        <f t="shared" si="1"/>
        <v>0</v>
      </c>
      <c r="M28" s="20" t="str">
        <f t="shared" si="5"/>
        <v>-</v>
      </c>
      <c r="N28" s="31">
        <f t="shared" si="3"/>
        <v>0</v>
      </c>
      <c r="O28" s="34">
        <f t="shared" si="4"/>
        <v>-1</v>
      </c>
      <c r="P28" s="175">
        <f t="array" ref="P28">IF(SUM(L28:L28)=0,(IF(SUM(K28:K28)=0,E28,MIN(IF(K28:K28&lt;&gt;0,K28:K28)))),MIN(IF(L28:L28&lt;&gt;0,L28:L28)))</f>
        <v>0</v>
      </c>
      <c r="Q28" s="158"/>
    </row>
    <row r="29" spans="1:17" customFormat="1" ht="15.6" x14ac:dyDescent="0.3">
      <c r="A29" s="171"/>
      <c r="B29" s="173"/>
      <c r="C29" s="169"/>
      <c r="D29" s="113"/>
      <c r="E29" s="111">
        <f>E28</f>
        <v>0</v>
      </c>
      <c r="F29" s="58"/>
      <c r="G29" s="11"/>
      <c r="H29" s="22"/>
      <c r="I29" s="22"/>
      <c r="J29" s="101"/>
      <c r="K29" s="102">
        <f t="shared" si="0"/>
        <v>0</v>
      </c>
      <c r="L29" s="103">
        <f t="shared" si="1"/>
        <v>0</v>
      </c>
      <c r="M29" s="20" t="str">
        <f t="shared" ref="M29:M30" si="6">IFERROR(L29/K29-1,"-")</f>
        <v>-</v>
      </c>
      <c r="N29" s="31">
        <f t="shared" si="3"/>
        <v>0</v>
      </c>
      <c r="O29" s="34">
        <f t="shared" si="4"/>
        <v>-1</v>
      </c>
      <c r="P29" s="175">
        <f t="array" ref="P29">IF(SUM(L29:L29)=0,(IF(SUM(K29:K29)=0,E29,MIN(IF(K29:K29&lt;&gt;0,K29:K29)))),MIN(IF(L29:L29&lt;&gt;0,L29:L29)))</f>
        <v>0</v>
      </c>
      <c r="Q29" s="158"/>
    </row>
    <row r="30" spans="1:17" customFormat="1" ht="15.6" x14ac:dyDescent="0.3">
      <c r="A30" s="171"/>
      <c r="B30" s="173"/>
      <c r="C30" s="169"/>
      <c r="D30" s="113"/>
      <c r="E30" s="111">
        <f>E29</f>
        <v>0</v>
      </c>
      <c r="F30" s="58"/>
      <c r="G30" s="11"/>
      <c r="H30" s="22"/>
      <c r="I30" s="22"/>
      <c r="J30" s="101"/>
      <c r="K30" s="102">
        <f t="shared" si="0"/>
        <v>0</v>
      </c>
      <c r="L30" s="110">
        <f t="shared" si="1"/>
        <v>0</v>
      </c>
      <c r="M30" s="20" t="str">
        <f t="shared" si="6"/>
        <v>-</v>
      </c>
      <c r="N30" s="31">
        <f t="shared" si="3"/>
        <v>0</v>
      </c>
      <c r="O30" s="34">
        <f t="shared" si="4"/>
        <v>-1</v>
      </c>
      <c r="P30" s="175">
        <f t="array" ref="P30">IF(SUM(L30:L30)=0,(IF(SUM(K30:K30)=0,E30,MIN(IF(K30:K30&lt;&gt;0,K30:K30)))),MIN(IF(L30:L30&lt;&gt;0,L30:L30)))</f>
        <v>0</v>
      </c>
      <c r="Q30" s="158"/>
    </row>
    <row r="31" spans="1:17" customFormat="1" ht="16.2" thickBot="1" x14ac:dyDescent="0.35">
      <c r="A31" s="172"/>
      <c r="B31" s="163"/>
      <c r="C31" s="161"/>
      <c r="D31" s="114"/>
      <c r="E31" s="112">
        <f>E30</f>
        <v>0</v>
      </c>
      <c r="F31" s="59"/>
      <c r="G31" s="11"/>
      <c r="H31" s="74"/>
      <c r="I31" s="74"/>
      <c r="J31" s="97"/>
      <c r="K31" s="98">
        <f t="shared" si="0"/>
        <v>0</v>
      </c>
      <c r="L31" s="99">
        <f t="shared" si="1"/>
        <v>0</v>
      </c>
      <c r="M31" s="21" t="str">
        <f t="shared" si="5"/>
        <v>-</v>
      </c>
      <c r="N31" s="30">
        <f t="shared" si="3"/>
        <v>0</v>
      </c>
      <c r="O31" s="33">
        <f t="shared" si="4"/>
        <v>-1</v>
      </c>
      <c r="P31" s="176">
        <f t="array" ref="P31">IF(SUM(L31:L31)=0,(IF(SUM(K31:K31)=0,E31,MIN(IF(K31:K31&lt;&gt;0,K31:K31)))),MIN(IF(L31:L31&lt;&gt;0,L31:L31)))</f>
        <v>0</v>
      </c>
      <c r="Q31" s="159"/>
    </row>
    <row r="32" spans="1:17" customFormat="1" ht="16.2" thickTop="1" x14ac:dyDescent="0.3">
      <c r="A32" s="170"/>
      <c r="B32" s="162"/>
      <c r="C32" s="160">
        <f>E32</f>
        <v>0</v>
      </c>
      <c r="D32" s="54"/>
      <c r="E32" s="115"/>
      <c r="F32" s="57"/>
      <c r="G32" s="13"/>
      <c r="H32" s="73"/>
      <c r="I32" s="73"/>
      <c r="J32" s="94"/>
      <c r="K32" s="105">
        <f t="shared" si="0"/>
        <v>0</v>
      </c>
      <c r="L32" s="96">
        <f t="shared" si="1"/>
        <v>0</v>
      </c>
      <c r="M32" s="19" t="str">
        <f t="shared" si="5"/>
        <v>-</v>
      </c>
      <c r="N32" s="29">
        <f t="shared" si="3"/>
        <v>0</v>
      </c>
      <c r="O32" s="32">
        <f t="shared" si="4"/>
        <v>-1</v>
      </c>
      <c r="P32" s="174" cm="1">
        <f t="array" ref="P32">IF(SUM(L32:L32)=0,(IF(SUM(K32:K32)=0,E32,MIN(IF(K32:K32&lt;&gt;0,K32:K32)))),MIN(IF(L32:L32&lt;&gt;0,L32:L32)))</f>
        <v>0</v>
      </c>
      <c r="Q32" s="157"/>
    </row>
    <row r="33" spans="1:17" customFormat="1" ht="15.6" x14ac:dyDescent="0.3">
      <c r="A33" s="171"/>
      <c r="B33" s="173"/>
      <c r="C33" s="169"/>
      <c r="D33" s="113"/>
      <c r="E33" s="111">
        <f>E32</f>
        <v>0</v>
      </c>
      <c r="F33" s="58"/>
      <c r="G33" s="11"/>
      <c r="H33" s="22"/>
      <c r="I33" s="22"/>
      <c r="J33" s="101"/>
      <c r="K33" s="102">
        <f t="shared" si="0"/>
        <v>0</v>
      </c>
      <c r="L33" s="103">
        <f t="shared" si="1"/>
        <v>0</v>
      </c>
      <c r="M33" s="20" t="str">
        <f t="shared" si="5"/>
        <v>-</v>
      </c>
      <c r="N33" s="31">
        <f t="shared" si="3"/>
        <v>0</v>
      </c>
      <c r="O33" s="34">
        <f t="shared" si="4"/>
        <v>-1</v>
      </c>
      <c r="P33" s="175">
        <f t="array" ref="P33">IF(SUM(L33:L33)=0,(IF(SUM(K33:K33)=0,E33,MIN(IF(K33:K33&lt;&gt;0,K33:K33)))),MIN(IF(L33:L33&lt;&gt;0,L33:L33)))</f>
        <v>0</v>
      </c>
      <c r="Q33" s="158"/>
    </row>
    <row r="34" spans="1:17" customFormat="1" ht="15.6" x14ac:dyDescent="0.3">
      <c r="A34" s="171"/>
      <c r="B34" s="173"/>
      <c r="C34" s="169"/>
      <c r="D34" s="113"/>
      <c r="E34" s="111">
        <f>E32</f>
        <v>0</v>
      </c>
      <c r="F34" s="58"/>
      <c r="G34" s="11"/>
      <c r="H34" s="22"/>
      <c r="I34" s="22"/>
      <c r="J34" s="101"/>
      <c r="K34" s="109">
        <f t="shared" ref="K34" si="7">SUM(H34:J34)</f>
        <v>0</v>
      </c>
      <c r="L34" s="67">
        <f t="shared" ref="L34" si="8">SUM(H34:J34)</f>
        <v>0</v>
      </c>
      <c r="M34" s="20" t="str">
        <f t="shared" ref="M34" si="9">IFERROR(L34/K34-1,"-")</f>
        <v>-</v>
      </c>
      <c r="N34" s="31">
        <f t="shared" ref="N34" si="10">L34-E34</f>
        <v>0</v>
      </c>
      <c r="O34" s="34">
        <f t="shared" ref="O34" si="11">IFERROR(L34/E34,0)-1</f>
        <v>-1</v>
      </c>
      <c r="P34" s="175"/>
      <c r="Q34" s="158"/>
    </row>
    <row r="35" spans="1:17" customFormat="1" ht="15.6" x14ac:dyDescent="0.3">
      <c r="A35" s="171"/>
      <c r="B35" s="173"/>
      <c r="C35" s="169"/>
      <c r="D35" s="113"/>
      <c r="E35" s="111">
        <f>E33</f>
        <v>0</v>
      </c>
      <c r="F35" s="58"/>
      <c r="G35" s="11"/>
      <c r="H35" s="22"/>
      <c r="I35" s="22"/>
      <c r="J35" s="101"/>
      <c r="K35" s="109">
        <f t="shared" si="0"/>
        <v>0</v>
      </c>
      <c r="L35" s="67">
        <f t="shared" si="1"/>
        <v>0</v>
      </c>
      <c r="M35" s="20" t="str">
        <f t="shared" si="5"/>
        <v>-</v>
      </c>
      <c r="N35" s="31">
        <f t="shared" si="3"/>
        <v>0</v>
      </c>
      <c r="O35" s="34">
        <f t="shared" si="4"/>
        <v>-1</v>
      </c>
      <c r="P35" s="175">
        <f t="array" ref="P35">IF(SUM(L35:L35)=0,(IF(SUM(K35:K35)=0,E35,MIN(IF(K35:K35&lt;&gt;0,K35:K35)))),MIN(IF(L35:L35&lt;&gt;0,L35:L35)))</f>
        <v>0</v>
      </c>
      <c r="Q35" s="158"/>
    </row>
    <row r="36" spans="1:17" customFormat="1" ht="16.2" thickBot="1" x14ac:dyDescent="0.35">
      <c r="A36" s="172"/>
      <c r="B36" s="163"/>
      <c r="C36" s="161"/>
      <c r="D36" s="114"/>
      <c r="E36" s="112">
        <f>E35</f>
        <v>0</v>
      </c>
      <c r="F36" s="59"/>
      <c r="G36" s="107"/>
      <c r="H36" s="74"/>
      <c r="I36" s="74"/>
      <c r="J36" s="97"/>
      <c r="K36" s="98">
        <f t="shared" si="0"/>
        <v>0</v>
      </c>
      <c r="L36" s="99">
        <f t="shared" si="1"/>
        <v>0</v>
      </c>
      <c r="M36" s="21" t="str">
        <f t="shared" si="5"/>
        <v>-</v>
      </c>
      <c r="N36" s="30">
        <f t="shared" si="3"/>
        <v>0</v>
      </c>
      <c r="O36" s="33">
        <f t="shared" si="4"/>
        <v>-1</v>
      </c>
      <c r="P36" s="176">
        <f t="array" ref="P36">IF(SUM(L36:L36)=0,(IF(SUM(K36:K36)=0,E36,MIN(IF(K36:K36&lt;&gt;0,K36:K36)))),MIN(IF(L36:L36&lt;&gt;0,L36:L36)))</f>
        <v>0</v>
      </c>
      <c r="Q36" s="159"/>
    </row>
    <row r="37" spans="1:17" ht="15.6" thickTop="1" thickBot="1" x14ac:dyDescent="0.35">
      <c r="A37" s="12"/>
      <c r="B37" s="15" t="s">
        <v>7</v>
      </c>
      <c r="C37" s="108">
        <f>SUM((_xlfn.UNIQUE(C14:C36)))</f>
        <v>0</v>
      </c>
      <c r="D37" s="69"/>
      <c r="F37" s="68"/>
      <c r="G37" s="68"/>
      <c r="H37" s="1"/>
      <c r="I37" s="1"/>
      <c r="J37" s="1"/>
      <c r="M37" s="1"/>
      <c r="P37" s="70">
        <f>SUM(P14:P36)</f>
        <v>0</v>
      </c>
      <c r="Q37" s="27">
        <f>SUM(Q14:Q36)</f>
        <v>0</v>
      </c>
    </row>
    <row r="38" spans="1:17" ht="16.8" thickTop="1" thickBot="1" x14ac:dyDescent="0.35">
      <c r="B38" s="6"/>
      <c r="C38" s="6"/>
      <c r="D38" s="6"/>
      <c r="E38" s="6"/>
      <c r="P38" s="77">
        <f>P37-C37</f>
        <v>0</v>
      </c>
      <c r="Q38" s="78">
        <f>Q37-C37</f>
        <v>0</v>
      </c>
    </row>
    <row r="39" spans="1:17" ht="15" thickTop="1" thickBot="1" x14ac:dyDescent="0.3">
      <c r="P39" s="79">
        <f>IFERROR(P37/C37,0)-1</f>
        <v>-1</v>
      </c>
      <c r="Q39" s="80">
        <f>IFERROR(Q37/C37,0)-1</f>
        <v>-1</v>
      </c>
    </row>
    <row r="40" spans="1:17" ht="14.4" thickTop="1" x14ac:dyDescent="0.25">
      <c r="G40" s="185"/>
      <c r="H40" s="185"/>
    </row>
    <row r="41" spans="1:17" x14ac:dyDescent="0.25">
      <c r="G41" s="64"/>
      <c r="H41" s="64"/>
    </row>
  </sheetData>
  <mergeCells count="34">
    <mergeCell ref="G40:H40"/>
    <mergeCell ref="C32:C36"/>
    <mergeCell ref="B19:B21"/>
    <mergeCell ref="C19:C21"/>
    <mergeCell ref="C22:C25"/>
    <mergeCell ref="A32:A36"/>
    <mergeCell ref="B32:B36"/>
    <mergeCell ref="Q32:Q36"/>
    <mergeCell ref="Q15:Q16"/>
    <mergeCell ref="Q17:Q18"/>
    <mergeCell ref="Q19:Q21"/>
    <mergeCell ref="Q22:Q25"/>
    <mergeCell ref="P32:P36"/>
    <mergeCell ref="P15:P16"/>
    <mergeCell ref="P19:P21"/>
    <mergeCell ref="P17:P18"/>
    <mergeCell ref="P22:P25"/>
    <mergeCell ref="P26:P31"/>
    <mergeCell ref="Q26:Q31"/>
    <mergeCell ref="C15:C16"/>
    <mergeCell ref="B15:B16"/>
    <mergeCell ref="A15:A16"/>
    <mergeCell ref="C12:E12"/>
    <mergeCell ref="A17:A18"/>
    <mergeCell ref="B17:B18"/>
    <mergeCell ref="C17:C18"/>
    <mergeCell ref="C26:C31"/>
    <mergeCell ref="A26:A31"/>
    <mergeCell ref="B26:B31"/>
    <mergeCell ref="F12:L12"/>
    <mergeCell ref="M12:Q12"/>
    <mergeCell ref="A22:A25"/>
    <mergeCell ref="B22:B25"/>
    <mergeCell ref="A19:A21"/>
  </mergeCells>
  <conditionalFormatting sqref="M14">
    <cfRule type="dataBar" priority="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{C38C85EB-EC66-49B8-8C51-E9364EBA38E3}</x14:id>
        </ext>
      </extLst>
    </cfRule>
  </conditionalFormatting>
  <conditionalFormatting sqref="M14:M36">
    <cfRule type="dataBar" priority="16">
      <dataBar>
        <cfvo type="num" val="-1"/>
        <cfvo type="num" val="1"/>
        <color rgb="FFC00000"/>
      </dataBar>
      <extLst>
        <ext xmlns:x14="http://schemas.microsoft.com/office/spreadsheetml/2009/9/main" uri="{B025F937-C7B1-47D3-B67F-A62EFF666E3E}">
          <x14:id>{E7A41CB1-825B-4E3A-AA64-8B17669D1D69}</x14:id>
        </ext>
      </extLst>
    </cfRule>
  </conditionalFormatting>
  <conditionalFormatting sqref="P39:Q39 O14:O36">
    <cfRule type="dataBar" priority="12">
      <dataBar>
        <cfvo type="num" val="-2"/>
        <cfvo type="num" val="2"/>
        <color rgb="FFC00000"/>
      </dataBar>
      <extLst>
        <ext xmlns:x14="http://schemas.microsoft.com/office/spreadsheetml/2009/9/main" uri="{B025F937-C7B1-47D3-B67F-A62EFF666E3E}">
          <x14:id>{F2E5A665-B51F-404C-B96D-9D456F009F6F}</x14:id>
        </ext>
      </extLst>
    </cfRule>
  </conditionalFormatting>
  <conditionalFormatting sqref="P38:Q38 N14:N36">
    <cfRule type="dataBar" priority="8">
      <dataBar>
        <cfvo type="percentile" val="10"/>
        <cfvo type="percentile" val="100"/>
        <color rgb="FFC00000"/>
      </dataBar>
      <extLst>
        <ext xmlns:x14="http://schemas.microsoft.com/office/spreadsheetml/2009/9/main" uri="{B025F937-C7B1-47D3-B67F-A62EFF666E3E}">
          <x14:id>{5E6E1599-C604-4C8E-BA26-CACEB49D3072}</x14:id>
        </ext>
      </extLst>
    </cfRule>
  </conditionalFormatting>
  <pageMargins left="0.25" right="0.25" top="0.75" bottom="0.75" header="0.3" footer="0.3"/>
  <pageSetup paperSize="8" scale="62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8C85EB-EC66-49B8-8C51-E9364EBA38E3}">
            <x14:dataBar minLength="0" maxLength="100" gradient="0" axisPosition="middle">
              <x14:cfvo type="autoMin"/>
              <x14:cfvo type="autoMax"/>
              <x14:negativeFillColor rgb="FF92D05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E7A41CB1-825B-4E3A-AA64-8B17669D1D69}">
            <x14:dataBar minLength="0" maxLength="100" gradient="0" axisPosition="middle">
              <x14:cfvo type="num">
                <xm:f>-1</xm:f>
              </x14:cfvo>
              <x14:cfvo type="num">
                <xm:f>1</xm:f>
              </x14:cfvo>
              <x14:negativeFillColor rgb="FF92D050"/>
              <x14:axisColor rgb="FF000000"/>
            </x14:dataBar>
          </x14:cfRule>
          <xm:sqref>M14:M36</xm:sqref>
        </x14:conditionalFormatting>
        <x14:conditionalFormatting xmlns:xm="http://schemas.microsoft.com/office/excel/2006/main">
          <x14:cfRule type="dataBar" id="{F2E5A665-B51F-404C-B96D-9D456F009F6F}">
            <x14:dataBar minLength="0" maxLength="100" gradient="0" axisPosition="middle">
              <x14:cfvo type="num">
                <xm:f>-2</xm:f>
              </x14:cfvo>
              <x14:cfvo type="num">
                <xm:f>2</xm:f>
              </x14:cfvo>
              <x14:negativeFillColor rgb="FF92D050"/>
              <x14:axisColor rgb="FF000000"/>
            </x14:dataBar>
          </x14:cfRule>
          <xm:sqref>P39:Q39 O14:O36</xm:sqref>
        </x14:conditionalFormatting>
        <x14:conditionalFormatting xmlns:xm="http://schemas.microsoft.com/office/excel/2006/main">
          <x14:cfRule type="dataBar" id="{5E6E1599-C604-4C8E-BA26-CACEB49D3072}">
            <x14:dataBar minLength="0" maxLength="100" gradient="0" axisPosition="middle">
              <x14:cfvo type="percentile">
                <xm:f>10</xm:f>
              </x14:cfvo>
              <x14:cfvo type="percentile">
                <xm:f>100</xm:f>
              </x14:cfvo>
              <x14:negativeFillColor rgb="FF92D050"/>
              <x14:axisColor rgb="FF000000"/>
            </x14:dataBar>
          </x14:cfRule>
          <xm:sqref>P38:Q38 N14:N36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EADD-55D6-4F0F-9806-AB96249F91F6}">
  <sheetPr>
    <pageSetUpPr fitToPage="1"/>
  </sheetPr>
  <dimension ref="A1:M21"/>
  <sheetViews>
    <sheetView tabSelected="1" workbookViewId="0">
      <selection activeCell="J27" sqref="J27"/>
    </sheetView>
  </sheetViews>
  <sheetFormatPr baseColWidth="10" defaultRowHeight="14.4" outlineLevelRow="1" x14ac:dyDescent="0.3"/>
  <cols>
    <col min="2" max="2" width="13.6640625" customWidth="1"/>
    <col min="3" max="3" width="12.109375" bestFit="1" customWidth="1"/>
    <col min="4" max="4" width="18.33203125" bestFit="1" customWidth="1"/>
    <col min="5" max="5" width="18.44140625" bestFit="1" customWidth="1"/>
    <col min="6" max="6" width="12.109375" bestFit="1" customWidth="1"/>
    <col min="7" max="7" width="15.33203125" bestFit="1" customWidth="1"/>
    <col min="8" max="8" width="18.33203125" bestFit="1" customWidth="1"/>
    <col min="10" max="10" width="16.44140625" bestFit="1" customWidth="1"/>
    <col min="11" max="13" width="11.5546875" style="119" bestFit="1"/>
  </cols>
  <sheetData>
    <row r="1" spans="1:10" s="119" customFormat="1" ht="25.2" x14ac:dyDescent="0.45">
      <c r="A1" s="3" t="str">
        <f ca="1">'Feuille Donnée'!I3</f>
        <v>AFFAIRE</v>
      </c>
      <c r="E1" s="120"/>
    </row>
    <row r="2" spans="1:10" s="119" customFormat="1" ht="25.2" hidden="1" outlineLevel="1" x14ac:dyDescent="0.45">
      <c r="A2" s="3" t="str">
        <f>'Feuille Donnée'!G3</f>
        <v>XX</v>
      </c>
      <c r="E2" s="120"/>
    </row>
    <row r="3" spans="1:10" s="119" customFormat="1" ht="25.2" hidden="1" outlineLevel="1" x14ac:dyDescent="0.45">
      <c r="A3" s="3" t="str">
        <f>'Feuille Donnée'!E3</f>
        <v>MO</v>
      </c>
      <c r="E3" s="120"/>
    </row>
    <row r="4" spans="1:10" s="119" customFormat="1" ht="25.2" hidden="1" outlineLevel="1" x14ac:dyDescent="0.45">
      <c r="A4" s="3" t="str">
        <f ca="1">"INDICE : "&amp;'Feuille Donnée'!M10</f>
        <v>INDICE : V0</v>
      </c>
      <c r="E4" s="120"/>
    </row>
    <row r="5" spans="1:10" s="119" customFormat="1" ht="25.2" hidden="1" outlineLevel="1" x14ac:dyDescent="0.45">
      <c r="A5" s="3" t="str">
        <f>"PHASE D'ETUDE : "&amp;'Feuille Donnée'!D3</f>
        <v>PHASE D'ETUDE : ACT</v>
      </c>
      <c r="E5" s="120"/>
    </row>
    <row r="6" spans="1:10" s="119" customFormat="1" ht="20.399999999999999" collapsed="1" x14ac:dyDescent="0.35">
      <c r="A6" s="2" t="str">
        <f>"DOCUMENT EN DATE DU : "&amp;'Feuille Donnée'!C3</f>
        <v>DOCUMENT EN DATE DU : DATE</v>
      </c>
      <c r="E6" s="120"/>
    </row>
    <row r="7" spans="1:10" s="119" customFormat="1" ht="20.399999999999999" x14ac:dyDescent="0.35">
      <c r="A7" s="121"/>
      <c r="D7" s="120"/>
      <c r="E7" s="120"/>
    </row>
    <row r="8" spans="1:10" s="119" customFormat="1" ht="20.399999999999999" x14ac:dyDescent="0.35">
      <c r="A8" s="122" t="s">
        <v>28</v>
      </c>
      <c r="B8" s="123"/>
      <c r="C8" s="123"/>
      <c r="G8" s="124"/>
    </row>
    <row r="12" spans="1:10" ht="15" customHeight="1" thickBot="1" x14ac:dyDescent="0.35">
      <c r="B12" s="186" t="s">
        <v>46</v>
      </c>
      <c r="C12" s="186"/>
      <c r="D12" s="186"/>
      <c r="E12" s="186"/>
      <c r="F12" s="186"/>
      <c r="G12" s="186"/>
      <c r="H12" s="186"/>
    </row>
    <row r="13" spans="1:10" ht="19.2" thickTop="1" thickBot="1" x14ac:dyDescent="0.35">
      <c r="B13" s="187" t="s">
        <v>2</v>
      </c>
      <c r="C13" s="188"/>
      <c r="D13" s="189"/>
      <c r="E13" s="190" t="s">
        <v>19</v>
      </c>
      <c r="F13" s="191"/>
      <c r="G13" s="191"/>
      <c r="H13" s="192"/>
      <c r="I13" s="193" t="s">
        <v>4</v>
      </c>
      <c r="J13" s="194"/>
    </row>
    <row r="14" spans="1:10" ht="37.200000000000003" thickTop="1" thickBot="1" x14ac:dyDescent="0.35">
      <c r="B14" s="127" t="s">
        <v>16</v>
      </c>
      <c r="C14" s="127" t="s">
        <v>17</v>
      </c>
      <c r="D14" s="128" t="s">
        <v>18</v>
      </c>
      <c r="E14" s="125" t="s">
        <v>19</v>
      </c>
      <c r="F14" s="129" t="s">
        <v>16</v>
      </c>
      <c r="G14" s="129" t="s">
        <v>17</v>
      </c>
      <c r="H14" s="130" t="s">
        <v>18</v>
      </c>
      <c r="I14" s="126" t="s">
        <v>10</v>
      </c>
      <c r="J14" s="131" t="s">
        <v>11</v>
      </c>
    </row>
    <row r="15" spans="1:10" ht="19.2" thickTop="1" thickBot="1" x14ac:dyDescent="0.35">
      <c r="B15" s="195"/>
      <c r="C15" s="198"/>
      <c r="D15" s="201">
        <f>B15+C15</f>
        <v>0</v>
      </c>
      <c r="E15" s="125">
        <f>RECAP!G$12</f>
        <v>0</v>
      </c>
      <c r="F15" s="132">
        <f>RECAP!L19</f>
        <v>0</v>
      </c>
      <c r="G15" s="133"/>
      <c r="H15" s="134">
        <f>F15+G15</f>
        <v>0</v>
      </c>
      <c r="I15" s="135">
        <f>H15-D15</f>
        <v>0</v>
      </c>
      <c r="J15" s="136">
        <f>IFERROR(H15/D15,0)-1</f>
        <v>-1</v>
      </c>
    </row>
    <row r="16" spans="1:10" ht="19.2" thickTop="1" thickBot="1" x14ac:dyDescent="0.35">
      <c r="B16" s="196"/>
      <c r="C16" s="199"/>
      <c r="D16" s="202"/>
      <c r="E16" s="125">
        <f>RECAP!G$12</f>
        <v>0</v>
      </c>
      <c r="F16" s="132">
        <f>RECAP!L20</f>
        <v>0</v>
      </c>
      <c r="G16" s="133"/>
      <c r="H16" s="134">
        <f>F16+G16</f>
        <v>0</v>
      </c>
      <c r="I16" s="135">
        <f>H16-D15</f>
        <v>0</v>
      </c>
      <c r="J16" s="136">
        <f>IFERROR(H16/D15,0)-1</f>
        <v>-1</v>
      </c>
    </row>
    <row r="17" spans="2:10" ht="19.2" thickTop="1" thickBot="1" x14ac:dyDescent="0.35">
      <c r="B17" s="197"/>
      <c r="C17" s="200"/>
      <c r="D17" s="203"/>
      <c r="E17" s="125">
        <f>RECAP!G21</f>
        <v>0</v>
      </c>
      <c r="F17" s="137">
        <f>RECAP!L21</f>
        <v>0</v>
      </c>
      <c r="G17" s="138"/>
      <c r="H17" s="139">
        <f>F17+G17</f>
        <v>0</v>
      </c>
      <c r="I17" s="140">
        <f>H17-D15</f>
        <v>0</v>
      </c>
      <c r="J17" s="141">
        <f>IFERROR(H17/D15,0)-1</f>
        <v>-1</v>
      </c>
    </row>
    <row r="18" spans="2:10" ht="19.2" thickTop="1" thickBot="1" x14ac:dyDescent="0.35">
      <c r="B18" s="195"/>
      <c r="C18" s="198"/>
      <c r="D18" s="201">
        <f>B18+C18</f>
        <v>0</v>
      </c>
      <c r="E18" s="125">
        <f>RECAP!G22</f>
        <v>0</v>
      </c>
      <c r="F18" s="132">
        <f>RECAP!L22</f>
        <v>0</v>
      </c>
      <c r="G18" s="133"/>
      <c r="H18" s="134">
        <f>F18+G18</f>
        <v>0</v>
      </c>
      <c r="I18" s="135">
        <f>H18-D18</f>
        <v>0</v>
      </c>
      <c r="J18" s="136">
        <f>IFERROR(H18/D18,0)-1</f>
        <v>-1</v>
      </c>
    </row>
    <row r="19" spans="2:10" ht="19.2" thickTop="1" thickBot="1" x14ac:dyDescent="0.35">
      <c r="B19" s="196"/>
      <c r="C19" s="199"/>
      <c r="D19" s="202"/>
      <c r="E19" s="125">
        <f>RECAP!G23</f>
        <v>0</v>
      </c>
      <c r="F19" s="132">
        <f>RECAP!L23</f>
        <v>0</v>
      </c>
      <c r="G19" s="133"/>
      <c r="H19" s="134">
        <f>F19+G19</f>
        <v>0</v>
      </c>
      <c r="I19" s="135">
        <f>H19-D18</f>
        <v>0</v>
      </c>
      <c r="J19" s="136">
        <f>IFERROR(H19/D18,0)-1</f>
        <v>-1</v>
      </c>
    </row>
    <row r="20" spans="2:10" ht="19.2" thickTop="1" thickBot="1" x14ac:dyDescent="0.35">
      <c r="B20" s="197"/>
      <c r="C20" s="200"/>
      <c r="D20" s="203"/>
      <c r="E20" s="125">
        <f>RECAP!G24</f>
        <v>0</v>
      </c>
      <c r="F20" s="137">
        <f>RECAP!L24</f>
        <v>0</v>
      </c>
      <c r="G20" s="138"/>
      <c r="H20" s="139">
        <f>F20+G20</f>
        <v>0</v>
      </c>
      <c r="I20" s="140">
        <f>H20-D18</f>
        <v>0</v>
      </c>
      <c r="J20" s="141">
        <f>IFERROR(H20/D18,0)-1</f>
        <v>-1</v>
      </c>
    </row>
    <row r="21" spans="2:10" ht="15" thickTop="1" x14ac:dyDescent="0.3"/>
  </sheetData>
  <mergeCells count="10">
    <mergeCell ref="B18:B20"/>
    <mergeCell ref="C18:C20"/>
    <mergeCell ref="D18:D20"/>
    <mergeCell ref="B12:H12"/>
    <mergeCell ref="B13:D13"/>
    <mergeCell ref="E13:H13"/>
    <mergeCell ref="I13:J13"/>
    <mergeCell ref="B15:B17"/>
    <mergeCell ref="C15:C17"/>
    <mergeCell ref="D15:D17"/>
  </mergeCells>
  <conditionalFormatting sqref="I14:I20">
    <cfRule type="dataBar" priority="1">
      <dataBar>
        <cfvo type="percentile" val="10"/>
        <cfvo type="percentile" val="100"/>
        <color rgb="FFC00000"/>
      </dataBar>
      <extLst>
        <ext xmlns:x14="http://schemas.microsoft.com/office/spreadsheetml/2009/9/main" uri="{B025F937-C7B1-47D3-B67F-A62EFF666E3E}">
          <x14:id>{949BD9B7-C2E5-4021-AD12-4CD59143B087}</x14:id>
        </ext>
      </extLst>
    </cfRule>
  </conditionalFormatting>
  <conditionalFormatting sqref="J14:J20">
    <cfRule type="dataBar" priority="2">
      <dataBar>
        <cfvo type="num" val="-2"/>
        <cfvo type="num" val="2"/>
        <color rgb="FFC00000"/>
      </dataBar>
      <extLst>
        <ext xmlns:x14="http://schemas.microsoft.com/office/spreadsheetml/2009/9/main" uri="{B025F937-C7B1-47D3-B67F-A62EFF666E3E}">
          <x14:id>{D270DDE4-6B36-46DF-9EC7-D8FA3347469A}</x14:id>
        </ext>
      </extLst>
    </cfRule>
  </conditionalFormatting>
  <pageMargins left="0.7" right="0.7" top="0.75" bottom="0.75" header="0.3" footer="0.3"/>
  <pageSetup paperSize="9" scale="74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9BD9B7-C2E5-4021-AD12-4CD59143B087}">
            <x14:dataBar minLength="0" maxLength="100" gradient="0" axisPosition="middle">
              <x14:cfvo type="percentile">
                <xm:f>10</xm:f>
              </x14:cfvo>
              <x14:cfvo type="percentile">
                <xm:f>100</xm:f>
              </x14:cfvo>
              <x14:negativeFillColor rgb="FF92D050"/>
              <x14:axisColor rgb="FF000000"/>
            </x14:dataBar>
          </x14:cfRule>
          <xm:sqref>I14:I20</xm:sqref>
        </x14:conditionalFormatting>
        <x14:conditionalFormatting xmlns:xm="http://schemas.microsoft.com/office/excel/2006/main">
          <x14:cfRule type="dataBar" id="{D270DDE4-6B36-46DF-9EC7-D8FA3347469A}">
            <x14:dataBar minLength="0" maxLength="100" gradient="0" axisPosition="middle">
              <x14:cfvo type="num">
                <xm:f>-2</xm:f>
              </x14:cfvo>
              <x14:cfvo type="num">
                <xm:f>2</xm:f>
              </x14:cfvo>
              <x14:negativeFillColor rgb="FF92D050"/>
              <x14:axisColor rgb="FF000000"/>
            </x14:dataBar>
          </x14:cfRule>
          <xm:sqref>J14:J20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0171-2027-4E05-B00D-A98C43D634B5}">
  <sheetPr>
    <pageSetUpPr fitToPage="1"/>
  </sheetPr>
  <dimension ref="A1:M18"/>
  <sheetViews>
    <sheetView workbookViewId="0">
      <selection activeCell="E26" sqref="E26"/>
    </sheetView>
  </sheetViews>
  <sheetFormatPr baseColWidth="10" defaultRowHeight="14.4" outlineLevelRow="1" x14ac:dyDescent="0.3"/>
  <cols>
    <col min="2" max="2" width="13.6640625" customWidth="1"/>
    <col min="3" max="3" width="12.109375" bestFit="1" customWidth="1"/>
    <col min="4" max="4" width="18.33203125" bestFit="1" customWidth="1"/>
    <col min="5" max="5" width="18.44140625" bestFit="1" customWidth="1"/>
    <col min="6" max="6" width="12.109375" bestFit="1" customWidth="1"/>
    <col min="7" max="7" width="15.33203125" bestFit="1" customWidth="1"/>
    <col min="8" max="8" width="18.33203125" bestFit="1" customWidth="1"/>
    <col min="10" max="10" width="16.44140625" bestFit="1" customWidth="1"/>
    <col min="11" max="13" width="11.44140625" style="1"/>
  </cols>
  <sheetData>
    <row r="1" spans="1:10" s="1" customFormat="1" ht="25.2" x14ac:dyDescent="0.45">
      <c r="A1" s="3" t="str">
        <f ca="1">'Feuille Donnée'!I3</f>
        <v>AFFAIRE</v>
      </c>
      <c r="E1" s="7"/>
    </row>
    <row r="2" spans="1:10" s="1" customFormat="1" ht="25.2" hidden="1" outlineLevel="1" x14ac:dyDescent="0.45">
      <c r="A2" s="3" t="str">
        <f>'Feuille Donnée'!G3</f>
        <v>XX</v>
      </c>
      <c r="E2" s="7"/>
    </row>
    <row r="3" spans="1:10" s="1" customFormat="1" ht="25.2" hidden="1" outlineLevel="1" x14ac:dyDescent="0.45">
      <c r="A3" s="3" t="str">
        <f>'Feuille Donnée'!E3</f>
        <v>MO</v>
      </c>
      <c r="E3" s="7"/>
    </row>
    <row r="4" spans="1:10" s="1" customFormat="1" ht="25.2" hidden="1" outlineLevel="1" x14ac:dyDescent="0.45">
      <c r="A4" s="3" t="str">
        <f ca="1">"INDICE : "&amp;'Feuille Donnée'!M10</f>
        <v>INDICE : V0</v>
      </c>
      <c r="E4" s="7"/>
    </row>
    <row r="5" spans="1:10" s="1" customFormat="1" ht="25.2" hidden="1" outlineLevel="1" x14ac:dyDescent="0.45">
      <c r="A5" s="3" t="str">
        <f>"PHASE D'ETUDE : "&amp;'Feuille Donnée'!D3</f>
        <v>PHASE D'ETUDE : ACT</v>
      </c>
      <c r="E5" s="7"/>
    </row>
    <row r="6" spans="1:10" s="1" customFormat="1" ht="20.399999999999999" collapsed="1" x14ac:dyDescent="0.35">
      <c r="A6" s="2" t="str">
        <f>"DOCUMENT EN DATE DU : "&amp;'Feuille Donnée'!C3</f>
        <v>DOCUMENT EN DATE DU : DATE</v>
      </c>
      <c r="E6" s="7"/>
    </row>
    <row r="7" spans="1:10" s="1" customFormat="1" ht="20.399999999999999" x14ac:dyDescent="0.35">
      <c r="A7" s="2"/>
      <c r="D7" s="7"/>
      <c r="E7" s="7"/>
    </row>
    <row r="8" spans="1:10" s="1" customFormat="1" ht="20.399999999999999" x14ac:dyDescent="0.35">
      <c r="A8" s="35" t="s">
        <v>23</v>
      </c>
      <c r="B8" s="8"/>
      <c r="C8" s="8"/>
      <c r="G8" s="5"/>
    </row>
    <row r="12" spans="1:10" ht="15" customHeight="1" thickBot="1" x14ac:dyDescent="0.35">
      <c r="B12" s="186" t="s">
        <v>26</v>
      </c>
      <c r="C12" s="186"/>
      <c r="D12" s="186"/>
      <c r="E12" s="186"/>
      <c r="F12" s="186"/>
      <c r="G12" s="186"/>
      <c r="H12" s="186"/>
    </row>
    <row r="13" spans="1:10" ht="19.2" thickTop="1" thickBot="1" x14ac:dyDescent="0.35">
      <c r="B13" s="215" t="s">
        <v>2</v>
      </c>
      <c r="C13" s="216"/>
      <c r="D13" s="217"/>
      <c r="E13" s="166" t="s">
        <v>19</v>
      </c>
      <c r="F13" s="167"/>
      <c r="G13" s="167"/>
      <c r="H13" s="168"/>
      <c r="I13" s="213" t="s">
        <v>4</v>
      </c>
      <c r="J13" s="214"/>
    </row>
    <row r="14" spans="1:10" ht="37.200000000000003" thickTop="1" thickBot="1" x14ac:dyDescent="0.35">
      <c r="B14" s="46" t="s">
        <v>16</v>
      </c>
      <c r="C14" s="46" t="s">
        <v>17</v>
      </c>
      <c r="D14" s="47" t="s">
        <v>18</v>
      </c>
      <c r="E14" s="41" t="s">
        <v>19</v>
      </c>
      <c r="F14" s="25" t="s">
        <v>16</v>
      </c>
      <c r="G14" s="25" t="s">
        <v>17</v>
      </c>
      <c r="H14" s="43" t="s">
        <v>18</v>
      </c>
      <c r="I14" s="28" t="s">
        <v>10</v>
      </c>
      <c r="J14" s="48" t="s">
        <v>11</v>
      </c>
    </row>
    <row r="15" spans="1:10" ht="19.2" thickTop="1" thickBot="1" x14ac:dyDescent="0.35">
      <c r="B15" s="204"/>
      <c r="C15" s="207"/>
      <c r="D15" s="210">
        <f>B15+C15</f>
        <v>0</v>
      </c>
      <c r="E15" s="41">
        <f>RECAP!G19</f>
        <v>0</v>
      </c>
      <c r="F15" s="51">
        <f>RECAP!L19</f>
        <v>0</v>
      </c>
      <c r="G15" s="63"/>
      <c r="H15" s="44">
        <f>F15+G15</f>
        <v>0</v>
      </c>
      <c r="I15" s="29">
        <f>H15-D15</f>
        <v>0</v>
      </c>
      <c r="J15" s="49">
        <f>IFERROR(H15/D15,0)-1</f>
        <v>-1</v>
      </c>
    </row>
    <row r="16" spans="1:10" ht="19.2" thickTop="1" thickBot="1" x14ac:dyDescent="0.35">
      <c r="B16" s="205"/>
      <c r="C16" s="208"/>
      <c r="D16" s="211"/>
      <c r="E16" s="41">
        <f>RECAP!G20</f>
        <v>0</v>
      </c>
      <c r="F16" s="51">
        <f>RECAP!L20</f>
        <v>0</v>
      </c>
      <c r="G16" s="63"/>
      <c r="H16" s="44">
        <f>F16+G16</f>
        <v>0</v>
      </c>
      <c r="I16" s="29">
        <f>H16-D15</f>
        <v>0</v>
      </c>
      <c r="J16" s="49">
        <f>IFERROR(H16/D15,0)-1</f>
        <v>-1</v>
      </c>
    </row>
    <row r="17" spans="2:10" ht="19.2" thickTop="1" thickBot="1" x14ac:dyDescent="0.35">
      <c r="B17" s="206"/>
      <c r="C17" s="209"/>
      <c r="D17" s="212"/>
      <c r="E17" s="41">
        <f>RECAP!G21</f>
        <v>0</v>
      </c>
      <c r="F17" s="52">
        <f>RECAP!L21</f>
        <v>0</v>
      </c>
      <c r="G17" s="62"/>
      <c r="H17" s="45">
        <f>F17+G17</f>
        <v>0</v>
      </c>
      <c r="I17" s="50">
        <f>H17-D15</f>
        <v>0</v>
      </c>
      <c r="J17" s="42">
        <f>IFERROR(H17/D15,0)-1</f>
        <v>-1</v>
      </c>
    </row>
    <row r="18" spans="2:10" ht="15" thickTop="1" x14ac:dyDescent="0.3">
      <c r="C18" s="65"/>
    </row>
  </sheetData>
  <mergeCells count="7">
    <mergeCell ref="B15:B17"/>
    <mergeCell ref="C15:C17"/>
    <mergeCell ref="D15:D17"/>
    <mergeCell ref="B12:H12"/>
    <mergeCell ref="I13:J13"/>
    <mergeCell ref="E13:H13"/>
    <mergeCell ref="B13:D13"/>
  </mergeCells>
  <conditionalFormatting sqref="I14:I17">
    <cfRule type="dataBar" priority="3">
      <dataBar>
        <cfvo type="percentile" val="10"/>
        <cfvo type="percentile" val="100"/>
        <color rgb="FFC00000"/>
      </dataBar>
      <extLst>
        <ext xmlns:x14="http://schemas.microsoft.com/office/spreadsheetml/2009/9/main" uri="{B025F937-C7B1-47D3-B67F-A62EFF666E3E}">
          <x14:id>{94EBB3C5-05CE-4E41-AFEE-3E1237B82BC7}</x14:id>
        </ext>
      </extLst>
    </cfRule>
  </conditionalFormatting>
  <conditionalFormatting sqref="J14:J17">
    <cfRule type="dataBar" priority="4">
      <dataBar>
        <cfvo type="num" val="-2"/>
        <cfvo type="num" val="2"/>
        <color rgb="FFC00000"/>
      </dataBar>
      <extLst>
        <ext xmlns:x14="http://schemas.microsoft.com/office/spreadsheetml/2009/9/main" uri="{B025F937-C7B1-47D3-B67F-A62EFF666E3E}">
          <x14:id>{73257212-BF4E-46B5-A0B0-2AF2BF31CAC5}</x14:id>
        </ext>
      </extLst>
    </cfRule>
  </conditionalFormatting>
  <pageMargins left="0.7" right="0.7" top="0.75" bottom="0.75" header="0.3" footer="0.3"/>
  <pageSetup paperSize="9" scale="74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EBB3C5-05CE-4E41-AFEE-3E1237B82BC7}">
            <x14:dataBar minLength="0" maxLength="100" gradient="0" axisPosition="middle">
              <x14:cfvo type="percentile">
                <xm:f>10</xm:f>
              </x14:cfvo>
              <x14:cfvo type="percentile">
                <xm:f>100</xm:f>
              </x14:cfvo>
              <x14:negativeFillColor rgb="FF92D050"/>
              <x14:axisColor rgb="FF000000"/>
            </x14:dataBar>
          </x14:cfRule>
          <xm:sqref>I14:I17</xm:sqref>
        </x14:conditionalFormatting>
        <x14:conditionalFormatting xmlns:xm="http://schemas.microsoft.com/office/excel/2006/main">
          <x14:cfRule type="dataBar" id="{73257212-BF4E-46B5-A0B0-2AF2BF31CAC5}">
            <x14:dataBar minLength="0" maxLength="100" gradient="0" axisPosition="middle">
              <x14:cfvo type="num">
                <xm:f>-2</xm:f>
              </x14:cfvo>
              <x14:cfvo type="num">
                <xm:f>2</xm:f>
              </x14:cfvo>
              <x14:negativeFillColor rgb="FF92D050"/>
              <x14:axisColor rgb="FF000000"/>
            </x14:dataBar>
          </x14:cfRule>
          <xm:sqref>J14:J17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708F-1366-4306-8433-4D36959886A3}">
  <dimension ref="B1:N22"/>
  <sheetViews>
    <sheetView workbookViewId="0">
      <selection activeCell="D16" sqref="D16"/>
    </sheetView>
  </sheetViews>
  <sheetFormatPr baseColWidth="10" defaultColWidth="11.5546875" defaultRowHeight="14.4" x14ac:dyDescent="0.3"/>
  <cols>
    <col min="1" max="1" width="11.5546875" style="142"/>
    <col min="2" max="2" width="36.88671875" style="142" bestFit="1" customWidth="1"/>
    <col min="3" max="3" width="22.5546875" style="142" customWidth="1"/>
    <col min="4" max="4" width="26.5546875" style="142" bestFit="1" customWidth="1"/>
    <col min="5" max="5" width="21.21875" style="142" bestFit="1" customWidth="1"/>
    <col min="6" max="6" width="28.21875" style="142" bestFit="1" customWidth="1"/>
    <col min="7" max="7" width="20.6640625" style="142" bestFit="1" customWidth="1"/>
    <col min="8" max="8" width="26.5546875" style="142" bestFit="1" customWidth="1"/>
    <col min="9" max="9" width="25.109375" style="142" bestFit="1" customWidth="1"/>
    <col min="10" max="10" width="29.44140625" style="142" customWidth="1"/>
    <col min="11" max="11" width="11.5546875" style="142"/>
    <col min="12" max="12" width="4.109375" style="142" customWidth="1"/>
    <col min="13" max="13" width="14.5546875" style="142" bestFit="1" customWidth="1"/>
    <col min="14" max="14" width="58.109375" style="142" bestFit="1" customWidth="1"/>
    <col min="15" max="15" width="28.21875" style="142" bestFit="1" customWidth="1"/>
    <col min="16" max="16" width="4.5546875" style="142" customWidth="1"/>
    <col min="17" max="16384" width="11.5546875" style="142"/>
  </cols>
  <sheetData>
    <row r="1" spans="2:14" ht="15.6" thickTop="1" thickBot="1" x14ac:dyDescent="0.35">
      <c r="C1" s="218" t="s">
        <v>29</v>
      </c>
      <c r="D1" s="218"/>
      <c r="E1" s="218"/>
      <c r="F1" s="218"/>
      <c r="G1" s="218"/>
    </row>
    <row r="2" spans="2:14" ht="15.6" thickTop="1" thickBot="1" x14ac:dyDescent="0.35">
      <c r="B2" s="143"/>
      <c r="C2" s="143" t="s">
        <v>30</v>
      </c>
      <c r="D2" s="143" t="s">
        <v>31</v>
      </c>
      <c r="E2" s="143" t="s">
        <v>32</v>
      </c>
      <c r="F2" s="143" t="s">
        <v>33</v>
      </c>
      <c r="G2" s="143" t="s">
        <v>34</v>
      </c>
      <c r="H2" s="143" t="s">
        <v>35</v>
      </c>
      <c r="I2" s="143" t="s">
        <v>36</v>
      </c>
      <c r="J2" s="143" t="s">
        <v>37</v>
      </c>
    </row>
    <row r="3" spans="2:14" ht="15.6" thickTop="1" thickBot="1" x14ac:dyDescent="0.35">
      <c r="B3" s="143" t="s">
        <v>30</v>
      </c>
      <c r="C3" s="144" t="s">
        <v>43</v>
      </c>
      <c r="D3" s="145" t="s">
        <v>38</v>
      </c>
      <c r="E3" s="145" t="s">
        <v>44</v>
      </c>
      <c r="F3" s="145" t="s">
        <v>2</v>
      </c>
      <c r="G3" s="146" t="s">
        <v>45</v>
      </c>
      <c r="H3" s="143" t="str">
        <f ca="1">UPPER(SUBSTITUTE(M9,"_",""))</f>
        <v>RECAPITULATIF</v>
      </c>
      <c r="I3" s="143" t="str">
        <f ca="1">UPPER(SUBSTITUTE(M7,"_",""))</f>
        <v>AFFAIRE</v>
      </c>
      <c r="J3" s="143" t="str">
        <f ca="1">M10</f>
        <v>V0</v>
      </c>
    </row>
    <row r="4" spans="2:14" ht="14.4" customHeight="1" thickTop="1" thickBot="1" x14ac:dyDescent="0.35">
      <c r="M4" s="219" t="s">
        <v>39</v>
      </c>
      <c r="N4" s="220"/>
    </row>
    <row r="5" spans="2:14" ht="24.6" thickTop="1" thickBot="1" x14ac:dyDescent="0.35">
      <c r="D5" s="147"/>
      <c r="M5" s="143" t="s">
        <v>40</v>
      </c>
      <c r="N5" s="148" t="str" cm="1">
        <f t="array" aca="1" ref="N5" ca="1">MID(CELL("nomfichier"),FIND("[",CELL("nomfichier"))+1,FIND("]",CELL("nomfichier"))-FIND("[",CELL("nomfichier"))-1)</f>
        <v>AFFAIRE_TAO_RECAPITULATIF_V0.xlsx</v>
      </c>
    </row>
    <row r="6" spans="2:14" ht="15" thickTop="1" x14ac:dyDescent="0.3">
      <c r="D6" s="147"/>
      <c r="M6" s="149" t="s">
        <v>41</v>
      </c>
      <c r="N6" s="150" t="s">
        <v>42</v>
      </c>
    </row>
    <row r="7" spans="2:14" x14ac:dyDescent="0.3">
      <c r="D7" s="147"/>
      <c r="M7" s="151" t="str">
        <f ca="1">LEFT(N5,FIND("_",N5))</f>
        <v>AFFAIRE_</v>
      </c>
      <c r="N7" s="152" t="str">
        <f ca="1">SUBSTITUTE(N5,M7,"")</f>
        <v>TAO_RECAPITULATIF_V0.xlsx</v>
      </c>
    </row>
    <row r="8" spans="2:14" ht="27" customHeight="1" x14ac:dyDescent="0.3">
      <c r="J8" s="153"/>
      <c r="M8" s="151" t="str">
        <f ca="1">LEFT(N7,FIND("_",N7))</f>
        <v>TAO_</v>
      </c>
      <c r="N8" s="152" t="str">
        <f ca="1">SUBSTITUTE(N7,M8,"")</f>
        <v>RECAPITULATIF_V0.xlsx</v>
      </c>
    </row>
    <row r="9" spans="2:14" x14ac:dyDescent="0.3">
      <c r="M9" s="151" t="str">
        <f ca="1">LEFT(N8,FIND("_",N8))</f>
        <v>RECAPITULATIF_</v>
      </c>
      <c r="N9" s="152" t="str">
        <f ca="1">SUBSTITUTE(N8,M9,"")</f>
        <v>V0.xlsx</v>
      </c>
    </row>
    <row r="10" spans="2:14" ht="15" thickBot="1" x14ac:dyDescent="0.35">
      <c r="M10" s="154" t="str">
        <f ca="1">LEFT(N9,FIND(".",N9)-1)</f>
        <v>V0</v>
      </c>
      <c r="N10" s="155" t="str">
        <f ca="1">SUBSTITUTE(N9,M10,"")</f>
        <v>.xlsx</v>
      </c>
    </row>
    <row r="11" spans="2:14" ht="15" thickTop="1" x14ac:dyDescent="0.3"/>
    <row r="14" spans="2:14" ht="35.4" customHeight="1" x14ac:dyDescent="0.3"/>
    <row r="15" spans="2:14" x14ac:dyDescent="0.3">
      <c r="K15" s="156"/>
    </row>
    <row r="19" spans="11:11" ht="24" customHeight="1" x14ac:dyDescent="0.3"/>
    <row r="20" spans="11:11" x14ac:dyDescent="0.3">
      <c r="K20" s="147"/>
    </row>
    <row r="21" spans="11:11" x14ac:dyDescent="0.3">
      <c r="K21" s="147"/>
    </row>
    <row r="22" spans="11:11" x14ac:dyDescent="0.3">
      <c r="K22" s="147"/>
    </row>
  </sheetData>
  <mergeCells count="2">
    <mergeCell ref="C1:G1"/>
    <mergeCell ref="M4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4e99d7-8989-4b83-b4f4-be90479a7c2c" xsi:nil="true"/>
    <lcf76f155ced4ddcb4097134ff3c332f xmlns="b1a2ac40-0c8a-4765-8d3e-1350fec22d4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60CCB98AB09A4F9ED216CC44ECB412" ma:contentTypeVersion="14" ma:contentTypeDescription="Create a new document." ma:contentTypeScope="" ma:versionID="7cf1726a2438a7a5e7ce6e6ecc24e07d">
  <xsd:schema xmlns:xsd="http://www.w3.org/2001/XMLSchema" xmlns:xs="http://www.w3.org/2001/XMLSchema" xmlns:p="http://schemas.microsoft.com/office/2006/metadata/properties" xmlns:ns2="b1a2ac40-0c8a-4765-8d3e-1350fec22d44" xmlns:ns3="fd4e99d7-8989-4b83-b4f4-be90479a7c2c" targetNamespace="http://schemas.microsoft.com/office/2006/metadata/properties" ma:root="true" ma:fieldsID="5fc268e3f4291ea73e2e88830e33486d" ns2:_="" ns3:_="">
    <xsd:import namespace="b1a2ac40-0c8a-4765-8d3e-1350fec22d44"/>
    <xsd:import namespace="fd4e99d7-8989-4b83-b4f4-be90479a7c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2ac40-0c8a-4765-8d3e-1350fec22d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6d6082f-4704-4d38-86b5-cca0f713ce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e99d7-8989-4b83-b4f4-be90479a7c2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ba4fd74-3c2d-47b3-a463-c86ee53b8f5f}" ma:internalName="TaxCatchAll" ma:showField="CatchAllData" ma:web="fd4e99d7-8989-4b83-b4f4-be90479a7c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46BC60-C6A7-4767-8156-855418EF7E35}">
  <ds:schemaRefs>
    <ds:schemaRef ds:uri="http://schemas.microsoft.com/office/2006/metadata/properties"/>
    <ds:schemaRef ds:uri="http://schemas.microsoft.com/office/infopath/2007/PartnerControls"/>
    <ds:schemaRef ds:uri="fd4e99d7-8989-4b83-b4f4-be90479a7c2c"/>
    <ds:schemaRef ds:uri="b1a2ac40-0c8a-4765-8d3e-1350fec22d44"/>
  </ds:schemaRefs>
</ds:datastoreItem>
</file>

<file path=customXml/itemProps2.xml><?xml version="1.0" encoding="utf-8"?>
<ds:datastoreItem xmlns:ds="http://schemas.openxmlformats.org/officeDocument/2006/customXml" ds:itemID="{88D0F8AB-88C9-4F2E-ADAC-185F337DF8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E407A0-515B-4762-A14E-1CD5FCC9A7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RECAP</vt:lpstr>
      <vt:lpstr>Options</vt:lpstr>
      <vt:lpstr>Variantes</vt:lpstr>
      <vt:lpstr>Feuille Donnée</vt:lpstr>
      <vt:lpstr>RECAP!Zone_d_impression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BAROIN</dc:creator>
  <cp:lastModifiedBy>Alban Michaud</cp:lastModifiedBy>
  <cp:lastPrinted>2025-04-25T15:17:28Z</cp:lastPrinted>
  <dcterms:created xsi:type="dcterms:W3CDTF">2023-06-15T08:42:03Z</dcterms:created>
  <dcterms:modified xsi:type="dcterms:W3CDTF">2025-07-16T08:22:52Z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0x010100F660CCB98AB09A4F9ED216CC44ECB412</vt:lpwstr>
  </property>
  <property fmtid="{D5CDD505-2E9C-101B-9397-08002B2CF9AE}" pid="3" name="MediaServiceImageTags">
    <vt:lpwstr/>
  </property>
</Properties>
</file>